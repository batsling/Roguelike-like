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485BFF9-11B2-4426-AB40-A5303067BD82}"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D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86"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<sst xmlns="http://schemas.openxmlformats.org/spreadsheetml/2006/main" count="18724" uniqueCount="6931">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</sst>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9" totalsRowShown="0">
  <autoFilter ref="A1:AD9" xr:uid="{FF48E19F-F6A5-4A44-B306-0E88CA04283B}"/>
  <tableColumns count="30">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3" totalsRowShown="0">
  <autoFilter ref="A1:F3" xr:uid="{38FB8565-130B-45FF-BEF5-33576440FFA4}"/>
  <tableColumns count="6">
    <tableColumn id="1" xr3:uid="{B83829E8-A81B-479E-B3B2-55E28DF0108F}" name="Curse"/>
    <tableColumn id="2" xr3:uid="{59411F90-9ECF-4509-8491-4DC6A1307032}" name="Game"/>
    <tableColumn id="3" xr3:uid="{4D85A086-B536-444D-8EA3-48837EA2960C}" name="Condition"/>
    <tableColumn id="4" xr3:uid="{0A422837-F8C8-42C9-8D76-F46081DA76A8}" name="Penalty"/>
    <tableColumn id="5" xr3:uid="{DD457940-F545-488B-AA1B-170E969132D9}" name="Timer"/>
    <tableColumn id="6" xr3:uid="{7A8395D1-ABD9-45D2-BF4E-9DC2EE5393CC}"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abSelected="1" topLeftCell="A812" zoomScaleNormal="100" workbookViewId="0">
      <selection activeCell="A842" sqref="A84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6534</v>
      </c>
      <c r="B15">
        <v>2019</v>
      </c>
      <c r="C15" t="s">
        <v>18</v>
      </c>
      <c r="D15" t="b">
        <f>TRUE()</f>
        <v>1</v>
      </c>
      <c r="E15" t="b">
        <f>COUNTIF(connections!A:A, A15) &gt; 0</f>
        <v>0</v>
      </c>
      <c r="G15" t="s">
        <v>6535</v>
      </c>
      <c r="H15" t="s">
        <v>70</v>
      </c>
      <c r="I15" t="s">
        <v>6538</v>
      </c>
      <c r="J15" s="11" t="s">
        <v>6536</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6662</v>
      </c>
      <c r="B23">
        <v>2025</v>
      </c>
      <c r="C23" t="s">
        <v>15</v>
      </c>
      <c r="D23" t="b">
        <f>TRUE()</f>
        <v>1</v>
      </c>
      <c r="E23" t="b">
        <f>COUNTIF(connections!A:A, A23) &gt; 0</f>
        <v>0</v>
      </c>
      <c r="G23" t="s">
        <v>6663</v>
      </c>
      <c r="J23" s="11" t="s">
        <v>6664</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6584</v>
      </c>
      <c r="B30">
        <v>2024</v>
      </c>
      <c r="C30" t="s">
        <v>22</v>
      </c>
      <c r="D30" t="b">
        <f>TRUE()</f>
        <v>1</v>
      </c>
      <c r="E30" t="b">
        <f>COUNTIF(connections!A:A, A30) &gt; 0</f>
        <v>0</v>
      </c>
      <c r="F30" t="s">
        <v>934</v>
      </c>
      <c r="G30" t="s">
        <v>6585</v>
      </c>
      <c r="H30" t="s">
        <v>70</v>
      </c>
      <c r="I30" t="s">
        <v>6586</v>
      </c>
      <c r="J30" s="11" t="s">
        <v>6583</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6512</v>
      </c>
      <c r="B44">
        <v>2010</v>
      </c>
      <c r="C44" t="s">
        <v>26</v>
      </c>
      <c r="D44" t="b">
        <f>TRUE()</f>
        <v>1</v>
      </c>
      <c r="E44" t="b">
        <f>COUNTIF(connections!A:A, A44) &gt; 0</f>
        <v>0</v>
      </c>
      <c r="F44" t="s">
        <v>6522</v>
      </c>
      <c r="G44" t="s">
        <v>6513</v>
      </c>
    </row>
    <row r="45" spans="1:10" ht="15" customHeight="1" x14ac:dyDescent="0.25">
      <c r="A45" t="s">
        <v>6658</v>
      </c>
      <c r="B45">
        <v>2025</v>
      </c>
      <c r="C45" t="s">
        <v>15</v>
      </c>
      <c r="D45" t="b">
        <f>TRUE()</f>
        <v>1</v>
      </c>
      <c r="E45" t="b">
        <f>COUNTIF(connections!A:A, A45) &gt; 0</f>
        <v>0</v>
      </c>
      <c r="G45" t="s">
        <v>6659</v>
      </c>
      <c r="J45" s="11" t="s">
        <v>6660</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6648</v>
      </c>
      <c r="B58">
        <v>2026</v>
      </c>
      <c r="C58" t="s">
        <v>18</v>
      </c>
      <c r="D58" t="b">
        <f>TRUE()</f>
        <v>1</v>
      </c>
      <c r="E58" t="b">
        <f>COUNTIF(connections!A:A, A58) &gt; 0</f>
        <v>0</v>
      </c>
      <c r="G58" t="s">
        <v>6649</v>
      </c>
      <c r="J58" s="11" t="s">
        <v>6650</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6405</v>
      </c>
      <c r="B73">
        <v>2022</v>
      </c>
      <c r="C73" t="s">
        <v>15</v>
      </c>
      <c r="D73" t="b">
        <f>TRUE()</f>
        <v>1</v>
      </c>
      <c r="E73" t="b">
        <f>COUNTIF(connections!A:A, A73) &gt; 0</f>
        <v>0</v>
      </c>
      <c r="G73" t="s">
        <v>6406</v>
      </c>
      <c r="J73" s="11" t="s">
        <v>6407</v>
      </c>
    </row>
    <row r="74" spans="1:10" ht="15" customHeight="1" x14ac:dyDescent="0.25">
      <c r="A74" t="s">
        <v>6348</v>
      </c>
      <c r="B74">
        <v>2026</v>
      </c>
      <c r="C74" t="s">
        <v>22</v>
      </c>
      <c r="D74" t="b">
        <f>TRUE()</f>
        <v>1</v>
      </c>
      <c r="E74" t="b">
        <f>COUNTIF(connections!A:A, A74) &gt; 0</f>
        <v>0</v>
      </c>
      <c r="F74" t="s">
        <v>214</v>
      </c>
      <c r="G74" t="s">
        <v>6349</v>
      </c>
      <c r="J74" s="11" t="s">
        <v>6350</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6443</v>
      </c>
      <c r="B99">
        <v>2010</v>
      </c>
      <c r="C99" t="s">
        <v>26</v>
      </c>
      <c r="D99" t="b">
        <f>TRUE()</f>
        <v>1</v>
      </c>
      <c r="E99" t="b">
        <f>COUNTIF(connections!A:A, A99) &gt; 0</f>
        <v>1</v>
      </c>
      <c r="G99" t="s">
        <v>6445</v>
      </c>
    </row>
    <row r="100" spans="1:10" ht="15" customHeight="1" x14ac:dyDescent="0.25">
      <c r="A100" t="s">
        <v>6444</v>
      </c>
      <c r="B100">
        <v>2014</v>
      </c>
      <c r="C100" t="s">
        <v>26</v>
      </c>
      <c r="D100" t="b">
        <f>TRUE()</f>
        <v>1</v>
      </c>
      <c r="E100" t="b">
        <f>COUNTIF(connections!A:A, A100) &gt; 0</f>
        <v>0</v>
      </c>
      <c r="G100" t="s">
        <v>6446</v>
      </c>
      <c r="J100" s="11" t="s">
        <v>6448</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6913</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6398</v>
      </c>
      <c r="B117">
        <v>2022</v>
      </c>
      <c r="C117" t="s">
        <v>15</v>
      </c>
      <c r="D117" t="b">
        <f>TRUE()</f>
        <v>1</v>
      </c>
      <c r="E117" t="b">
        <f>COUNTIF(connections!A:A, A117) &gt; 0</f>
        <v>1</v>
      </c>
      <c r="G117" t="s">
        <v>6401</v>
      </c>
      <c r="J117" s="11" t="s">
        <v>6403</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6886</v>
      </c>
    </row>
    <row r="120" spans="1:10" ht="15" customHeight="1" x14ac:dyDescent="0.25">
      <c r="A120" t="s">
        <v>421</v>
      </c>
      <c r="B120">
        <v>1997</v>
      </c>
      <c r="C120" t="s">
        <v>26</v>
      </c>
      <c r="D120" t="b">
        <f>TRUE()</f>
        <v>1</v>
      </c>
      <c r="E120" t="b">
        <f>COUNTIF(connections!A:A, A120) &gt; 0</f>
        <v>1</v>
      </c>
      <c r="G120" t="s">
        <v>422</v>
      </c>
      <c r="H120" t="s">
        <v>70</v>
      </c>
      <c r="I120" t="s">
        <v>6885</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6351</v>
      </c>
      <c r="B128">
        <v>2024</v>
      </c>
      <c r="C128" t="s">
        <v>18</v>
      </c>
      <c r="D128" t="b">
        <f>TRUE()</f>
        <v>1</v>
      </c>
      <c r="E128" t="b">
        <f>COUNTIF(connections!A:A, A128) &gt; 0</f>
        <v>0</v>
      </c>
      <c r="F128" t="s">
        <v>934</v>
      </c>
      <c r="G128" t="s">
        <v>6356</v>
      </c>
      <c r="J128" s="11" t="s">
        <v>6355</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6529</v>
      </c>
      <c r="B141">
        <v>2025</v>
      </c>
      <c r="C141" t="s">
        <v>26</v>
      </c>
      <c r="D141" t="b">
        <f>TRUE()</f>
        <v>1</v>
      </c>
      <c r="E141" t="b">
        <f>COUNTIF(connections!A:A, A141) &gt; 0</f>
        <v>0</v>
      </c>
      <c r="G141" t="s">
        <v>6530</v>
      </c>
      <c r="H141" t="s">
        <v>70</v>
      </c>
      <c r="I141" t="s">
        <v>6531</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6547</v>
      </c>
      <c r="B152">
        <v>1998</v>
      </c>
      <c r="C152" t="s">
        <v>26</v>
      </c>
      <c r="D152" t="b">
        <f>TRUE()</f>
        <v>1</v>
      </c>
      <c r="E152" t="b">
        <f>COUNTIF(connections!A:A, A152) &gt; 0</f>
        <v>0</v>
      </c>
      <c r="G152" t="s">
        <v>6548</v>
      </c>
      <c r="H152" t="s">
        <v>70</v>
      </c>
      <c r="I152" t="s">
        <v>6546</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6832</v>
      </c>
      <c r="B155">
        <v>2026</v>
      </c>
      <c r="C155" t="s">
        <v>22</v>
      </c>
      <c r="D155" t="b">
        <f>TRUE()</f>
        <v>1</v>
      </c>
      <c r="E155" t="b">
        <f>COUNTIF(connections!A:A, A155) &gt; 0</f>
        <v>0</v>
      </c>
      <c r="G155" t="s">
        <v>6833</v>
      </c>
      <c r="J155" s="11" t="s">
        <v>6834</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6352</v>
      </c>
      <c r="B158">
        <v>2024</v>
      </c>
      <c r="C158" t="s">
        <v>22</v>
      </c>
      <c r="D158" t="b">
        <f>TRUE()</f>
        <v>1</v>
      </c>
      <c r="E158" t="b">
        <f>COUNTIF(connections!A:A, A158) &gt; 0</f>
        <v>1</v>
      </c>
      <c r="F158" t="s">
        <v>214</v>
      </c>
      <c r="G158" t="s">
        <v>6353</v>
      </c>
      <c r="J158" s="11" t="s">
        <v>6354</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6573</v>
      </c>
      <c r="B165">
        <v>2026</v>
      </c>
      <c r="C165" t="s">
        <v>15</v>
      </c>
      <c r="D165" t="b">
        <f>TRUE()</f>
        <v>1</v>
      </c>
      <c r="E165" t="b">
        <f>COUNTIF(connections!A:A, A165) &gt; 0</f>
        <v>0</v>
      </c>
      <c r="G165" t="s">
        <v>6574</v>
      </c>
      <c r="J165" s="11" t="s">
        <v>6575</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6368</v>
      </c>
      <c r="B173">
        <v>2026</v>
      </c>
      <c r="C173" t="s">
        <v>18</v>
      </c>
      <c r="D173" t="b">
        <f>TRUE()</f>
        <v>1</v>
      </c>
      <c r="E173" t="b">
        <f>COUNTIF(connections!A:A, A173) &gt; 0</f>
        <v>0</v>
      </c>
      <c r="G173" t="s">
        <v>6369</v>
      </c>
      <c r="J173" s="11" t="s">
        <v>6370</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6426</v>
      </c>
      <c r="B196">
        <v>1996</v>
      </c>
      <c r="C196" t="s">
        <v>15</v>
      </c>
      <c r="D196" t="b">
        <f>TRUE()</f>
        <v>1</v>
      </c>
      <c r="E196" t="b">
        <f>COUNTIF(connections!A:A, A196) &gt; 0</f>
        <v>1</v>
      </c>
      <c r="G196" t="s">
        <v>6427</v>
      </c>
      <c r="H196" t="s">
        <v>70</v>
      </c>
      <c r="I196" t="s">
        <v>6909</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6865</v>
      </c>
      <c r="B199">
        <v>2025</v>
      </c>
      <c r="C199" t="s">
        <v>22</v>
      </c>
      <c r="D199" t="b">
        <f>TRUE()</f>
        <v>1</v>
      </c>
      <c r="E199" t="b">
        <f>COUNTIF(connections!A:A, A199) &gt; 0</f>
        <v>0</v>
      </c>
      <c r="G199" t="s">
        <v>6866</v>
      </c>
      <c r="J199" s="11" t="s">
        <v>6867</v>
      </c>
    </row>
    <row r="200" spans="1:10" ht="15" customHeight="1" x14ac:dyDescent="0.25">
      <c r="A200" t="s">
        <v>669</v>
      </c>
      <c r="B200">
        <v>2025</v>
      </c>
      <c r="C200" t="s">
        <v>18</v>
      </c>
      <c r="D200" t="b">
        <f>FALSE()</f>
        <v>0</v>
      </c>
      <c r="E200" t="b">
        <f>COUNTIF(connections!A:A, A200) &gt; 0</f>
        <v>0</v>
      </c>
      <c r="F200" t="s">
        <v>182</v>
      </c>
      <c r="G200" t="s">
        <v>670</v>
      </c>
      <c r="H200" t="s">
        <v>70</v>
      </c>
      <c r="I200" t="s">
        <v>6327</v>
      </c>
      <c r="J200" s="11" t="s">
        <v>6328</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6363</v>
      </c>
      <c r="B210">
        <v>2026</v>
      </c>
      <c r="C210" t="s">
        <v>15</v>
      </c>
      <c r="D210" t="b">
        <f>TRUE()</f>
        <v>1</v>
      </c>
      <c r="E210" t="b">
        <f>COUNTIF(connections!A:A, A210) &gt; 0</f>
        <v>0</v>
      </c>
      <c r="G210" t="s">
        <v>6365</v>
      </c>
      <c r="J210" s="11" t="s">
        <v>6366</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6821</v>
      </c>
      <c r="B215">
        <v>2026</v>
      </c>
      <c r="C215" t="s">
        <v>18</v>
      </c>
      <c r="D215" t="b">
        <f>TRUE()</f>
        <v>1</v>
      </c>
      <c r="E215" t="b">
        <f>COUNTIF(connections!A:A, A215) &gt; 0</f>
        <v>0</v>
      </c>
      <c r="G215" t="s">
        <v>6822</v>
      </c>
      <c r="J215" s="11" t="s">
        <v>6823</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6875</v>
      </c>
      <c r="B223">
        <v>1990</v>
      </c>
      <c r="C223" t="s">
        <v>26</v>
      </c>
      <c r="D223" t="b">
        <f>TRUE()</f>
        <v>1</v>
      </c>
      <c r="E223" t="b">
        <f>COUNTIF(connections!A:A, A223) &gt; 0</f>
        <v>0</v>
      </c>
      <c r="G223" t="s">
        <v>6876</v>
      </c>
      <c r="H223" t="s">
        <v>70</v>
      </c>
      <c r="I223" t="s">
        <v>6877</v>
      </c>
    </row>
    <row r="224" spans="1:10" ht="15" customHeight="1" x14ac:dyDescent="0.25">
      <c r="A224" t="s">
        <v>736</v>
      </c>
      <c r="B224">
        <v>2006</v>
      </c>
      <c r="C224" t="s">
        <v>26</v>
      </c>
      <c r="D224" t="b">
        <f>TRUE()</f>
        <v>1</v>
      </c>
      <c r="E224" t="b">
        <f>COUNTIF(connections!A:A, A224) &gt; 0</f>
        <v>0</v>
      </c>
      <c r="G224" t="s">
        <v>737</v>
      </c>
      <c r="H224" t="s">
        <v>70</v>
      </c>
      <c r="I224" t="s">
        <v>6891</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6472</v>
      </c>
      <c r="B235">
        <v>2023</v>
      </c>
      <c r="C235" t="s">
        <v>26</v>
      </c>
      <c r="D235" t="b">
        <f>TRUE()</f>
        <v>1</v>
      </c>
      <c r="E235" t="b">
        <f>COUNTIF(connections!A:A, A235) &gt; 0</f>
        <v>0</v>
      </c>
      <c r="G235" t="s">
        <v>6473</v>
      </c>
      <c r="J235" s="11" t="s">
        <v>6474</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6921</v>
      </c>
    </row>
    <row r="238" spans="1:10" ht="15" customHeight="1" x14ac:dyDescent="0.25">
      <c r="A238" t="s">
        <v>6542</v>
      </c>
      <c r="B238">
        <v>2016</v>
      </c>
      <c r="C238" t="s">
        <v>18</v>
      </c>
      <c r="D238" t="b">
        <f>TRUE()</f>
        <v>1</v>
      </c>
      <c r="E238" t="b">
        <f>COUNTIF(connections!A:A, A238) &gt; 0</f>
        <v>0</v>
      </c>
      <c r="G238" t="s">
        <v>6543</v>
      </c>
      <c r="H238" t="s">
        <v>70</v>
      </c>
      <c r="I238" t="s">
        <v>6545</v>
      </c>
      <c r="J238" s="11" t="s">
        <v>6544</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6704</v>
      </c>
      <c r="B248">
        <v>2013</v>
      </c>
      <c r="C248" t="s">
        <v>15</v>
      </c>
      <c r="D248" t="b">
        <f>TRUE()</f>
        <v>1</v>
      </c>
      <c r="E248" t="b">
        <f>COUNTIF(connections!A:A, A248) &gt; 0</f>
        <v>0</v>
      </c>
      <c r="G248" t="s">
        <v>6715</v>
      </c>
      <c r="J248" s="11" t="s">
        <v>6705</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6416</v>
      </c>
      <c r="B250">
        <v>2023</v>
      </c>
      <c r="C250" t="s">
        <v>15</v>
      </c>
      <c r="D250" t="b">
        <f>TRUE()</f>
        <v>1</v>
      </c>
      <c r="E250" t="b">
        <f>COUNTIF(connections!A:A, A250) &gt; 0</f>
        <v>0</v>
      </c>
      <c r="G250" t="s">
        <v>6417</v>
      </c>
      <c r="H250" t="s">
        <v>70</v>
      </c>
      <c r="I250" t="s">
        <v>6419</v>
      </c>
      <c r="J250" s="11" t="s">
        <v>6418</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6899</v>
      </c>
      <c r="B259">
        <v>2004</v>
      </c>
      <c r="C259" t="s">
        <v>26</v>
      </c>
      <c r="D259" t="b">
        <f>TRUE()</f>
        <v>1</v>
      </c>
      <c r="E259" t="b">
        <f>COUNTIF(connections!A:A, A259) &gt; 0</f>
        <v>0</v>
      </c>
      <c r="G259" t="s">
        <v>6900</v>
      </c>
      <c r="H259" t="s">
        <v>70</v>
      </c>
      <c r="I259" t="s">
        <v>6903</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6878</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6920</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6580</v>
      </c>
      <c r="B280">
        <v>2020</v>
      </c>
      <c r="C280" t="s">
        <v>22</v>
      </c>
      <c r="D280" t="b">
        <f>TRUE()</f>
        <v>1</v>
      </c>
      <c r="E280" t="b">
        <f>COUNTIF(connections!A:A, A280) &gt; 0</f>
        <v>1</v>
      </c>
      <c r="F280" t="s">
        <v>149</v>
      </c>
      <c r="G280" t="s">
        <v>6581</v>
      </c>
      <c r="J280" s="11" t="s">
        <v>6582</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6439</v>
      </c>
      <c r="B285">
        <v>2006</v>
      </c>
      <c r="C285" t="s">
        <v>26</v>
      </c>
      <c r="D285" t="b">
        <f>TRUE()</f>
        <v>1</v>
      </c>
      <c r="E285" t="b">
        <f>COUNTIF(connections!A:A, A285) &gt; 0</f>
        <v>0</v>
      </c>
      <c r="G285" t="s">
        <v>6440</v>
      </c>
      <c r="H285" t="s">
        <v>70</v>
      </c>
      <c r="I285" t="s">
        <v>6441</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6480</v>
      </c>
      <c r="B287">
        <v>2013</v>
      </c>
      <c r="C287" t="s">
        <v>15</v>
      </c>
      <c r="D287" t="b">
        <f>TRUE()</f>
        <v>1</v>
      </c>
      <c r="E287" t="b">
        <f>COUNTIF(connections!A:A, A287) &gt; 0</f>
        <v>0</v>
      </c>
      <c r="G287" t="s">
        <v>6481</v>
      </c>
      <c r="J287" s="11" t="s">
        <v>6482</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6508</v>
      </c>
      <c r="B289">
        <v>2010</v>
      </c>
      <c r="C289" t="s">
        <v>26</v>
      </c>
      <c r="D289" t="b">
        <f>TRUE()</f>
        <v>1</v>
      </c>
      <c r="E289" t="b">
        <f>COUNTIF(connections!A:A, A289) &gt; 0</f>
        <v>1</v>
      </c>
      <c r="F289" t="s">
        <v>6522</v>
      </c>
      <c r="G289" t="s">
        <v>6509</v>
      </c>
    </row>
    <row r="290" spans="1:10" ht="15" customHeight="1" x14ac:dyDescent="0.25">
      <c r="A290" t="s">
        <v>6516</v>
      </c>
      <c r="B290">
        <v>2014</v>
      </c>
      <c r="C290" t="s">
        <v>26</v>
      </c>
      <c r="D290" t="b">
        <f>TRUE()</f>
        <v>1</v>
      </c>
      <c r="E290" t="b">
        <f>COUNTIF(connections!A:A, A290) &gt; 0</f>
        <v>1</v>
      </c>
      <c r="F290" t="s">
        <v>6522</v>
      </c>
      <c r="G290" t="s">
        <v>6517</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6796</v>
      </c>
      <c r="B315">
        <v>2020</v>
      </c>
      <c r="C315" t="s">
        <v>22</v>
      </c>
      <c r="D315" t="b">
        <f>TRUE()</f>
        <v>1</v>
      </c>
      <c r="E315" t="b">
        <f>COUNTIF(connections!A:A, A315) &gt; 0</f>
        <v>0</v>
      </c>
      <c r="G315" t="s">
        <v>6797</v>
      </c>
      <c r="H315" t="s">
        <v>70</v>
      </c>
      <c r="I315" t="s">
        <v>6795</v>
      </c>
      <c r="J315" s="11" t="s">
        <v>6798</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6493</v>
      </c>
      <c r="B319">
        <v>2021</v>
      </c>
      <c r="C319" t="s">
        <v>15</v>
      </c>
      <c r="D319" t="b">
        <f>TRUE()</f>
        <v>1</v>
      </c>
      <c r="E319" t="b">
        <f>COUNTIF(connections!A:A, A319) &gt; 0</f>
        <v>1</v>
      </c>
      <c r="G319" t="s">
        <v>6494</v>
      </c>
      <c r="H319" t="s">
        <v>70</v>
      </c>
      <c r="I319" t="s">
        <v>6498</v>
      </c>
    </row>
    <row r="320" spans="1:10" ht="15" customHeight="1" x14ac:dyDescent="0.25">
      <c r="A320" t="s">
        <v>6495</v>
      </c>
      <c r="B320">
        <v>2024</v>
      </c>
      <c r="C320" t="s">
        <v>15</v>
      </c>
      <c r="D320" t="b">
        <f>TRUE()</f>
        <v>1</v>
      </c>
      <c r="E320" t="b">
        <f>COUNTIF(connections!A:A, A320) &gt; 0</f>
        <v>0</v>
      </c>
      <c r="G320" t="s">
        <v>6496</v>
      </c>
      <c r="J320" s="11" t="s">
        <v>6497</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6389</v>
      </c>
      <c r="B345">
        <v>2026</v>
      </c>
      <c r="C345" t="s">
        <v>15</v>
      </c>
      <c r="D345" t="b">
        <f>TRUE()</f>
        <v>1</v>
      </c>
      <c r="E345" t="b">
        <f>COUNTIF(connections!A:A, A345) &gt; 0</f>
        <v>0</v>
      </c>
      <c r="F345" t="s">
        <v>82</v>
      </c>
      <c r="G345" t="s">
        <v>6392</v>
      </c>
      <c r="J345" s="11" t="s">
        <v>6393</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6400</v>
      </c>
      <c r="B352">
        <v>2025</v>
      </c>
      <c r="C352" t="s">
        <v>18</v>
      </c>
      <c r="D352" t="b">
        <f>TRUE()</f>
        <v>1</v>
      </c>
      <c r="E352" t="b">
        <f>COUNTIF(connections!A:A, A352) &gt; 0</f>
        <v>0</v>
      </c>
      <c r="G352" t="s">
        <v>6402</v>
      </c>
      <c r="J352" s="11" t="s">
        <v>6404</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6484</v>
      </c>
      <c r="B355">
        <v>2026</v>
      </c>
      <c r="C355" t="s">
        <v>26</v>
      </c>
      <c r="D355" t="b">
        <f>TRUE()</f>
        <v>1</v>
      </c>
      <c r="E355" t="b">
        <f>COUNTIF(connections!A:A, A355) &gt; 0</f>
        <v>0</v>
      </c>
      <c r="G355" t="s">
        <v>6485</v>
      </c>
      <c r="J355" s="11" t="s">
        <v>6483</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6420</v>
      </c>
      <c r="B361">
        <v>2012</v>
      </c>
      <c r="C361" t="s">
        <v>26</v>
      </c>
      <c r="D361" t="b">
        <f>TRUE()</f>
        <v>1</v>
      </c>
      <c r="E361" t="b">
        <f>COUNTIF(connections!A:A, A361) &gt; 0</f>
        <v>0</v>
      </c>
      <c r="G361" t="s">
        <v>6421</v>
      </c>
      <c r="J361" s="11" t="s">
        <v>6422</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6323</v>
      </c>
      <c r="B370">
        <v>2023</v>
      </c>
      <c r="C370" t="s">
        <v>18</v>
      </c>
      <c r="D370" t="b">
        <f>TRUE()</f>
        <v>1</v>
      </c>
      <c r="E370" t="b">
        <f>COUNTIF(connections!A:A, A370) &gt; 0</f>
        <v>0</v>
      </c>
      <c r="G370" t="s">
        <v>6324</v>
      </c>
      <c r="H370" t="s">
        <v>70</v>
      </c>
      <c r="I370" t="s">
        <v>6326</v>
      </c>
      <c r="J370" s="11" t="s">
        <v>6325</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6577</v>
      </c>
      <c r="B374">
        <v>2025</v>
      </c>
      <c r="C374" t="s">
        <v>22</v>
      </c>
      <c r="D374" t="b">
        <f>TRUE()</f>
        <v>1</v>
      </c>
      <c r="E374" t="b">
        <f>COUNTIF(connections!A:A, A374) &gt; 0</f>
        <v>0</v>
      </c>
      <c r="G374" t="s">
        <v>6578</v>
      </c>
      <c r="J374" s="11" t="s">
        <v>6576</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6911</v>
      </c>
    </row>
    <row r="378" spans="1:10" ht="15" customHeight="1" x14ac:dyDescent="0.25">
      <c r="A378" t="s">
        <v>1187</v>
      </c>
      <c r="B378">
        <v>2006</v>
      </c>
      <c r="C378" t="s">
        <v>26</v>
      </c>
      <c r="D378" t="b">
        <f>TRUE()</f>
        <v>1</v>
      </c>
      <c r="E378" t="b">
        <f>COUNTIF(connections!A:A, A378) &gt; 0</f>
        <v>1</v>
      </c>
      <c r="G378" t="s">
        <v>1188</v>
      </c>
      <c r="H378" t="s">
        <v>70</v>
      </c>
      <c r="I378" t="s">
        <v>6910</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6653</v>
      </c>
      <c r="B384">
        <v>2025</v>
      </c>
      <c r="C384" t="s">
        <v>15</v>
      </c>
      <c r="D384" t="b">
        <f>TRUE()</f>
        <v>1</v>
      </c>
      <c r="E384" t="b">
        <f>COUNTIF(connections!A:A, A384) &gt; 0</f>
        <v>0</v>
      </c>
      <c r="G384" t="s">
        <v>6655</v>
      </c>
      <c r="J384" s="11" t="s">
        <v>6654</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6873</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6620</v>
      </c>
      <c r="B411">
        <v>2023</v>
      </c>
      <c r="C411" t="s">
        <v>22</v>
      </c>
      <c r="D411" t="b">
        <f>TRUE()</f>
        <v>1</v>
      </c>
      <c r="E411" t="b">
        <f>COUNTIF(connections!A:A, A411) &gt; 0</f>
        <v>1</v>
      </c>
      <c r="G411" t="s">
        <v>6621</v>
      </c>
      <c r="J411" s="11" t="s">
        <v>6622</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6707</v>
      </c>
      <c r="B425">
        <v>2025</v>
      </c>
      <c r="C425" t="s">
        <v>15</v>
      </c>
      <c r="D425" t="b">
        <f>TRUE()</f>
        <v>1</v>
      </c>
      <c r="E425" t="b">
        <f>COUNTIF(connections!A:A, A425) &gt; 0</f>
        <v>0</v>
      </c>
      <c r="G425" t="s">
        <v>6708</v>
      </c>
      <c r="H425" t="s">
        <v>70</v>
      </c>
      <c r="I425" t="s">
        <v>6871</v>
      </c>
      <c r="J425" s="11" t="s">
        <v>6706</v>
      </c>
    </row>
    <row r="426" spans="1:10" ht="15" customHeight="1" x14ac:dyDescent="0.25">
      <c r="A426" t="s">
        <v>6628</v>
      </c>
      <c r="B426">
        <v>2026</v>
      </c>
      <c r="C426" t="s">
        <v>22</v>
      </c>
      <c r="D426" t="b">
        <f>TRUE()</f>
        <v>1</v>
      </c>
      <c r="E426" t="b">
        <f>COUNTIF(connections!A:A, A426) &gt; 0</f>
        <v>0</v>
      </c>
      <c r="G426" t="s">
        <v>6629</v>
      </c>
      <c r="J426" s="11" t="s">
        <v>6630</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6520</v>
      </c>
      <c r="B440">
        <v>2012</v>
      </c>
      <c r="C440" t="s">
        <v>26</v>
      </c>
      <c r="D440" t="b">
        <f>TRUE()</f>
        <v>1</v>
      </c>
      <c r="E440" t="b">
        <f>COUNTIF(connections!A:A, A440) &gt; 0</f>
        <v>1</v>
      </c>
      <c r="F440" t="s">
        <v>6522</v>
      </c>
      <c r="G440" t="s">
        <v>6521</v>
      </c>
    </row>
    <row r="441" spans="1:10" ht="15" customHeight="1" x14ac:dyDescent="0.25">
      <c r="A441" t="s">
        <v>6518</v>
      </c>
      <c r="B441">
        <v>2011</v>
      </c>
      <c r="C441" t="s">
        <v>26</v>
      </c>
      <c r="D441" t="b">
        <f>TRUE()</f>
        <v>1</v>
      </c>
      <c r="E441" t="b">
        <f>COUNTIF(connections!A:A, A441) &gt; 0</f>
        <v>1</v>
      </c>
      <c r="F441" t="s">
        <v>6522</v>
      </c>
      <c r="G441" t="s">
        <v>6519</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6475</v>
      </c>
      <c r="B446">
        <v>2002</v>
      </c>
      <c r="C446" t="s">
        <v>26</v>
      </c>
      <c r="D446" t="b">
        <f>TRUE()</f>
        <v>1</v>
      </c>
      <c r="E446" t="b">
        <f>COUNTIF(connections!A:A, A446) &gt; 0</f>
        <v>1</v>
      </c>
      <c r="G446" t="s">
        <v>6476</v>
      </c>
      <c r="H446" t="s">
        <v>70</v>
      </c>
      <c r="I446" t="s">
        <v>6907</v>
      </c>
    </row>
    <row r="447" spans="1:10" ht="15" customHeight="1" x14ac:dyDescent="0.25">
      <c r="A447" t="s">
        <v>6477</v>
      </c>
      <c r="B447">
        <v>2003</v>
      </c>
      <c r="C447" t="s">
        <v>26</v>
      </c>
      <c r="D447" t="b">
        <f>TRUE()</f>
        <v>1</v>
      </c>
      <c r="E447" t="b">
        <f>COUNTIF(connections!A:A, A447) &gt; 0</f>
        <v>0</v>
      </c>
      <c r="G447" t="s">
        <v>6478</v>
      </c>
      <c r="H447" t="s">
        <v>70</v>
      </c>
      <c r="I447" t="s">
        <v>6908</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6803</v>
      </c>
      <c r="B455">
        <v>2026</v>
      </c>
      <c r="C455" t="s">
        <v>22</v>
      </c>
      <c r="D455" t="b">
        <f>TRUE()</f>
        <v>1</v>
      </c>
      <c r="E455" t="b">
        <f>COUNTIF(connections!A:A, A455) &gt; 0</f>
        <v>0</v>
      </c>
      <c r="G455" t="s">
        <v>6804</v>
      </c>
      <c r="J455" s="11" t="s">
        <v>6805</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6514</v>
      </c>
      <c r="B468">
        <v>2011</v>
      </c>
      <c r="C468" t="s">
        <v>26</v>
      </c>
      <c r="D468" t="b">
        <f>TRUE()</f>
        <v>1</v>
      </c>
      <c r="E468" t="b">
        <f>COUNTIF(connections!A:A, A468) &gt; 0</f>
        <v>1</v>
      </c>
      <c r="F468" t="s">
        <v>6522</v>
      </c>
      <c r="G468" t="s">
        <v>6515</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6334</v>
      </c>
      <c r="B472">
        <v>2016</v>
      </c>
      <c r="C472" t="s">
        <v>26</v>
      </c>
      <c r="D472" t="b">
        <f>TRUE()</f>
        <v>1</v>
      </c>
      <c r="E472" t="b">
        <f>COUNTIF(connections!A:A, A472) &gt; 0</f>
        <v>0</v>
      </c>
      <c r="G472" t="s">
        <v>6335</v>
      </c>
      <c r="J472" s="11" t="s">
        <v>6336</v>
      </c>
    </row>
    <row r="473" spans="1:10" ht="15" customHeight="1" x14ac:dyDescent="0.25">
      <c r="A473" t="s">
        <v>1452</v>
      </c>
      <c r="B473">
        <v>1995</v>
      </c>
      <c r="C473" t="s">
        <v>26</v>
      </c>
      <c r="D473" t="b">
        <f>TRUE()</f>
        <v>1</v>
      </c>
      <c r="E473" t="b">
        <f>COUNTIF(connections!A:A, A473) &gt; 0</f>
        <v>1</v>
      </c>
      <c r="G473" t="s">
        <v>1453</v>
      </c>
      <c r="H473" t="s">
        <v>70</v>
      </c>
      <c r="I473" t="s">
        <v>6880</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6671</v>
      </c>
      <c r="B475">
        <v>2022</v>
      </c>
      <c r="C475" t="s">
        <v>22</v>
      </c>
      <c r="D475" t="b">
        <f>TRUE()</f>
        <v>1</v>
      </c>
      <c r="E475" t="b">
        <f>COUNTIF(connections!A:A, A475) &gt; 0</f>
        <v>0</v>
      </c>
      <c r="G475" t="s">
        <v>6672</v>
      </c>
      <c r="J475" s="11" t="s">
        <v>6673</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6554</v>
      </c>
      <c r="B484">
        <v>2021</v>
      </c>
      <c r="C484" t="s">
        <v>15</v>
      </c>
      <c r="D484" t="b">
        <f>TRUE()</f>
        <v>1</v>
      </c>
      <c r="E484" t="b">
        <f>COUNTIF(connections!A:A, A484) &gt; 0</f>
        <v>0</v>
      </c>
      <c r="G484" t="s">
        <v>6555</v>
      </c>
      <c r="J484" s="11" t="s">
        <v>6556</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6486</v>
      </c>
      <c r="B508">
        <v>2015</v>
      </c>
      <c r="C508" t="s">
        <v>26</v>
      </c>
      <c r="D508" t="b">
        <f>TRUE()</f>
        <v>1</v>
      </c>
      <c r="E508" t="b">
        <f>COUNTIF(connections!A:A, A508) &gt; 0</f>
        <v>1</v>
      </c>
      <c r="G508" t="s">
        <v>6487</v>
      </c>
    </row>
    <row r="509" spans="1:10" ht="15" customHeight="1" x14ac:dyDescent="0.25">
      <c r="A509" t="s">
        <v>6489</v>
      </c>
      <c r="B509">
        <v>2019</v>
      </c>
      <c r="C509" t="s">
        <v>26</v>
      </c>
      <c r="D509" t="b">
        <f>TRUE()</f>
        <v>1</v>
      </c>
      <c r="E509" t="b">
        <f>COUNTIF(connections!A:A, A509) &gt; 0</f>
        <v>0</v>
      </c>
      <c r="G509" t="s">
        <v>6492</v>
      </c>
      <c r="H509" t="s">
        <v>70</v>
      </c>
      <c r="I509" t="s">
        <v>6872</v>
      </c>
      <c r="J509" s="11" t="s">
        <v>6490</v>
      </c>
    </row>
    <row r="510" spans="1:10" ht="15" customHeight="1" x14ac:dyDescent="0.25">
      <c r="A510" t="s">
        <v>6488</v>
      </c>
      <c r="B510">
        <v>2017</v>
      </c>
      <c r="C510" t="s">
        <v>26</v>
      </c>
      <c r="D510" t="b">
        <f>TRUE()</f>
        <v>1</v>
      </c>
      <c r="E510" t="b">
        <f>COUNTIF(connections!A:A, A510) &gt; 0</f>
        <v>1</v>
      </c>
      <c r="G510" t="s">
        <v>6491</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6331</v>
      </c>
      <c r="B513">
        <v>2014</v>
      </c>
      <c r="C513" t="s">
        <v>26</v>
      </c>
      <c r="D513" t="b">
        <f>TRUE()</f>
        <v>1</v>
      </c>
      <c r="E513" t="b">
        <f>COUNTIF(connections!A:A, A513) &gt; 0</f>
        <v>1</v>
      </c>
      <c r="G513" t="s">
        <v>6332</v>
      </c>
      <c r="H513" t="s">
        <v>70</v>
      </c>
      <c r="I513" t="s">
        <v>6333</v>
      </c>
      <c r="J513" s="11" t="s">
        <v>6330</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6928</v>
      </c>
      <c r="B518">
        <v>2022</v>
      </c>
      <c r="C518" t="s">
        <v>26</v>
      </c>
      <c r="D518" t="b">
        <f>TRUE()</f>
        <v>1</v>
      </c>
      <c r="E518" t="b">
        <f>COUNTIF(connections!A:A, A518) &gt; 0</f>
        <v>0</v>
      </c>
      <c r="G518" t="s">
        <v>6929</v>
      </c>
      <c r="H518" t="s">
        <v>70</v>
      </c>
      <c r="I518" t="s">
        <v>6930</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6540</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6916</v>
      </c>
    </row>
    <row r="543" spans="1:10" ht="15" customHeight="1" x14ac:dyDescent="0.25">
      <c r="A543" t="s">
        <v>1660</v>
      </c>
      <c r="B543">
        <v>2007</v>
      </c>
      <c r="C543" t="s">
        <v>26</v>
      </c>
      <c r="D543" t="b">
        <f>TRUE()</f>
        <v>1</v>
      </c>
      <c r="E543" t="b">
        <f>COUNTIF(connections!A:A, A543) &gt; 0</f>
        <v>1</v>
      </c>
      <c r="F543" t="s">
        <v>1642</v>
      </c>
      <c r="G543" t="s">
        <v>1661</v>
      </c>
      <c r="H543" t="s">
        <v>70</v>
      </c>
      <c r="I543" t="s">
        <v>6915</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6914</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6425</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6504</v>
      </c>
      <c r="B562">
        <v>2015</v>
      </c>
      <c r="C562" t="s">
        <v>15</v>
      </c>
      <c r="D562" t="b">
        <f>TRUE()</f>
        <v>1</v>
      </c>
      <c r="E562" t="b">
        <f>COUNTIF(connections!A:A, A562) &gt; 0</f>
        <v>0</v>
      </c>
      <c r="G562" t="s">
        <v>6505</v>
      </c>
      <c r="J562" s="11" t="s">
        <v>6506</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6455</v>
      </c>
      <c r="B568">
        <v>2012</v>
      </c>
      <c r="C568" t="s">
        <v>15</v>
      </c>
      <c r="D568" t="b">
        <f>TRUE()</f>
        <v>1</v>
      </c>
      <c r="E568" t="b">
        <f>COUNTIF(connections!A:A, A568) &gt; 0</f>
        <v>0</v>
      </c>
      <c r="G568" t="s">
        <v>6456</v>
      </c>
      <c r="H568" t="s">
        <v>70</v>
      </c>
      <c r="I568" t="s">
        <v>6458</v>
      </c>
    </row>
    <row r="569" spans="1:10" ht="15" customHeight="1" x14ac:dyDescent="0.25">
      <c r="A569" t="s">
        <v>6825</v>
      </c>
      <c r="B569">
        <v>2015</v>
      </c>
      <c r="C569" t="s">
        <v>18</v>
      </c>
      <c r="D569" t="b">
        <f>TRUE()</f>
        <v>1</v>
      </c>
      <c r="E569" t="b">
        <f>COUNTIF(connections!A:A, A569) &gt; 0</f>
        <v>1</v>
      </c>
      <c r="G569" t="s">
        <v>6827</v>
      </c>
      <c r="H569" t="s">
        <v>70</v>
      </c>
      <c r="I569" t="s">
        <v>6828</v>
      </c>
      <c r="J569" s="11" t="s">
        <v>6826</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6624</v>
      </c>
      <c r="B571">
        <v>2025</v>
      </c>
      <c r="C571" t="s">
        <v>22</v>
      </c>
      <c r="D571" t="b">
        <f>TRUE()</f>
        <v>1</v>
      </c>
      <c r="E571" t="b">
        <f>COUNTIF(connections!A:A, A571) &gt; 0</f>
        <v>0</v>
      </c>
      <c r="G571" t="s">
        <v>6625</v>
      </c>
      <c r="J571" s="11" t="s">
        <v>6626</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6893</v>
      </c>
      <c r="B594">
        <v>2007</v>
      </c>
      <c r="C594" t="s">
        <v>26</v>
      </c>
      <c r="D594" t="b">
        <f>TRUE()</f>
        <v>1</v>
      </c>
      <c r="E594" t="b">
        <f>COUNTIF(connections!A:A, A594) &gt; 0</f>
        <v>0</v>
      </c>
      <c r="G594" t="s">
        <v>6894</v>
      </c>
      <c r="H594" t="s">
        <v>70</v>
      </c>
      <c r="I594" t="s">
        <v>6901</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6638</v>
      </c>
      <c r="B611">
        <v>2025</v>
      </c>
      <c r="C611" t="s">
        <v>22</v>
      </c>
      <c r="D611" t="b">
        <f>TRUE()</f>
        <v>1</v>
      </c>
      <c r="E611" t="b">
        <f>COUNTIF(connections!A:A, A611) &gt; 0</f>
        <v>0</v>
      </c>
      <c r="F611" t="s">
        <v>214</v>
      </c>
      <c r="G611" t="s">
        <v>6639</v>
      </c>
      <c r="J611" s="11" t="s">
        <v>6640</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6359</v>
      </c>
      <c r="B613">
        <v>2026</v>
      </c>
      <c r="C613" t="s">
        <v>22</v>
      </c>
      <c r="D613" t="b">
        <f>TRUE()</f>
        <v>1</v>
      </c>
      <c r="E613" t="b">
        <f>COUNTIF(connections!A:A, A613) &gt; 0</f>
        <v>0</v>
      </c>
      <c r="F613" t="s">
        <v>182</v>
      </c>
      <c r="G613" t="s">
        <v>6362</v>
      </c>
      <c r="J613" s="11" t="s">
        <v>6361</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6319</v>
      </c>
      <c r="B615">
        <v>2026</v>
      </c>
      <c r="C615" t="s">
        <v>22</v>
      </c>
      <c r="D615" t="b">
        <f>TRUE()</f>
        <v>1</v>
      </c>
      <c r="E615" t="b">
        <f>COUNTIF(connections!A:A, A615) &gt; 0</f>
        <v>0</v>
      </c>
      <c r="G615" t="s">
        <v>6320</v>
      </c>
      <c r="J615" s="11" t="s">
        <v>6321</v>
      </c>
    </row>
    <row r="616" spans="1:10" ht="15" customHeight="1" x14ac:dyDescent="0.25">
      <c r="A616" t="s">
        <v>6499</v>
      </c>
      <c r="B616">
        <v>2023</v>
      </c>
      <c r="C616" t="s">
        <v>22</v>
      </c>
      <c r="D616" t="b">
        <f>TRUE()</f>
        <v>1</v>
      </c>
      <c r="E616" t="b">
        <f>COUNTIF(connections!A:A, A616) &gt; 0</f>
        <v>0</v>
      </c>
      <c r="G616" t="s">
        <v>6500</v>
      </c>
      <c r="J616" s="11" t="s">
        <v>6501</v>
      </c>
    </row>
    <row r="617" spans="1:10" ht="15" customHeight="1" x14ac:dyDescent="0.25">
      <c r="A617" t="s">
        <v>6510</v>
      </c>
      <c r="B617">
        <v>2010</v>
      </c>
      <c r="C617" t="s">
        <v>26</v>
      </c>
      <c r="D617" t="b">
        <f>TRUE()</f>
        <v>1</v>
      </c>
      <c r="E617" t="b">
        <f>COUNTIF(connections!A:A, A617) &gt; 0</f>
        <v>0</v>
      </c>
      <c r="F617" t="s">
        <v>6522</v>
      </c>
      <c r="G617" t="s">
        <v>6511</v>
      </c>
    </row>
    <row r="618" spans="1:10" ht="15" customHeight="1" x14ac:dyDescent="0.25">
      <c r="A618" t="s">
        <v>6667</v>
      </c>
      <c r="B618">
        <v>2024</v>
      </c>
      <c r="C618" t="s">
        <v>15</v>
      </c>
      <c r="D618" t="b">
        <f>TRUE()</f>
        <v>1</v>
      </c>
      <c r="E618" t="b">
        <f>COUNTIF(connections!A:A, A618) &gt; 0</f>
        <v>0</v>
      </c>
      <c r="G618" t="s">
        <v>6670</v>
      </c>
      <c r="J618" s="11" t="s">
        <v>6669</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6568</v>
      </c>
      <c r="B627">
        <v>2026</v>
      </c>
      <c r="C627" t="s">
        <v>15</v>
      </c>
      <c r="D627" t="b">
        <f>TRUE()</f>
        <v>1</v>
      </c>
      <c r="E627" t="b">
        <f>COUNTIF(connections!A:A, A627) &gt; 0</f>
        <v>0</v>
      </c>
      <c r="G627" t="s">
        <v>6569</v>
      </c>
      <c r="J627" s="11" t="s">
        <v>6570</v>
      </c>
    </row>
    <row r="628" spans="1:10" ht="15" customHeight="1" x14ac:dyDescent="0.25">
      <c r="A628" t="s">
        <v>6550</v>
      </c>
      <c r="B628">
        <v>2015</v>
      </c>
      <c r="C628" t="s">
        <v>26</v>
      </c>
      <c r="D628" t="b">
        <f>TRUE()</f>
        <v>1</v>
      </c>
      <c r="E628" t="b">
        <f>COUNTIF(connections!A:A, A628) &gt; 0</f>
        <v>0</v>
      </c>
      <c r="G628" t="s">
        <v>6551</v>
      </c>
      <c r="H628" t="s">
        <v>70</v>
      </c>
      <c r="I628" t="s">
        <v>6553</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6413</v>
      </c>
      <c r="B631">
        <v>2023</v>
      </c>
      <c r="C631" t="s">
        <v>15</v>
      </c>
      <c r="D631" t="b">
        <f>TRUE()</f>
        <v>1</v>
      </c>
      <c r="E631" t="b">
        <f>COUNTIF(connections!A:A, A631) &gt; 0</f>
        <v>0</v>
      </c>
      <c r="G631" t="s">
        <v>6414</v>
      </c>
      <c r="J631" s="11" t="s">
        <v>6415</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6889</v>
      </c>
    </row>
    <row r="635" spans="1:10" ht="15" customHeight="1" x14ac:dyDescent="0.25">
      <c r="A635" t="s">
        <v>1905</v>
      </c>
      <c r="B635">
        <v>2000</v>
      </c>
      <c r="C635" t="s">
        <v>26</v>
      </c>
      <c r="D635" t="b">
        <f>TRUE()</f>
        <v>1</v>
      </c>
      <c r="E635" t="b">
        <f>COUNTIF(connections!A:A, A635) &gt; 0</f>
        <v>1</v>
      </c>
      <c r="G635" t="s">
        <v>1906</v>
      </c>
      <c r="H635" t="s">
        <v>70</v>
      </c>
      <c r="I635" t="s">
        <v>6887</v>
      </c>
    </row>
    <row r="636" spans="1:10" ht="15" customHeight="1" x14ac:dyDescent="0.25">
      <c r="A636" t="s">
        <v>1907</v>
      </c>
      <c r="B636">
        <v>2010</v>
      </c>
      <c r="C636" t="s">
        <v>26</v>
      </c>
      <c r="D636" t="b">
        <f>TRUE()</f>
        <v>1</v>
      </c>
      <c r="E636" t="b">
        <f>COUNTIF(connections!A:A, A636) &gt; 0</f>
        <v>1</v>
      </c>
      <c r="G636" t="s">
        <v>1908</v>
      </c>
      <c r="H636" t="s">
        <v>70</v>
      </c>
      <c r="I636" t="s">
        <v>6926</v>
      </c>
    </row>
    <row r="637" spans="1:10" ht="15" customHeight="1" x14ac:dyDescent="0.25">
      <c r="A637" t="s">
        <v>1909</v>
      </c>
      <c r="B637">
        <v>2002</v>
      </c>
      <c r="C637" t="s">
        <v>26</v>
      </c>
      <c r="D637" t="b">
        <f>TRUE()</f>
        <v>1</v>
      </c>
      <c r="E637" t="b">
        <f>COUNTIF(connections!A:A, A637) &gt; 0</f>
        <v>0</v>
      </c>
      <c r="G637" t="s">
        <v>1910</v>
      </c>
      <c r="H637" t="s">
        <v>70</v>
      </c>
      <c r="I637" t="s">
        <v>6888</v>
      </c>
    </row>
    <row r="638" spans="1:10" ht="15" customHeight="1" x14ac:dyDescent="0.25">
      <c r="A638" t="s">
        <v>1911</v>
      </c>
      <c r="B638">
        <v>1996</v>
      </c>
      <c r="C638" t="s">
        <v>26</v>
      </c>
      <c r="D638" t="b">
        <f>TRUE()</f>
        <v>1</v>
      </c>
      <c r="E638" t="b">
        <f>COUNTIF(connections!A:A, A638) &gt; 0</f>
        <v>1</v>
      </c>
      <c r="G638" t="s">
        <v>1912</v>
      </c>
      <c r="H638" t="s">
        <v>70</v>
      </c>
      <c r="I638" t="s">
        <v>6881</v>
      </c>
    </row>
    <row r="639" spans="1:10" ht="15" customHeight="1" x14ac:dyDescent="0.25">
      <c r="A639" t="s">
        <v>1913</v>
      </c>
      <c r="B639">
        <v>2001</v>
      </c>
      <c r="C639" t="s">
        <v>26</v>
      </c>
      <c r="D639" t="b">
        <f>TRUE()</f>
        <v>1</v>
      </c>
      <c r="E639" t="b">
        <f>COUNTIF(connections!A:A, A639) &gt; 0</f>
        <v>0</v>
      </c>
      <c r="G639" t="s">
        <v>1914</v>
      </c>
      <c r="H639" t="s">
        <v>70</v>
      </c>
      <c r="I639" t="s">
        <v>6882</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6646</v>
      </c>
      <c r="B647">
        <v>2026</v>
      </c>
      <c r="C647" t="s">
        <v>18</v>
      </c>
      <c r="D647" t="b">
        <f>TRUE()</f>
        <v>1</v>
      </c>
      <c r="E647" t="b">
        <f>COUNTIF(connections!A:A, A647) &gt; 0</f>
        <v>0</v>
      </c>
      <c r="G647" t="s">
        <v>6647</v>
      </c>
      <c r="J647" s="11" t="s">
        <v>6645</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6459</v>
      </c>
      <c r="B650">
        <v>2014</v>
      </c>
      <c r="C650" t="s">
        <v>15</v>
      </c>
      <c r="D650" t="b">
        <f>TRUE()</f>
        <v>1</v>
      </c>
      <c r="E650" t="b">
        <f>COUNTIF(connections!A:A, A650) &gt; 0</f>
        <v>0</v>
      </c>
      <c r="G650" t="s">
        <v>6461</v>
      </c>
      <c r="J650" s="11" t="s">
        <v>6460</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6450</v>
      </c>
      <c r="B670">
        <v>2016</v>
      </c>
      <c r="C670" t="s">
        <v>26</v>
      </c>
      <c r="D670" t="b">
        <f>TRUE()</f>
        <v>1</v>
      </c>
      <c r="E670" t="b">
        <f>COUNTIF(connections!A:A, A670) &gt; 0</f>
        <v>0</v>
      </c>
      <c r="G670" t="s">
        <v>6451</v>
      </c>
      <c r="H670" t="s">
        <v>70</v>
      </c>
      <c r="I670" t="s">
        <v>6869</v>
      </c>
      <c r="J670" s="11" t="s">
        <v>6452</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6870</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6464</v>
      </c>
      <c r="B706">
        <v>1982</v>
      </c>
      <c r="C706" t="s">
        <v>26</v>
      </c>
      <c r="D706" t="b">
        <f>TRUE()</f>
        <v>1</v>
      </c>
      <c r="E706" t="b">
        <f>COUNTIF(connections!A:A, A706) &gt; 0</f>
        <v>1</v>
      </c>
      <c r="G706" t="s">
        <v>6465</v>
      </c>
      <c r="J706" s="11" t="s">
        <v>6466</v>
      </c>
    </row>
    <row r="707" spans="1:10" ht="15" customHeight="1" x14ac:dyDescent="0.25">
      <c r="A707" t="s">
        <v>6675</v>
      </c>
      <c r="B707">
        <v>2021</v>
      </c>
      <c r="C707" t="s">
        <v>15</v>
      </c>
      <c r="D707" t="b">
        <f>TRUE()</f>
        <v>1</v>
      </c>
      <c r="E707" t="b">
        <f>COUNTIF(connections!A:A, A707) &gt; 0</f>
        <v>1</v>
      </c>
      <c r="G707" t="s">
        <v>6676</v>
      </c>
      <c r="J707" s="11" t="s">
        <v>6677</v>
      </c>
    </row>
    <row r="708" spans="1:10" ht="15" customHeight="1" x14ac:dyDescent="0.25">
      <c r="A708" t="s">
        <v>6679</v>
      </c>
      <c r="B708">
        <v>2025</v>
      </c>
      <c r="C708" t="s">
        <v>15</v>
      </c>
      <c r="D708" t="b">
        <f>TRUE()</f>
        <v>1</v>
      </c>
      <c r="E708" t="b">
        <f>COUNTIF(connections!A:A, A708) &gt; 0</f>
        <v>0</v>
      </c>
      <c r="G708" t="s">
        <v>6680</v>
      </c>
      <c r="J708" s="11" t="s">
        <v>6681</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6614</v>
      </c>
      <c r="B718">
        <v>2026</v>
      </c>
      <c r="C718" t="s">
        <v>22</v>
      </c>
      <c r="D718" t="b">
        <f>TRUE()</f>
        <v>1</v>
      </c>
      <c r="E718" t="b">
        <f>COUNTIF(connections!A:A, A718) &gt; 0</f>
        <v>0</v>
      </c>
      <c r="G718" t="s">
        <v>6616</v>
      </c>
      <c r="J718" s="11" t="s">
        <v>6617</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6918</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6896</v>
      </c>
      <c r="B734">
        <v>2000</v>
      </c>
      <c r="C734" t="s">
        <v>26</v>
      </c>
      <c r="D734" t="b">
        <f>TRUE()</f>
        <v>1</v>
      </c>
      <c r="E734" t="b">
        <f>COUNTIF(connections!A:A, A734) &gt; 0</f>
        <v>1</v>
      </c>
      <c r="G734" t="s">
        <v>6897</v>
      </c>
      <c r="H734" t="s">
        <v>70</v>
      </c>
      <c r="I734" t="s">
        <v>6902</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6712</v>
      </c>
      <c r="B741">
        <v>2023</v>
      </c>
      <c r="C741" t="s">
        <v>15</v>
      </c>
      <c r="D741" t="b">
        <f>TRUE()</f>
        <v>1</v>
      </c>
      <c r="E741" t="b">
        <f>COUNTIF(connections!A:A, A741) &gt; 0</f>
        <v>0</v>
      </c>
      <c r="G741" t="s">
        <v>6713</v>
      </c>
      <c r="J741" s="11" t="s">
        <v>6714</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6892</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6469</v>
      </c>
      <c r="B752">
        <v>2014</v>
      </c>
      <c r="C752" t="s">
        <v>26</v>
      </c>
      <c r="D752" t="b">
        <f>TRUE()</f>
        <v>1</v>
      </c>
      <c r="E752" t="b">
        <f>COUNTIF(connections!A:A, A752) &gt; 0</f>
        <v>0</v>
      </c>
      <c r="G752" t="s">
        <v>6470</v>
      </c>
      <c r="J752" s="11" t="s">
        <v>6471</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6409</v>
      </c>
      <c r="B755">
        <v>2023</v>
      </c>
      <c r="C755" t="s">
        <v>15</v>
      </c>
      <c r="D755" t="b">
        <f>TRUE()</f>
        <v>1</v>
      </c>
      <c r="E755" t="b">
        <f>COUNTIF(connections!A:A, A755) &gt; 0</f>
        <v>0</v>
      </c>
      <c r="G755" t="s">
        <v>6410</v>
      </c>
      <c r="J755" s="11" t="s">
        <v>6411</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6641</v>
      </c>
      <c r="B757">
        <v>2025</v>
      </c>
      <c r="C757" t="s">
        <v>22</v>
      </c>
      <c r="D757" t="b">
        <f>TRUE()</f>
        <v>1</v>
      </c>
      <c r="E757" t="b">
        <f>COUNTIF(connections!A:A, A757) &gt; 0</f>
        <v>1</v>
      </c>
      <c r="F757" t="s">
        <v>812</v>
      </c>
      <c r="G757" t="s">
        <v>6642</v>
      </c>
      <c r="J757" s="11" t="s">
        <v>6643</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6912</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6884</v>
      </c>
    </row>
    <row r="764" spans="1:10" x14ac:dyDescent="0.25">
      <c r="A764" t="s">
        <v>2284</v>
      </c>
      <c r="B764">
        <v>2002</v>
      </c>
      <c r="C764" t="s">
        <v>26</v>
      </c>
      <c r="D764" t="b">
        <f>TRUE()</f>
        <v>1</v>
      </c>
      <c r="E764" t="b">
        <f>COUNTIF(connections!A:A, A764) &gt; 0</f>
        <v>0</v>
      </c>
      <c r="G764" t="s">
        <v>2285</v>
      </c>
      <c r="H764" t="s">
        <v>70</v>
      </c>
      <c r="I764" t="s">
        <v>6890</v>
      </c>
    </row>
    <row r="765" spans="1:10" x14ac:dyDescent="0.25">
      <c r="A765" t="s">
        <v>2286</v>
      </c>
      <c r="B765">
        <v>1993</v>
      </c>
      <c r="C765" t="s">
        <v>26</v>
      </c>
      <c r="D765" t="b">
        <f>TRUE()</f>
        <v>1</v>
      </c>
      <c r="E765" t="b">
        <f>COUNTIF(connections!A:A, A765) &gt; 0</f>
        <v>1</v>
      </c>
      <c r="G765" t="s">
        <v>2287</v>
      </c>
      <c r="H765" t="s">
        <v>70</v>
      </c>
      <c r="I765" t="s">
        <v>6879</v>
      </c>
    </row>
    <row r="766" spans="1:10" x14ac:dyDescent="0.25">
      <c r="A766" t="s">
        <v>2288</v>
      </c>
      <c r="B766">
        <v>2025</v>
      </c>
      <c r="C766" t="s">
        <v>26</v>
      </c>
      <c r="D766" t="b">
        <f>TRUE()</f>
        <v>1</v>
      </c>
      <c r="E766" t="b">
        <f>COUNTIF(connections!A:A, A766) &gt; 0</f>
        <v>0</v>
      </c>
      <c r="F766" t="s">
        <v>6522</v>
      </c>
      <c r="G766" t="s">
        <v>2289</v>
      </c>
      <c r="H766" t="s">
        <v>70</v>
      </c>
      <c r="I766" t="s">
        <v>2290</v>
      </c>
      <c r="J766" s="1" t="s">
        <v>2291</v>
      </c>
    </row>
    <row r="767" spans="1:10" x14ac:dyDescent="0.25">
      <c r="A767" t="s">
        <v>6527</v>
      </c>
      <c r="B767">
        <v>2024</v>
      </c>
      <c r="C767" t="s">
        <v>26</v>
      </c>
      <c r="D767" t="b">
        <f>TRUE()</f>
        <v>1</v>
      </c>
      <c r="E767" t="b">
        <f>COUNTIF(connections!A:A, A767) &gt; 0</f>
        <v>0</v>
      </c>
      <c r="F767" t="s">
        <v>6522</v>
      </c>
      <c r="G767" t="s">
        <v>6528</v>
      </c>
      <c r="J767" s="11" t="s">
        <v>6526</v>
      </c>
    </row>
    <row r="768" spans="1:10" x14ac:dyDescent="0.25">
      <c r="A768" t="s">
        <v>6524</v>
      </c>
      <c r="B768">
        <v>2021</v>
      </c>
      <c r="C768" t="s">
        <v>26</v>
      </c>
      <c r="D768" t="b">
        <f>TRUE()</f>
        <v>1</v>
      </c>
      <c r="E768" t="b">
        <f>COUNTIF(connections!A:A, A768) &gt; 0</f>
        <v>0</v>
      </c>
      <c r="F768" t="s">
        <v>6522</v>
      </c>
      <c r="G768" t="s">
        <v>6525</v>
      </c>
      <c r="J768" s="11" t="s">
        <v>6523</v>
      </c>
    </row>
    <row r="769" spans="1:10" x14ac:dyDescent="0.25">
      <c r="A769" t="s">
        <v>2292</v>
      </c>
      <c r="B769">
        <v>2022</v>
      </c>
      <c r="C769" t="s">
        <v>22</v>
      </c>
      <c r="D769" t="b">
        <f>TRUE()</f>
        <v>1</v>
      </c>
      <c r="E769" t="b">
        <f>COUNTIF(connections!A:A, A769) &gt; 0</f>
        <v>0</v>
      </c>
      <c r="F769" t="s">
        <v>6522</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6632</v>
      </c>
      <c r="B773">
        <v>2017</v>
      </c>
      <c r="C773" t="s">
        <v>15</v>
      </c>
      <c r="D773" t="b">
        <f>TRUE()</f>
        <v>1</v>
      </c>
      <c r="E773" t="b">
        <f>COUNTIF(connections!A:A, A773) &gt; 0</f>
        <v>0</v>
      </c>
      <c r="G773" t="s">
        <v>6633</v>
      </c>
      <c r="J773" s="11" t="s">
        <v>6634</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6563</v>
      </c>
      <c r="B778">
        <v>2017</v>
      </c>
      <c r="C778" t="s">
        <v>15</v>
      </c>
      <c r="D778" t="b">
        <f>TRUE()</f>
        <v>1</v>
      </c>
      <c r="E778" t="b">
        <f>COUNTIF(connections!A:A, A778) &gt; 0</f>
        <v>0</v>
      </c>
      <c r="G778" t="s">
        <v>6564</v>
      </c>
      <c r="J778" s="11" t="s">
        <v>6565</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6904</v>
      </c>
      <c r="B806">
        <v>1998</v>
      </c>
      <c r="C806" t="s">
        <v>26</v>
      </c>
      <c r="D806" t="b">
        <f>TRUE()</f>
        <v>1</v>
      </c>
      <c r="E806" t="b">
        <f>COUNTIF(connections!A:A, A806) &gt; 0</f>
        <v>0</v>
      </c>
      <c r="G806" t="s">
        <v>6905</v>
      </c>
      <c r="H806" t="s">
        <v>70</v>
      </c>
      <c r="I806" t="s">
        <v>6906</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6394</v>
      </c>
      <c r="B817">
        <v>2020</v>
      </c>
      <c r="C817" t="s">
        <v>15</v>
      </c>
      <c r="D817" t="b">
        <f>FALSE()</f>
        <v>0</v>
      </c>
      <c r="E817" t="b">
        <f>COUNTIF(connections!A:A, A817) &gt; 0</f>
        <v>1</v>
      </c>
      <c r="G817" t="s">
        <v>6395</v>
      </c>
      <c r="J817" s="11" t="s">
        <v>6396</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6829</v>
      </c>
      <c r="B834">
        <v>2026</v>
      </c>
      <c r="C834" t="s">
        <v>22</v>
      </c>
      <c r="D834" t="b">
        <f>TRUE()</f>
        <v>1</v>
      </c>
      <c r="E834" t="b">
        <f>COUNTIF(connections!A:A, A834) &gt; 0</f>
        <v>0</v>
      </c>
      <c r="G834" t="s">
        <v>6830</v>
      </c>
      <c r="J834" s="11" t="s">
        <v>6831</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6917</v>
      </c>
      <c r="J839" s="11" t="s">
        <v>6502</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6315</v>
      </c>
      <c r="B846">
        <v>2026</v>
      </c>
      <c r="C846" t="s">
        <v>22</v>
      </c>
      <c r="D846" t="b">
        <f>TRUE()</f>
        <v>1</v>
      </c>
      <c r="E846" t="b">
        <f>COUNTIF(connections!A:A, A846) &gt; 0</f>
        <v>0</v>
      </c>
      <c r="G846" t="s">
        <v>6316</v>
      </c>
      <c r="J846" s="11" t="s">
        <v>6317</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06" sqref="B120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6529</v>
      </c>
      <c r="C10">
        <v>1994</v>
      </c>
      <c r="E10" s="11" t="s">
        <v>6532</v>
      </c>
    </row>
    <row r="11" spans="1:5" ht="15" customHeight="1" x14ac:dyDescent="0.25">
      <c r="A11" t="s">
        <v>131</v>
      </c>
      <c r="B11" t="s">
        <v>773</v>
      </c>
      <c r="C11">
        <v>1994</v>
      </c>
      <c r="E11" s="11" t="s">
        <v>6436</v>
      </c>
    </row>
    <row r="12" spans="1:5" ht="15" customHeight="1" x14ac:dyDescent="0.25">
      <c r="A12" t="s">
        <v>131</v>
      </c>
      <c r="B12" t="s">
        <v>809</v>
      </c>
      <c r="C12">
        <v>1994</v>
      </c>
      <c r="E12" s="1"/>
    </row>
    <row r="13" spans="1:5" ht="15" customHeight="1" x14ac:dyDescent="0.25">
      <c r="A13" t="s">
        <v>131</v>
      </c>
      <c r="B13" t="s">
        <v>6439</v>
      </c>
      <c r="C13">
        <v>1994</v>
      </c>
      <c r="E13" s="11" t="s">
        <v>6442</v>
      </c>
    </row>
    <row r="14" spans="1:5" ht="15" customHeight="1" x14ac:dyDescent="0.25">
      <c r="A14" t="s">
        <v>131</v>
      </c>
      <c r="B14" t="s">
        <v>940</v>
      </c>
      <c r="C14">
        <v>1994</v>
      </c>
      <c r="E14" s="11" t="s">
        <v>2522</v>
      </c>
    </row>
    <row r="15" spans="1:5" ht="15" customHeight="1" x14ac:dyDescent="0.25">
      <c r="A15" t="s">
        <v>131</v>
      </c>
      <c r="B15" t="s">
        <v>6420</v>
      </c>
      <c r="C15">
        <v>1994</v>
      </c>
      <c r="E15" s="11" t="s">
        <v>6423</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6424</v>
      </c>
    </row>
    <row r="21" spans="1:5" ht="15" customHeight="1" x14ac:dyDescent="0.25">
      <c r="A21" t="s">
        <v>131</v>
      </c>
      <c r="B21" t="s">
        <v>1800</v>
      </c>
      <c r="C21">
        <v>1994</v>
      </c>
      <c r="E21" s="1" t="s">
        <v>2525</v>
      </c>
    </row>
    <row r="22" spans="1:5" ht="15" customHeight="1" x14ac:dyDescent="0.25">
      <c r="A22" t="s">
        <v>131</v>
      </c>
      <c r="B22" t="s">
        <v>6550</v>
      </c>
      <c r="C22">
        <v>1994</v>
      </c>
      <c r="E22" s="11" t="s">
        <v>6552</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6443</v>
      </c>
      <c r="C27">
        <v>1990</v>
      </c>
      <c r="E27" s="11" t="s">
        <v>6447</v>
      </c>
    </row>
    <row r="28" spans="1:5" ht="15" customHeight="1" x14ac:dyDescent="0.25">
      <c r="A28" t="s">
        <v>135</v>
      </c>
      <c r="B28" t="s">
        <v>6529</v>
      </c>
      <c r="C28">
        <v>1990</v>
      </c>
      <c r="E28" s="11" t="s">
        <v>6533</v>
      </c>
    </row>
    <row r="29" spans="1:5" ht="15" customHeight="1" x14ac:dyDescent="0.25">
      <c r="A29" t="s">
        <v>135</v>
      </c>
      <c r="B29" t="s">
        <v>6426</v>
      </c>
      <c r="C29">
        <v>1990</v>
      </c>
      <c r="E29" s="11" t="s">
        <v>6428</v>
      </c>
    </row>
    <row r="30" spans="1:5" ht="15" customHeight="1" x14ac:dyDescent="0.25">
      <c r="A30" t="s">
        <v>135</v>
      </c>
      <c r="B30" t="s">
        <v>773</v>
      </c>
      <c r="C30">
        <v>1990</v>
      </c>
      <c r="E30" s="11" t="s">
        <v>6436</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6424</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6348</v>
      </c>
      <c r="C62">
        <v>2023</v>
      </c>
      <c r="E62" s="11" t="s">
        <v>6347</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6319</v>
      </c>
      <c r="C88">
        <v>2023</v>
      </c>
      <c r="E88" s="11" t="s">
        <v>6322</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6462</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6315</v>
      </c>
      <c r="C100">
        <v>2023</v>
      </c>
      <c r="E100" s="11" t="s">
        <v>6318</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6435</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6450</v>
      </c>
      <c r="C117">
        <v>2009</v>
      </c>
      <c r="E117" s="11" t="s">
        <v>6453</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6351</v>
      </c>
      <c r="C121">
        <v>2022</v>
      </c>
      <c r="E121" s="11" t="s">
        <v>6357</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6413</v>
      </c>
      <c r="C128">
        <v>2022</v>
      </c>
      <c r="E128" s="11" t="s">
        <v>6412</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6443</v>
      </c>
      <c r="B132" t="s">
        <v>6444</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6455</v>
      </c>
      <c r="C138">
        <v>2015</v>
      </c>
      <c r="E138" s="11" t="s">
        <v>6457</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6398</v>
      </c>
      <c r="B142" t="s">
        <v>6400</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6398</v>
      </c>
      <c r="C154">
        <v>2015</v>
      </c>
      <c r="E154" s="11" t="s">
        <v>6397</v>
      </c>
    </row>
    <row r="155" spans="1:5" ht="15" customHeight="1" x14ac:dyDescent="0.25">
      <c r="A155" t="s">
        <v>519</v>
      </c>
      <c r="B155" t="s">
        <v>636</v>
      </c>
      <c r="C155">
        <v>2015</v>
      </c>
      <c r="E155" s="1" t="s">
        <v>2591</v>
      </c>
    </row>
    <row r="156" spans="1:5" ht="15" customHeight="1" x14ac:dyDescent="0.25">
      <c r="A156" t="s">
        <v>519</v>
      </c>
      <c r="B156" t="s">
        <v>6493</v>
      </c>
      <c r="C156">
        <v>2015</v>
      </c>
      <c r="E156" t="s">
        <v>2519</v>
      </c>
    </row>
    <row r="157" spans="1:5" ht="15" customHeight="1" x14ac:dyDescent="0.25">
      <c r="A157" t="s">
        <v>519</v>
      </c>
      <c r="B157" t="s">
        <v>6420</v>
      </c>
      <c r="C157">
        <v>2015</v>
      </c>
      <c r="E157" s="11" t="s">
        <v>6423</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6352</v>
      </c>
      <c r="B162" t="s">
        <v>1698</v>
      </c>
      <c r="C162">
        <v>2024</v>
      </c>
      <c r="E162" s="11" t="s">
        <v>6357</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6542</v>
      </c>
      <c r="C177">
        <v>2015</v>
      </c>
      <c r="E177" s="11" t="s">
        <v>6541</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6363</v>
      </c>
      <c r="C189">
        <v>2022</v>
      </c>
      <c r="E189" s="11" t="s">
        <v>6364</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6426</v>
      </c>
      <c r="B224" t="s">
        <v>312</v>
      </c>
      <c r="C224">
        <v>1996</v>
      </c>
      <c r="E224" s="11" t="s">
        <v>6434</v>
      </c>
    </row>
    <row r="225" spans="1:5" ht="15" customHeight="1" x14ac:dyDescent="0.25">
      <c r="A225" t="s">
        <v>6426</v>
      </c>
      <c r="B225" t="s">
        <v>6443</v>
      </c>
      <c r="C225">
        <v>1996</v>
      </c>
      <c r="E225" s="11" t="s">
        <v>6447</v>
      </c>
    </row>
    <row r="226" spans="1:5" ht="15" customHeight="1" x14ac:dyDescent="0.25">
      <c r="A226" t="s">
        <v>6426</v>
      </c>
      <c r="B226" t="s">
        <v>593</v>
      </c>
      <c r="C226">
        <v>1996</v>
      </c>
      <c r="E226" s="11" t="s">
        <v>6431</v>
      </c>
    </row>
    <row r="227" spans="1:5" ht="15" customHeight="1" x14ac:dyDescent="0.25">
      <c r="A227" t="s">
        <v>6426</v>
      </c>
      <c r="B227" t="s">
        <v>773</v>
      </c>
      <c r="C227">
        <v>1996</v>
      </c>
      <c r="E227" s="11" t="s">
        <v>2580</v>
      </c>
    </row>
    <row r="228" spans="1:5" ht="15" customHeight="1" x14ac:dyDescent="0.25">
      <c r="A228" t="s">
        <v>6426</v>
      </c>
      <c r="B228" t="s">
        <v>832</v>
      </c>
      <c r="C228">
        <v>1996</v>
      </c>
      <c r="E228" s="11" t="s">
        <v>6435</v>
      </c>
    </row>
    <row r="229" spans="1:5" ht="15" customHeight="1" x14ac:dyDescent="0.25">
      <c r="A229" t="s">
        <v>6426</v>
      </c>
      <c r="B229" t="s">
        <v>1052</v>
      </c>
      <c r="C229">
        <v>1996</v>
      </c>
      <c r="E229" s="11" t="s">
        <v>6430</v>
      </c>
    </row>
    <row r="230" spans="1:5" ht="15" customHeight="1" x14ac:dyDescent="0.25">
      <c r="A230" t="s">
        <v>6426</v>
      </c>
      <c r="B230" t="s">
        <v>1094</v>
      </c>
      <c r="C230">
        <v>1996</v>
      </c>
      <c r="E230" s="11" t="s">
        <v>6438</v>
      </c>
    </row>
    <row r="231" spans="1:5" ht="15" customHeight="1" x14ac:dyDescent="0.25">
      <c r="A231" t="s">
        <v>6426</v>
      </c>
      <c r="B231" t="s">
        <v>1189</v>
      </c>
      <c r="C231">
        <v>1996</v>
      </c>
      <c r="E231" s="11" t="s">
        <v>2625</v>
      </c>
    </row>
    <row r="232" spans="1:5" ht="15" customHeight="1" x14ac:dyDescent="0.25">
      <c r="A232" t="s">
        <v>6426</v>
      </c>
      <c r="B232" t="s">
        <v>1242</v>
      </c>
      <c r="C232">
        <v>1996</v>
      </c>
      <c r="E232" s="11" t="s">
        <v>6432</v>
      </c>
    </row>
    <row r="233" spans="1:5" ht="15" customHeight="1" x14ac:dyDescent="0.25">
      <c r="A233" t="s">
        <v>6426</v>
      </c>
      <c r="B233" t="s">
        <v>1677</v>
      </c>
      <c r="C233">
        <v>1996</v>
      </c>
      <c r="E233" s="11" t="s">
        <v>6424</v>
      </c>
    </row>
    <row r="234" spans="1:5" ht="15" customHeight="1" x14ac:dyDescent="0.25">
      <c r="A234" t="s">
        <v>6426</v>
      </c>
      <c r="B234" t="s">
        <v>1747</v>
      </c>
      <c r="C234">
        <v>1996</v>
      </c>
      <c r="E234" s="11" t="s">
        <v>6437</v>
      </c>
    </row>
    <row r="235" spans="1:5" ht="15" customHeight="1" x14ac:dyDescent="0.25">
      <c r="A235" t="s">
        <v>6426</v>
      </c>
      <c r="B235" t="s">
        <v>2130</v>
      </c>
      <c r="C235">
        <v>1996</v>
      </c>
      <c r="E235" s="11" t="s">
        <v>6429</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6443</v>
      </c>
      <c r="C252">
        <v>2002</v>
      </c>
      <c r="E252" s="11" t="s">
        <v>6449</v>
      </c>
    </row>
    <row r="253" spans="1:5" ht="15" customHeight="1" x14ac:dyDescent="0.25">
      <c r="A253" t="s">
        <v>724</v>
      </c>
      <c r="B253" t="s">
        <v>376</v>
      </c>
      <c r="C253">
        <v>2002</v>
      </c>
      <c r="E253" s="1" t="s">
        <v>2636</v>
      </c>
    </row>
    <row r="254" spans="1:5" ht="15" customHeight="1" x14ac:dyDescent="0.25">
      <c r="A254" t="s">
        <v>724</v>
      </c>
      <c r="B254" t="s">
        <v>773</v>
      </c>
      <c r="C254">
        <v>2002</v>
      </c>
      <c r="E254" s="11" t="s">
        <v>6436</v>
      </c>
    </row>
    <row r="255" spans="1:5" ht="15" customHeight="1" x14ac:dyDescent="0.25">
      <c r="A255" t="s">
        <v>724</v>
      </c>
      <c r="B255" t="s">
        <v>6439</v>
      </c>
      <c r="C255">
        <v>2002</v>
      </c>
      <c r="E255" s="11" t="s">
        <v>6442</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6450</v>
      </c>
      <c r="C259">
        <v>2002</v>
      </c>
      <c r="E259" s="11" t="s">
        <v>6453</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6563</v>
      </c>
      <c r="C270">
        <v>2015</v>
      </c>
      <c r="E270" s="11" t="s">
        <v>6566</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6437</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6463</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6436</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6568</v>
      </c>
      <c r="C301">
        <v>2025</v>
      </c>
      <c r="E301" s="11" t="s">
        <v>6567</v>
      </c>
    </row>
    <row r="302" spans="1:5" ht="15" customHeight="1" x14ac:dyDescent="0.25">
      <c r="A302" t="s">
        <v>809</v>
      </c>
      <c r="B302" t="s">
        <v>773</v>
      </c>
      <c r="C302">
        <v>2008</v>
      </c>
      <c r="E302" s="11" t="s">
        <v>6436</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6580</v>
      </c>
      <c r="B334" t="s">
        <v>6584</v>
      </c>
      <c r="C334">
        <v>2020</v>
      </c>
      <c r="D334" t="s">
        <v>70</v>
      </c>
    </row>
    <row r="335" spans="1:5" ht="15" customHeight="1" x14ac:dyDescent="0.25">
      <c r="A335" t="s">
        <v>902</v>
      </c>
      <c r="B335" t="s">
        <v>663</v>
      </c>
      <c r="C335">
        <v>2022</v>
      </c>
      <c r="E335" t="s">
        <v>2519</v>
      </c>
    </row>
    <row r="336" spans="1:5" ht="15" customHeight="1" x14ac:dyDescent="0.25">
      <c r="A336" t="s">
        <v>914</v>
      </c>
      <c r="B336" t="s">
        <v>6534</v>
      </c>
      <c r="C336">
        <v>2012</v>
      </c>
      <c r="E336" s="11" t="s">
        <v>6537</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6580</v>
      </c>
      <c r="C347">
        <v>2012</v>
      </c>
      <c r="E347" s="11" t="s">
        <v>6579</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6467</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6508</v>
      </c>
      <c r="B371" t="s">
        <v>6512</v>
      </c>
      <c r="C371">
        <v>2010</v>
      </c>
      <c r="D371" t="s">
        <v>70</v>
      </c>
    </row>
    <row r="372" spans="1:5" ht="15" customHeight="1" x14ac:dyDescent="0.25">
      <c r="A372" t="s">
        <v>6508</v>
      </c>
      <c r="B372" t="s">
        <v>6518</v>
      </c>
      <c r="C372">
        <v>2010</v>
      </c>
      <c r="D372" t="s">
        <v>70</v>
      </c>
    </row>
    <row r="373" spans="1:5" ht="15" customHeight="1" x14ac:dyDescent="0.25">
      <c r="A373" t="s">
        <v>6508</v>
      </c>
      <c r="B373" t="s">
        <v>6514</v>
      </c>
      <c r="C373">
        <v>2010</v>
      </c>
      <c r="D373" t="s">
        <v>70</v>
      </c>
    </row>
    <row r="374" spans="1:5" ht="15" customHeight="1" x14ac:dyDescent="0.25">
      <c r="A374" t="s">
        <v>6508</v>
      </c>
      <c r="B374" t="s">
        <v>6510</v>
      </c>
      <c r="C374">
        <v>2010</v>
      </c>
      <c r="D374" t="s">
        <v>70</v>
      </c>
    </row>
    <row r="375" spans="1:5" ht="15" customHeight="1" x14ac:dyDescent="0.25">
      <c r="A375" t="s">
        <v>6516</v>
      </c>
      <c r="B375" t="s">
        <v>6527</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6493</v>
      </c>
      <c r="B382" t="s">
        <v>6495</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6348</v>
      </c>
      <c r="C400">
        <v>2019</v>
      </c>
      <c r="E400" s="11" t="s">
        <v>6347</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6389</v>
      </c>
      <c r="C417">
        <v>2019</v>
      </c>
      <c r="E417" s="11" t="s">
        <v>6388</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6554</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6568</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6389</v>
      </c>
      <c r="C441">
        <v>2023</v>
      </c>
      <c r="E441" s="11" t="s">
        <v>6390</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6420</v>
      </c>
      <c r="C448">
        <v>2013</v>
      </c>
      <c r="E448" s="11" t="s">
        <v>6423</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6348</v>
      </c>
      <c r="C452">
        <v>2021</v>
      </c>
      <c r="E452" s="11" t="s">
        <v>6347</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6584</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6368</v>
      </c>
      <c r="C465">
        <v>2018</v>
      </c>
      <c r="E465" s="11" t="s">
        <v>6367</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6472</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6439</v>
      </c>
      <c r="C485">
        <v>1995</v>
      </c>
      <c r="E485" s="11" t="s">
        <v>6442</v>
      </c>
    </row>
    <row r="486" spans="1:5" ht="15" customHeight="1" x14ac:dyDescent="0.25">
      <c r="A486" t="s">
        <v>1260</v>
      </c>
      <c r="B486" t="s">
        <v>1677</v>
      </c>
      <c r="C486">
        <v>1995</v>
      </c>
      <c r="E486" s="11" t="s">
        <v>6424</v>
      </c>
    </row>
    <row r="487" spans="1:5" ht="15" customHeight="1" x14ac:dyDescent="0.25">
      <c r="A487" t="s">
        <v>1260</v>
      </c>
      <c r="B487" t="s">
        <v>2086</v>
      </c>
      <c r="C487">
        <v>1995</v>
      </c>
      <c r="E487" s="1" t="s">
        <v>2729</v>
      </c>
    </row>
    <row r="488" spans="1:5" ht="15" customHeight="1" x14ac:dyDescent="0.25">
      <c r="A488" t="s">
        <v>1271</v>
      </c>
      <c r="B488" t="s">
        <v>6499</v>
      </c>
      <c r="C488">
        <v>2021</v>
      </c>
      <c r="E488" s="11" t="s">
        <v>6501</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6352</v>
      </c>
      <c r="C499">
        <v>2021</v>
      </c>
      <c r="E499" s="11" t="s">
        <v>6358</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6520</v>
      </c>
      <c r="B514" t="s">
        <v>6524</v>
      </c>
      <c r="C514">
        <v>2012</v>
      </c>
      <c r="D514" t="s">
        <v>70</v>
      </c>
    </row>
    <row r="515" spans="1:5" ht="15" customHeight="1" x14ac:dyDescent="0.25">
      <c r="A515" t="s">
        <v>6518</v>
      </c>
      <c r="B515" t="s">
        <v>6516</v>
      </c>
      <c r="C515">
        <v>2011</v>
      </c>
      <c r="D515" t="s">
        <v>70</v>
      </c>
    </row>
    <row r="516" spans="1:5" ht="15" customHeight="1" x14ac:dyDescent="0.25">
      <c r="A516" t="s">
        <v>6518</v>
      </c>
      <c r="B516" t="s">
        <v>6520</v>
      </c>
      <c r="C516">
        <v>2011</v>
      </c>
      <c r="D516" t="s">
        <v>70</v>
      </c>
    </row>
    <row r="517" spans="1:5" ht="15" customHeight="1" x14ac:dyDescent="0.25">
      <c r="A517" t="s">
        <v>6475</v>
      </c>
      <c r="B517" t="s">
        <v>6472</v>
      </c>
      <c r="C517">
        <v>2002</v>
      </c>
      <c r="E517" t="s">
        <v>2519</v>
      </c>
    </row>
    <row r="518" spans="1:5" ht="15" customHeight="1" x14ac:dyDescent="0.25">
      <c r="A518" t="s">
        <v>6475</v>
      </c>
      <c r="B518" t="s">
        <v>6477</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6323</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6426</v>
      </c>
      <c r="C534">
        <v>1983</v>
      </c>
      <c r="E534" s="11" t="s">
        <v>6428</v>
      </c>
    </row>
    <row r="535" spans="1:5" ht="15" customHeight="1" x14ac:dyDescent="0.25">
      <c r="A535" t="s">
        <v>1421</v>
      </c>
      <c r="B535" t="s">
        <v>1677</v>
      </c>
      <c r="C535">
        <v>1983</v>
      </c>
      <c r="E535" s="11" t="s">
        <v>6424</v>
      </c>
    </row>
    <row r="536" spans="1:5" ht="15" customHeight="1" x14ac:dyDescent="0.25">
      <c r="A536" t="s">
        <v>1434</v>
      </c>
      <c r="B536" t="s">
        <v>1438</v>
      </c>
      <c r="C536">
        <v>2018</v>
      </c>
      <c r="D536" t="s">
        <v>70</v>
      </c>
      <c r="E536" s="1"/>
    </row>
    <row r="537" spans="1:5" ht="15" customHeight="1" x14ac:dyDescent="0.25">
      <c r="A537" t="s">
        <v>6514</v>
      </c>
      <c r="B537" t="s">
        <v>6516</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6472</v>
      </c>
      <c r="C540">
        <v>1995</v>
      </c>
      <c r="E540" t="s">
        <v>2519</v>
      </c>
    </row>
    <row r="541" spans="1:5" ht="15" customHeight="1" x14ac:dyDescent="0.25">
      <c r="A541" t="s">
        <v>1452</v>
      </c>
      <c r="B541" t="s">
        <v>1129</v>
      </c>
      <c r="C541">
        <v>1995</v>
      </c>
      <c r="E541" s="1" t="s">
        <v>2741</v>
      </c>
    </row>
    <row r="542" spans="1:5" ht="15" customHeight="1" x14ac:dyDescent="0.25">
      <c r="A542" t="s">
        <v>1452</v>
      </c>
      <c r="B542" t="s">
        <v>6331</v>
      </c>
      <c r="C542">
        <v>1995</v>
      </c>
      <c r="E542" s="11" t="s">
        <v>6329</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6426</v>
      </c>
      <c r="C551">
        <v>1987</v>
      </c>
      <c r="E551" s="11" t="s">
        <v>6428</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6439</v>
      </c>
      <c r="C556">
        <v>1987</v>
      </c>
      <c r="E556" s="11" t="s">
        <v>6442</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6420</v>
      </c>
      <c r="C559">
        <v>1987</v>
      </c>
      <c r="E559" s="11" t="s">
        <v>6423</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6437</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6550</v>
      </c>
      <c r="C605">
        <v>1987</v>
      </c>
      <c r="E605" s="11" t="s">
        <v>6552</v>
      </c>
    </row>
    <row r="606" spans="1:5" ht="15" customHeight="1" x14ac:dyDescent="0.25">
      <c r="A606" t="s">
        <v>1558</v>
      </c>
      <c r="B606" t="s">
        <v>2344</v>
      </c>
      <c r="C606">
        <v>1987</v>
      </c>
      <c r="E606" s="1" t="s">
        <v>2758</v>
      </c>
    </row>
    <row r="607" spans="1:5" ht="15" customHeight="1" x14ac:dyDescent="0.25">
      <c r="A607" t="s">
        <v>6486</v>
      </c>
      <c r="B607" t="s">
        <v>6488</v>
      </c>
      <c r="C607">
        <v>2015</v>
      </c>
      <c r="D607" t="s">
        <v>70</v>
      </c>
    </row>
    <row r="608" spans="1:5" ht="15" customHeight="1" x14ac:dyDescent="0.25">
      <c r="A608" t="s">
        <v>6488</v>
      </c>
      <c r="B608" t="s">
        <v>6489</v>
      </c>
      <c r="C608">
        <v>2017</v>
      </c>
      <c r="D608" t="s">
        <v>70</v>
      </c>
    </row>
    <row r="609" spans="1:5" ht="15" customHeight="1" x14ac:dyDescent="0.25">
      <c r="A609" t="s">
        <v>6331</v>
      </c>
      <c r="B609" t="s">
        <v>6334</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6359</v>
      </c>
      <c r="C614">
        <v>2022</v>
      </c>
      <c r="E614" s="11" t="s">
        <v>6360</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6433</v>
      </c>
    </row>
    <row r="632" spans="1:5" ht="15" customHeight="1" x14ac:dyDescent="0.25">
      <c r="A632" t="s">
        <v>1706</v>
      </c>
      <c r="B632" t="s">
        <v>6420</v>
      </c>
      <c r="C632">
        <v>1992</v>
      </c>
      <c r="E632" s="11" t="s">
        <v>6423</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6573</v>
      </c>
      <c r="C636">
        <v>2023</v>
      </c>
      <c r="E636" s="11" t="s">
        <v>6572</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6568</v>
      </c>
      <c r="C659">
        <v>2020</v>
      </c>
      <c r="E659" t="s">
        <v>2519</v>
      </c>
    </row>
    <row r="660" spans="1:5" ht="15" customHeight="1" x14ac:dyDescent="0.25">
      <c r="A660" t="s">
        <v>1776</v>
      </c>
      <c r="B660" t="s">
        <v>6413</v>
      </c>
      <c r="C660">
        <v>2020</v>
      </c>
      <c r="E660" s="11" t="s">
        <v>6412</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6420</v>
      </c>
      <c r="C675">
        <v>1980</v>
      </c>
      <c r="E675" s="11" t="s">
        <v>6423</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6455</v>
      </c>
      <c r="C682">
        <v>1980</v>
      </c>
      <c r="E682" s="11" t="s">
        <v>6454</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6398</v>
      </c>
      <c r="C716">
        <v>2022</v>
      </c>
      <c r="E716" s="11" t="s">
        <v>6397</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6348</v>
      </c>
      <c r="C736">
        <v>2017</v>
      </c>
      <c r="E736" s="11" t="s">
        <v>6347</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6398</v>
      </c>
      <c r="C743">
        <v>2017</v>
      </c>
      <c r="E743" s="11" t="s">
        <v>6399</v>
      </c>
    </row>
    <row r="744" spans="1:5" ht="15" customHeight="1" x14ac:dyDescent="0.25">
      <c r="A744" t="s">
        <v>1954</v>
      </c>
      <c r="B744" t="s">
        <v>434</v>
      </c>
      <c r="C744">
        <v>2017</v>
      </c>
      <c r="E744" s="1" t="s">
        <v>2519</v>
      </c>
    </row>
    <row r="745" spans="1:5" ht="15" customHeight="1" x14ac:dyDescent="0.25">
      <c r="A745" t="s">
        <v>1954</v>
      </c>
      <c r="B745" t="s">
        <v>6351</v>
      </c>
      <c r="C745">
        <v>2017</v>
      </c>
      <c r="E745" s="11" t="s">
        <v>6357</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6580</v>
      </c>
      <c r="C770">
        <v>2017</v>
      </c>
      <c r="E770" s="11" t="s">
        <v>6579</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6389</v>
      </c>
      <c r="C775">
        <v>2017</v>
      </c>
      <c r="E775" s="11" t="s">
        <v>6391</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6577</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6319</v>
      </c>
      <c r="C813">
        <v>2017</v>
      </c>
      <c r="E813" s="11" t="s">
        <v>6322</v>
      </c>
    </row>
    <row r="814" spans="1:5" ht="15" customHeight="1" x14ac:dyDescent="0.25">
      <c r="A814" t="s">
        <v>1954</v>
      </c>
      <c r="B814" t="s">
        <v>6499</v>
      </c>
      <c r="C814">
        <v>2017</v>
      </c>
      <c r="E814" s="11" t="s">
        <v>6501</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6455</v>
      </c>
      <c r="C882">
        <v>2008</v>
      </c>
      <c r="E882" s="11" t="s">
        <v>6454</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6459</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6563</v>
      </c>
      <c r="C892">
        <v>2008</v>
      </c>
      <c r="E892" s="11" t="s">
        <v>6566</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6435</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6464</v>
      </c>
      <c r="B913" t="s">
        <v>1827</v>
      </c>
      <c r="C913">
        <v>1982</v>
      </c>
      <c r="E913" s="11" t="s">
        <v>6463</v>
      </c>
    </row>
    <row r="914" spans="1:5" ht="15" customHeight="1" x14ac:dyDescent="0.25">
      <c r="A914" t="s">
        <v>2143</v>
      </c>
      <c r="B914" t="s">
        <v>2141</v>
      </c>
      <c r="C914">
        <v>2018</v>
      </c>
      <c r="D914" t="s">
        <v>70</v>
      </c>
      <c r="E914" s="1"/>
    </row>
    <row r="915" spans="1:5" ht="15" customHeight="1" x14ac:dyDescent="0.25">
      <c r="A915" t="s">
        <v>2158</v>
      </c>
      <c r="B915" t="s">
        <v>6443</v>
      </c>
      <c r="C915">
        <v>1998</v>
      </c>
      <c r="E915" s="11" t="s">
        <v>6449</v>
      </c>
    </row>
    <row r="916" spans="1:5" ht="15" customHeight="1" x14ac:dyDescent="0.25">
      <c r="A916" t="s">
        <v>2158</v>
      </c>
      <c r="B916" t="s">
        <v>773</v>
      </c>
      <c r="C916">
        <v>1998</v>
      </c>
      <c r="E916" s="11" t="s">
        <v>6436</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6437</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6351</v>
      </c>
      <c r="C938">
        <v>2011</v>
      </c>
      <c r="E938" s="11" t="s">
        <v>6357</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6480</v>
      </c>
      <c r="C951">
        <v>2011</v>
      </c>
      <c r="E951" s="11" t="s">
        <v>6479</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6504</v>
      </c>
      <c r="C972">
        <v>2011</v>
      </c>
      <c r="E972" s="11" t="s">
        <v>6503</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6563</v>
      </c>
      <c r="C989">
        <v>2011</v>
      </c>
      <c r="E989" s="11" t="s">
        <v>6566</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6508</v>
      </c>
      <c r="C1000">
        <v>1999</v>
      </c>
      <c r="E1000" s="11" t="s">
        <v>6507</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6472</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6484</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6475</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6486</v>
      </c>
      <c r="C1017">
        <v>1993</v>
      </c>
      <c r="D1017" t="s">
        <v>70</v>
      </c>
    </row>
    <row r="1018" spans="1:5" x14ac:dyDescent="0.25">
      <c r="A1018" t="s">
        <v>2286</v>
      </c>
      <c r="B1018" t="s">
        <v>6331</v>
      </c>
      <c r="C1018">
        <v>1993</v>
      </c>
      <c r="E1018" s="11" t="s">
        <v>6329</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6469</v>
      </c>
      <c r="C1021">
        <v>1993</v>
      </c>
      <c r="E1021" s="11" t="s">
        <v>6468</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6405</v>
      </c>
      <c r="C1038">
        <v>2021</v>
      </c>
      <c r="E1038" s="11" t="s">
        <v>2538</v>
      </c>
    </row>
    <row r="1039" spans="1:5" x14ac:dyDescent="0.25">
      <c r="A1039" t="s">
        <v>2356</v>
      </c>
      <c r="B1039" t="s">
        <v>6348</v>
      </c>
      <c r="C1039">
        <v>2021</v>
      </c>
      <c r="E1039" s="11" t="s">
        <v>6347</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6398</v>
      </c>
      <c r="C1045">
        <v>2021</v>
      </c>
      <c r="E1045" s="11" t="s">
        <v>6397</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6573</v>
      </c>
      <c r="C1048">
        <v>2021</v>
      </c>
      <c r="E1048" s="11" t="s">
        <v>6571</v>
      </c>
    </row>
    <row r="1049" spans="1:5" x14ac:dyDescent="0.25">
      <c r="A1049" t="s">
        <v>2356</v>
      </c>
      <c r="B1049" t="s">
        <v>593</v>
      </c>
      <c r="C1049">
        <v>2021</v>
      </c>
      <c r="E1049" s="11" t="s">
        <v>6431</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6416</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6389</v>
      </c>
      <c r="C1062">
        <v>2021</v>
      </c>
      <c r="E1062" s="11" t="s">
        <v>6390</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6409</v>
      </c>
      <c r="C1104">
        <v>2021</v>
      </c>
      <c r="E1104" s="11" t="s">
        <v>6408</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6394</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6547</v>
      </c>
      <c r="C1129">
        <v>1994</v>
      </c>
      <c r="E1129" s="11" t="s">
        <v>6549</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6614</v>
      </c>
      <c r="C1135">
        <v>2017</v>
      </c>
      <c r="E1135" s="11" t="s">
        <v>6615</v>
      </c>
    </row>
    <row r="1136" spans="1:5" x14ac:dyDescent="0.25">
      <c r="A1136" t="s">
        <v>1776</v>
      </c>
      <c r="B1136" t="s">
        <v>6573</v>
      </c>
      <c r="C1136">
        <v>2020</v>
      </c>
      <c r="E1136" s="11" t="s">
        <v>6618</v>
      </c>
    </row>
    <row r="1137" spans="1:5" x14ac:dyDescent="0.25">
      <c r="A1137" t="s">
        <v>6426</v>
      </c>
      <c r="B1137" t="s">
        <v>6573</v>
      </c>
      <c r="C1137">
        <v>1996</v>
      </c>
      <c r="E1137" s="11" t="s">
        <v>6618</v>
      </c>
    </row>
    <row r="1138" spans="1:5" x14ac:dyDescent="0.25">
      <c r="A1138" t="s">
        <v>1954</v>
      </c>
      <c r="B1138" t="s">
        <v>1970</v>
      </c>
      <c r="C1138">
        <v>2017</v>
      </c>
      <c r="E1138" s="11" t="s">
        <v>6619</v>
      </c>
    </row>
    <row r="1139" spans="1:5" x14ac:dyDescent="0.25">
      <c r="A1139" t="s">
        <v>1295</v>
      </c>
      <c r="B1139" t="s">
        <v>1970</v>
      </c>
      <c r="C1139">
        <v>2021</v>
      </c>
      <c r="E1139" s="11" t="s">
        <v>6619</v>
      </c>
    </row>
    <row r="1140" spans="1:5" x14ac:dyDescent="0.25">
      <c r="A1140" t="s">
        <v>1452</v>
      </c>
      <c r="B1140" t="s">
        <v>1970</v>
      </c>
      <c r="C1140">
        <v>1995</v>
      </c>
      <c r="E1140" s="11" t="s">
        <v>6619</v>
      </c>
    </row>
    <row r="1141" spans="1:5" x14ac:dyDescent="0.25">
      <c r="A1141" t="s">
        <v>6620</v>
      </c>
      <c r="B1141" t="s">
        <v>1970</v>
      </c>
      <c r="C1141">
        <v>2023</v>
      </c>
      <c r="E1141" s="11" t="s">
        <v>6619</v>
      </c>
    </row>
    <row r="1142" spans="1:5" x14ac:dyDescent="0.25">
      <c r="A1142" t="s">
        <v>651</v>
      </c>
      <c r="B1142" t="s">
        <v>6620</v>
      </c>
      <c r="C1142">
        <v>2010</v>
      </c>
      <c r="E1142" s="11" t="s">
        <v>6623</v>
      </c>
    </row>
    <row r="1143" spans="1:5" x14ac:dyDescent="0.25">
      <c r="A1143" t="s">
        <v>1897</v>
      </c>
      <c r="B1143" t="s">
        <v>6620</v>
      </c>
      <c r="C1143">
        <v>2014</v>
      </c>
      <c r="E1143" s="11" t="s">
        <v>6623</v>
      </c>
    </row>
    <row r="1144" spans="1:5" x14ac:dyDescent="0.25">
      <c r="A1144" t="s">
        <v>1954</v>
      </c>
      <c r="B1144" t="s">
        <v>6620</v>
      </c>
      <c r="C1144">
        <v>2017</v>
      </c>
      <c r="E1144" s="11" t="s">
        <v>6623</v>
      </c>
    </row>
    <row r="1145" spans="1:5" x14ac:dyDescent="0.25">
      <c r="A1145" t="s">
        <v>213</v>
      </c>
      <c r="B1145" t="s">
        <v>6624</v>
      </c>
      <c r="C1145">
        <v>2023</v>
      </c>
      <c r="E1145" s="11" t="s">
        <v>6627</v>
      </c>
    </row>
    <row r="1146" spans="1:5" x14ac:dyDescent="0.25">
      <c r="A1146" t="s">
        <v>1954</v>
      </c>
      <c r="B1146" t="s">
        <v>6624</v>
      </c>
      <c r="C1146">
        <v>2017</v>
      </c>
      <c r="E1146" s="11" t="s">
        <v>6627</v>
      </c>
    </row>
    <row r="1147" spans="1:5" x14ac:dyDescent="0.25">
      <c r="A1147" t="s">
        <v>1174</v>
      </c>
      <c r="B1147" t="s">
        <v>6628</v>
      </c>
      <c r="C1147">
        <v>2018</v>
      </c>
      <c r="E1147" s="11" t="s">
        <v>6631</v>
      </c>
    </row>
    <row r="1148" spans="1:5" x14ac:dyDescent="0.25">
      <c r="A1148" t="s">
        <v>1389</v>
      </c>
      <c r="B1148" t="s">
        <v>6628</v>
      </c>
      <c r="C1148">
        <v>2020</v>
      </c>
      <c r="E1148" s="11" t="s">
        <v>6631</v>
      </c>
    </row>
    <row r="1149" spans="1:5" x14ac:dyDescent="0.25">
      <c r="A1149" t="s">
        <v>1166</v>
      </c>
      <c r="B1149" t="s">
        <v>6628</v>
      </c>
      <c r="C1149">
        <v>2021</v>
      </c>
      <c r="E1149" s="11" t="s">
        <v>6631</v>
      </c>
    </row>
    <row r="1150" spans="1:5" x14ac:dyDescent="0.25">
      <c r="A1150" t="s">
        <v>1954</v>
      </c>
      <c r="B1150" t="s">
        <v>6628</v>
      </c>
      <c r="C1150">
        <v>2017</v>
      </c>
      <c r="E1150" s="11" t="s">
        <v>6631</v>
      </c>
    </row>
    <row r="1151" spans="1:5" x14ac:dyDescent="0.25">
      <c r="A1151" t="s">
        <v>732</v>
      </c>
      <c r="B1151" t="s">
        <v>6632</v>
      </c>
      <c r="C1151">
        <v>2015</v>
      </c>
      <c r="E1151" s="11" t="s">
        <v>6635</v>
      </c>
    </row>
    <row r="1152" spans="1:5" x14ac:dyDescent="0.25">
      <c r="A1152" t="s">
        <v>2025</v>
      </c>
      <c r="B1152" t="s">
        <v>440</v>
      </c>
      <c r="C1152">
        <v>2008</v>
      </c>
      <c r="E1152" s="11" t="s">
        <v>6636</v>
      </c>
    </row>
    <row r="1153" spans="1:5" x14ac:dyDescent="0.25">
      <c r="A1153" t="s">
        <v>709</v>
      </c>
      <c r="B1153" t="s">
        <v>440</v>
      </c>
      <c r="C1153">
        <v>2022</v>
      </c>
      <c r="E1153" s="11" t="s">
        <v>6636</v>
      </c>
    </row>
    <row r="1154" spans="1:5" x14ac:dyDescent="0.25">
      <c r="A1154" t="s">
        <v>1954</v>
      </c>
      <c r="B1154" t="s">
        <v>6638</v>
      </c>
      <c r="C1154">
        <v>2017</v>
      </c>
      <c r="E1154" s="11" t="s">
        <v>6637</v>
      </c>
    </row>
    <row r="1155" spans="1:5" x14ac:dyDescent="0.25">
      <c r="A1155" t="s">
        <v>1295</v>
      </c>
      <c r="B1155" t="s">
        <v>6638</v>
      </c>
      <c r="C1155">
        <v>2021</v>
      </c>
      <c r="E1155" s="11" t="s">
        <v>6637</v>
      </c>
    </row>
    <row r="1156" spans="1:5" x14ac:dyDescent="0.25">
      <c r="A1156" t="s">
        <v>2102</v>
      </c>
      <c r="B1156" t="s">
        <v>6638</v>
      </c>
      <c r="C1156">
        <v>2021</v>
      </c>
      <c r="E1156" s="11" t="s">
        <v>6637</v>
      </c>
    </row>
    <row r="1157" spans="1:5" x14ac:dyDescent="0.25">
      <c r="A1157" t="s">
        <v>213</v>
      </c>
      <c r="B1157" t="s">
        <v>6638</v>
      </c>
      <c r="C1157">
        <v>2023</v>
      </c>
      <c r="E1157" s="11" t="s">
        <v>6637</v>
      </c>
    </row>
    <row r="1158" spans="1:5" x14ac:dyDescent="0.25">
      <c r="A1158" t="s">
        <v>2102</v>
      </c>
      <c r="B1158" t="s">
        <v>6641</v>
      </c>
      <c r="C1158">
        <v>2021</v>
      </c>
      <c r="E1158" s="11" t="s">
        <v>6644</v>
      </c>
    </row>
    <row r="1159" spans="1:5" x14ac:dyDescent="0.25">
      <c r="A1159" t="s">
        <v>92</v>
      </c>
      <c r="B1159" t="s">
        <v>6641</v>
      </c>
      <c r="C1159">
        <v>2024</v>
      </c>
      <c r="E1159" s="11" t="s">
        <v>6644</v>
      </c>
    </row>
    <row r="1160" spans="1:5" x14ac:dyDescent="0.25">
      <c r="A1160" t="s">
        <v>204</v>
      </c>
      <c r="B1160" t="s">
        <v>6641</v>
      </c>
      <c r="C1160">
        <v>2023</v>
      </c>
      <c r="E1160" s="11" t="s">
        <v>6644</v>
      </c>
    </row>
    <row r="1161" spans="1:5" x14ac:dyDescent="0.25">
      <c r="A1161" t="s">
        <v>2177</v>
      </c>
      <c r="B1161" t="s">
        <v>6641</v>
      </c>
      <c r="C1161">
        <v>2019</v>
      </c>
      <c r="E1161" s="11" t="s">
        <v>6644</v>
      </c>
    </row>
    <row r="1162" spans="1:5" x14ac:dyDescent="0.25">
      <c r="A1162" t="s">
        <v>6641</v>
      </c>
      <c r="B1162" t="s">
        <v>6646</v>
      </c>
      <c r="C1162">
        <v>2025</v>
      </c>
      <c r="D1162" t="s">
        <v>70</v>
      </c>
    </row>
    <row r="1163" spans="1:5" x14ac:dyDescent="0.25">
      <c r="A1163" t="s">
        <v>206</v>
      </c>
      <c r="B1163" t="s">
        <v>6648</v>
      </c>
      <c r="C1163">
        <v>2022</v>
      </c>
      <c r="E1163" s="11" t="s">
        <v>6651</v>
      </c>
    </row>
    <row r="1164" spans="1:5" x14ac:dyDescent="0.25">
      <c r="A1164" t="s">
        <v>1954</v>
      </c>
      <c r="B1164" t="s">
        <v>6648</v>
      </c>
      <c r="C1164">
        <v>2017</v>
      </c>
      <c r="E1164" s="11" t="s">
        <v>6651</v>
      </c>
    </row>
    <row r="1165" spans="1:5" x14ac:dyDescent="0.25">
      <c r="A1165" t="s">
        <v>726</v>
      </c>
      <c r="B1165" t="s">
        <v>2102</v>
      </c>
      <c r="C1165">
        <v>2019</v>
      </c>
      <c r="E1165" s="11" t="s">
        <v>6652</v>
      </c>
    </row>
    <row r="1166" spans="1:5" x14ac:dyDescent="0.25">
      <c r="A1166" t="s">
        <v>577</v>
      </c>
      <c r="B1166" t="s">
        <v>6653</v>
      </c>
      <c r="C1166">
        <v>2018</v>
      </c>
      <c r="E1166" s="11" t="s">
        <v>6656</v>
      </c>
    </row>
    <row r="1167" spans="1:5" x14ac:dyDescent="0.25">
      <c r="A1167" t="s">
        <v>577</v>
      </c>
      <c r="B1167" t="s">
        <v>6658</v>
      </c>
      <c r="C1167">
        <v>2018</v>
      </c>
      <c r="E1167" s="11" t="s">
        <v>6657</v>
      </c>
    </row>
    <row r="1168" spans="1:5" x14ac:dyDescent="0.25">
      <c r="A1168" t="s">
        <v>577</v>
      </c>
      <c r="B1168" t="s">
        <v>2182</v>
      </c>
      <c r="C1168">
        <v>2018</v>
      </c>
      <c r="E1168" s="11" t="s">
        <v>6661</v>
      </c>
    </row>
    <row r="1169" spans="1:5" x14ac:dyDescent="0.25">
      <c r="A1169" t="s">
        <v>415</v>
      </c>
      <c r="B1169" t="s">
        <v>2182</v>
      </c>
      <c r="C1169">
        <v>2019</v>
      </c>
      <c r="E1169" s="11" t="s">
        <v>6661</v>
      </c>
    </row>
    <row r="1170" spans="1:5" x14ac:dyDescent="0.25">
      <c r="A1170" t="s">
        <v>2199</v>
      </c>
      <c r="B1170" t="s">
        <v>6662</v>
      </c>
      <c r="C1170">
        <v>2011</v>
      </c>
      <c r="E1170" s="11" t="s">
        <v>6665</v>
      </c>
    </row>
    <row r="1171" spans="1:5" x14ac:dyDescent="0.25">
      <c r="A1171" t="s">
        <v>577</v>
      </c>
      <c r="B1171" t="s">
        <v>6662</v>
      </c>
      <c r="C1171">
        <v>2018</v>
      </c>
      <c r="E1171" s="11" t="s">
        <v>6665</v>
      </c>
    </row>
    <row r="1172" spans="1:5" x14ac:dyDescent="0.25">
      <c r="A1172" t="s">
        <v>1044</v>
      </c>
      <c r="B1172" t="s">
        <v>6662</v>
      </c>
      <c r="C1172">
        <v>2019</v>
      </c>
      <c r="E1172" s="11" t="s">
        <v>6665</v>
      </c>
    </row>
    <row r="1173" spans="1:5" x14ac:dyDescent="0.25">
      <c r="A1173" t="s">
        <v>828</v>
      </c>
      <c r="B1173" t="s">
        <v>1602</v>
      </c>
      <c r="C1173">
        <v>2016</v>
      </c>
      <c r="E1173" s="11" t="s">
        <v>6666</v>
      </c>
    </row>
    <row r="1174" spans="1:5" x14ac:dyDescent="0.25">
      <c r="A1174" t="s">
        <v>541</v>
      </c>
      <c r="B1174" t="s">
        <v>6667</v>
      </c>
      <c r="C1174">
        <v>2016</v>
      </c>
      <c r="E1174" s="11" t="s">
        <v>6668</v>
      </c>
    </row>
    <row r="1175" spans="1:5" x14ac:dyDescent="0.25">
      <c r="A1175" t="s">
        <v>564</v>
      </c>
      <c r="B1175" t="s">
        <v>6667</v>
      </c>
      <c r="C1175">
        <v>2015</v>
      </c>
      <c r="E1175" s="11" t="s">
        <v>6668</v>
      </c>
    </row>
    <row r="1176" spans="1:5" x14ac:dyDescent="0.25">
      <c r="A1176" t="s">
        <v>892</v>
      </c>
      <c r="B1176" t="s">
        <v>6667</v>
      </c>
      <c r="C1176">
        <v>2018</v>
      </c>
      <c r="E1176" s="11" t="s">
        <v>6668</v>
      </c>
    </row>
    <row r="1177" spans="1:5" x14ac:dyDescent="0.25">
      <c r="A1177" t="s">
        <v>564</v>
      </c>
      <c r="B1177" t="s">
        <v>6671</v>
      </c>
      <c r="C1177">
        <v>2015</v>
      </c>
      <c r="E1177" s="11" t="s">
        <v>6674</v>
      </c>
    </row>
    <row r="1178" spans="1:5" x14ac:dyDescent="0.25">
      <c r="A1178" t="s">
        <v>1954</v>
      </c>
      <c r="B1178" t="s">
        <v>6671</v>
      </c>
      <c r="C1178">
        <v>2017</v>
      </c>
      <c r="E1178" s="11" t="s">
        <v>6674</v>
      </c>
    </row>
    <row r="1179" spans="1:5" x14ac:dyDescent="0.25">
      <c r="A1179" t="s">
        <v>202</v>
      </c>
      <c r="B1179" t="s">
        <v>6675</v>
      </c>
      <c r="C1179">
        <v>1997</v>
      </c>
      <c r="E1179" s="11" t="s">
        <v>6678</v>
      </c>
    </row>
    <row r="1180" spans="1:5" x14ac:dyDescent="0.25">
      <c r="A1180" t="s">
        <v>828</v>
      </c>
      <c r="B1180" t="s">
        <v>6675</v>
      </c>
      <c r="C1180">
        <v>2016</v>
      </c>
      <c r="E1180" s="11" t="s">
        <v>6678</v>
      </c>
    </row>
    <row r="1181" spans="1:5" x14ac:dyDescent="0.25">
      <c r="A1181" t="s">
        <v>6675</v>
      </c>
      <c r="B1181" t="s">
        <v>6679</v>
      </c>
      <c r="C1181">
        <v>2021</v>
      </c>
      <c r="D1181" t="s">
        <v>70</v>
      </c>
    </row>
    <row r="1182" spans="1:5" x14ac:dyDescent="0.25">
      <c r="A1182" t="s">
        <v>2025</v>
      </c>
      <c r="B1182" t="s">
        <v>6704</v>
      </c>
      <c r="C1182">
        <v>2008</v>
      </c>
      <c r="E1182" s="11" t="s">
        <v>6703</v>
      </c>
    </row>
    <row r="1183" spans="1:5" x14ac:dyDescent="0.25">
      <c r="A1183" t="s">
        <v>1044</v>
      </c>
      <c r="B1183" t="s">
        <v>6707</v>
      </c>
      <c r="C1183">
        <v>2019</v>
      </c>
      <c r="E1183" s="11" t="s">
        <v>6709</v>
      </c>
    </row>
    <row r="1184" spans="1:5" x14ac:dyDescent="0.25">
      <c r="A1184" t="s">
        <v>2199</v>
      </c>
      <c r="B1184" t="s">
        <v>6707</v>
      </c>
      <c r="C1184">
        <v>2011</v>
      </c>
      <c r="E1184" s="11" t="s">
        <v>6709</v>
      </c>
    </row>
    <row r="1185" spans="1:5" x14ac:dyDescent="0.25">
      <c r="A1185" t="s">
        <v>1409</v>
      </c>
      <c r="B1185" t="s">
        <v>6707</v>
      </c>
      <c r="C1185">
        <v>2018</v>
      </c>
      <c r="E1185" s="11" t="s">
        <v>6709</v>
      </c>
    </row>
    <row r="1186" spans="1:5" x14ac:dyDescent="0.25">
      <c r="A1186" t="s">
        <v>6426</v>
      </c>
      <c r="B1186" t="s">
        <v>1358</v>
      </c>
      <c r="C1186">
        <v>1996</v>
      </c>
      <c r="E1186" s="11" t="s">
        <v>6710</v>
      </c>
    </row>
    <row r="1187" spans="1:5" x14ac:dyDescent="0.25">
      <c r="A1187" t="s">
        <v>2199</v>
      </c>
      <c r="B1187" t="s">
        <v>6712</v>
      </c>
      <c r="C1187">
        <v>2011</v>
      </c>
      <c r="E1187" s="11" t="s">
        <v>6711</v>
      </c>
    </row>
    <row r="1188" spans="1:5" x14ac:dyDescent="0.25">
      <c r="A1188" t="s">
        <v>2266</v>
      </c>
      <c r="B1188" t="s">
        <v>6712</v>
      </c>
      <c r="C1188">
        <v>2022</v>
      </c>
      <c r="E1188" s="11" t="s">
        <v>6711</v>
      </c>
    </row>
    <row r="1189" spans="1:5" x14ac:dyDescent="0.25">
      <c r="A1189" t="s">
        <v>1954</v>
      </c>
      <c r="B1189" t="s">
        <v>6796</v>
      </c>
      <c r="C1189">
        <v>2017</v>
      </c>
      <c r="E1189" s="11" t="s">
        <v>6799</v>
      </c>
    </row>
    <row r="1190" spans="1:5" x14ac:dyDescent="0.25">
      <c r="A1190" t="s">
        <v>1954</v>
      </c>
      <c r="B1190" t="s">
        <v>663</v>
      </c>
      <c r="C1190">
        <v>2017</v>
      </c>
      <c r="E1190" s="11" t="s">
        <v>6801</v>
      </c>
    </row>
    <row r="1191" spans="1:5" x14ac:dyDescent="0.25">
      <c r="A1191" t="s">
        <v>1670</v>
      </c>
      <c r="B1191" t="s">
        <v>6803</v>
      </c>
      <c r="C1191">
        <v>2024</v>
      </c>
      <c r="E1191" s="11" t="s">
        <v>6802</v>
      </c>
    </row>
    <row r="1192" spans="1:5" x14ac:dyDescent="0.25">
      <c r="A1192" t="s">
        <v>119</v>
      </c>
      <c r="B1192" t="s">
        <v>6803</v>
      </c>
      <c r="C1192">
        <v>2025</v>
      </c>
      <c r="E1192" s="11" t="s">
        <v>6802</v>
      </c>
    </row>
    <row r="1193" spans="1:5" x14ac:dyDescent="0.25">
      <c r="A1193" t="s">
        <v>442</v>
      </c>
      <c r="B1193" t="s">
        <v>6821</v>
      </c>
      <c r="C1193">
        <v>2025</v>
      </c>
      <c r="E1193" t="s">
        <v>2519</v>
      </c>
    </row>
    <row r="1194" spans="1:5" x14ac:dyDescent="0.25">
      <c r="A1194" t="s">
        <v>914</v>
      </c>
      <c r="B1194" t="s">
        <v>6825</v>
      </c>
      <c r="C1194">
        <v>2012</v>
      </c>
      <c r="E1194" s="11" t="s">
        <v>6824</v>
      </c>
    </row>
    <row r="1195" spans="1:5" x14ac:dyDescent="0.25">
      <c r="A1195" t="s">
        <v>6825</v>
      </c>
      <c r="B1195" t="s">
        <v>6829</v>
      </c>
      <c r="C1195">
        <v>2015</v>
      </c>
      <c r="E1195" t="s">
        <v>2519</v>
      </c>
    </row>
    <row r="1196" spans="1:5" x14ac:dyDescent="0.25">
      <c r="A1196" t="s">
        <v>213</v>
      </c>
      <c r="B1196" t="s">
        <v>6832</v>
      </c>
      <c r="C1196">
        <v>2023</v>
      </c>
      <c r="E1196" s="11" t="s">
        <v>6835</v>
      </c>
    </row>
    <row r="1197" spans="1:5" x14ac:dyDescent="0.25">
      <c r="A1197" t="s">
        <v>1612</v>
      </c>
      <c r="B1197" t="s">
        <v>6832</v>
      </c>
      <c r="C1197">
        <v>2022</v>
      </c>
      <c r="E1197" s="11" t="s">
        <v>6835</v>
      </c>
    </row>
    <row r="1198" spans="1:5" x14ac:dyDescent="0.25">
      <c r="A1198" t="s">
        <v>1954</v>
      </c>
      <c r="B1198" t="s">
        <v>6865</v>
      </c>
      <c r="C1198">
        <v>2017</v>
      </c>
      <c r="E1198" s="11" t="s">
        <v>6868</v>
      </c>
    </row>
    <row r="1199" spans="1:5" x14ac:dyDescent="0.25">
      <c r="A1199" t="s">
        <v>859</v>
      </c>
      <c r="B1199" t="s">
        <v>6875</v>
      </c>
      <c r="C1199">
        <v>1990</v>
      </c>
      <c r="D1199" t="s">
        <v>70</v>
      </c>
      <c r="E1199" s="11" t="s">
        <v>6874</v>
      </c>
    </row>
    <row r="1200" spans="1:5" x14ac:dyDescent="0.25">
      <c r="A1200" t="s">
        <v>1794</v>
      </c>
      <c r="B1200" t="s">
        <v>6893</v>
      </c>
      <c r="C1200">
        <v>1980</v>
      </c>
      <c r="E1200" s="11" t="s">
        <v>6895</v>
      </c>
    </row>
    <row r="1201" spans="1:5" x14ac:dyDescent="0.25">
      <c r="A1201" t="s">
        <v>2286</v>
      </c>
      <c r="B1201" t="s">
        <v>6896</v>
      </c>
      <c r="C1201">
        <v>1993</v>
      </c>
      <c r="E1201" s="11" t="s">
        <v>6898</v>
      </c>
    </row>
    <row r="1202" spans="1:5" x14ac:dyDescent="0.25">
      <c r="A1202" t="s">
        <v>1794</v>
      </c>
      <c r="B1202" t="s">
        <v>6896</v>
      </c>
      <c r="C1202">
        <v>1980</v>
      </c>
      <c r="E1202" s="11" t="s">
        <v>6895</v>
      </c>
    </row>
    <row r="1203" spans="1:5" x14ac:dyDescent="0.25">
      <c r="A1203" t="s">
        <v>6896</v>
      </c>
      <c r="B1203" t="s">
        <v>6893</v>
      </c>
      <c r="C1203">
        <v>2000</v>
      </c>
      <c r="D1203" t="s">
        <v>70</v>
      </c>
    </row>
    <row r="1204" spans="1:5" x14ac:dyDescent="0.25">
      <c r="A1204" t="s">
        <v>6896</v>
      </c>
      <c r="B1204" t="s">
        <v>6899</v>
      </c>
      <c r="C1204">
        <v>2000</v>
      </c>
      <c r="D1204" t="s">
        <v>70</v>
      </c>
      <c r="E1204" s="11" t="s">
        <v>6895</v>
      </c>
    </row>
    <row r="1205" spans="1:5" x14ac:dyDescent="0.25">
      <c r="A1205" t="s">
        <v>2286</v>
      </c>
      <c r="B1205" t="s">
        <v>6904</v>
      </c>
      <c r="C1205">
        <v>1993</v>
      </c>
      <c r="E1205" t="s">
        <v>2538</v>
      </c>
    </row>
    <row r="1206" spans="1:5" x14ac:dyDescent="0.25">
      <c r="A1206" t="s">
        <v>6927</v>
      </c>
      <c r="B1206" t="s">
        <v>6928</v>
      </c>
      <c r="C1206">
        <v>1987</v>
      </c>
      <c r="E1206"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5979</v>
      </c>
      <c r="E1" t="s">
        <v>2890</v>
      </c>
      <c r="F1" t="s">
        <v>2891</v>
      </c>
      <c r="G1" t="s">
        <v>2892</v>
      </c>
      <c r="H1" t="s">
        <v>2893</v>
      </c>
      <c r="I1" t="s">
        <v>2894</v>
      </c>
      <c r="J1" t="s">
        <v>2895</v>
      </c>
      <c r="K1" t="s">
        <v>2896</v>
      </c>
      <c r="L1" t="s">
        <v>3427</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6557</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6560</v>
      </c>
      <c r="N5" t="s">
        <v>6559</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6800</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6561</v>
      </c>
      <c r="B12" t="s">
        <v>1958</v>
      </c>
      <c r="C12">
        <v>8</v>
      </c>
      <c r="D12">
        <v>3</v>
      </c>
      <c r="E12">
        <v>0</v>
      </c>
      <c r="F12">
        <v>0</v>
      </c>
      <c r="G12">
        <v>1</v>
      </c>
      <c r="H12">
        <v>1</v>
      </c>
      <c r="I12">
        <v>0</v>
      </c>
      <c r="J12">
        <v>0</v>
      </c>
      <c r="K12">
        <v>0</v>
      </c>
      <c r="L12">
        <v>0</v>
      </c>
      <c r="M12" t="s">
        <v>6558</v>
      </c>
      <c r="N12" t="s">
        <v>2914</v>
      </c>
      <c r="O12" t="s">
        <v>6562</v>
      </c>
      <c r="P12" t="s">
        <v>2905</v>
      </c>
      <c r="Q12" t="s">
        <v>6561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6341</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6922</v>
      </c>
      <c r="E10" t="s">
        <v>6923</v>
      </c>
      <c r="F10" t="s">
        <v>2356</v>
      </c>
      <c r="G10" t="s">
        <v>2996</v>
      </c>
      <c r="H10" t="s">
        <v>2997</v>
      </c>
      <c r="I10" t="s">
        <v>2889</v>
      </c>
    </row>
    <row r="11" spans="1:9" x14ac:dyDescent="0.25">
      <c r="A11" t="s">
        <v>2998</v>
      </c>
      <c r="B11" t="s">
        <v>2958</v>
      </c>
      <c r="C11" t="s">
        <v>2994</v>
      </c>
      <c r="D11" t="s">
        <v>2999</v>
      </c>
      <c r="E11" t="s">
        <v>6924</v>
      </c>
      <c r="F11" t="s">
        <v>2199</v>
      </c>
      <c r="G11" t="s">
        <v>139</v>
      </c>
      <c r="H11" t="s">
        <v>2998</v>
      </c>
      <c r="I11" t="s">
        <v>2889</v>
      </c>
    </row>
    <row r="12" spans="1:9" x14ac:dyDescent="0.25">
      <c r="A12" t="s">
        <v>3000</v>
      </c>
      <c r="B12" t="s">
        <v>2951</v>
      </c>
      <c r="C12" t="s">
        <v>2994</v>
      </c>
      <c r="D12" t="s">
        <v>3001</v>
      </c>
      <c r="E12" t="s">
        <v>2995</v>
      </c>
      <c r="F12" t="s">
        <v>1954</v>
      </c>
      <c r="G12" t="s">
        <v>3002</v>
      </c>
      <c r="H12" t="s">
        <v>3000</v>
      </c>
      <c r="I12" t="s">
        <v>2889</v>
      </c>
    </row>
    <row r="13" spans="1:9" x14ac:dyDescent="0.25">
      <c r="A13" t="s">
        <v>3003</v>
      </c>
      <c r="B13" t="s">
        <v>2970</v>
      </c>
      <c r="C13" t="s">
        <v>2959</v>
      </c>
      <c r="D13" t="s">
        <v>3004</v>
      </c>
      <c r="E13" t="s">
        <v>3005</v>
      </c>
      <c r="F13" t="s">
        <v>1954</v>
      </c>
      <c r="G13" t="s">
        <v>3006</v>
      </c>
      <c r="H13" t="s">
        <v>3007</v>
      </c>
      <c r="I13" t="s">
        <v>2889</v>
      </c>
    </row>
    <row r="14" spans="1:9" x14ac:dyDescent="0.25">
      <c r="A14" t="s">
        <v>6337</v>
      </c>
      <c r="B14" t="s">
        <v>2970</v>
      </c>
      <c r="C14" t="s">
        <v>3280</v>
      </c>
      <c r="D14" t="s">
        <v>6338</v>
      </c>
      <c r="E14" t="s">
        <v>6539</v>
      </c>
      <c r="F14" t="s">
        <v>343</v>
      </c>
      <c r="H14" t="s">
        <v>6339</v>
      </c>
      <c r="I14" t="s">
        <v>6340</v>
      </c>
    </row>
    <row r="15" spans="1:9" x14ac:dyDescent="0.25">
      <c r="A15" t="s">
        <v>3596</v>
      </c>
      <c r="B15" t="s">
        <v>2958</v>
      </c>
      <c r="C15" t="s">
        <v>4685</v>
      </c>
      <c r="D15" t="s">
        <v>6699</v>
      </c>
      <c r="E15" t="s">
        <v>6700</v>
      </c>
      <c r="F15" t="s">
        <v>1954</v>
      </c>
      <c r="G15" t="s">
        <v>3599</v>
      </c>
      <c r="H15" t="s">
        <v>3600</v>
      </c>
      <c r="I15" t="s">
        <v>2968</v>
      </c>
    </row>
    <row r="16" spans="1:9" x14ac:dyDescent="0.25">
      <c r="A16" t="s">
        <v>2931</v>
      </c>
      <c r="B16" t="s">
        <v>2970</v>
      </c>
      <c r="C16" t="s">
        <v>2959</v>
      </c>
      <c r="D16" t="s">
        <v>2983</v>
      </c>
      <c r="E16" t="s">
        <v>2984</v>
      </c>
      <c r="F16" t="s">
        <v>2356</v>
      </c>
      <c r="G16" t="s">
        <v>2996</v>
      </c>
      <c r="H16" t="s">
        <v>2931</v>
      </c>
      <c r="I16" t="s">
        <v>2889</v>
      </c>
    </row>
    <row r="17" spans="1:9" x14ac:dyDescent="0.25">
      <c r="A17" t="s">
        <v>3008</v>
      </c>
      <c r="B17" t="s">
        <v>2970</v>
      </c>
      <c r="C17" t="s">
        <v>3009</v>
      </c>
      <c r="D17" t="s">
        <v>3010</v>
      </c>
      <c r="E17" t="s">
        <v>3011</v>
      </c>
      <c r="F17" t="s">
        <v>213</v>
      </c>
      <c r="G17" t="s">
        <v>2967</v>
      </c>
      <c r="H17" t="s">
        <v>3012</v>
      </c>
      <c r="I17" t="s">
        <v>3013</v>
      </c>
    </row>
    <row r="18" spans="1:9" x14ac:dyDescent="0.25">
      <c r="A18" t="s">
        <v>3014</v>
      </c>
      <c r="B18" t="s">
        <v>2970</v>
      </c>
      <c r="C18" t="s">
        <v>2959</v>
      </c>
      <c r="D18" t="s">
        <v>3015</v>
      </c>
      <c r="E18" t="s">
        <v>3016</v>
      </c>
      <c r="F18" t="s">
        <v>347</v>
      </c>
      <c r="G18" t="s">
        <v>3017</v>
      </c>
      <c r="H18" t="s">
        <v>3014</v>
      </c>
      <c r="I18" t="s">
        <v>2968</v>
      </c>
    </row>
    <row r="19" spans="1:9" x14ac:dyDescent="0.25">
      <c r="A19" t="s">
        <v>3018</v>
      </c>
      <c r="B19" t="s">
        <v>2970</v>
      </c>
      <c r="C19" t="s">
        <v>2952</v>
      </c>
      <c r="D19" t="s">
        <v>3019</v>
      </c>
      <c r="E19" t="s">
        <v>3020</v>
      </c>
      <c r="F19" t="s">
        <v>2199</v>
      </c>
      <c r="G19" t="s">
        <v>3021</v>
      </c>
      <c r="H19" t="s">
        <v>3022</v>
      </c>
      <c r="I19" t="s">
        <v>2975</v>
      </c>
    </row>
    <row r="20" spans="1:9" x14ac:dyDescent="0.25">
      <c r="A20" t="s">
        <v>3023</v>
      </c>
      <c r="B20" t="s">
        <v>2970</v>
      </c>
      <c r="C20" t="s">
        <v>2959</v>
      </c>
      <c r="D20" t="s">
        <v>3024</v>
      </c>
      <c r="E20" t="s">
        <v>3025</v>
      </c>
      <c r="F20" t="s">
        <v>397</v>
      </c>
      <c r="G20" t="s">
        <v>3026</v>
      </c>
      <c r="H20" t="s">
        <v>3027</v>
      </c>
      <c r="I20" t="s">
        <v>2990</v>
      </c>
    </row>
    <row r="21" spans="1:9" x14ac:dyDescent="0.25">
      <c r="A21" t="s">
        <v>3028</v>
      </c>
      <c r="B21" t="s">
        <v>2958</v>
      </c>
      <c r="C21" t="s">
        <v>4685</v>
      </c>
      <c r="D21" t="s">
        <v>6701</v>
      </c>
      <c r="E21" t="s">
        <v>6702</v>
      </c>
      <c r="F21" t="s">
        <v>1954</v>
      </c>
      <c r="H21" t="s">
        <v>3028</v>
      </c>
      <c r="I21" t="s">
        <v>2968</v>
      </c>
    </row>
    <row r="22" spans="1:9" x14ac:dyDescent="0.25">
      <c r="A22" t="s">
        <v>3029</v>
      </c>
      <c r="B22" t="s">
        <v>3030</v>
      </c>
      <c r="C22" t="s">
        <v>3031</v>
      </c>
      <c r="D22" t="s">
        <v>3032</v>
      </c>
      <c r="E22" t="s">
        <v>3033</v>
      </c>
      <c r="F22" t="s">
        <v>1482</v>
      </c>
      <c r="G22" t="s">
        <v>3034</v>
      </c>
      <c r="H22" t="s">
        <v>3035</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6604</v>
      </c>
      <c r="B4" t="s">
        <v>15</v>
      </c>
      <c r="C4" t="s">
        <v>3044</v>
      </c>
      <c r="D4" t="s">
        <v>3045</v>
      </c>
      <c r="E4" t="s">
        <v>2199</v>
      </c>
      <c r="F4">
        <v>1</v>
      </c>
      <c r="G4">
        <v>1</v>
      </c>
      <c r="H4" t="s">
        <v>3058</v>
      </c>
      <c r="I4" t="s">
        <v>6605</v>
      </c>
      <c r="J4" t="s">
        <v>2905</v>
      </c>
      <c r="K4" t="s">
        <v>6606</v>
      </c>
      <c r="L4" t="s">
        <v>6594</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6375</v>
      </c>
      <c r="B7" t="s">
        <v>15</v>
      </c>
      <c r="C7" t="s">
        <v>3044</v>
      </c>
      <c r="D7" t="s">
        <v>3045</v>
      </c>
      <c r="E7" t="s">
        <v>1044</v>
      </c>
      <c r="F7">
        <v>1</v>
      </c>
      <c r="G7">
        <v>1</v>
      </c>
      <c r="H7" t="s">
        <v>3046</v>
      </c>
      <c r="I7" t="s">
        <v>6376</v>
      </c>
      <c r="J7" t="s">
        <v>2905</v>
      </c>
      <c r="K7" t="s">
        <v>6375</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6610</v>
      </c>
      <c r="B11" t="s">
        <v>15</v>
      </c>
      <c r="C11" t="s">
        <v>3044</v>
      </c>
      <c r="D11" t="s">
        <v>3045</v>
      </c>
      <c r="E11" t="s">
        <v>1772</v>
      </c>
      <c r="F11">
        <v>1</v>
      </c>
      <c r="G11">
        <v>1</v>
      </c>
      <c r="H11" t="s">
        <v>3046</v>
      </c>
      <c r="I11" t="s">
        <v>6611</v>
      </c>
      <c r="J11" t="s">
        <v>2905</v>
      </c>
      <c r="K11" t="s">
        <v>6610</v>
      </c>
      <c r="L11" t="s">
        <v>6594</v>
      </c>
    </row>
    <row r="12" spans="1:13" x14ac:dyDescent="0.25">
      <c r="A12" t="s">
        <v>6386</v>
      </c>
      <c r="B12" t="s">
        <v>15</v>
      </c>
      <c r="C12" t="s">
        <v>3044</v>
      </c>
      <c r="D12" t="s">
        <v>3045</v>
      </c>
      <c r="E12" t="s">
        <v>1044</v>
      </c>
      <c r="F12">
        <v>1</v>
      </c>
      <c r="G12">
        <v>1</v>
      </c>
      <c r="H12" t="s">
        <v>3058</v>
      </c>
      <c r="I12" t="s">
        <v>6387</v>
      </c>
      <c r="J12" t="s">
        <v>2905</v>
      </c>
      <c r="K12" t="s">
        <v>6386</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6599</v>
      </c>
      <c r="B15" t="s">
        <v>15</v>
      </c>
      <c r="C15" t="s">
        <v>3072</v>
      </c>
      <c r="D15" t="s">
        <v>3045</v>
      </c>
      <c r="E15" t="s">
        <v>2199</v>
      </c>
      <c r="F15">
        <v>1</v>
      </c>
      <c r="G15">
        <v>2</v>
      </c>
      <c r="H15" t="s">
        <v>3058</v>
      </c>
      <c r="I15" t="s">
        <v>6603</v>
      </c>
      <c r="J15" t="s">
        <v>2905</v>
      </c>
      <c r="K15" t="s">
        <v>6600</v>
      </c>
      <c r="L15" t="s">
        <v>6601</v>
      </c>
    </row>
    <row r="16" spans="1:13" x14ac:dyDescent="0.25">
      <c r="A16" t="s">
        <v>6607</v>
      </c>
      <c r="B16" t="s">
        <v>15</v>
      </c>
      <c r="C16" t="s">
        <v>3072</v>
      </c>
      <c r="D16" t="s">
        <v>3045</v>
      </c>
      <c r="E16" t="s">
        <v>2199</v>
      </c>
      <c r="F16">
        <v>1</v>
      </c>
      <c r="G16">
        <v>2</v>
      </c>
      <c r="H16" t="s">
        <v>3046</v>
      </c>
      <c r="I16" t="s">
        <v>6608</v>
      </c>
      <c r="J16" t="s">
        <v>2905</v>
      </c>
      <c r="K16" t="s">
        <v>6609</v>
      </c>
      <c r="L16" t="s">
        <v>6594</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6382</v>
      </c>
      <c r="B19" t="s">
        <v>15</v>
      </c>
      <c r="C19" t="s">
        <v>3080</v>
      </c>
      <c r="D19" t="s">
        <v>3115</v>
      </c>
      <c r="E19" t="s">
        <v>1044</v>
      </c>
      <c r="F19">
        <v>1</v>
      </c>
      <c r="G19">
        <v>3</v>
      </c>
      <c r="H19" t="s">
        <v>3046</v>
      </c>
      <c r="I19" t="s">
        <v>6383</v>
      </c>
      <c r="J19" t="s">
        <v>2905</v>
      </c>
      <c r="K19" t="s">
        <v>6384</v>
      </c>
      <c r="L19" t="s">
        <v>6385</v>
      </c>
    </row>
    <row r="20" spans="1:12" x14ac:dyDescent="0.25">
      <c r="A20" t="s">
        <v>6379</v>
      </c>
      <c r="B20" t="s">
        <v>15</v>
      </c>
      <c r="C20" t="s">
        <v>3080</v>
      </c>
      <c r="D20" t="s">
        <v>3045</v>
      </c>
      <c r="E20" t="s">
        <v>1044</v>
      </c>
      <c r="F20">
        <v>1</v>
      </c>
      <c r="G20">
        <v>3</v>
      </c>
      <c r="H20" t="s">
        <v>3058</v>
      </c>
      <c r="I20" t="s">
        <v>6380</v>
      </c>
      <c r="J20" t="s">
        <v>2905</v>
      </c>
      <c r="K20" t="s">
        <v>6381</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6371</v>
      </c>
      <c r="B24" t="s">
        <v>22</v>
      </c>
      <c r="C24" t="s">
        <v>3044</v>
      </c>
      <c r="D24" t="s">
        <v>3045</v>
      </c>
      <c r="E24" t="s">
        <v>758</v>
      </c>
      <c r="F24">
        <v>1</v>
      </c>
      <c r="G24">
        <v>1</v>
      </c>
      <c r="H24" t="s">
        <v>3058</v>
      </c>
      <c r="I24" t="s">
        <v>6373</v>
      </c>
      <c r="J24" t="s">
        <v>2905</v>
      </c>
      <c r="K24" t="s">
        <v>6372</v>
      </c>
      <c r="L24" t="s">
        <v>6374</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3095</v>
      </c>
      <c r="B26" t="s">
        <v>22</v>
      </c>
      <c r="C26" t="s">
        <v>3044</v>
      </c>
      <c r="D26" t="s">
        <v>3045</v>
      </c>
      <c r="E26" t="s">
        <v>1958</v>
      </c>
      <c r="F26">
        <v>1</v>
      </c>
      <c r="G26">
        <v>1</v>
      </c>
      <c r="H26" t="s">
        <v>3058</v>
      </c>
      <c r="I26" t="s">
        <v>3096</v>
      </c>
      <c r="J26" t="s">
        <v>2905</v>
      </c>
      <c r="K26" t="s">
        <v>3097</v>
      </c>
      <c r="L26" t="s">
        <v>3098</v>
      </c>
    </row>
    <row r="27" spans="1:12" x14ac:dyDescent="0.25">
      <c r="A27" t="s">
        <v>3099</v>
      </c>
      <c r="B27" t="s">
        <v>22</v>
      </c>
      <c r="C27" t="s">
        <v>3044</v>
      </c>
      <c r="D27" t="s">
        <v>3045</v>
      </c>
      <c r="E27" t="s">
        <v>1954</v>
      </c>
      <c r="F27">
        <v>1</v>
      </c>
      <c r="G27">
        <v>1</v>
      </c>
      <c r="H27" t="s">
        <v>3046</v>
      </c>
      <c r="I27" t="s">
        <v>3100</v>
      </c>
      <c r="J27" t="s">
        <v>2905</v>
      </c>
      <c r="K27" t="s">
        <v>3101</v>
      </c>
      <c r="L27" t="s">
        <v>3102</v>
      </c>
    </row>
    <row r="28" spans="1:12" x14ac:dyDescent="0.25">
      <c r="A28" t="s">
        <v>3103</v>
      </c>
      <c r="B28" t="s">
        <v>22</v>
      </c>
      <c r="C28" t="s">
        <v>3072</v>
      </c>
      <c r="D28" t="s">
        <v>3045</v>
      </c>
      <c r="E28" t="s">
        <v>1954</v>
      </c>
      <c r="F28">
        <v>1</v>
      </c>
      <c r="G28">
        <v>2</v>
      </c>
      <c r="H28" t="s">
        <v>3046</v>
      </c>
      <c r="I28" t="s">
        <v>3104</v>
      </c>
      <c r="J28" t="s">
        <v>2905</v>
      </c>
      <c r="K28" t="s">
        <v>3105</v>
      </c>
    </row>
    <row r="29" spans="1:12" x14ac:dyDescent="0.25">
      <c r="A29" t="s">
        <v>3106</v>
      </c>
      <c r="B29" t="s">
        <v>22</v>
      </c>
      <c r="C29" t="s">
        <v>3072</v>
      </c>
      <c r="D29" t="s">
        <v>3045</v>
      </c>
      <c r="E29" t="s">
        <v>1954</v>
      </c>
      <c r="F29">
        <v>1</v>
      </c>
      <c r="G29">
        <v>2</v>
      </c>
      <c r="H29" t="s">
        <v>3107</v>
      </c>
      <c r="I29" t="s">
        <v>3108</v>
      </c>
      <c r="J29" t="s">
        <v>2905</v>
      </c>
      <c r="K29" t="s">
        <v>3106</v>
      </c>
    </row>
    <row r="30" spans="1:12" x14ac:dyDescent="0.25">
      <c r="A30" t="s">
        <v>3109</v>
      </c>
      <c r="B30" t="s">
        <v>22</v>
      </c>
      <c r="C30" t="s">
        <v>3072</v>
      </c>
      <c r="D30" t="s">
        <v>3045</v>
      </c>
      <c r="E30" t="s">
        <v>1958</v>
      </c>
      <c r="F30">
        <v>1</v>
      </c>
      <c r="G30">
        <v>2</v>
      </c>
      <c r="H30" t="s">
        <v>3058</v>
      </c>
      <c r="I30" t="s">
        <v>3110</v>
      </c>
      <c r="J30" t="s">
        <v>2905</v>
      </c>
      <c r="K30" t="s">
        <v>3111</v>
      </c>
    </row>
    <row r="31" spans="1:12" x14ac:dyDescent="0.25">
      <c r="A31" t="s">
        <v>3112</v>
      </c>
      <c r="B31" t="s">
        <v>22</v>
      </c>
      <c r="C31" t="s">
        <v>3080</v>
      </c>
      <c r="D31" t="s">
        <v>3045</v>
      </c>
      <c r="E31" t="s">
        <v>1954</v>
      </c>
      <c r="F31">
        <v>1</v>
      </c>
      <c r="G31">
        <v>3</v>
      </c>
      <c r="H31" t="s">
        <v>3107</v>
      </c>
      <c r="I31" t="s">
        <v>3113</v>
      </c>
      <c r="J31" t="s">
        <v>2905</v>
      </c>
      <c r="K31" t="s">
        <v>3112</v>
      </c>
    </row>
    <row r="32" spans="1:12" x14ac:dyDescent="0.25">
      <c r="A32" t="s">
        <v>3114</v>
      </c>
      <c r="B32" t="s">
        <v>22</v>
      </c>
      <c r="C32" t="s">
        <v>3080</v>
      </c>
      <c r="D32" t="s">
        <v>3115</v>
      </c>
      <c r="E32" t="s">
        <v>1954</v>
      </c>
      <c r="F32">
        <v>1</v>
      </c>
      <c r="G32">
        <v>3</v>
      </c>
      <c r="H32" t="s">
        <v>3116</v>
      </c>
      <c r="I32" t="s">
        <v>3117</v>
      </c>
      <c r="J32" t="s">
        <v>2905</v>
      </c>
      <c r="K32" t="s">
        <v>3114</v>
      </c>
    </row>
    <row r="33" spans="1:12" x14ac:dyDescent="0.25">
      <c r="A33" t="s">
        <v>3118</v>
      </c>
      <c r="B33" t="s">
        <v>18</v>
      </c>
      <c r="C33" t="s">
        <v>3044</v>
      </c>
      <c r="D33" t="s">
        <v>3045</v>
      </c>
      <c r="E33" t="s">
        <v>1358</v>
      </c>
      <c r="F33">
        <v>1</v>
      </c>
      <c r="G33">
        <v>1</v>
      </c>
      <c r="H33" t="s">
        <v>3046</v>
      </c>
      <c r="I33" t="s">
        <v>3119</v>
      </c>
      <c r="J33" t="s">
        <v>2905</v>
      </c>
      <c r="K33" t="s">
        <v>3118</v>
      </c>
    </row>
    <row r="34" spans="1:12" x14ac:dyDescent="0.25">
      <c r="A34" t="s">
        <v>3120</v>
      </c>
      <c r="B34" t="s">
        <v>18</v>
      </c>
      <c r="C34" t="s">
        <v>3044</v>
      </c>
      <c r="D34" t="s">
        <v>3045</v>
      </c>
      <c r="E34" t="s">
        <v>961</v>
      </c>
      <c r="F34">
        <v>1</v>
      </c>
      <c r="G34">
        <v>1</v>
      </c>
      <c r="H34" t="s">
        <v>3046</v>
      </c>
      <c r="I34" t="s">
        <v>3121</v>
      </c>
      <c r="J34" t="s">
        <v>2905</v>
      </c>
      <c r="K34" t="s">
        <v>3120</v>
      </c>
      <c r="L34" t="s">
        <v>3122</v>
      </c>
    </row>
    <row r="35" spans="1:12" x14ac:dyDescent="0.25">
      <c r="A35" t="s">
        <v>3123</v>
      </c>
      <c r="B35" t="s">
        <v>18</v>
      </c>
      <c r="C35" t="s">
        <v>3044</v>
      </c>
      <c r="D35" t="s">
        <v>3045</v>
      </c>
      <c r="E35" t="s">
        <v>351</v>
      </c>
      <c r="F35">
        <v>1</v>
      </c>
      <c r="G35">
        <v>1</v>
      </c>
      <c r="H35" t="s">
        <v>3054</v>
      </c>
      <c r="I35" t="s">
        <v>3124</v>
      </c>
      <c r="J35" t="s">
        <v>2905</v>
      </c>
      <c r="K35" t="s">
        <v>3123</v>
      </c>
      <c r="L35" t="s">
        <v>3125</v>
      </c>
    </row>
    <row r="36" spans="1:12" x14ac:dyDescent="0.25">
      <c r="A36" t="s">
        <v>3126</v>
      </c>
      <c r="B36" t="s">
        <v>18</v>
      </c>
      <c r="C36" t="s">
        <v>3072</v>
      </c>
      <c r="D36" t="s">
        <v>3045</v>
      </c>
      <c r="E36" t="s">
        <v>1358</v>
      </c>
      <c r="F36">
        <v>1</v>
      </c>
      <c r="G36">
        <v>2</v>
      </c>
      <c r="H36" t="s">
        <v>3058</v>
      </c>
      <c r="I36" t="s">
        <v>3127</v>
      </c>
      <c r="J36" t="s">
        <v>2905</v>
      </c>
      <c r="K36" t="s">
        <v>3126</v>
      </c>
    </row>
    <row r="37" spans="1:12" x14ac:dyDescent="0.25">
      <c r="A37" t="s">
        <v>3128</v>
      </c>
      <c r="B37" t="s">
        <v>18</v>
      </c>
      <c r="C37" t="s">
        <v>3072</v>
      </c>
      <c r="D37" t="s">
        <v>3077</v>
      </c>
      <c r="E37" t="s">
        <v>351</v>
      </c>
      <c r="F37">
        <v>1</v>
      </c>
      <c r="G37">
        <v>2</v>
      </c>
      <c r="H37" t="s">
        <v>3058</v>
      </c>
      <c r="I37" t="s">
        <v>3129</v>
      </c>
      <c r="J37" t="s">
        <v>2905</v>
      </c>
      <c r="K37" t="s">
        <v>3128</v>
      </c>
    </row>
    <row r="38" spans="1:12" x14ac:dyDescent="0.25">
      <c r="A38" t="s">
        <v>3130</v>
      </c>
      <c r="B38" t="s">
        <v>18</v>
      </c>
      <c r="C38" t="s">
        <v>3072</v>
      </c>
      <c r="D38" t="s">
        <v>3045</v>
      </c>
      <c r="E38" t="s">
        <v>1358</v>
      </c>
      <c r="F38">
        <v>1</v>
      </c>
      <c r="G38">
        <v>2</v>
      </c>
      <c r="H38" t="s">
        <v>3058</v>
      </c>
      <c r="I38" t="s">
        <v>3131</v>
      </c>
      <c r="J38" t="s">
        <v>2905</v>
      </c>
      <c r="K38" t="s">
        <v>3130</v>
      </c>
      <c r="L38" t="s">
        <v>3132</v>
      </c>
    </row>
    <row r="39" spans="1:12" x14ac:dyDescent="0.25">
      <c r="A39" t="s">
        <v>3133</v>
      </c>
      <c r="B39" t="s">
        <v>18</v>
      </c>
      <c r="C39" t="s">
        <v>3072</v>
      </c>
      <c r="D39" t="s">
        <v>3045</v>
      </c>
      <c r="E39" t="s">
        <v>1358</v>
      </c>
      <c r="F39">
        <v>1</v>
      </c>
      <c r="G39">
        <v>2</v>
      </c>
      <c r="H39" t="s">
        <v>3058</v>
      </c>
      <c r="I39" t="s">
        <v>3134</v>
      </c>
      <c r="J39" t="s">
        <v>2905</v>
      </c>
      <c r="K39" t="s">
        <v>3135</v>
      </c>
      <c r="L39" t="s">
        <v>3136</v>
      </c>
    </row>
    <row r="40" spans="1:12" x14ac:dyDescent="0.25">
      <c r="A40" t="s">
        <v>3137</v>
      </c>
      <c r="B40" t="s">
        <v>18</v>
      </c>
      <c r="C40" t="s">
        <v>3072</v>
      </c>
      <c r="D40" t="s">
        <v>3045</v>
      </c>
      <c r="E40" t="s">
        <v>902</v>
      </c>
      <c r="F40">
        <v>1</v>
      </c>
      <c r="G40">
        <v>2</v>
      </c>
      <c r="H40" t="s">
        <v>3116</v>
      </c>
      <c r="I40" t="s">
        <v>3138</v>
      </c>
      <c r="J40" t="s">
        <v>2905</v>
      </c>
      <c r="K40" t="s">
        <v>3137</v>
      </c>
    </row>
    <row r="41" spans="1:12" x14ac:dyDescent="0.25">
      <c r="A41" t="s">
        <v>3139</v>
      </c>
      <c r="B41" t="s">
        <v>18</v>
      </c>
      <c r="C41" t="s">
        <v>3080</v>
      </c>
      <c r="D41" t="s">
        <v>3045</v>
      </c>
      <c r="E41" t="s">
        <v>351</v>
      </c>
      <c r="F41">
        <v>1</v>
      </c>
      <c r="G41">
        <v>3</v>
      </c>
      <c r="H41" t="s">
        <v>3116</v>
      </c>
      <c r="I41" t="s">
        <v>3140</v>
      </c>
      <c r="J41" t="s">
        <v>2905</v>
      </c>
      <c r="K41" t="s">
        <v>3141</v>
      </c>
    </row>
    <row r="42" spans="1:12" x14ac:dyDescent="0.25">
      <c r="A42" t="s">
        <v>6342</v>
      </c>
      <c r="B42" t="s">
        <v>18</v>
      </c>
      <c r="C42" t="s">
        <v>3080</v>
      </c>
      <c r="D42" t="s">
        <v>3045</v>
      </c>
      <c r="E42" t="s">
        <v>1358</v>
      </c>
      <c r="F42">
        <v>1</v>
      </c>
      <c r="G42">
        <v>3</v>
      </c>
      <c r="H42" t="s">
        <v>3058</v>
      </c>
      <c r="I42" t="s">
        <v>6345</v>
      </c>
      <c r="J42" t="s">
        <v>2905</v>
      </c>
      <c r="K42" t="s">
        <v>6343</v>
      </c>
      <c r="L42" t="s">
        <v>6344</v>
      </c>
    </row>
    <row r="43" spans="1:12" x14ac:dyDescent="0.25">
      <c r="A43" t="s">
        <v>3142</v>
      </c>
      <c r="B43" t="s">
        <v>26</v>
      </c>
      <c r="C43" t="s">
        <v>3044</v>
      </c>
      <c r="D43" t="s">
        <v>3045</v>
      </c>
      <c r="E43" t="s">
        <v>1482</v>
      </c>
      <c r="F43">
        <v>1</v>
      </c>
      <c r="G43">
        <v>1</v>
      </c>
      <c r="H43" t="s">
        <v>3116</v>
      </c>
      <c r="I43" t="s">
        <v>3143</v>
      </c>
      <c r="J43" t="s">
        <v>2905</v>
      </c>
      <c r="K43" t="s">
        <v>3142</v>
      </c>
    </row>
    <row r="44" spans="1:12" x14ac:dyDescent="0.25">
      <c r="A44" t="s">
        <v>3144</v>
      </c>
      <c r="B44" t="s">
        <v>26</v>
      </c>
      <c r="C44" t="s">
        <v>3072</v>
      </c>
      <c r="D44" t="s">
        <v>3045</v>
      </c>
      <c r="E44" t="s">
        <v>1482</v>
      </c>
      <c r="F44">
        <v>1</v>
      </c>
      <c r="G44">
        <v>2</v>
      </c>
      <c r="H44" t="s">
        <v>3107</v>
      </c>
      <c r="I44" t="s">
        <v>3145</v>
      </c>
      <c r="J44" t="s">
        <v>2905</v>
      </c>
      <c r="K44" t="s">
        <v>3146</v>
      </c>
    </row>
    <row r="45" spans="1:12" x14ac:dyDescent="0.25">
      <c r="A45" t="s">
        <v>3147</v>
      </c>
      <c r="B45" t="s">
        <v>26</v>
      </c>
      <c r="C45" t="s">
        <v>3072</v>
      </c>
      <c r="D45" t="s">
        <v>3045</v>
      </c>
      <c r="E45" t="s">
        <v>1482</v>
      </c>
      <c r="F45">
        <v>1</v>
      </c>
      <c r="G45">
        <v>2</v>
      </c>
      <c r="H45" t="s">
        <v>3058</v>
      </c>
      <c r="I45" t="s">
        <v>3148</v>
      </c>
      <c r="J45" t="s">
        <v>2905</v>
      </c>
      <c r="K45" t="s">
        <v>3147</v>
      </c>
    </row>
    <row r="46" spans="1:12" x14ac:dyDescent="0.25">
      <c r="A46" t="s">
        <v>3149</v>
      </c>
      <c r="B46" t="s">
        <v>26</v>
      </c>
      <c r="C46" t="s">
        <v>3080</v>
      </c>
      <c r="D46" t="s">
        <v>3045</v>
      </c>
      <c r="E46" t="s">
        <v>1482</v>
      </c>
      <c r="F46">
        <v>1</v>
      </c>
      <c r="G46">
        <v>3</v>
      </c>
      <c r="H46" t="s">
        <v>3058</v>
      </c>
      <c r="I46" t="s">
        <v>3150</v>
      </c>
      <c r="J46" t="s">
        <v>2905</v>
      </c>
      <c r="K46"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6602</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6377</v>
      </c>
      <c r="B12" t="s">
        <v>15</v>
      </c>
      <c r="C12" t="s">
        <v>3072</v>
      </c>
      <c r="D12" t="s">
        <v>3045</v>
      </c>
      <c r="E12" t="s">
        <v>1048</v>
      </c>
      <c r="F12">
        <v>1</v>
      </c>
      <c r="G12">
        <v>5</v>
      </c>
      <c r="H12" t="s">
        <v>3058</v>
      </c>
      <c r="I12" t="s">
        <v>6378</v>
      </c>
      <c r="J12" t="s">
        <v>2905</v>
      </c>
      <c r="K12" t="s">
        <v>6377</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6346</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6592</v>
      </c>
      <c r="B26" t="s">
        <v>18</v>
      </c>
      <c r="C26" t="s">
        <v>3044</v>
      </c>
      <c r="D26" t="s">
        <v>3077</v>
      </c>
      <c r="E26" t="s">
        <v>351</v>
      </c>
      <c r="F26">
        <v>1</v>
      </c>
      <c r="G26">
        <v>3</v>
      </c>
      <c r="H26" t="s">
        <v>3058</v>
      </c>
      <c r="I26" t="s">
        <v>6593</v>
      </c>
      <c r="J26" t="s">
        <v>2905</v>
      </c>
      <c r="K26" t="s">
        <v>6592</v>
      </c>
      <c r="L26" t="s">
        <v>6594</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3115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3265</v>
      </c>
      <c r="E7" t="s">
        <v>3266</v>
      </c>
      <c r="F7" t="s">
        <v>3267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6683</v>
      </c>
      <c r="E1" t="s">
        <v>6691</v>
      </c>
      <c r="F1" t="s">
        <v>6682</v>
      </c>
      <c r="G1" t="s">
        <v>6692</v>
      </c>
      <c r="H1" t="s">
        <v>4019</v>
      </c>
      <c r="I1" t="s">
        <v>5816</v>
      </c>
    </row>
    <row r="2" spans="1:9" x14ac:dyDescent="0.25">
      <c r="A2" t="s">
        <v>5742</v>
      </c>
      <c r="B2" t="s">
        <v>4026</v>
      </c>
      <c r="C2" t="s">
        <v>1954</v>
      </c>
      <c r="D2" t="s">
        <v>6689</v>
      </c>
      <c r="E2" t="s">
        <v>6693</v>
      </c>
      <c r="F2" t="s">
        <v>6686</v>
      </c>
      <c r="G2" t="s">
        <v>6694</v>
      </c>
      <c r="H2" t="s">
        <v>6684</v>
      </c>
      <c r="I2" t="s">
        <v>5742</v>
      </c>
    </row>
    <row r="3" spans="1:9" x14ac:dyDescent="0.25">
      <c r="A3" t="s">
        <v>5746</v>
      </c>
      <c r="B3" t="s">
        <v>4026</v>
      </c>
      <c r="C3" t="s">
        <v>1954</v>
      </c>
      <c r="D3" t="s">
        <v>6690</v>
      </c>
      <c r="E3" t="s">
        <v>6695</v>
      </c>
      <c r="F3" t="s">
        <v>6685</v>
      </c>
      <c r="G3" t="s">
        <v>6696</v>
      </c>
      <c r="H3" t="s">
        <v>6684</v>
      </c>
      <c r="I3" t="s">
        <v>5746</v>
      </c>
    </row>
    <row r="4" spans="1:9" x14ac:dyDescent="0.25">
      <c r="A4" t="s">
        <v>6074</v>
      </c>
      <c r="B4" t="s">
        <v>4030</v>
      </c>
      <c r="C4" t="s">
        <v>1358</v>
      </c>
      <c r="D4" t="s">
        <v>6688</v>
      </c>
      <c r="E4" t="s">
        <v>6697</v>
      </c>
      <c r="F4" t="s">
        <v>6687</v>
      </c>
      <c r="G4" t="s">
        <v>6698</v>
      </c>
      <c r="H4" t="s">
        <v>6684</v>
      </c>
      <c r="I4" t="s">
        <v>6074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9"/>
  <sheetViews>
    <sheetView workbookViewId="0">
      <selection activeCell="L41" sqref="L41"/>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0" x14ac:dyDescent="0.25">
      <c r="A1" t="s">
        <v>6716</v>
      </c>
      <c r="B1" t="s">
        <v>9</v>
      </c>
      <c r="C1" t="s">
        <v>6717</v>
      </c>
      <c r="D1" t="s">
        <v>6718</v>
      </c>
      <c r="E1" t="s">
        <v>3268</v>
      </c>
      <c r="F1" t="s">
        <v>6719</v>
      </c>
      <c r="G1" t="s">
        <v>3791</v>
      </c>
      <c r="H1" t="s">
        <v>6596</v>
      </c>
      <c r="I1" t="s">
        <v>5816</v>
      </c>
      <c r="J1" t="s">
        <v>6720</v>
      </c>
      <c r="K1" t="s">
        <v>6721</v>
      </c>
      <c r="L1" t="s">
        <v>6722</v>
      </c>
      <c r="M1" t="s">
        <v>6806</v>
      </c>
      <c r="N1" t="s">
        <v>6807</v>
      </c>
      <c r="O1" t="s">
        <v>6723</v>
      </c>
      <c r="P1" t="s">
        <v>6724</v>
      </c>
      <c r="Q1" t="s">
        <v>6725</v>
      </c>
      <c r="R1" t="s">
        <v>6726</v>
      </c>
      <c r="S1" t="s">
        <v>6727</v>
      </c>
      <c r="T1" t="s">
        <v>6728</v>
      </c>
      <c r="U1" t="s">
        <v>6729</v>
      </c>
      <c r="V1" t="s">
        <v>6730</v>
      </c>
      <c r="W1" t="s">
        <v>6731</v>
      </c>
      <c r="X1" t="s">
        <v>6732</v>
      </c>
      <c r="Y1" t="s">
        <v>6733</v>
      </c>
      <c r="Z1" t="s">
        <v>6734</v>
      </c>
      <c r="AA1" t="s">
        <v>6735</v>
      </c>
      <c r="AB1" t="s">
        <v>6736</v>
      </c>
      <c r="AC1" t="s">
        <v>6737</v>
      </c>
      <c r="AD1" t="s">
        <v>6738</v>
      </c>
    </row>
    <row r="2" spans="1:30" x14ac:dyDescent="0.25">
      <c r="A2" t="s">
        <v>6739</v>
      </c>
      <c r="B2" t="s">
        <v>1958</v>
      </c>
      <c r="C2" t="s">
        <v>3798</v>
      </c>
      <c r="D2" t="s">
        <v>6740</v>
      </c>
      <c r="F2" t="s">
        <v>6741</v>
      </c>
      <c r="G2" t="s">
        <v>2958</v>
      </c>
      <c r="H2">
        <v>1</v>
      </c>
      <c r="I2" t="s">
        <v>6742</v>
      </c>
      <c r="J2" t="s">
        <v>6743</v>
      </c>
      <c r="O2" t="s">
        <v>6744</v>
      </c>
      <c r="P2" t="s">
        <v>6745</v>
      </c>
      <c r="Q2" t="s">
        <v>6746</v>
      </c>
      <c r="R2" t="s">
        <v>6747</v>
      </c>
      <c r="S2" t="s">
        <v>6748</v>
      </c>
      <c r="T2" t="s">
        <v>6749</v>
      </c>
      <c r="U2" t="s">
        <v>6808</v>
      </c>
      <c r="V2" t="s">
        <v>6750</v>
      </c>
      <c r="W2" t="s">
        <v>6751</v>
      </c>
      <c r="Y2" t="s">
        <v>6752</v>
      </c>
      <c r="Z2" t="s">
        <v>6753</v>
      </c>
      <c r="AA2" t="s">
        <v>6754</v>
      </c>
      <c r="AC2" t="s">
        <v>6809</v>
      </c>
      <c r="AD2" t="s">
        <v>6755</v>
      </c>
    </row>
    <row r="3" spans="1:30" x14ac:dyDescent="0.25">
      <c r="A3" t="s">
        <v>6756</v>
      </c>
      <c r="B3" t="s">
        <v>1958</v>
      </c>
      <c r="C3" t="s">
        <v>3798</v>
      </c>
      <c r="D3" t="s">
        <v>6740</v>
      </c>
      <c r="F3" t="s">
        <v>6741</v>
      </c>
      <c r="G3" t="s">
        <v>2958</v>
      </c>
      <c r="H3">
        <v>1</v>
      </c>
      <c r="I3" t="s">
        <v>6757</v>
      </c>
      <c r="J3" t="s">
        <v>6758</v>
      </c>
      <c r="K3" t="s">
        <v>6759</v>
      </c>
      <c r="L3" t="s">
        <v>6760</v>
      </c>
      <c r="O3" t="s">
        <v>6761</v>
      </c>
      <c r="R3" t="s">
        <v>6762</v>
      </c>
      <c r="S3" t="s">
        <v>6763</v>
      </c>
      <c r="V3" t="s">
        <v>6764</v>
      </c>
      <c r="W3" t="s">
        <v>6765</v>
      </c>
      <c r="Z3" t="s">
        <v>6766</v>
      </c>
    </row>
    <row r="4" spans="1:30" x14ac:dyDescent="0.25">
      <c r="A4" t="s">
        <v>6767</v>
      </c>
      <c r="B4" t="s">
        <v>1958</v>
      </c>
      <c r="C4" t="s">
        <v>3798</v>
      </c>
      <c r="D4" t="s">
        <v>6740</v>
      </c>
      <c r="E4" t="s">
        <v>6768</v>
      </c>
      <c r="F4" t="s">
        <v>6741</v>
      </c>
      <c r="G4" t="s">
        <v>2958</v>
      </c>
      <c r="H4">
        <v>1</v>
      </c>
      <c r="I4" t="s">
        <v>6769</v>
      </c>
      <c r="J4" t="s">
        <v>6770</v>
      </c>
      <c r="O4" t="s">
        <v>6771</v>
      </c>
      <c r="Q4" t="s">
        <v>6772</v>
      </c>
      <c r="R4" t="s">
        <v>6773</v>
      </c>
      <c r="S4" t="s">
        <v>6774</v>
      </c>
      <c r="U4" t="s">
        <v>6775</v>
      </c>
      <c r="V4" t="s">
        <v>6776</v>
      </c>
    </row>
    <row r="5" spans="1:30" x14ac:dyDescent="0.25">
      <c r="A5" t="s">
        <v>6777</v>
      </c>
      <c r="B5" t="s">
        <v>1958</v>
      </c>
      <c r="C5" t="s">
        <v>3798</v>
      </c>
      <c r="D5" t="s">
        <v>6740</v>
      </c>
      <c r="E5" t="s">
        <v>6778</v>
      </c>
      <c r="F5" t="s">
        <v>6741</v>
      </c>
      <c r="G5" t="s">
        <v>2958</v>
      </c>
      <c r="H5">
        <v>1</v>
      </c>
      <c r="I5" t="s">
        <v>6779</v>
      </c>
      <c r="J5" t="s">
        <v>6780</v>
      </c>
      <c r="O5" t="s">
        <v>6781</v>
      </c>
      <c r="Q5" t="s">
        <v>6782</v>
      </c>
      <c r="R5" t="s">
        <v>6783</v>
      </c>
      <c r="S5" t="s">
        <v>6784</v>
      </c>
      <c r="U5" t="s">
        <v>6785</v>
      </c>
      <c r="V5" t="s">
        <v>6786</v>
      </c>
    </row>
    <row r="6" spans="1:30" x14ac:dyDescent="0.25">
      <c r="A6" t="s">
        <v>6810</v>
      </c>
      <c r="B6" t="s">
        <v>1954</v>
      </c>
      <c r="C6" t="s">
        <v>3798</v>
      </c>
      <c r="D6" t="s">
        <v>6740</v>
      </c>
      <c r="F6" t="s">
        <v>6741</v>
      </c>
      <c r="G6" t="s">
        <v>2958</v>
      </c>
      <c r="H6">
        <v>1</v>
      </c>
      <c r="I6" t="s">
        <v>6811</v>
      </c>
      <c r="J6" t="s">
        <v>6812</v>
      </c>
      <c r="M6" t="s">
        <v>6813</v>
      </c>
      <c r="N6" t="s">
        <v>6814</v>
      </c>
      <c r="O6" t="s">
        <v>6815</v>
      </c>
      <c r="P6" t="s">
        <v>6745</v>
      </c>
      <c r="R6" t="s">
        <v>6816</v>
      </c>
      <c r="S6" t="s">
        <v>6817</v>
      </c>
      <c r="T6" t="s">
        <v>6749</v>
      </c>
      <c r="V6" t="s">
        <v>6818</v>
      </c>
      <c r="W6" t="s">
        <v>6819</v>
      </c>
      <c r="Y6" t="s">
        <v>6820</v>
      </c>
      <c r="Z6" t="s">
        <v>4438</v>
      </c>
    </row>
    <row r="7" spans="1:30" x14ac:dyDescent="0.25">
      <c r="A7" t="s">
        <v>6836</v>
      </c>
      <c r="B7" t="s">
        <v>1958</v>
      </c>
      <c r="C7" t="s">
        <v>3798</v>
      </c>
      <c r="D7" t="s">
        <v>6740</v>
      </c>
      <c r="F7" t="s">
        <v>6741</v>
      </c>
      <c r="G7" t="s">
        <v>2958</v>
      </c>
      <c r="H7">
        <v>1</v>
      </c>
      <c r="I7" t="s">
        <v>6837</v>
      </c>
      <c r="J7" t="s">
        <v>6838</v>
      </c>
      <c r="O7" t="s">
        <v>6839</v>
      </c>
      <c r="Q7" t="s">
        <v>6840</v>
      </c>
      <c r="R7" t="s">
        <v>6841</v>
      </c>
      <c r="S7" t="s">
        <v>6842</v>
      </c>
      <c r="U7" t="s">
        <v>6843</v>
      </c>
      <c r="V7" t="s">
        <v>6844</v>
      </c>
    </row>
    <row r="8" spans="1:30" x14ac:dyDescent="0.25">
      <c r="A8" t="s">
        <v>6845</v>
      </c>
      <c r="B8" t="s">
        <v>1958</v>
      </c>
      <c r="C8" t="s">
        <v>3798</v>
      </c>
      <c r="D8" t="s">
        <v>6740</v>
      </c>
      <c r="E8" t="s">
        <v>6846</v>
      </c>
      <c r="F8" t="s">
        <v>6741</v>
      </c>
      <c r="G8" t="s">
        <v>2958</v>
      </c>
      <c r="H8">
        <v>1</v>
      </c>
      <c r="I8" t="s">
        <v>6847</v>
      </c>
      <c r="J8" t="s">
        <v>6848</v>
      </c>
      <c r="O8" t="s">
        <v>6849</v>
      </c>
      <c r="Q8" t="s">
        <v>6851</v>
      </c>
      <c r="R8" t="s">
        <v>6852</v>
      </c>
      <c r="S8" t="s">
        <v>6850</v>
      </c>
      <c r="U8" t="s">
        <v>6853</v>
      </c>
      <c r="V8" t="s">
        <v>6854</v>
      </c>
    </row>
    <row r="9" spans="1:30" x14ac:dyDescent="0.25">
      <c r="A9" t="s">
        <v>6855</v>
      </c>
      <c r="B9" t="s">
        <v>6857</v>
      </c>
      <c r="C9" t="s">
        <v>3798</v>
      </c>
      <c r="D9" t="s">
        <v>6740</v>
      </c>
      <c r="E9" t="s">
        <v>6858</v>
      </c>
      <c r="F9" t="s">
        <v>6741</v>
      </c>
      <c r="G9" t="s">
        <v>2958</v>
      </c>
      <c r="H9">
        <v>2</v>
      </c>
      <c r="I9" t="s">
        <v>6856</v>
      </c>
      <c r="J9" t="s">
        <v>6859</v>
      </c>
      <c r="O9" t="s">
        <v>6860</v>
      </c>
      <c r="Q9" t="s">
        <v>6861</v>
      </c>
      <c r="R9" t="s">
        <v>6925</v>
      </c>
      <c r="S9" t="s">
        <v>6862</v>
      </c>
      <c r="U9" t="s">
        <v>6863</v>
      </c>
      <c r="V9" t="s">
        <v>6864</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6590</v>
      </c>
      <c r="G1" t="s">
        <v>6596</v>
      </c>
      <c r="H1" t="s">
        <v>6595</v>
      </c>
      <c r="I1" t="s">
        <v>6591</v>
      </c>
    </row>
    <row r="2" spans="1:9" x14ac:dyDescent="0.25">
      <c r="A2" t="s">
        <v>6099</v>
      </c>
      <c r="B2" t="s">
        <v>2203</v>
      </c>
      <c r="C2" t="s">
        <v>3044</v>
      </c>
      <c r="D2" t="s">
        <v>3058</v>
      </c>
      <c r="E2" t="s">
        <v>6597</v>
      </c>
      <c r="F2" t="s">
        <v>2914</v>
      </c>
      <c r="G2" t="s">
        <v>3803</v>
      </c>
      <c r="H2" t="s">
        <v>6598</v>
      </c>
      <c r="I2" t="s">
        <v>6594</v>
      </c>
    </row>
    <row r="3" spans="1:9" x14ac:dyDescent="0.25">
      <c r="A3" t="s">
        <v>6101</v>
      </c>
      <c r="B3" t="s">
        <v>2203</v>
      </c>
      <c r="C3" t="s">
        <v>3044</v>
      </c>
      <c r="D3" t="s">
        <v>3046</v>
      </c>
      <c r="E3" t="s">
        <v>6612</v>
      </c>
      <c r="F3" t="s">
        <v>2914</v>
      </c>
      <c r="G3" t="s">
        <v>3803</v>
      </c>
      <c r="I3" t="s">
        <v>6613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election activeCell="A4" sqref="A4"/>
    </sheetView>
  </sheetViews>
  <sheetFormatPr defaultRowHeight="15" x14ac:dyDescent="0.25"/>
  <cols>
    <col min="1" max="1" width="10.5703125" bestFit="1" customWidth="1"/>
    <col min="2" max="2" width="14.5703125" bestFit="1" customWidth="1"/>
    <col min="3" max="3" width="35" bestFit="1" customWidth="1"/>
    <col min="4" max="4" width="10" bestFit="1" customWidth="1"/>
    <col min="6" max="6" width="10.140625" bestFit="1" customWidth="1"/>
  </cols>
  <sheetData>
    <row r="1" spans="1:6" x14ac:dyDescent="0.25">
      <c r="A1" t="s">
        <v>4764</v>
      </c>
      <c r="B1" t="s">
        <v>9</v>
      </c>
      <c r="C1" t="s">
        <v>6787</v>
      </c>
      <c r="D1" t="s">
        <v>6788</v>
      </c>
      <c r="E1" t="s">
        <v>6789</v>
      </c>
      <c r="F1" t="s">
        <v>5816</v>
      </c>
    </row>
    <row r="2" spans="1:6" x14ac:dyDescent="0.25">
      <c r="A2" t="s">
        <v>6790</v>
      </c>
      <c r="B2" t="s">
        <v>1958</v>
      </c>
      <c r="C2" t="s">
        <v>6791</v>
      </c>
      <c r="D2" t="s">
        <v>6792</v>
      </c>
      <c r="E2">
        <v>3</v>
      </c>
      <c r="F2" t="s">
        <v>6793</v>
      </c>
    </row>
    <row r="3" spans="1:6" x14ac:dyDescent="0.25">
      <c r="A3" t="s">
        <v>4010</v>
      </c>
      <c r="B3" t="s">
        <v>1958</v>
      </c>
      <c r="C3" t="s">
        <v>6794</v>
      </c>
      <c r="D3" t="s">
        <v>6792</v>
      </c>
      <c r="E3">
        <v>3</v>
      </c>
      <c r="F3" t="s">
        <v>4010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L28" sqref="L2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9</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59</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108</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100</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84</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135</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3</v>
      </c>
    </row>
    <row r="25" spans="1:20" x14ac:dyDescent="0.25">
      <c r="O25">
        <v>1998</v>
      </c>
      <c r="P25">
        <f>COUNTIF(games!$B$2:$B$847,$O25)</f>
        <v>5</v>
      </c>
      <c r="Q25">
        <f>COUNTIF('Map Calc'!$T$2:$T$1060,$O25)</f>
        <v>10</v>
      </c>
    </row>
    <row r="26" spans="1:20" x14ac:dyDescent="0.25">
      <c r="O26">
        <v>1999</v>
      </c>
      <c r="P26">
        <f>COUNTIF(games!$B$2:$B$847,$O26)</f>
        <v>1</v>
      </c>
      <c r="Q26">
        <f>COUNTIF('Map Calc'!$T$2:$T$1060,$O26)</f>
        <v>1</v>
      </c>
    </row>
    <row r="27" spans="1:20" x14ac:dyDescent="0.25">
      <c r="O27">
        <v>2000</v>
      </c>
      <c r="P27">
        <f>COUNTIF(games!$B$2:$B$847,$O27)</f>
        <v>2</v>
      </c>
      <c r="Q27">
        <f>COUNTIF('Map Calc'!$T$2:$T$1060,$O27)</f>
        <v>2</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37</v>
      </c>
    </row>
    <row r="36" spans="15:17" x14ac:dyDescent="0.25">
      <c r="O36">
        <v>2009</v>
      </c>
      <c r="P36">
        <f>COUNTIF(games!$B$2:$B$847,$O36)</f>
        <v>2</v>
      </c>
      <c r="Q36">
        <f>COUNTIF('Map Calc'!$T$2:$T$1060,$O36)</f>
        <v>8</v>
      </c>
    </row>
    <row r="37" spans="15:17" x14ac:dyDescent="0.25">
      <c r="O37">
        <v>2010</v>
      </c>
      <c r="P37">
        <f>COUNTIF(games!$B$2:$B$847,$O37)</f>
        <v>14</v>
      </c>
      <c r="Q37">
        <f>COUNTIF('Map Calc'!$T$2:$T$1060,$O37)</f>
        <v>18</v>
      </c>
    </row>
    <row r="38" spans="15:17" x14ac:dyDescent="0.25">
      <c r="O38">
        <v>2011</v>
      </c>
      <c r="P38">
        <f>COUNTIF(games!$B$2:$B$847,$O38)</f>
        <v>6</v>
      </c>
      <c r="Q38">
        <f>COUNTIF('Map Calc'!$T$2:$T$1060,$O38)</f>
        <v>71</v>
      </c>
    </row>
    <row r="39" spans="15:17" x14ac:dyDescent="0.25">
      <c r="O39">
        <v>2012</v>
      </c>
      <c r="P39">
        <f>COUNTIF(games!$B$2:$B$847,$O39)</f>
        <v>11</v>
      </c>
      <c r="Q39">
        <f>COUNTIF('Map Calc'!$T$2:$T$1060,$O39)</f>
        <v>39</v>
      </c>
    </row>
    <row r="40" spans="15:17" x14ac:dyDescent="0.25">
      <c r="O40">
        <v>2013</v>
      </c>
      <c r="P40">
        <f>COUNTIF(games!$B$2:$B$847,$O40)</f>
        <v>12</v>
      </c>
      <c r="Q40">
        <f>COUNTIF('Map Calc'!$T$2:$T$1060,$O40)</f>
        <v>29</v>
      </c>
    </row>
    <row r="41" spans="15:17" x14ac:dyDescent="0.25">
      <c r="O41">
        <v>2014</v>
      </c>
      <c r="P41">
        <f>COUNTIF(games!$B$2:$B$847,$O41)</f>
        <v>23</v>
      </c>
      <c r="Q41">
        <f>COUNTIF('Map Calc'!$T$2:$T$1060,$O41)</f>
        <v>12</v>
      </c>
    </row>
    <row r="42" spans="15:17" x14ac:dyDescent="0.25">
      <c r="O42">
        <v>2015</v>
      </c>
      <c r="P42">
        <f>COUNTIF(games!$B$2:$B$847,$O42)</f>
        <v>21</v>
      </c>
      <c r="Q42">
        <f>COUNTIF('Map Calc'!$T$2:$T$1060,$O42)</f>
        <v>63</v>
      </c>
    </row>
    <row r="43" spans="15:17" x14ac:dyDescent="0.25">
      <c r="O43">
        <v>2016</v>
      </c>
      <c r="P43">
        <f>COUNTIF(games!$B$2:$B$847,$O43)</f>
        <v>15</v>
      </c>
      <c r="Q43">
        <f>COUNTIF('Map Calc'!$T$2:$T$1060,$O43)</f>
        <v>28</v>
      </c>
    </row>
    <row r="44" spans="15:17" x14ac:dyDescent="0.25">
      <c r="O44">
        <v>2017</v>
      </c>
      <c r="P44">
        <f>COUNTIF(games!$B$2:$B$847,$O44)</f>
        <v>32</v>
      </c>
      <c r="Q44">
        <f>COUNTIF('Map Calc'!$T$2:$T$1060,$O44)</f>
        <v>143</v>
      </c>
    </row>
    <row r="45" spans="15:17" x14ac:dyDescent="0.25">
      <c r="O45">
        <v>2018</v>
      </c>
      <c r="P45">
        <f>COUNTIF(games!$B$2:$B$847,$O45)</f>
        <v>22</v>
      </c>
      <c r="Q45">
        <f>COUNTIF('Map Calc'!$T$2:$T$1060,$O45)</f>
        <v>54</v>
      </c>
    </row>
    <row r="46" spans="15:17" x14ac:dyDescent="0.25">
      <c r="O46">
        <v>2019</v>
      </c>
      <c r="P46">
        <f>COUNTIF(games!$B$2:$B$847,$O46)</f>
        <v>37</v>
      </c>
      <c r="Q46">
        <f>COUNTIF('Map Calc'!$T$2:$T$1060,$O46)</f>
        <v>76</v>
      </c>
    </row>
    <row r="47" spans="15:17" x14ac:dyDescent="0.25">
      <c r="O47">
        <v>2020</v>
      </c>
      <c r="P47">
        <f>COUNTIF(games!$B$2:$B$847,$O47)</f>
        <v>50</v>
      </c>
      <c r="Q47">
        <f>COUNTIF('Map Calc'!$T$2:$T$1060,$O47)</f>
        <v>45</v>
      </c>
    </row>
    <row r="48" spans="15:17" x14ac:dyDescent="0.25">
      <c r="O48">
        <v>2021</v>
      </c>
      <c r="P48">
        <f>COUNTIF(games!$B$2:$B$847,$O48)</f>
        <v>44</v>
      </c>
      <c r="Q48">
        <f>COUNTIF('Map Calc'!$T$2:$T$1060,$O48)</f>
        <v>92</v>
      </c>
    </row>
    <row r="49" spans="15:17" x14ac:dyDescent="0.25">
      <c r="O49">
        <v>2022</v>
      </c>
      <c r="P49">
        <f>COUNTIF(games!$B$2:$B$847,$O49)</f>
        <v>69</v>
      </c>
      <c r="Q49">
        <f>COUNTIF('Map Calc'!$T$2:$T$1060,$O49)</f>
        <v>46</v>
      </c>
    </row>
    <row r="50" spans="15:17" x14ac:dyDescent="0.25">
      <c r="O50">
        <v>2023</v>
      </c>
      <c r="P50">
        <f>COUNTIF(games!$B$2:$B$847,$O50)</f>
        <v>96</v>
      </c>
      <c r="Q50">
        <f>COUNTIF('Map Calc'!$T$2:$T$1060,$O50)</f>
        <v>69</v>
      </c>
    </row>
    <row r="51" spans="15:17" x14ac:dyDescent="0.25">
      <c r="O51">
        <v>2024</v>
      </c>
      <c r="P51">
        <f>COUNTIF(games!$B$2:$B$847,$O51)</f>
        <v>96</v>
      </c>
      <c r="Q51">
        <f>COUNTIF('Map Calc'!$T$2:$T$1060,$O51)</f>
        <v>12</v>
      </c>
    </row>
    <row r="52" spans="15:17" x14ac:dyDescent="0.25">
      <c r="O52">
        <v>2025</v>
      </c>
      <c r="P52">
        <f>COUNTIF(games!$B$2:$B$847,$O52)</f>
        <v>149</v>
      </c>
      <c r="Q52">
        <f>COUNTIF('Map Calc'!$T$2:$T$1060,$O52)</f>
        <v>4</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6088</v>
      </c>
      <c r="B2" t="s">
        <v>3893</v>
      </c>
      <c r="C2" t="s">
        <v>828</v>
      </c>
      <c r="D2" t="s">
        <v>5839</v>
      </c>
      <c r="E2" t="s">
        <v>6089</v>
      </c>
    </row>
    <row r="3" spans="1:5" ht="15" customHeight="1" x14ac:dyDescent="0.25">
      <c r="A3" t="s">
        <v>6090</v>
      </c>
      <c r="B3" t="s">
        <v>3896</v>
      </c>
      <c r="C3" t="s">
        <v>828</v>
      </c>
      <c r="D3" t="s">
        <v>6091</v>
      </c>
      <c r="E3" t="s">
        <v>6089</v>
      </c>
    </row>
    <row r="4" spans="1:5" ht="15" customHeight="1" x14ac:dyDescent="0.25">
      <c r="A4" t="s">
        <v>6092</v>
      </c>
      <c r="B4" t="s">
        <v>3896</v>
      </c>
      <c r="C4" t="s">
        <v>828</v>
      </c>
      <c r="D4" t="s">
        <v>6093</v>
      </c>
      <c r="E4" t="s">
        <v>6089</v>
      </c>
    </row>
    <row r="5" spans="1:5" ht="15" customHeight="1" x14ac:dyDescent="0.25">
      <c r="A5" t="s">
        <v>6094</v>
      </c>
      <c r="B5" t="s">
        <v>6095</v>
      </c>
      <c r="C5" t="s">
        <v>828</v>
      </c>
      <c r="D5" t="s">
        <v>5825</v>
      </c>
      <c r="E5" t="s">
        <v>6089</v>
      </c>
    </row>
    <row r="6" spans="1:5" ht="15" customHeight="1" x14ac:dyDescent="0.25">
      <c r="A6" t="s">
        <v>6096</v>
      </c>
      <c r="B6" t="s">
        <v>6095</v>
      </c>
      <c r="C6" t="s">
        <v>828</v>
      </c>
      <c r="D6" t="s">
        <v>5818</v>
      </c>
      <c r="E6" t="s">
        <v>6089</v>
      </c>
    </row>
    <row r="7" spans="1:5" ht="15" customHeight="1" x14ac:dyDescent="0.25">
      <c r="A7" t="s">
        <v>6097</v>
      </c>
      <c r="B7" t="s">
        <v>3893</v>
      </c>
      <c r="C7" t="s">
        <v>2199</v>
      </c>
      <c r="D7" t="s">
        <v>5839</v>
      </c>
      <c r="E7" t="s">
        <v>6098</v>
      </c>
    </row>
    <row r="8" spans="1:5" ht="15" customHeight="1" x14ac:dyDescent="0.25">
      <c r="A8" t="s">
        <v>6099</v>
      </c>
      <c r="B8" t="s">
        <v>3893</v>
      </c>
      <c r="C8" t="s">
        <v>2199</v>
      </c>
      <c r="D8" t="s">
        <v>6100</v>
      </c>
      <c r="E8" t="s">
        <v>6098</v>
      </c>
    </row>
    <row r="9" spans="1:5" ht="15" customHeight="1" x14ac:dyDescent="0.25">
      <c r="A9" t="s">
        <v>6101</v>
      </c>
      <c r="B9" t="s">
        <v>3893</v>
      </c>
      <c r="C9" t="s">
        <v>2199</v>
      </c>
      <c r="D9" t="s">
        <v>6102</v>
      </c>
      <c r="E9" t="s">
        <v>6098</v>
      </c>
    </row>
    <row r="10" spans="1:5" ht="15" customHeight="1" x14ac:dyDescent="0.25">
      <c r="A10" t="s">
        <v>6103</v>
      </c>
      <c r="B10" t="s">
        <v>3896</v>
      </c>
      <c r="C10" t="s">
        <v>2199</v>
      </c>
      <c r="D10" t="s">
        <v>6091</v>
      </c>
      <c r="E10" t="s">
        <v>6098</v>
      </c>
    </row>
    <row r="11" spans="1:5" ht="15" customHeight="1" x14ac:dyDescent="0.25">
      <c r="A11" t="s">
        <v>6104</v>
      </c>
      <c r="B11" t="s">
        <v>3896</v>
      </c>
      <c r="C11" t="s">
        <v>2199</v>
      </c>
      <c r="D11" t="s">
        <v>5832</v>
      </c>
      <c r="E11" t="s">
        <v>6098</v>
      </c>
    </row>
    <row r="12" spans="1:5" ht="15" customHeight="1" x14ac:dyDescent="0.25">
      <c r="A12" t="s">
        <v>6105</v>
      </c>
      <c r="B12" t="s">
        <v>3896</v>
      </c>
      <c r="C12" t="s">
        <v>2199</v>
      </c>
      <c r="D12" t="s">
        <v>5818</v>
      </c>
      <c r="E12" t="s">
        <v>6098</v>
      </c>
    </row>
    <row r="13" spans="1:5" ht="15" customHeight="1" x14ac:dyDescent="0.25">
      <c r="A13" t="s">
        <v>6106</v>
      </c>
      <c r="B13" t="s">
        <v>6095</v>
      </c>
      <c r="C13" t="s">
        <v>2199</v>
      </c>
      <c r="D13" t="s">
        <v>6107</v>
      </c>
      <c r="E13" t="s">
        <v>6098</v>
      </c>
    </row>
    <row r="14" spans="1:5" ht="15" customHeight="1" x14ac:dyDescent="0.25">
      <c r="A14" t="s">
        <v>6108</v>
      </c>
      <c r="B14" t="s">
        <v>6095</v>
      </c>
      <c r="C14" t="s">
        <v>2199</v>
      </c>
      <c r="D14" t="s">
        <v>6072</v>
      </c>
      <c r="E14" t="s">
        <v>6098</v>
      </c>
    </row>
    <row r="15" spans="1:5" ht="15" customHeight="1" x14ac:dyDescent="0.25">
      <c r="A15" t="s">
        <v>6109</v>
      </c>
      <c r="B15" t="s">
        <v>6095</v>
      </c>
      <c r="C15" t="s">
        <v>2199</v>
      </c>
      <c r="D15" t="s">
        <v>5846</v>
      </c>
      <c r="E15" t="s">
        <v>6098</v>
      </c>
    </row>
    <row r="16" spans="1:5" ht="15" customHeight="1" x14ac:dyDescent="0.25">
      <c r="A16" t="s">
        <v>6110</v>
      </c>
      <c r="B16" t="s">
        <v>3893</v>
      </c>
      <c r="C16" t="s">
        <v>1044</v>
      </c>
      <c r="D16" t="s">
        <v>5818</v>
      </c>
      <c r="E16" t="s">
        <v>6111</v>
      </c>
    </row>
    <row r="17" spans="1:5" ht="15" customHeight="1" x14ac:dyDescent="0.25">
      <c r="A17" t="s">
        <v>6112</v>
      </c>
      <c r="B17" t="s">
        <v>3893</v>
      </c>
      <c r="C17" t="s">
        <v>1044</v>
      </c>
      <c r="D17" t="s">
        <v>6100</v>
      </c>
      <c r="E17" t="s">
        <v>6111</v>
      </c>
    </row>
    <row r="18" spans="1:5" ht="15" customHeight="1" x14ac:dyDescent="0.25">
      <c r="A18" t="s">
        <v>6113</v>
      </c>
      <c r="B18" t="s">
        <v>3896</v>
      </c>
      <c r="C18" t="s">
        <v>1044</v>
      </c>
      <c r="D18" t="s">
        <v>5832</v>
      </c>
      <c r="E18" t="s">
        <v>6111</v>
      </c>
    </row>
    <row r="19" spans="1:5" ht="15" customHeight="1" x14ac:dyDescent="0.25">
      <c r="A19" t="s">
        <v>5846</v>
      </c>
      <c r="B19" t="s">
        <v>3896</v>
      </c>
      <c r="C19" t="s">
        <v>1044</v>
      </c>
      <c r="D19" t="s">
        <v>5846</v>
      </c>
      <c r="E19" t="s">
        <v>6111</v>
      </c>
    </row>
    <row r="20" spans="1:5" ht="15" customHeight="1" x14ac:dyDescent="0.25">
      <c r="A20" t="s">
        <v>6114</v>
      </c>
      <c r="B20" t="s">
        <v>6095</v>
      </c>
      <c r="C20" t="s">
        <v>1044</v>
      </c>
      <c r="D20" t="s">
        <v>5839</v>
      </c>
      <c r="E20" t="s">
        <v>6111</v>
      </c>
    </row>
    <row r="21" spans="1:5" ht="15" customHeight="1" x14ac:dyDescent="0.25">
      <c r="A21" t="s">
        <v>6115</v>
      </c>
      <c r="B21" t="s">
        <v>3893</v>
      </c>
      <c r="C21" t="s">
        <v>1776</v>
      </c>
      <c r="D21" t="s">
        <v>3894</v>
      </c>
      <c r="E21" t="s">
        <v>6116</v>
      </c>
    </row>
    <row r="22" spans="1:5" ht="15" customHeight="1" x14ac:dyDescent="0.25">
      <c r="A22" t="s">
        <v>6117</v>
      </c>
      <c r="B22" t="s">
        <v>3893</v>
      </c>
      <c r="C22" t="s">
        <v>1776</v>
      </c>
      <c r="D22" t="s">
        <v>5921</v>
      </c>
      <c r="E22" t="s">
        <v>6116</v>
      </c>
    </row>
    <row r="23" spans="1:5" ht="15" customHeight="1" x14ac:dyDescent="0.25">
      <c r="A23" t="s">
        <v>6118</v>
      </c>
      <c r="B23" t="s">
        <v>3893</v>
      </c>
      <c r="C23" t="s">
        <v>1776</v>
      </c>
      <c r="D23" t="s">
        <v>6093</v>
      </c>
      <c r="E23" t="s">
        <v>6116</v>
      </c>
    </row>
    <row r="24" spans="1:5" ht="15" customHeight="1" x14ac:dyDescent="0.25">
      <c r="A24" t="s">
        <v>6119</v>
      </c>
      <c r="B24" t="s">
        <v>3893</v>
      </c>
      <c r="C24" t="s">
        <v>1776</v>
      </c>
      <c r="D24" t="s">
        <v>5882</v>
      </c>
      <c r="E24" t="s">
        <v>6116</v>
      </c>
    </row>
    <row r="25" spans="1:5" ht="15" customHeight="1" x14ac:dyDescent="0.25">
      <c r="A25" t="s">
        <v>6120</v>
      </c>
      <c r="B25" t="s">
        <v>3896</v>
      </c>
      <c r="C25" t="s">
        <v>1776</v>
      </c>
      <c r="D25" t="s">
        <v>6093</v>
      </c>
      <c r="E25" t="s">
        <v>6116</v>
      </c>
    </row>
    <row r="26" spans="1:5" ht="15" customHeight="1" x14ac:dyDescent="0.25">
      <c r="A26" t="s">
        <v>6121</v>
      </c>
      <c r="B26" t="s">
        <v>3896</v>
      </c>
      <c r="C26" t="s">
        <v>1776</v>
      </c>
      <c r="D26" t="s">
        <v>6100</v>
      </c>
      <c r="E26" t="s">
        <v>6116</v>
      </c>
    </row>
    <row r="27" spans="1:5" ht="15" customHeight="1" x14ac:dyDescent="0.25">
      <c r="A27" t="s">
        <v>6122</v>
      </c>
      <c r="B27" t="s">
        <v>3896</v>
      </c>
      <c r="C27" t="s">
        <v>1776</v>
      </c>
      <c r="D27" t="s">
        <v>3894</v>
      </c>
      <c r="E27" t="s">
        <v>6116</v>
      </c>
    </row>
    <row r="28" spans="1:5" ht="15" customHeight="1" x14ac:dyDescent="0.25">
      <c r="A28" t="s">
        <v>6123</v>
      </c>
      <c r="B28" t="s">
        <v>3896</v>
      </c>
      <c r="C28" t="s">
        <v>1776</v>
      </c>
      <c r="D28" t="s">
        <v>6124</v>
      </c>
      <c r="E28" t="s">
        <v>6116</v>
      </c>
    </row>
    <row r="29" spans="1:5" ht="15" customHeight="1" x14ac:dyDescent="0.25">
      <c r="A29" t="s">
        <v>6125</v>
      </c>
      <c r="B29" t="s">
        <v>6095</v>
      </c>
      <c r="C29" t="s">
        <v>1776</v>
      </c>
      <c r="D29" t="s">
        <v>6126</v>
      </c>
      <c r="E29" t="s">
        <v>6116</v>
      </c>
    </row>
    <row r="30" spans="1:5" ht="15" customHeight="1" x14ac:dyDescent="0.25">
      <c r="A30" t="s">
        <v>6127</v>
      </c>
      <c r="B30" t="s">
        <v>6095</v>
      </c>
      <c r="C30" t="s">
        <v>1776</v>
      </c>
      <c r="D30" t="s">
        <v>6128</v>
      </c>
      <c r="E30" t="s">
        <v>6116</v>
      </c>
    </row>
    <row r="31" spans="1:5" ht="15" customHeight="1" x14ac:dyDescent="0.25">
      <c r="A31" t="s">
        <v>6129</v>
      </c>
      <c r="B31" t="s">
        <v>3893</v>
      </c>
      <c r="C31" t="s">
        <v>397</v>
      </c>
      <c r="D31" t="s">
        <v>5882</v>
      </c>
      <c r="E31" t="s">
        <v>6130</v>
      </c>
    </row>
    <row r="32" spans="1:5" ht="15" customHeight="1" x14ac:dyDescent="0.25">
      <c r="A32" t="s">
        <v>6131</v>
      </c>
      <c r="B32" t="s">
        <v>6095</v>
      </c>
      <c r="C32" t="s">
        <v>397</v>
      </c>
      <c r="D32" t="s">
        <v>5882</v>
      </c>
      <c r="E32" t="s">
        <v>6130</v>
      </c>
    </row>
    <row r="33" spans="1:5" ht="15" customHeight="1" x14ac:dyDescent="0.25">
      <c r="A33" t="s">
        <v>6132</v>
      </c>
      <c r="B33" t="s">
        <v>3896</v>
      </c>
      <c r="C33" t="s">
        <v>397</v>
      </c>
      <c r="D33" t="s">
        <v>6091</v>
      </c>
      <c r="E33" t="s">
        <v>6130</v>
      </c>
    </row>
    <row r="34" spans="1:5" ht="15" customHeight="1" x14ac:dyDescent="0.25">
      <c r="A34" t="s">
        <v>6133</v>
      </c>
      <c r="B34" t="s">
        <v>6095</v>
      </c>
      <c r="C34" t="s">
        <v>397</v>
      </c>
      <c r="D34" t="s">
        <v>6128</v>
      </c>
      <c r="E34" t="s">
        <v>6130</v>
      </c>
    </row>
    <row r="35" spans="1:5" ht="15" customHeight="1" x14ac:dyDescent="0.25">
      <c r="A35" t="s">
        <v>6134</v>
      </c>
      <c r="B35" t="s">
        <v>3896</v>
      </c>
      <c r="C35" t="s">
        <v>397</v>
      </c>
      <c r="D35" t="s">
        <v>3894</v>
      </c>
      <c r="E35" t="s">
        <v>6130</v>
      </c>
    </row>
    <row r="36" spans="1:5" ht="15" customHeight="1" x14ac:dyDescent="0.25">
      <c r="A36" t="s">
        <v>6135</v>
      </c>
      <c r="B36" t="s">
        <v>3893</v>
      </c>
      <c r="C36" t="s">
        <v>397</v>
      </c>
      <c r="D36" t="s">
        <v>6091</v>
      </c>
      <c r="E36" t="s">
        <v>6130</v>
      </c>
    </row>
    <row r="37" spans="1:5" ht="15" customHeight="1" x14ac:dyDescent="0.25">
      <c r="A37" t="s">
        <v>6136</v>
      </c>
      <c r="B37" t="s">
        <v>3893</v>
      </c>
      <c r="C37" t="s">
        <v>351</v>
      </c>
      <c r="D37" t="s">
        <v>5921</v>
      </c>
      <c r="E37" t="s">
        <v>6137</v>
      </c>
    </row>
    <row r="38" spans="1:5" ht="15" customHeight="1" x14ac:dyDescent="0.25">
      <c r="A38" t="s">
        <v>6138</v>
      </c>
      <c r="B38" t="s">
        <v>3896</v>
      </c>
      <c r="C38" t="s">
        <v>351</v>
      </c>
      <c r="D38" t="s">
        <v>5832</v>
      </c>
      <c r="E38" t="s">
        <v>6137</v>
      </c>
    </row>
    <row r="39" spans="1:5" ht="15" customHeight="1" x14ac:dyDescent="0.25">
      <c r="A39" t="s">
        <v>6139</v>
      </c>
      <c r="B39" t="s">
        <v>6095</v>
      </c>
      <c r="C39" t="s">
        <v>351</v>
      </c>
      <c r="D39" t="s">
        <v>5846</v>
      </c>
      <c r="E39" t="s">
        <v>6137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3268</v>
      </c>
      <c r="J1" t="s">
        <v>2949</v>
      </c>
    </row>
    <row r="2" spans="1:10" ht="15" customHeight="1" x14ac:dyDescent="0.25">
      <c r="A2" t="s">
        <v>2950</v>
      </c>
      <c r="B2" t="s">
        <v>2951</v>
      </c>
      <c r="C2" t="s">
        <v>2952</v>
      </c>
      <c r="D2" t="s">
        <v>3269</v>
      </c>
      <c r="E2" t="s">
        <v>3270</v>
      </c>
      <c r="F2" t="s">
        <v>347</v>
      </c>
      <c r="G2" t="s">
        <v>2955</v>
      </c>
      <c r="H2" t="s">
        <v>2956</v>
      </c>
      <c r="I2" t="s">
        <v>2905</v>
      </c>
      <c r="J2" t="s">
        <v>2889</v>
      </c>
    </row>
    <row r="3" spans="1:10" ht="15" customHeight="1" x14ac:dyDescent="0.25">
      <c r="A3" t="s">
        <v>2957</v>
      </c>
      <c r="B3" t="s">
        <v>2958</v>
      </c>
      <c r="C3" t="s">
        <v>2959</v>
      </c>
      <c r="D3" t="s">
        <v>3271</v>
      </c>
      <c r="E3" t="s">
        <v>3272</v>
      </c>
      <c r="F3" t="s">
        <v>1954</v>
      </c>
      <c r="G3" t="s">
        <v>2962</v>
      </c>
      <c r="H3" t="s">
        <v>2957</v>
      </c>
      <c r="I3" t="s">
        <v>2905</v>
      </c>
      <c r="J3" t="s">
        <v>2963</v>
      </c>
    </row>
    <row r="4" spans="1:10" ht="15" customHeight="1" x14ac:dyDescent="0.25">
      <c r="A4" t="s">
        <v>3273</v>
      </c>
      <c r="B4" t="s">
        <v>2970</v>
      </c>
      <c r="C4" t="s">
        <v>3274</v>
      </c>
      <c r="D4" t="s">
        <v>3275</v>
      </c>
      <c r="E4" t="s">
        <v>3276</v>
      </c>
      <c r="F4" t="s">
        <v>1358</v>
      </c>
      <c r="G4" t="s">
        <v>3277</v>
      </c>
      <c r="H4" t="s">
        <v>3278</v>
      </c>
      <c r="I4" t="s">
        <v>2905</v>
      </c>
      <c r="J4" t="s">
        <v>2963</v>
      </c>
    </row>
    <row r="5" spans="1:10" ht="15" customHeight="1" x14ac:dyDescent="0.25">
      <c r="A5" t="s">
        <v>3279</v>
      </c>
      <c r="B5" t="s">
        <v>2958</v>
      </c>
      <c r="C5" t="s">
        <v>3280</v>
      </c>
      <c r="D5" t="s">
        <v>3281</v>
      </c>
      <c r="E5" t="s">
        <v>3282</v>
      </c>
      <c r="F5" t="s">
        <v>828</v>
      </c>
      <c r="G5" t="s">
        <v>3283</v>
      </c>
      <c r="H5" t="s">
        <v>3284</v>
      </c>
      <c r="I5" t="s">
        <v>2905</v>
      </c>
      <c r="J5" t="s">
        <v>2968</v>
      </c>
    </row>
    <row r="6" spans="1:10" ht="15" customHeight="1" x14ac:dyDescent="0.25">
      <c r="A6" t="s">
        <v>3285</v>
      </c>
      <c r="B6" t="s">
        <v>2970</v>
      </c>
      <c r="C6" t="s">
        <v>3274</v>
      </c>
      <c r="D6" t="s">
        <v>3286</v>
      </c>
      <c r="E6" t="s">
        <v>3287</v>
      </c>
      <c r="F6" t="s">
        <v>828</v>
      </c>
      <c r="G6" t="s">
        <v>3288</v>
      </c>
      <c r="H6" t="s">
        <v>3285</v>
      </c>
      <c r="I6" t="s">
        <v>2905</v>
      </c>
      <c r="J6" t="s">
        <v>3289</v>
      </c>
    </row>
    <row r="7" spans="1:10" ht="15" customHeight="1" x14ac:dyDescent="0.25">
      <c r="A7" t="s">
        <v>3290</v>
      </c>
      <c r="B7" t="s">
        <v>2970</v>
      </c>
      <c r="C7" t="s">
        <v>2959</v>
      </c>
      <c r="D7" t="s">
        <v>3291</v>
      </c>
      <c r="E7" t="s">
        <v>3292</v>
      </c>
      <c r="F7" t="s">
        <v>1358</v>
      </c>
      <c r="G7" t="s">
        <v>3293</v>
      </c>
      <c r="H7" t="s">
        <v>3294</v>
      </c>
      <c r="I7" t="s">
        <v>2905</v>
      </c>
      <c r="J7" t="s">
        <v>2963</v>
      </c>
    </row>
    <row r="8" spans="1:10" ht="15" customHeight="1" x14ac:dyDescent="0.25">
      <c r="A8" t="s">
        <v>3295</v>
      </c>
      <c r="B8" t="s">
        <v>2951</v>
      </c>
      <c r="C8" t="s">
        <v>3296</v>
      </c>
      <c r="D8" t="s">
        <v>3297</v>
      </c>
      <c r="E8" t="s">
        <v>3298</v>
      </c>
      <c r="F8" t="s">
        <v>1330</v>
      </c>
      <c r="G8" t="s">
        <v>3299</v>
      </c>
      <c r="H8" t="s">
        <v>3300</v>
      </c>
      <c r="I8" t="s">
        <v>2905</v>
      </c>
      <c r="J8" t="s">
        <v>2968</v>
      </c>
    </row>
    <row r="9" spans="1:10" ht="15" customHeight="1" x14ac:dyDescent="0.25">
      <c r="A9" t="s">
        <v>3301</v>
      </c>
      <c r="B9" t="s">
        <v>2951</v>
      </c>
      <c r="C9" t="s">
        <v>2959</v>
      </c>
      <c r="D9" t="s">
        <v>3302</v>
      </c>
      <c r="E9" t="s">
        <v>3303</v>
      </c>
      <c r="F9" t="s">
        <v>1358</v>
      </c>
      <c r="G9" t="s">
        <v>3304</v>
      </c>
      <c r="H9" t="s">
        <v>3305</v>
      </c>
      <c r="I9" t="s">
        <v>2905</v>
      </c>
      <c r="J9" t="s">
        <v>3306</v>
      </c>
    </row>
    <row r="10" spans="1:10" ht="15" customHeight="1" x14ac:dyDescent="0.25">
      <c r="A10" t="s">
        <v>3307</v>
      </c>
      <c r="B10" t="s">
        <v>2951</v>
      </c>
      <c r="C10" t="s">
        <v>2959</v>
      </c>
      <c r="D10" t="s">
        <v>3308</v>
      </c>
      <c r="E10" t="s">
        <v>3309</v>
      </c>
      <c r="F10" t="s">
        <v>1954</v>
      </c>
      <c r="G10" t="s">
        <v>3310</v>
      </c>
      <c r="H10" t="s">
        <v>3311</v>
      </c>
      <c r="I10" t="s">
        <v>2905</v>
      </c>
      <c r="J10" t="s">
        <v>2889</v>
      </c>
    </row>
    <row r="11" spans="1:10" ht="15" customHeight="1" x14ac:dyDescent="0.25">
      <c r="A11" t="s">
        <v>3312</v>
      </c>
      <c r="B11" t="s">
        <v>2958</v>
      </c>
      <c r="C11" t="s">
        <v>3274</v>
      </c>
      <c r="D11" t="s">
        <v>3313</v>
      </c>
      <c r="E11" t="s">
        <v>3314</v>
      </c>
      <c r="F11" t="s">
        <v>881</v>
      </c>
      <c r="G11" t="s">
        <v>3153</v>
      </c>
      <c r="H11" t="s">
        <v>3315</v>
      </c>
      <c r="I11" t="s">
        <v>2905</v>
      </c>
      <c r="J11" t="s">
        <v>3289</v>
      </c>
    </row>
    <row r="12" spans="1:10" ht="15" customHeight="1" x14ac:dyDescent="0.25">
      <c r="A12" t="s">
        <v>3316</v>
      </c>
      <c r="B12" t="s">
        <v>2951</v>
      </c>
      <c r="C12" t="s">
        <v>3274</v>
      </c>
      <c r="D12" t="s">
        <v>3317</v>
      </c>
      <c r="E12" t="s">
        <v>3318</v>
      </c>
      <c r="F12" t="s">
        <v>1330</v>
      </c>
      <c r="H12" t="s">
        <v>3319</v>
      </c>
      <c r="I12" t="s">
        <v>2905</v>
      </c>
      <c r="J12" t="s">
        <v>3320</v>
      </c>
    </row>
    <row r="13" spans="1:10" ht="15" customHeight="1" x14ac:dyDescent="0.25">
      <c r="A13" t="s">
        <v>3321</v>
      </c>
      <c r="B13" t="s">
        <v>2958</v>
      </c>
      <c r="C13" t="s">
        <v>2959</v>
      </c>
      <c r="D13" t="s">
        <v>3322</v>
      </c>
      <c r="E13" t="s">
        <v>3323</v>
      </c>
      <c r="F13" t="s">
        <v>1954</v>
      </c>
      <c r="G13" t="s">
        <v>3324</v>
      </c>
      <c r="H13" t="s">
        <v>3325</v>
      </c>
      <c r="I13" t="s">
        <v>2905</v>
      </c>
      <c r="J13" t="s">
        <v>2889</v>
      </c>
    </row>
    <row r="14" spans="1:10" ht="15" customHeight="1" x14ac:dyDescent="0.25">
      <c r="A14" t="s">
        <v>3326</v>
      </c>
      <c r="B14" t="s">
        <v>2958</v>
      </c>
      <c r="C14" t="s">
        <v>2977</v>
      </c>
      <c r="D14" t="s">
        <v>3327</v>
      </c>
      <c r="E14" t="s">
        <v>3328</v>
      </c>
      <c r="F14" t="s">
        <v>347</v>
      </c>
      <c r="G14" t="s">
        <v>3329</v>
      </c>
      <c r="H14" t="s">
        <v>3330</v>
      </c>
      <c r="I14" t="s">
        <v>2905</v>
      </c>
      <c r="J14" t="s">
        <v>2968</v>
      </c>
    </row>
    <row r="15" spans="1:10" ht="15" customHeight="1" x14ac:dyDescent="0.25">
      <c r="A15" t="s">
        <v>3331</v>
      </c>
      <c r="B15" t="s">
        <v>2905</v>
      </c>
      <c r="C15" t="s">
        <v>3332</v>
      </c>
      <c r="D15" t="s">
        <v>3333</v>
      </c>
      <c r="F15" t="s">
        <v>1044</v>
      </c>
      <c r="H15" t="s">
        <v>3334</v>
      </c>
      <c r="I15" t="s">
        <v>2905</v>
      </c>
      <c r="J15" t="s">
        <v>3332</v>
      </c>
    </row>
    <row r="16" spans="1:10" ht="15" customHeight="1" x14ac:dyDescent="0.25">
      <c r="A16" t="s">
        <v>3335</v>
      </c>
      <c r="B16" t="s">
        <v>2905</v>
      </c>
      <c r="C16" t="s">
        <v>3332</v>
      </c>
      <c r="D16" t="s">
        <v>3336</v>
      </c>
      <c r="F16" t="s">
        <v>1044</v>
      </c>
      <c r="H16" t="s">
        <v>3337</v>
      </c>
      <c r="I16" t="s">
        <v>2905</v>
      </c>
      <c r="J16" t="s">
        <v>3332</v>
      </c>
    </row>
    <row r="17" spans="1:10" ht="15" customHeight="1" x14ac:dyDescent="0.25">
      <c r="A17" t="s">
        <v>3338</v>
      </c>
      <c r="B17" t="s">
        <v>2905</v>
      </c>
      <c r="C17" t="s">
        <v>3332</v>
      </c>
      <c r="D17" t="s">
        <v>3339</v>
      </c>
      <c r="F17" t="s">
        <v>1044</v>
      </c>
      <c r="H17" t="s">
        <v>3340</v>
      </c>
      <c r="I17" t="s">
        <v>2905</v>
      </c>
      <c r="J17" t="s">
        <v>3332</v>
      </c>
    </row>
    <row r="18" spans="1:10" ht="15" customHeight="1" x14ac:dyDescent="0.25">
      <c r="A18" t="s">
        <v>3341</v>
      </c>
      <c r="B18" t="s">
        <v>2905</v>
      </c>
      <c r="C18" t="s">
        <v>3332</v>
      </c>
      <c r="D18" t="s">
        <v>3342</v>
      </c>
      <c r="F18" t="s">
        <v>1044</v>
      </c>
      <c r="H18" t="s">
        <v>3343</v>
      </c>
      <c r="I18" t="s">
        <v>2905</v>
      </c>
      <c r="J18" t="s">
        <v>3332</v>
      </c>
    </row>
    <row r="19" spans="1:10" ht="15" customHeight="1" x14ac:dyDescent="0.25">
      <c r="A19" t="s">
        <v>3344</v>
      </c>
      <c r="B19" t="s">
        <v>2905</v>
      </c>
      <c r="C19" t="s">
        <v>3332</v>
      </c>
      <c r="D19" t="s">
        <v>3345</v>
      </c>
      <c r="F19" t="s">
        <v>1044</v>
      </c>
      <c r="H19" t="s">
        <v>3346</v>
      </c>
      <c r="I19" t="s">
        <v>2905</v>
      </c>
      <c r="J19" t="s">
        <v>3332</v>
      </c>
    </row>
    <row r="20" spans="1:10" ht="15" customHeight="1" x14ac:dyDescent="0.25">
      <c r="A20" t="s">
        <v>3347</v>
      </c>
      <c r="B20" t="s">
        <v>2905</v>
      </c>
      <c r="C20" t="s">
        <v>3332</v>
      </c>
      <c r="D20" t="s">
        <v>3348</v>
      </c>
      <c r="F20" t="s">
        <v>1044</v>
      </c>
      <c r="H20" t="s">
        <v>3349</v>
      </c>
      <c r="I20" t="s">
        <v>2905</v>
      </c>
      <c r="J20" t="s">
        <v>3332</v>
      </c>
    </row>
    <row r="21" spans="1:10" ht="15" customHeight="1" x14ac:dyDescent="0.25">
      <c r="A21" t="s">
        <v>3350</v>
      </c>
      <c r="B21" t="s">
        <v>2970</v>
      </c>
      <c r="C21" t="s">
        <v>3280</v>
      </c>
      <c r="D21" t="s">
        <v>3351</v>
      </c>
      <c r="E21" t="s">
        <v>3352</v>
      </c>
      <c r="F21" t="s">
        <v>347</v>
      </c>
      <c r="G21" t="s">
        <v>3353</v>
      </c>
      <c r="H21" t="s">
        <v>3354</v>
      </c>
      <c r="I21" t="s">
        <v>2905</v>
      </c>
      <c r="J21" t="s">
        <v>3355</v>
      </c>
    </row>
    <row r="22" spans="1:10" ht="15" customHeight="1" x14ac:dyDescent="0.25">
      <c r="A22" t="s">
        <v>3356</v>
      </c>
      <c r="B22" t="s">
        <v>2958</v>
      </c>
      <c r="C22" t="s">
        <v>3009</v>
      </c>
      <c r="D22" t="s">
        <v>3357</v>
      </c>
      <c r="E22" t="s">
        <v>3358</v>
      </c>
      <c r="F22" t="s">
        <v>1358</v>
      </c>
      <c r="G22" t="s">
        <v>3359</v>
      </c>
      <c r="H22" t="s">
        <v>3360</v>
      </c>
      <c r="I22" t="s">
        <v>2905</v>
      </c>
      <c r="J22" t="s">
        <v>2968</v>
      </c>
    </row>
    <row r="23" spans="1:10" ht="15" customHeight="1" x14ac:dyDescent="0.25">
      <c r="A23" t="s">
        <v>3361</v>
      </c>
      <c r="B23" t="s">
        <v>2951</v>
      </c>
      <c r="C23" t="s">
        <v>2959</v>
      </c>
      <c r="D23" t="s">
        <v>3362</v>
      </c>
      <c r="E23" t="s">
        <v>3363</v>
      </c>
      <c r="F23" t="s">
        <v>1358</v>
      </c>
      <c r="H23" t="s">
        <v>3364</v>
      </c>
      <c r="I23" t="s">
        <v>2905</v>
      </c>
      <c r="J23" t="s">
        <v>3306</v>
      </c>
    </row>
    <row r="24" spans="1:10" ht="15" customHeight="1" x14ac:dyDescent="0.25">
      <c r="A24" t="s">
        <v>3365</v>
      </c>
      <c r="B24" t="s">
        <v>2951</v>
      </c>
      <c r="C24" t="s">
        <v>2959</v>
      </c>
      <c r="D24" t="s">
        <v>3366</v>
      </c>
      <c r="E24" t="s">
        <v>3367</v>
      </c>
      <c r="F24" t="s">
        <v>1358</v>
      </c>
      <c r="G24" t="s">
        <v>3368</v>
      </c>
      <c r="H24" t="s">
        <v>3369</v>
      </c>
      <c r="I24" t="s">
        <v>2905</v>
      </c>
      <c r="J24" t="s">
        <v>2963</v>
      </c>
    </row>
    <row r="25" spans="1:10" ht="15" customHeight="1" x14ac:dyDescent="0.25">
      <c r="A25" t="s">
        <v>3370</v>
      </c>
      <c r="B25" t="s">
        <v>2970</v>
      </c>
      <c r="C25" t="s">
        <v>2959</v>
      </c>
      <c r="D25" t="s">
        <v>3371</v>
      </c>
      <c r="E25" t="s">
        <v>3372</v>
      </c>
      <c r="F25" t="s">
        <v>1954</v>
      </c>
      <c r="G25" t="s">
        <v>3373</v>
      </c>
      <c r="H25" t="s">
        <v>3374</v>
      </c>
      <c r="I25" t="s">
        <v>2905</v>
      </c>
      <c r="J25" t="s">
        <v>3306</v>
      </c>
    </row>
    <row r="26" spans="1:10" ht="15" customHeight="1" x14ac:dyDescent="0.25">
      <c r="A26" t="s">
        <v>2916</v>
      </c>
      <c r="B26" t="s">
        <v>2982</v>
      </c>
      <c r="C26" t="s">
        <v>2959</v>
      </c>
      <c r="D26" t="s">
        <v>3375</v>
      </c>
      <c r="E26" t="s">
        <v>3376</v>
      </c>
      <c r="F26" t="s">
        <v>1954</v>
      </c>
      <c r="H26" t="s">
        <v>2985</v>
      </c>
      <c r="I26" t="s">
        <v>2905</v>
      </c>
      <c r="J26" t="s">
        <v>2889</v>
      </c>
    </row>
    <row r="27" spans="1:10" ht="15" customHeight="1" x14ac:dyDescent="0.25">
      <c r="A27" t="s">
        <v>3377</v>
      </c>
      <c r="B27" t="s">
        <v>2951</v>
      </c>
      <c r="C27" t="s">
        <v>3280</v>
      </c>
      <c r="D27" t="s">
        <v>3378</v>
      </c>
      <c r="E27" t="s">
        <v>3379</v>
      </c>
      <c r="F27" t="s">
        <v>1954</v>
      </c>
      <c r="G27" t="s">
        <v>2989</v>
      </c>
      <c r="H27" t="s">
        <v>3380</v>
      </c>
      <c r="I27" t="s">
        <v>2905</v>
      </c>
      <c r="J27" t="s">
        <v>3381</v>
      </c>
    </row>
    <row r="28" spans="1:10" ht="15" customHeight="1" x14ac:dyDescent="0.25">
      <c r="A28" t="s">
        <v>3382</v>
      </c>
      <c r="B28" t="s">
        <v>2970</v>
      </c>
      <c r="C28" t="s">
        <v>3280</v>
      </c>
      <c r="D28" t="s">
        <v>3383</v>
      </c>
      <c r="E28" t="s">
        <v>3384</v>
      </c>
      <c r="F28" t="s">
        <v>347</v>
      </c>
      <c r="H28" t="s">
        <v>3382</v>
      </c>
      <c r="I28" t="s">
        <v>2905</v>
      </c>
      <c r="J28" t="s">
        <v>2968</v>
      </c>
    </row>
    <row r="29" spans="1:10" ht="15" customHeight="1" x14ac:dyDescent="0.25">
      <c r="A29" t="s">
        <v>3385</v>
      </c>
      <c r="B29" t="s">
        <v>2951</v>
      </c>
      <c r="C29" t="s">
        <v>2959</v>
      </c>
      <c r="D29" t="s">
        <v>3386</v>
      </c>
      <c r="E29" t="s">
        <v>3387</v>
      </c>
      <c r="F29" t="s">
        <v>1954</v>
      </c>
      <c r="G29" t="s">
        <v>2962</v>
      </c>
      <c r="H29" t="s">
        <v>3388</v>
      </c>
      <c r="I29" t="s">
        <v>2905</v>
      </c>
      <c r="J29" t="s">
        <v>2963</v>
      </c>
    </row>
    <row r="30" spans="1:10" ht="15" customHeight="1" x14ac:dyDescent="0.25">
      <c r="A30" t="s">
        <v>3389</v>
      </c>
      <c r="B30" t="s">
        <v>2970</v>
      </c>
      <c r="C30" t="s">
        <v>2959</v>
      </c>
      <c r="D30" t="s">
        <v>3390</v>
      </c>
      <c r="E30" t="s">
        <v>3391</v>
      </c>
      <c r="F30" t="s">
        <v>2199</v>
      </c>
      <c r="H30" t="s">
        <v>3392</v>
      </c>
      <c r="I30" t="s">
        <v>2905</v>
      </c>
      <c r="J30" t="s">
        <v>2889</v>
      </c>
    </row>
    <row r="31" spans="1:10" ht="15" customHeight="1" x14ac:dyDescent="0.25">
      <c r="A31" t="s">
        <v>3393</v>
      </c>
      <c r="B31" t="s">
        <v>2958</v>
      </c>
      <c r="C31" t="s">
        <v>3009</v>
      </c>
      <c r="D31" t="s">
        <v>3394</v>
      </c>
      <c r="E31" t="s">
        <v>3395</v>
      </c>
      <c r="F31" t="s">
        <v>1358</v>
      </c>
      <c r="G31" t="s">
        <v>3359</v>
      </c>
      <c r="H31" t="s">
        <v>3393</v>
      </c>
      <c r="I31" t="s">
        <v>2905</v>
      </c>
      <c r="J31" t="s">
        <v>2968</v>
      </c>
    </row>
    <row r="32" spans="1:10" ht="15" customHeight="1" x14ac:dyDescent="0.25">
      <c r="A32" t="s">
        <v>3396</v>
      </c>
      <c r="B32" t="s">
        <v>2970</v>
      </c>
      <c r="C32" t="s">
        <v>2959</v>
      </c>
      <c r="D32" t="s">
        <v>3397</v>
      </c>
      <c r="E32" t="s">
        <v>3398</v>
      </c>
      <c r="F32" t="s">
        <v>1072</v>
      </c>
      <c r="G32" t="s">
        <v>3399</v>
      </c>
      <c r="H32" t="s">
        <v>3400</v>
      </c>
      <c r="I32" t="s">
        <v>2905</v>
      </c>
      <c r="J32" t="s">
        <v>3401</v>
      </c>
    </row>
    <row r="33" spans="1:10" ht="15" customHeight="1" x14ac:dyDescent="0.25">
      <c r="A33" t="s">
        <v>3402</v>
      </c>
      <c r="B33" t="s">
        <v>2951</v>
      </c>
      <c r="C33" t="s">
        <v>3280</v>
      </c>
      <c r="D33" t="s">
        <v>3403</v>
      </c>
      <c r="E33" t="s">
        <v>3404</v>
      </c>
      <c r="F33" t="s">
        <v>2199</v>
      </c>
      <c r="G33" t="s">
        <v>3405</v>
      </c>
      <c r="H33" t="s">
        <v>3406</v>
      </c>
      <c r="I33" t="s">
        <v>2905</v>
      </c>
      <c r="J33" t="s">
        <v>2968</v>
      </c>
    </row>
    <row r="34" spans="1:10" ht="15" customHeight="1" x14ac:dyDescent="0.25">
      <c r="A34" t="s">
        <v>2986</v>
      </c>
      <c r="B34" t="s">
        <v>2970</v>
      </c>
      <c r="C34" t="s">
        <v>2959</v>
      </c>
      <c r="D34" t="s">
        <v>2987</v>
      </c>
      <c r="E34" t="s">
        <v>3407</v>
      </c>
      <c r="F34" t="s">
        <v>2356</v>
      </c>
      <c r="G34" t="s">
        <v>2989</v>
      </c>
      <c r="H34" t="s">
        <v>2986</v>
      </c>
      <c r="I34" t="s">
        <v>2905</v>
      </c>
      <c r="J34" t="s">
        <v>2990</v>
      </c>
    </row>
    <row r="35" spans="1:10" ht="15" customHeight="1" x14ac:dyDescent="0.25">
      <c r="A35" t="s">
        <v>2920</v>
      </c>
      <c r="B35" t="s">
        <v>2970</v>
      </c>
      <c r="C35" t="s">
        <v>3408</v>
      </c>
      <c r="D35" t="s">
        <v>3409</v>
      </c>
      <c r="E35" t="s">
        <v>3410</v>
      </c>
      <c r="F35" t="s">
        <v>2199</v>
      </c>
      <c r="G35" t="s">
        <v>182</v>
      </c>
      <c r="H35" t="s">
        <v>2920</v>
      </c>
      <c r="I35" t="s">
        <v>2905</v>
      </c>
      <c r="J35" t="s">
        <v>2968</v>
      </c>
    </row>
    <row r="36" spans="1:10" ht="15" customHeight="1" x14ac:dyDescent="0.25">
      <c r="A36" t="s">
        <v>3411</v>
      </c>
      <c r="B36" t="s">
        <v>2970</v>
      </c>
      <c r="C36" t="s">
        <v>2959</v>
      </c>
      <c r="D36" t="s">
        <v>3412</v>
      </c>
      <c r="E36" t="s">
        <v>3413</v>
      </c>
      <c r="F36" t="s">
        <v>1954</v>
      </c>
      <c r="G36" t="s">
        <v>3414</v>
      </c>
      <c r="H36" t="s">
        <v>3415</v>
      </c>
      <c r="I36" t="s">
        <v>2905</v>
      </c>
      <c r="J36" t="s">
        <v>3416</v>
      </c>
    </row>
    <row r="37" spans="1:10" ht="15" customHeight="1" x14ac:dyDescent="0.25">
      <c r="A37" t="s">
        <v>3417</v>
      </c>
      <c r="B37" t="s">
        <v>2951</v>
      </c>
      <c r="C37" t="s">
        <v>3418</v>
      </c>
      <c r="D37" t="s">
        <v>3419</v>
      </c>
      <c r="E37" t="s">
        <v>3420</v>
      </c>
      <c r="F37" t="s">
        <v>2199</v>
      </c>
      <c r="G37" t="s">
        <v>3421</v>
      </c>
      <c r="H37" t="s">
        <v>3422</v>
      </c>
      <c r="I37" t="s">
        <v>2905</v>
      </c>
      <c r="J37" t="s">
        <v>3306</v>
      </c>
    </row>
    <row r="38" spans="1:10" ht="15" customHeight="1" x14ac:dyDescent="0.25">
      <c r="A38" t="s">
        <v>3423</v>
      </c>
      <c r="B38" t="s">
        <v>2970</v>
      </c>
      <c r="C38" t="s">
        <v>2991</v>
      </c>
      <c r="D38" t="s">
        <v>3424</v>
      </c>
      <c r="F38" t="s">
        <v>2199</v>
      </c>
      <c r="G38" t="s">
        <v>3425</v>
      </c>
      <c r="H38" t="s">
        <v>3426</v>
      </c>
      <c r="I38" t="s">
        <v>2905</v>
      </c>
      <c r="J38" t="s">
        <v>3427</v>
      </c>
    </row>
    <row r="39" spans="1:10" ht="15" customHeight="1" x14ac:dyDescent="0.25">
      <c r="A39" t="s">
        <v>3428</v>
      </c>
      <c r="B39" t="s">
        <v>2970</v>
      </c>
      <c r="C39" t="s">
        <v>2959</v>
      </c>
      <c r="D39" t="s">
        <v>3429</v>
      </c>
      <c r="E39" t="s">
        <v>3430</v>
      </c>
      <c r="F39" t="s">
        <v>902</v>
      </c>
      <c r="G39" t="s">
        <v>3431</v>
      </c>
      <c r="H39" t="s">
        <v>3432</v>
      </c>
      <c r="I39" t="s">
        <v>2905</v>
      </c>
      <c r="J39" t="s">
        <v>3433</v>
      </c>
    </row>
    <row r="40" spans="1:10" ht="15" customHeight="1" x14ac:dyDescent="0.25">
      <c r="A40" t="s">
        <v>3434</v>
      </c>
      <c r="B40" t="s">
        <v>2970</v>
      </c>
      <c r="C40" t="s">
        <v>3274</v>
      </c>
      <c r="D40" t="s">
        <v>3435</v>
      </c>
      <c r="E40" t="s">
        <v>3436</v>
      </c>
      <c r="F40" t="s">
        <v>1330</v>
      </c>
      <c r="H40" t="s">
        <v>3434</v>
      </c>
      <c r="I40" t="s">
        <v>2905</v>
      </c>
      <c r="J40" t="s">
        <v>3306</v>
      </c>
    </row>
    <row r="41" spans="1:10" ht="15" customHeight="1" x14ac:dyDescent="0.25">
      <c r="A41" t="s">
        <v>3437</v>
      </c>
      <c r="B41" t="s">
        <v>2958</v>
      </c>
      <c r="C41" t="s">
        <v>3009</v>
      </c>
      <c r="D41" t="s">
        <v>3438</v>
      </c>
      <c r="E41" t="s">
        <v>3439</v>
      </c>
      <c r="F41" t="s">
        <v>1358</v>
      </c>
      <c r="G41" t="s">
        <v>3359</v>
      </c>
      <c r="H41" t="s">
        <v>3440</v>
      </c>
      <c r="I41" t="s">
        <v>2905</v>
      </c>
      <c r="J41" t="s">
        <v>2968</v>
      </c>
    </row>
    <row r="42" spans="1:10" ht="15" customHeight="1" x14ac:dyDescent="0.25">
      <c r="A42" t="s">
        <v>3441</v>
      </c>
      <c r="B42" t="s">
        <v>2951</v>
      </c>
      <c r="C42" t="s">
        <v>2959</v>
      </c>
      <c r="D42" t="s">
        <v>3442</v>
      </c>
      <c r="E42" t="s">
        <v>3443</v>
      </c>
      <c r="F42" t="s">
        <v>2356</v>
      </c>
      <c r="G42" t="s">
        <v>3299</v>
      </c>
      <c r="H42" t="s">
        <v>3441</v>
      </c>
      <c r="I42" t="s">
        <v>2905</v>
      </c>
      <c r="J42" t="s">
        <v>3306</v>
      </c>
    </row>
    <row r="43" spans="1:10" ht="15" customHeight="1" x14ac:dyDescent="0.25">
      <c r="A43" t="s">
        <v>3444</v>
      </c>
      <c r="B43" t="s">
        <v>2951</v>
      </c>
      <c r="C43" t="s">
        <v>2959</v>
      </c>
      <c r="D43" t="s">
        <v>3445</v>
      </c>
      <c r="E43" t="s">
        <v>3446</v>
      </c>
      <c r="F43" t="s">
        <v>1954</v>
      </c>
      <c r="G43" t="s">
        <v>3447</v>
      </c>
      <c r="H43" t="s">
        <v>3448</v>
      </c>
      <c r="I43" t="s">
        <v>2905</v>
      </c>
      <c r="J43" t="s">
        <v>3449</v>
      </c>
    </row>
    <row r="44" spans="1:10" ht="15" customHeight="1" x14ac:dyDescent="0.25">
      <c r="A44" t="s">
        <v>3450</v>
      </c>
      <c r="B44" t="s">
        <v>2951</v>
      </c>
      <c r="C44" t="s">
        <v>2959</v>
      </c>
      <c r="D44" t="s">
        <v>3451</v>
      </c>
      <c r="E44" t="s">
        <v>3452</v>
      </c>
      <c r="F44" t="s">
        <v>1358</v>
      </c>
      <c r="G44" t="s">
        <v>3453</v>
      </c>
      <c r="H44" t="s">
        <v>3454</v>
      </c>
      <c r="I44" t="s">
        <v>2905</v>
      </c>
      <c r="J44" t="s">
        <v>3306</v>
      </c>
    </row>
    <row r="45" spans="1:10" ht="15" customHeight="1" x14ac:dyDescent="0.25">
      <c r="A45" t="s">
        <v>3455</v>
      </c>
      <c r="B45" t="s">
        <v>2970</v>
      </c>
      <c r="C45" t="s">
        <v>2959</v>
      </c>
      <c r="D45" t="s">
        <v>3456</v>
      </c>
      <c r="E45" t="s">
        <v>3457</v>
      </c>
      <c r="F45" t="s">
        <v>2356</v>
      </c>
      <c r="G45" t="s">
        <v>3458</v>
      </c>
      <c r="H45" t="s">
        <v>3459</v>
      </c>
      <c r="I45" t="s">
        <v>2905</v>
      </c>
      <c r="J45" t="s">
        <v>2968</v>
      </c>
    </row>
    <row r="46" spans="1:10" ht="15" customHeight="1" x14ac:dyDescent="0.25">
      <c r="A46" t="s">
        <v>3460</v>
      </c>
      <c r="B46" t="s">
        <v>2958</v>
      </c>
      <c r="C46" t="s">
        <v>3280</v>
      </c>
      <c r="D46" t="s">
        <v>3461</v>
      </c>
      <c r="E46" t="s">
        <v>3462</v>
      </c>
      <c r="F46" t="s">
        <v>1776</v>
      </c>
      <c r="G46" t="s">
        <v>3463</v>
      </c>
      <c r="H46" t="s">
        <v>3464</v>
      </c>
      <c r="I46" t="s">
        <v>2905</v>
      </c>
      <c r="J46" t="s">
        <v>2968</v>
      </c>
    </row>
    <row r="47" spans="1:10" ht="15" customHeight="1" x14ac:dyDescent="0.25">
      <c r="A47" t="s">
        <v>3465</v>
      </c>
      <c r="B47" t="s">
        <v>2970</v>
      </c>
      <c r="C47" t="s">
        <v>2959</v>
      </c>
      <c r="D47" t="s">
        <v>3466</v>
      </c>
      <c r="E47" t="s">
        <v>3467</v>
      </c>
      <c r="F47" t="s">
        <v>1954</v>
      </c>
      <c r="G47" t="s">
        <v>3468</v>
      </c>
      <c r="H47" t="s">
        <v>3469</v>
      </c>
      <c r="I47" t="s">
        <v>2905</v>
      </c>
      <c r="J47" t="s">
        <v>2990</v>
      </c>
    </row>
    <row r="48" spans="1:10" ht="15" customHeight="1" x14ac:dyDescent="0.25">
      <c r="A48" t="s">
        <v>3470</v>
      </c>
      <c r="B48" t="s">
        <v>2970</v>
      </c>
      <c r="C48" t="s">
        <v>2959</v>
      </c>
      <c r="D48" t="s">
        <v>3471</v>
      </c>
      <c r="E48" t="s">
        <v>3472</v>
      </c>
      <c r="F48" t="s">
        <v>2102</v>
      </c>
      <c r="G48" t="s">
        <v>3473</v>
      </c>
      <c r="H48" t="s">
        <v>3470</v>
      </c>
      <c r="I48" t="s">
        <v>2905</v>
      </c>
      <c r="J48" t="s">
        <v>2963</v>
      </c>
    </row>
    <row r="49" spans="1:10" ht="15" customHeight="1" x14ac:dyDescent="0.25">
      <c r="A49" t="s">
        <v>3474</v>
      </c>
      <c r="B49" t="s">
        <v>2951</v>
      </c>
      <c r="C49" t="s">
        <v>2959</v>
      </c>
      <c r="D49" t="s">
        <v>3475</v>
      </c>
      <c r="E49" t="s">
        <v>3476</v>
      </c>
      <c r="F49" t="s">
        <v>1954</v>
      </c>
      <c r="G49" t="s">
        <v>139</v>
      </c>
      <c r="H49" t="s">
        <v>3474</v>
      </c>
      <c r="I49" t="s">
        <v>2905</v>
      </c>
      <c r="J49" t="s">
        <v>2963</v>
      </c>
    </row>
    <row r="50" spans="1:10" ht="15" customHeight="1" x14ac:dyDescent="0.25">
      <c r="A50" t="s">
        <v>3477</v>
      </c>
      <c r="B50" t="s">
        <v>2958</v>
      </c>
      <c r="C50" t="s">
        <v>3280</v>
      </c>
      <c r="D50" t="s">
        <v>3478</v>
      </c>
      <c r="E50" t="s">
        <v>3479</v>
      </c>
      <c r="F50" t="s">
        <v>2199</v>
      </c>
      <c r="G50" t="s">
        <v>3480</v>
      </c>
      <c r="H50" t="s">
        <v>3481</v>
      </c>
      <c r="I50" t="s">
        <v>2905</v>
      </c>
      <c r="J50" t="s">
        <v>2968</v>
      </c>
    </row>
    <row r="51" spans="1:10" ht="15" customHeight="1" x14ac:dyDescent="0.25">
      <c r="A51" t="s">
        <v>3482</v>
      </c>
      <c r="B51" t="s">
        <v>2951</v>
      </c>
      <c r="C51" t="s">
        <v>2959</v>
      </c>
      <c r="D51" t="s">
        <v>3483</v>
      </c>
      <c r="E51" t="s">
        <v>3484</v>
      </c>
      <c r="F51" t="s">
        <v>902</v>
      </c>
      <c r="G51" t="s">
        <v>3485</v>
      </c>
      <c r="H51" t="s">
        <v>3486</v>
      </c>
      <c r="I51" t="s">
        <v>2905</v>
      </c>
      <c r="J51" t="s">
        <v>3487</v>
      </c>
    </row>
    <row r="52" spans="1:10" ht="15" customHeight="1" x14ac:dyDescent="0.25">
      <c r="A52" t="s">
        <v>3488</v>
      </c>
      <c r="B52" t="s">
        <v>2970</v>
      </c>
      <c r="C52" t="s">
        <v>2959</v>
      </c>
      <c r="D52" t="s">
        <v>3489</v>
      </c>
      <c r="E52" t="s">
        <v>3490</v>
      </c>
      <c r="F52" t="s">
        <v>1954</v>
      </c>
      <c r="H52" t="s">
        <v>3491</v>
      </c>
      <c r="I52" t="s">
        <v>2905</v>
      </c>
      <c r="J52" t="s">
        <v>3492</v>
      </c>
    </row>
    <row r="53" spans="1:10" ht="15" customHeight="1" x14ac:dyDescent="0.25">
      <c r="A53" t="s">
        <v>3493</v>
      </c>
      <c r="B53" t="s">
        <v>2951</v>
      </c>
      <c r="C53" t="s">
        <v>3280</v>
      </c>
      <c r="D53" t="s">
        <v>3494</v>
      </c>
      <c r="E53" t="s">
        <v>3495</v>
      </c>
      <c r="F53" t="s">
        <v>347</v>
      </c>
      <c r="G53" t="s">
        <v>3496</v>
      </c>
      <c r="H53" t="s">
        <v>3493</v>
      </c>
      <c r="I53" t="s">
        <v>2905</v>
      </c>
      <c r="J53" t="s">
        <v>2968</v>
      </c>
    </row>
    <row r="54" spans="1:10" ht="15" customHeight="1" x14ac:dyDescent="0.25">
      <c r="A54" t="s">
        <v>3497</v>
      </c>
      <c r="B54" t="s">
        <v>2958</v>
      </c>
      <c r="C54" t="s">
        <v>3418</v>
      </c>
      <c r="D54" t="s">
        <v>3498</v>
      </c>
      <c r="E54" t="s">
        <v>3499</v>
      </c>
      <c r="F54" t="s">
        <v>1954</v>
      </c>
      <c r="G54" t="s">
        <v>3500</v>
      </c>
      <c r="H54" t="s">
        <v>3501</v>
      </c>
      <c r="I54" t="s">
        <v>2905</v>
      </c>
      <c r="J54" t="s">
        <v>3381</v>
      </c>
    </row>
    <row r="55" spans="1:10" ht="15" customHeight="1" x14ac:dyDescent="0.25">
      <c r="A55" t="s">
        <v>3502</v>
      </c>
      <c r="B55" t="s">
        <v>2970</v>
      </c>
      <c r="C55" t="s">
        <v>2959</v>
      </c>
      <c r="D55" t="s">
        <v>3503</v>
      </c>
      <c r="E55" t="s">
        <v>3504</v>
      </c>
      <c r="F55" t="s">
        <v>2199</v>
      </c>
      <c r="G55" t="s">
        <v>3505</v>
      </c>
      <c r="H55" t="s">
        <v>3506</v>
      </c>
      <c r="I55" t="s">
        <v>2905</v>
      </c>
      <c r="J55" t="s">
        <v>2990</v>
      </c>
    </row>
    <row r="56" spans="1:10" ht="15" customHeight="1" x14ac:dyDescent="0.25">
      <c r="A56" t="s">
        <v>2993</v>
      </c>
      <c r="B56" t="s">
        <v>2958</v>
      </c>
      <c r="C56" t="s">
        <v>2994</v>
      </c>
      <c r="D56" t="s">
        <v>3507</v>
      </c>
      <c r="E56" t="s">
        <v>3508</v>
      </c>
      <c r="F56" t="s">
        <v>2356</v>
      </c>
      <c r="G56" t="s">
        <v>2996</v>
      </c>
      <c r="H56" t="s">
        <v>2997</v>
      </c>
      <c r="I56" t="s">
        <v>2905</v>
      </c>
      <c r="J56" t="s">
        <v>2889</v>
      </c>
    </row>
    <row r="57" spans="1:10" ht="15" customHeight="1" x14ac:dyDescent="0.25">
      <c r="A57" t="s">
        <v>3509</v>
      </c>
      <c r="B57" t="s">
        <v>3030</v>
      </c>
      <c r="C57" t="s">
        <v>2959</v>
      </c>
      <c r="D57" t="s">
        <v>3510</v>
      </c>
      <c r="E57" t="s">
        <v>3511</v>
      </c>
      <c r="F57" t="s">
        <v>2199</v>
      </c>
      <c r="G57" t="s">
        <v>3512</v>
      </c>
      <c r="H57" t="s">
        <v>3513</v>
      </c>
      <c r="I57" t="s">
        <v>2905</v>
      </c>
      <c r="J57" t="s">
        <v>2963</v>
      </c>
    </row>
    <row r="58" spans="1:10" ht="15" customHeight="1" x14ac:dyDescent="0.25">
      <c r="A58" t="s">
        <v>3514</v>
      </c>
      <c r="B58" t="s">
        <v>2970</v>
      </c>
      <c r="C58" t="s">
        <v>2959</v>
      </c>
      <c r="D58" t="s">
        <v>3515</v>
      </c>
      <c r="E58" t="s">
        <v>3516</v>
      </c>
      <c r="F58" t="s">
        <v>1954</v>
      </c>
      <c r="G58" t="s">
        <v>2962</v>
      </c>
      <c r="H58" t="s">
        <v>3517</v>
      </c>
      <c r="I58" t="s">
        <v>2905</v>
      </c>
      <c r="J58" t="s">
        <v>2963</v>
      </c>
    </row>
    <row r="59" spans="1:10" ht="15" customHeight="1" x14ac:dyDescent="0.25">
      <c r="A59" t="s">
        <v>3518</v>
      </c>
      <c r="B59" t="s">
        <v>2951</v>
      </c>
      <c r="C59" t="s">
        <v>2959</v>
      </c>
      <c r="D59" t="s">
        <v>3519</v>
      </c>
      <c r="E59" t="s">
        <v>3520</v>
      </c>
      <c r="F59" t="s">
        <v>1954</v>
      </c>
      <c r="G59" t="s">
        <v>139</v>
      </c>
      <c r="H59" t="s">
        <v>3521</v>
      </c>
      <c r="I59" t="s">
        <v>2905</v>
      </c>
      <c r="J59" t="s">
        <v>3381</v>
      </c>
    </row>
    <row r="60" spans="1:10" ht="15" customHeight="1" x14ac:dyDescent="0.25">
      <c r="A60" t="s">
        <v>3522</v>
      </c>
      <c r="B60" t="s">
        <v>2951</v>
      </c>
      <c r="C60" t="s">
        <v>2959</v>
      </c>
      <c r="D60" t="s">
        <v>3523</v>
      </c>
      <c r="E60" t="s">
        <v>3524</v>
      </c>
      <c r="F60" t="s">
        <v>1358</v>
      </c>
      <c r="G60" t="s">
        <v>3525</v>
      </c>
      <c r="H60" t="s">
        <v>3526</v>
      </c>
      <c r="I60" t="s">
        <v>2905</v>
      </c>
      <c r="J60" t="s">
        <v>3320</v>
      </c>
    </row>
    <row r="61" spans="1:10" ht="15" customHeight="1" x14ac:dyDescent="0.25">
      <c r="A61" t="s">
        <v>3527</v>
      </c>
      <c r="B61" t="s">
        <v>2958</v>
      </c>
      <c r="C61" t="s">
        <v>3296</v>
      </c>
      <c r="D61" t="s">
        <v>3528</v>
      </c>
      <c r="E61" t="s">
        <v>3529</v>
      </c>
      <c r="F61" t="s">
        <v>347</v>
      </c>
      <c r="G61" t="s">
        <v>139</v>
      </c>
      <c r="H61" t="s">
        <v>3527</v>
      </c>
      <c r="I61" t="s">
        <v>2905</v>
      </c>
      <c r="J61" t="s">
        <v>2889</v>
      </c>
    </row>
    <row r="62" spans="1:10" ht="15" customHeight="1" x14ac:dyDescent="0.25">
      <c r="A62" t="s">
        <v>3530</v>
      </c>
      <c r="B62" t="s">
        <v>2951</v>
      </c>
      <c r="C62" t="s">
        <v>2959</v>
      </c>
      <c r="D62" t="s">
        <v>3531</v>
      </c>
      <c r="E62" t="s">
        <v>3532</v>
      </c>
      <c r="F62" t="s">
        <v>2199</v>
      </c>
      <c r="H62" t="s">
        <v>3533</v>
      </c>
      <c r="I62" t="s">
        <v>2905</v>
      </c>
      <c r="J62" t="s">
        <v>3534</v>
      </c>
    </row>
    <row r="63" spans="1:10" ht="15" customHeight="1" x14ac:dyDescent="0.25">
      <c r="A63" t="s">
        <v>3535</v>
      </c>
      <c r="B63" t="s">
        <v>2951</v>
      </c>
      <c r="C63" t="s">
        <v>2959</v>
      </c>
      <c r="D63" t="s">
        <v>3536</v>
      </c>
      <c r="E63" t="s">
        <v>3537</v>
      </c>
      <c r="F63" t="s">
        <v>1358</v>
      </c>
      <c r="G63" t="s">
        <v>3538</v>
      </c>
      <c r="H63" t="s">
        <v>3539</v>
      </c>
      <c r="I63" t="s">
        <v>2905</v>
      </c>
      <c r="J63" t="s">
        <v>3320</v>
      </c>
    </row>
    <row r="64" spans="1:10" ht="15" customHeight="1" x14ac:dyDescent="0.25">
      <c r="A64" t="s">
        <v>3540</v>
      </c>
      <c r="B64" t="s">
        <v>2970</v>
      </c>
      <c r="C64" t="s">
        <v>3280</v>
      </c>
      <c r="D64" t="s">
        <v>3541</v>
      </c>
      <c r="E64" t="s">
        <v>3542</v>
      </c>
      <c r="F64" t="s">
        <v>1776</v>
      </c>
      <c r="G64" t="s">
        <v>3543</v>
      </c>
      <c r="H64" t="s">
        <v>3544</v>
      </c>
      <c r="I64" t="s">
        <v>2905</v>
      </c>
      <c r="J64" t="s">
        <v>2889</v>
      </c>
    </row>
    <row r="65" spans="1:10" ht="15" customHeight="1" x14ac:dyDescent="0.25">
      <c r="A65" t="s">
        <v>3545</v>
      </c>
      <c r="B65" t="s">
        <v>2958</v>
      </c>
      <c r="C65" t="s">
        <v>3274</v>
      </c>
      <c r="D65" t="s">
        <v>3546</v>
      </c>
      <c r="E65" t="s">
        <v>3547</v>
      </c>
      <c r="F65" t="s">
        <v>828</v>
      </c>
      <c r="G65" t="s">
        <v>3153</v>
      </c>
      <c r="H65" t="s">
        <v>3548</v>
      </c>
      <c r="I65" t="s">
        <v>2905</v>
      </c>
      <c r="J65" t="s">
        <v>3306</v>
      </c>
    </row>
    <row r="66" spans="1:10" ht="15" customHeight="1" x14ac:dyDescent="0.25">
      <c r="A66" t="s">
        <v>3549</v>
      </c>
      <c r="B66" t="s">
        <v>2970</v>
      </c>
      <c r="C66" t="s">
        <v>3296</v>
      </c>
      <c r="D66" t="s">
        <v>3550</v>
      </c>
      <c r="E66" t="s">
        <v>3551</v>
      </c>
      <c r="F66" t="s">
        <v>351</v>
      </c>
      <c r="G66" t="s">
        <v>3552</v>
      </c>
      <c r="H66" t="s">
        <v>3553</v>
      </c>
      <c r="I66" t="s">
        <v>2905</v>
      </c>
      <c r="J66" t="s">
        <v>3306</v>
      </c>
    </row>
    <row r="67" spans="1:10" ht="15" customHeight="1" x14ac:dyDescent="0.25">
      <c r="A67" t="s">
        <v>3554</v>
      </c>
      <c r="B67" t="s">
        <v>2958</v>
      </c>
      <c r="C67" t="s">
        <v>3274</v>
      </c>
      <c r="D67" t="s">
        <v>3555</v>
      </c>
      <c r="E67" t="s">
        <v>3556</v>
      </c>
      <c r="F67" t="s">
        <v>828</v>
      </c>
      <c r="G67" t="s">
        <v>3153</v>
      </c>
      <c r="H67" t="s">
        <v>3557</v>
      </c>
      <c r="I67" t="s">
        <v>2905</v>
      </c>
      <c r="J67" t="s">
        <v>3306</v>
      </c>
    </row>
    <row r="68" spans="1:10" ht="15" customHeight="1" x14ac:dyDescent="0.25">
      <c r="A68" t="s">
        <v>3558</v>
      </c>
      <c r="B68" t="s">
        <v>2958</v>
      </c>
      <c r="C68" t="s">
        <v>3280</v>
      </c>
      <c r="D68" t="s">
        <v>3559</v>
      </c>
      <c r="E68" t="s">
        <v>3560</v>
      </c>
      <c r="F68" t="s">
        <v>2199</v>
      </c>
      <c r="H68" t="s">
        <v>3561</v>
      </c>
      <c r="I68" t="s">
        <v>2905</v>
      </c>
      <c r="J68" t="s">
        <v>2968</v>
      </c>
    </row>
    <row r="69" spans="1:10" ht="15" customHeight="1" x14ac:dyDescent="0.25">
      <c r="A69" t="s">
        <v>2998</v>
      </c>
      <c r="B69" t="s">
        <v>2958</v>
      </c>
      <c r="C69" t="s">
        <v>2994</v>
      </c>
      <c r="D69" t="s">
        <v>3562</v>
      </c>
      <c r="E69" t="s">
        <v>3563</v>
      </c>
      <c r="F69" t="s">
        <v>2199</v>
      </c>
      <c r="G69" t="s">
        <v>139</v>
      </c>
      <c r="H69" t="s">
        <v>2998</v>
      </c>
      <c r="I69" t="s">
        <v>2905</v>
      </c>
      <c r="J69" t="s">
        <v>2889</v>
      </c>
    </row>
    <row r="70" spans="1:10" ht="15" customHeight="1" x14ac:dyDescent="0.25">
      <c r="A70" t="s">
        <v>3000</v>
      </c>
      <c r="B70" t="s">
        <v>2951</v>
      </c>
      <c r="C70" t="s">
        <v>2994</v>
      </c>
      <c r="D70" t="s">
        <v>3564</v>
      </c>
      <c r="E70" t="s">
        <v>3565</v>
      </c>
      <c r="F70" t="s">
        <v>1954</v>
      </c>
      <c r="G70" t="s">
        <v>3002</v>
      </c>
      <c r="H70" t="s">
        <v>3000</v>
      </c>
      <c r="I70" t="s">
        <v>2905</v>
      </c>
      <c r="J70" t="s">
        <v>2889</v>
      </c>
    </row>
    <row r="71" spans="1:10" ht="15" customHeight="1" x14ac:dyDescent="0.25">
      <c r="A71" t="s">
        <v>3003</v>
      </c>
      <c r="B71" t="s">
        <v>2970</v>
      </c>
      <c r="C71" t="s">
        <v>2959</v>
      </c>
      <c r="D71" t="s">
        <v>3566</v>
      </c>
      <c r="E71" t="s">
        <v>3567</v>
      </c>
      <c r="F71" t="s">
        <v>1954</v>
      </c>
      <c r="G71" t="s">
        <v>3006</v>
      </c>
      <c r="H71" t="s">
        <v>3007</v>
      </c>
      <c r="I71" t="s">
        <v>2905</v>
      </c>
      <c r="J71" t="s">
        <v>2889</v>
      </c>
    </row>
    <row r="72" spans="1:10" ht="15" customHeight="1" x14ac:dyDescent="0.25">
      <c r="A72" t="s">
        <v>3568</v>
      </c>
      <c r="B72" t="s">
        <v>2970</v>
      </c>
      <c r="C72" t="s">
        <v>2959</v>
      </c>
      <c r="D72" t="s">
        <v>3569</v>
      </c>
      <c r="E72" t="s">
        <v>3570</v>
      </c>
      <c r="F72" t="s">
        <v>1954</v>
      </c>
      <c r="H72" t="s">
        <v>3571</v>
      </c>
      <c r="I72" t="s">
        <v>2905</v>
      </c>
      <c r="J72" t="s">
        <v>3306</v>
      </c>
    </row>
    <row r="73" spans="1:10" ht="15" customHeight="1" x14ac:dyDescent="0.25">
      <c r="A73" t="s">
        <v>3572</v>
      </c>
      <c r="B73" t="s">
        <v>2970</v>
      </c>
      <c r="C73" t="s">
        <v>2959</v>
      </c>
      <c r="D73" t="s">
        <v>3573</v>
      </c>
      <c r="E73" t="s">
        <v>3574</v>
      </c>
      <c r="F73" t="s">
        <v>1358</v>
      </c>
      <c r="G73" t="s">
        <v>3575</v>
      </c>
      <c r="H73" t="s">
        <v>3576</v>
      </c>
      <c r="I73" t="s">
        <v>2905</v>
      </c>
      <c r="J73" t="s">
        <v>2963</v>
      </c>
    </row>
    <row r="74" spans="1:10" ht="15" customHeight="1" x14ac:dyDescent="0.25">
      <c r="A74" t="s">
        <v>3577</v>
      </c>
      <c r="B74" t="s">
        <v>2970</v>
      </c>
      <c r="C74" t="s">
        <v>2959</v>
      </c>
      <c r="D74" t="s">
        <v>3578</v>
      </c>
      <c r="E74" t="s">
        <v>3579</v>
      </c>
      <c r="F74" t="s">
        <v>1954</v>
      </c>
      <c r="G74" t="s">
        <v>3468</v>
      </c>
      <c r="H74" t="s">
        <v>3580</v>
      </c>
      <c r="I74" t="s">
        <v>2905</v>
      </c>
      <c r="J74" t="s">
        <v>2990</v>
      </c>
    </row>
    <row r="75" spans="1:10" ht="15" customHeight="1" x14ac:dyDescent="0.25">
      <c r="A75" t="s">
        <v>3581</v>
      </c>
      <c r="B75" t="s">
        <v>2970</v>
      </c>
      <c r="C75" t="s">
        <v>3280</v>
      </c>
      <c r="D75" t="s">
        <v>3582</v>
      </c>
      <c r="E75" t="s">
        <v>3583</v>
      </c>
      <c r="F75" t="s">
        <v>2199</v>
      </c>
      <c r="H75" t="s">
        <v>3584</v>
      </c>
      <c r="I75" t="s">
        <v>2905</v>
      </c>
      <c r="J75" t="s">
        <v>2968</v>
      </c>
    </row>
    <row r="76" spans="1:10" ht="15" customHeight="1" x14ac:dyDescent="0.25">
      <c r="A76" t="s">
        <v>3585</v>
      </c>
      <c r="B76" t="s">
        <v>2951</v>
      </c>
      <c r="C76" t="s">
        <v>2959</v>
      </c>
      <c r="D76" t="s">
        <v>3586</v>
      </c>
      <c r="E76" t="s">
        <v>3587</v>
      </c>
      <c r="F76" t="s">
        <v>1954</v>
      </c>
      <c r="G76" t="s">
        <v>3588</v>
      </c>
      <c r="H76" t="s">
        <v>3589</v>
      </c>
      <c r="I76" t="s">
        <v>2905</v>
      </c>
      <c r="J76" t="s">
        <v>3590</v>
      </c>
    </row>
    <row r="77" spans="1:10" ht="15" customHeight="1" x14ac:dyDescent="0.25">
      <c r="A77" t="s">
        <v>3591</v>
      </c>
      <c r="B77" t="s">
        <v>2958</v>
      </c>
      <c r="C77" t="s">
        <v>3418</v>
      </c>
      <c r="D77" t="s">
        <v>3592</v>
      </c>
      <c r="E77" t="s">
        <v>3593</v>
      </c>
      <c r="F77" t="s">
        <v>1954</v>
      </c>
      <c r="G77" t="s">
        <v>3594</v>
      </c>
      <c r="H77" t="s">
        <v>3591</v>
      </c>
      <c r="I77" t="s">
        <v>2905</v>
      </c>
      <c r="J77" t="s">
        <v>3595</v>
      </c>
    </row>
    <row r="78" spans="1:10" ht="15" customHeight="1" x14ac:dyDescent="0.25">
      <c r="A78" t="s">
        <v>3596</v>
      </c>
      <c r="B78" t="s">
        <v>2958</v>
      </c>
      <c r="C78" t="s">
        <v>3280</v>
      </c>
      <c r="D78" t="s">
        <v>3597</v>
      </c>
      <c r="E78" t="s">
        <v>3598</v>
      </c>
      <c r="F78" t="s">
        <v>1954</v>
      </c>
      <c r="G78" t="s">
        <v>3599</v>
      </c>
      <c r="H78" t="s">
        <v>3600</v>
      </c>
      <c r="I78" t="s">
        <v>2905</v>
      </c>
      <c r="J78" t="s">
        <v>2968</v>
      </c>
    </row>
    <row r="79" spans="1:10" ht="15" customHeight="1" x14ac:dyDescent="0.25">
      <c r="A79" t="s">
        <v>3601</v>
      </c>
      <c r="B79" t="s">
        <v>2951</v>
      </c>
      <c r="C79" t="s">
        <v>2994</v>
      </c>
      <c r="D79" t="s">
        <v>3602</v>
      </c>
      <c r="E79" t="s">
        <v>3603</v>
      </c>
      <c r="F79" t="s">
        <v>1954</v>
      </c>
      <c r="G79" t="s">
        <v>3505</v>
      </c>
      <c r="H79" t="s">
        <v>3604</v>
      </c>
      <c r="I79" t="s">
        <v>2905</v>
      </c>
      <c r="J79" t="s">
        <v>2990</v>
      </c>
    </row>
    <row r="80" spans="1:10" ht="15" customHeight="1" x14ac:dyDescent="0.25">
      <c r="A80" t="s">
        <v>3605</v>
      </c>
      <c r="B80" t="s">
        <v>2970</v>
      </c>
      <c r="C80" t="s">
        <v>3418</v>
      </c>
      <c r="D80" t="s">
        <v>3606</v>
      </c>
      <c r="E80" t="s">
        <v>3607</v>
      </c>
      <c r="F80" t="s">
        <v>1954</v>
      </c>
      <c r="G80" t="s">
        <v>3608</v>
      </c>
      <c r="H80" t="s">
        <v>3609</v>
      </c>
      <c r="I80" t="s">
        <v>2905</v>
      </c>
      <c r="J80" t="s">
        <v>2963</v>
      </c>
    </row>
    <row r="81" spans="1:10" ht="15" customHeight="1" x14ac:dyDescent="0.25">
      <c r="A81" t="s">
        <v>3610</v>
      </c>
      <c r="B81" t="s">
        <v>2951</v>
      </c>
      <c r="C81" t="s">
        <v>2977</v>
      </c>
      <c r="D81" t="s">
        <v>3611</v>
      </c>
      <c r="E81" t="s">
        <v>3612</v>
      </c>
      <c r="F81" t="s">
        <v>347</v>
      </c>
      <c r="H81" t="s">
        <v>3610</v>
      </c>
      <c r="I81" t="s">
        <v>2905</v>
      </c>
      <c r="J81" t="s">
        <v>3613</v>
      </c>
    </row>
    <row r="82" spans="1:10" ht="15" customHeight="1" x14ac:dyDescent="0.25">
      <c r="A82" t="s">
        <v>3614</v>
      </c>
      <c r="B82" t="s">
        <v>2951</v>
      </c>
      <c r="C82" t="s">
        <v>3296</v>
      </c>
      <c r="D82" t="s">
        <v>3615</v>
      </c>
      <c r="E82" t="s">
        <v>3616</v>
      </c>
      <c r="F82" t="s">
        <v>1358</v>
      </c>
      <c r="G82" t="s">
        <v>3617</v>
      </c>
      <c r="H82" t="s">
        <v>3618</v>
      </c>
      <c r="I82" t="s">
        <v>2905</v>
      </c>
      <c r="J82" t="s">
        <v>2968</v>
      </c>
    </row>
    <row r="83" spans="1:10" ht="15" customHeight="1" x14ac:dyDescent="0.25">
      <c r="A83" t="s">
        <v>3619</v>
      </c>
      <c r="B83" t="s">
        <v>2958</v>
      </c>
      <c r="C83" t="s">
        <v>3418</v>
      </c>
      <c r="D83" t="s">
        <v>3620</v>
      </c>
      <c r="E83" t="s">
        <v>3621</v>
      </c>
      <c r="F83" t="s">
        <v>1954</v>
      </c>
      <c r="H83" t="s">
        <v>3622</v>
      </c>
      <c r="I83" t="s">
        <v>2905</v>
      </c>
      <c r="J83" t="s">
        <v>3306</v>
      </c>
    </row>
    <row r="84" spans="1:10" ht="15" customHeight="1" x14ac:dyDescent="0.25">
      <c r="A84" t="s">
        <v>3623</v>
      </c>
      <c r="B84" t="s">
        <v>2958</v>
      </c>
      <c r="C84" t="s">
        <v>3009</v>
      </c>
      <c r="D84" t="s">
        <v>3624</v>
      </c>
      <c r="E84" t="s">
        <v>3625</v>
      </c>
      <c r="F84" t="s">
        <v>1358</v>
      </c>
      <c r="G84" t="s">
        <v>3359</v>
      </c>
      <c r="H84" t="s">
        <v>3623</v>
      </c>
      <c r="I84" t="s">
        <v>2905</v>
      </c>
      <c r="J84" t="s">
        <v>2963</v>
      </c>
    </row>
    <row r="85" spans="1:10" ht="15" customHeight="1" x14ac:dyDescent="0.25">
      <c r="A85" t="s">
        <v>3626</v>
      </c>
      <c r="B85" t="s">
        <v>2958</v>
      </c>
      <c r="C85" t="s">
        <v>2959</v>
      </c>
      <c r="D85" t="s">
        <v>3627</v>
      </c>
      <c r="E85" t="s">
        <v>3628</v>
      </c>
      <c r="F85" t="s">
        <v>1072</v>
      </c>
      <c r="H85" t="s">
        <v>3629</v>
      </c>
      <c r="I85" t="s">
        <v>2905</v>
      </c>
      <c r="J85" t="s">
        <v>3630</v>
      </c>
    </row>
    <row r="86" spans="1:10" ht="15" customHeight="1" x14ac:dyDescent="0.25">
      <c r="A86" t="s">
        <v>3631</v>
      </c>
      <c r="B86" t="s">
        <v>2951</v>
      </c>
      <c r="C86" t="s">
        <v>3280</v>
      </c>
      <c r="D86" t="s">
        <v>3632</v>
      </c>
      <c r="E86" t="s">
        <v>3633</v>
      </c>
      <c r="F86" t="s">
        <v>1954</v>
      </c>
      <c r="G86" t="s">
        <v>3599</v>
      </c>
      <c r="H86" t="s">
        <v>3634</v>
      </c>
      <c r="I86" t="s">
        <v>2905</v>
      </c>
      <c r="J86" t="s">
        <v>3381</v>
      </c>
    </row>
    <row r="87" spans="1:10" ht="15" customHeight="1" x14ac:dyDescent="0.25">
      <c r="A87" t="s">
        <v>3635</v>
      </c>
      <c r="B87" t="s">
        <v>2951</v>
      </c>
      <c r="C87" t="s">
        <v>2959</v>
      </c>
      <c r="D87" t="s">
        <v>3636</v>
      </c>
      <c r="E87" t="s">
        <v>3637</v>
      </c>
      <c r="F87" t="s">
        <v>1358</v>
      </c>
      <c r="G87" t="s">
        <v>3638</v>
      </c>
      <c r="H87" t="s">
        <v>3639</v>
      </c>
      <c r="I87" t="s">
        <v>2905</v>
      </c>
      <c r="J87" t="s">
        <v>2963</v>
      </c>
    </row>
    <row r="88" spans="1:10" ht="15" customHeight="1" x14ac:dyDescent="0.25">
      <c r="A88" t="s">
        <v>3640</v>
      </c>
      <c r="B88" t="s">
        <v>2951</v>
      </c>
      <c r="C88" t="s">
        <v>2959</v>
      </c>
      <c r="D88" s="4" t="s">
        <v>3641</v>
      </c>
      <c r="E88" s="4" t="s">
        <v>3642</v>
      </c>
      <c r="F88" t="s">
        <v>1358</v>
      </c>
      <c r="G88" t="s">
        <v>3643</v>
      </c>
      <c r="H88" t="s">
        <v>3644</v>
      </c>
      <c r="I88" t="s">
        <v>2905</v>
      </c>
      <c r="J88" t="s">
        <v>2963</v>
      </c>
    </row>
    <row r="89" spans="1:10" ht="15" customHeight="1" x14ac:dyDescent="0.25">
      <c r="A89" t="s">
        <v>3645</v>
      </c>
      <c r="B89" t="s">
        <v>2958</v>
      </c>
      <c r="C89" t="s">
        <v>3280</v>
      </c>
      <c r="D89" t="s">
        <v>3646</v>
      </c>
      <c r="E89" t="s">
        <v>3647</v>
      </c>
      <c r="F89" t="s">
        <v>347</v>
      </c>
      <c r="G89" t="s">
        <v>3353</v>
      </c>
      <c r="H89" t="s">
        <v>3648</v>
      </c>
      <c r="I89" t="s">
        <v>2905</v>
      </c>
      <c r="J89" t="s">
        <v>2968</v>
      </c>
    </row>
    <row r="90" spans="1:10" ht="15" customHeight="1" x14ac:dyDescent="0.25">
      <c r="A90" t="s">
        <v>2931</v>
      </c>
      <c r="B90" t="s">
        <v>2958</v>
      </c>
      <c r="C90" t="s">
        <v>2959</v>
      </c>
      <c r="D90" t="s">
        <v>3649</v>
      </c>
      <c r="E90" t="s">
        <v>3650</v>
      </c>
      <c r="F90" t="s">
        <v>2356</v>
      </c>
      <c r="G90" t="s">
        <v>2996</v>
      </c>
      <c r="H90" t="s">
        <v>2931</v>
      </c>
      <c r="I90" t="s">
        <v>2905</v>
      </c>
      <c r="J90" t="s">
        <v>2889</v>
      </c>
    </row>
    <row r="91" spans="1:10" ht="15" customHeight="1" x14ac:dyDescent="0.25">
      <c r="A91" t="s">
        <v>3651</v>
      </c>
      <c r="B91" t="s">
        <v>2951</v>
      </c>
      <c r="C91" t="s">
        <v>2959</v>
      </c>
      <c r="D91" t="s">
        <v>3652</v>
      </c>
      <c r="E91" t="s">
        <v>3653</v>
      </c>
      <c r="F91" t="s">
        <v>1358</v>
      </c>
      <c r="G91" t="s">
        <v>3310</v>
      </c>
      <c r="H91" t="s">
        <v>3654</v>
      </c>
      <c r="I91" t="s">
        <v>2905</v>
      </c>
      <c r="J91" t="s">
        <v>3306</v>
      </c>
    </row>
    <row r="92" spans="1:10" ht="15" customHeight="1" x14ac:dyDescent="0.25">
      <c r="A92" t="s">
        <v>3655</v>
      </c>
      <c r="B92" t="s">
        <v>2951</v>
      </c>
      <c r="C92" t="s">
        <v>2959</v>
      </c>
      <c r="D92" t="s">
        <v>3656</v>
      </c>
      <c r="E92" t="s">
        <v>3657</v>
      </c>
      <c r="F92" t="s">
        <v>397</v>
      </c>
      <c r="G92" t="s">
        <v>3658</v>
      </c>
      <c r="H92" t="s">
        <v>3659</v>
      </c>
      <c r="I92" t="s">
        <v>2905</v>
      </c>
      <c r="J92" t="s">
        <v>2889</v>
      </c>
    </row>
    <row r="93" spans="1:10" ht="15" customHeight="1" x14ac:dyDescent="0.25">
      <c r="A93" t="s">
        <v>3008</v>
      </c>
      <c r="B93" t="s">
        <v>2970</v>
      </c>
      <c r="C93" t="s">
        <v>3009</v>
      </c>
      <c r="D93" t="s">
        <v>3660</v>
      </c>
      <c r="F93" t="s">
        <v>213</v>
      </c>
      <c r="H93" t="s">
        <v>3012</v>
      </c>
      <c r="I93" t="s">
        <v>2905</v>
      </c>
      <c r="J93" t="s">
        <v>3013</v>
      </c>
    </row>
    <row r="94" spans="1:10" ht="15" customHeight="1" x14ac:dyDescent="0.25">
      <c r="A94" t="s">
        <v>3661</v>
      </c>
      <c r="B94" t="s">
        <v>2982</v>
      </c>
      <c r="C94" t="s">
        <v>2959</v>
      </c>
      <c r="D94" t="s">
        <v>3662</v>
      </c>
      <c r="E94" t="s">
        <v>3663</v>
      </c>
      <c r="F94" t="s">
        <v>1954</v>
      </c>
      <c r="G94" t="s">
        <v>3664</v>
      </c>
      <c r="H94" t="s">
        <v>3665</v>
      </c>
      <c r="I94" t="s">
        <v>2905</v>
      </c>
      <c r="J94" t="s">
        <v>3666</v>
      </c>
    </row>
    <row r="95" spans="1:10" ht="15" customHeight="1" x14ac:dyDescent="0.25">
      <c r="A95" t="s">
        <v>3667</v>
      </c>
      <c r="B95" t="s">
        <v>2951</v>
      </c>
      <c r="C95" t="s">
        <v>3296</v>
      </c>
      <c r="D95" t="s">
        <v>3668</v>
      </c>
      <c r="E95" t="s">
        <v>3669</v>
      </c>
      <c r="F95" t="s">
        <v>2199</v>
      </c>
      <c r="G95" t="s">
        <v>3599</v>
      </c>
      <c r="H95" t="s">
        <v>3670</v>
      </c>
      <c r="I95" t="s">
        <v>2905</v>
      </c>
      <c r="J95" t="s">
        <v>2968</v>
      </c>
    </row>
    <row r="96" spans="1:10" ht="15" customHeight="1" x14ac:dyDescent="0.25">
      <c r="A96" t="s">
        <v>3671</v>
      </c>
      <c r="B96" t="s">
        <v>2958</v>
      </c>
      <c r="C96" t="s">
        <v>3009</v>
      </c>
      <c r="D96" t="s">
        <v>3672</v>
      </c>
      <c r="E96" t="s">
        <v>3673</v>
      </c>
      <c r="F96" t="s">
        <v>1358</v>
      </c>
      <c r="G96" t="s">
        <v>3359</v>
      </c>
      <c r="H96" t="s">
        <v>3674</v>
      </c>
      <c r="I96" t="s">
        <v>2905</v>
      </c>
      <c r="J96" t="s">
        <v>2968</v>
      </c>
    </row>
    <row r="97" spans="1:10" ht="15" customHeight="1" x14ac:dyDescent="0.25">
      <c r="A97" t="s">
        <v>3675</v>
      </c>
      <c r="B97" t="s">
        <v>2970</v>
      </c>
      <c r="C97" t="s">
        <v>3274</v>
      </c>
      <c r="D97" t="s">
        <v>3676</v>
      </c>
      <c r="E97" t="s">
        <v>3677</v>
      </c>
      <c r="F97" t="s">
        <v>1358</v>
      </c>
      <c r="H97" t="s">
        <v>3678</v>
      </c>
      <c r="I97" t="s">
        <v>2905</v>
      </c>
      <c r="J97" t="s">
        <v>3306</v>
      </c>
    </row>
    <row r="98" spans="1:10" ht="15" customHeight="1" x14ac:dyDescent="0.25">
      <c r="A98" t="s">
        <v>3679</v>
      </c>
      <c r="B98" t="s">
        <v>3030</v>
      </c>
      <c r="C98" t="s">
        <v>2959</v>
      </c>
      <c r="D98" t="s">
        <v>3680</v>
      </c>
      <c r="E98" t="s">
        <v>3681</v>
      </c>
      <c r="F98" t="s">
        <v>2199</v>
      </c>
      <c r="G98" t="s">
        <v>3512</v>
      </c>
      <c r="H98" t="s">
        <v>3682</v>
      </c>
      <c r="I98" t="s">
        <v>2905</v>
      </c>
      <c r="J98" t="s">
        <v>2990</v>
      </c>
    </row>
    <row r="99" spans="1:10" ht="15" customHeight="1" x14ac:dyDescent="0.25">
      <c r="A99" t="s">
        <v>3683</v>
      </c>
      <c r="B99" t="s">
        <v>2951</v>
      </c>
      <c r="C99" t="s">
        <v>2959</v>
      </c>
      <c r="D99" t="s">
        <v>3684</v>
      </c>
      <c r="E99" t="s">
        <v>3685</v>
      </c>
      <c r="F99" t="s">
        <v>1072</v>
      </c>
      <c r="G99" t="s">
        <v>3458</v>
      </c>
      <c r="H99" t="s">
        <v>3686</v>
      </c>
      <c r="I99" t="s">
        <v>2905</v>
      </c>
      <c r="J99" t="s">
        <v>3687</v>
      </c>
    </row>
    <row r="100" spans="1:10" ht="15" customHeight="1" x14ac:dyDescent="0.25">
      <c r="A100" t="s">
        <v>3688</v>
      </c>
      <c r="B100" t="s">
        <v>2970</v>
      </c>
      <c r="C100" t="s">
        <v>3418</v>
      </c>
      <c r="D100" t="s">
        <v>3689</v>
      </c>
      <c r="E100" t="s">
        <v>3690</v>
      </c>
      <c r="F100" t="s">
        <v>1954</v>
      </c>
      <c r="G100" t="s">
        <v>3594</v>
      </c>
      <c r="H100" t="s">
        <v>3688</v>
      </c>
      <c r="I100" t="s">
        <v>2905</v>
      </c>
      <c r="J100" t="s">
        <v>3306</v>
      </c>
    </row>
    <row r="101" spans="1:10" ht="15" customHeight="1" x14ac:dyDescent="0.25">
      <c r="A101" t="s">
        <v>3014</v>
      </c>
      <c r="B101" t="s">
        <v>2970</v>
      </c>
      <c r="C101" t="s">
        <v>2959</v>
      </c>
      <c r="D101" t="s">
        <v>3691</v>
      </c>
      <c r="E101" t="s">
        <v>3692</v>
      </c>
      <c r="F101" t="s">
        <v>347</v>
      </c>
      <c r="G101" t="s">
        <v>3017</v>
      </c>
      <c r="H101" t="s">
        <v>3014</v>
      </c>
      <c r="I101" t="s">
        <v>2905</v>
      </c>
      <c r="J101" t="s">
        <v>2968</v>
      </c>
    </row>
    <row r="102" spans="1:10" ht="15" customHeight="1" x14ac:dyDescent="0.25">
      <c r="A102" t="s">
        <v>3693</v>
      </c>
      <c r="B102" t="s">
        <v>2958</v>
      </c>
      <c r="C102" t="s">
        <v>3009</v>
      </c>
      <c r="D102" t="s">
        <v>3694</v>
      </c>
      <c r="E102" t="s">
        <v>3695</v>
      </c>
      <c r="F102" t="s">
        <v>1358</v>
      </c>
      <c r="G102" t="s">
        <v>3359</v>
      </c>
      <c r="H102" t="s">
        <v>3693</v>
      </c>
      <c r="I102" t="s">
        <v>2905</v>
      </c>
      <c r="J102" t="s">
        <v>2968</v>
      </c>
    </row>
    <row r="103" spans="1:10" ht="15" customHeight="1" x14ac:dyDescent="0.25">
      <c r="A103" t="s">
        <v>3696</v>
      </c>
      <c r="B103" t="s">
        <v>2951</v>
      </c>
      <c r="C103" t="s">
        <v>3280</v>
      </c>
      <c r="D103" t="s">
        <v>3697</v>
      </c>
      <c r="E103" t="s">
        <v>3698</v>
      </c>
      <c r="F103" t="s">
        <v>397</v>
      </c>
      <c r="G103" t="s">
        <v>3658</v>
      </c>
      <c r="H103" t="s">
        <v>3699</v>
      </c>
      <c r="I103" t="s">
        <v>2905</v>
      </c>
      <c r="J103" t="s">
        <v>2968</v>
      </c>
    </row>
    <row r="104" spans="1:10" ht="15" customHeight="1" x14ac:dyDescent="0.25">
      <c r="A104" t="s">
        <v>3700</v>
      </c>
      <c r="B104" t="s">
        <v>2958</v>
      </c>
      <c r="C104" t="s">
        <v>2959</v>
      </c>
      <c r="D104" t="s">
        <v>3701</v>
      </c>
      <c r="E104" t="s">
        <v>3702</v>
      </c>
      <c r="F104" t="s">
        <v>1072</v>
      </c>
      <c r="H104" t="s">
        <v>3703</v>
      </c>
      <c r="I104" t="s">
        <v>2905</v>
      </c>
      <c r="J104" t="s">
        <v>3704</v>
      </c>
    </row>
    <row r="105" spans="1:10" ht="15" customHeight="1" x14ac:dyDescent="0.25">
      <c r="A105" t="s">
        <v>3705</v>
      </c>
      <c r="B105" t="s">
        <v>2970</v>
      </c>
      <c r="C105" t="s">
        <v>3009</v>
      </c>
      <c r="D105" t="s">
        <v>3706</v>
      </c>
      <c r="F105" t="s">
        <v>1358</v>
      </c>
      <c r="G105" t="s">
        <v>3707</v>
      </c>
      <c r="H105" t="s">
        <v>3708</v>
      </c>
      <c r="I105" t="s">
        <v>2905</v>
      </c>
      <c r="J105" t="s">
        <v>2889</v>
      </c>
    </row>
    <row r="106" spans="1:10" ht="15" customHeight="1" x14ac:dyDescent="0.25">
      <c r="A106" t="s">
        <v>3709</v>
      </c>
      <c r="B106" t="s">
        <v>2951</v>
      </c>
      <c r="C106" t="s">
        <v>2959</v>
      </c>
      <c r="D106" t="s">
        <v>3710</v>
      </c>
      <c r="E106" t="s">
        <v>3711</v>
      </c>
      <c r="F106" t="s">
        <v>1954</v>
      </c>
      <c r="G106" t="s">
        <v>3599</v>
      </c>
      <c r="H106" t="s">
        <v>3712</v>
      </c>
      <c r="I106" t="s">
        <v>2905</v>
      </c>
      <c r="J106" t="s">
        <v>2963</v>
      </c>
    </row>
    <row r="107" spans="1:10" ht="15" customHeight="1" x14ac:dyDescent="0.25">
      <c r="A107" t="s">
        <v>3713</v>
      </c>
      <c r="B107" t="s">
        <v>2958</v>
      </c>
      <c r="C107" t="s">
        <v>2959</v>
      </c>
      <c r="D107" t="s">
        <v>3714</v>
      </c>
      <c r="E107" t="s">
        <v>3715</v>
      </c>
      <c r="F107" t="s">
        <v>1954</v>
      </c>
      <c r="G107" t="s">
        <v>3716</v>
      </c>
      <c r="H107" t="s">
        <v>3717</v>
      </c>
      <c r="I107" t="s">
        <v>2905</v>
      </c>
      <c r="J107" t="s">
        <v>3306</v>
      </c>
    </row>
    <row r="108" spans="1:10" ht="15" customHeight="1" x14ac:dyDescent="0.25">
      <c r="A108" t="s">
        <v>3718</v>
      </c>
      <c r="B108" t="s">
        <v>2970</v>
      </c>
      <c r="C108" t="s">
        <v>2959</v>
      </c>
      <c r="D108" t="s">
        <v>3719</v>
      </c>
      <c r="E108" t="s">
        <v>3720</v>
      </c>
      <c r="F108" t="s">
        <v>351</v>
      </c>
      <c r="G108" t="s">
        <v>3496</v>
      </c>
      <c r="H108" t="s">
        <v>3721</v>
      </c>
      <c r="I108" t="s">
        <v>2905</v>
      </c>
      <c r="J108" t="s">
        <v>2963</v>
      </c>
    </row>
    <row r="109" spans="1:10" ht="15" customHeight="1" x14ac:dyDescent="0.25">
      <c r="A109" t="s">
        <v>3722</v>
      </c>
      <c r="B109" t="s">
        <v>2958</v>
      </c>
      <c r="C109" t="s">
        <v>3280</v>
      </c>
      <c r="D109" t="s">
        <v>3723</v>
      </c>
      <c r="E109" t="s">
        <v>3724</v>
      </c>
      <c r="F109" t="s">
        <v>828</v>
      </c>
      <c r="G109" t="s">
        <v>3725</v>
      </c>
      <c r="H109" t="s">
        <v>3722</v>
      </c>
      <c r="I109" t="s">
        <v>2905</v>
      </c>
      <c r="J109" t="s">
        <v>2968</v>
      </c>
    </row>
    <row r="110" spans="1:10" ht="15" customHeight="1" x14ac:dyDescent="0.25">
      <c r="A110" t="s">
        <v>3726</v>
      </c>
      <c r="B110" t="s">
        <v>2970</v>
      </c>
      <c r="C110" t="s">
        <v>3408</v>
      </c>
      <c r="D110" t="s">
        <v>3727</v>
      </c>
      <c r="F110" t="s">
        <v>2199</v>
      </c>
      <c r="G110" t="s">
        <v>3728</v>
      </c>
      <c r="H110" t="s">
        <v>3729</v>
      </c>
      <c r="I110" t="s">
        <v>2905</v>
      </c>
      <c r="J110" t="s">
        <v>3306</v>
      </c>
    </row>
    <row r="111" spans="1:10" ht="15" customHeight="1" x14ac:dyDescent="0.25">
      <c r="A111" t="s">
        <v>3730</v>
      </c>
      <c r="B111" t="s">
        <v>2958</v>
      </c>
      <c r="C111" t="s">
        <v>3731</v>
      </c>
      <c r="D111" t="s">
        <v>3732</v>
      </c>
      <c r="F111" t="s">
        <v>2199</v>
      </c>
      <c r="G111" t="s">
        <v>3733</v>
      </c>
      <c r="H111" t="s">
        <v>3734</v>
      </c>
      <c r="I111" t="s">
        <v>2905</v>
      </c>
      <c r="J111" t="s">
        <v>3013</v>
      </c>
    </row>
    <row r="112" spans="1:10" ht="15" customHeight="1" x14ac:dyDescent="0.25">
      <c r="A112" t="s">
        <v>3735</v>
      </c>
      <c r="B112" t="s">
        <v>2951</v>
      </c>
      <c r="C112" t="s">
        <v>2959</v>
      </c>
      <c r="D112" t="s">
        <v>3736</v>
      </c>
      <c r="E112" t="s">
        <v>3737</v>
      </c>
      <c r="F112" t="s">
        <v>1954</v>
      </c>
      <c r="H112" t="s">
        <v>3738</v>
      </c>
      <c r="I112" t="s">
        <v>2905</v>
      </c>
      <c r="J112" t="s">
        <v>2963</v>
      </c>
    </row>
    <row r="113" spans="1:10" ht="15" customHeight="1" x14ac:dyDescent="0.25">
      <c r="A113" t="s">
        <v>3739</v>
      </c>
      <c r="B113" t="s">
        <v>2970</v>
      </c>
      <c r="C113" t="s">
        <v>2959</v>
      </c>
      <c r="D113" t="s">
        <v>3740</v>
      </c>
      <c r="E113" t="s">
        <v>3741</v>
      </c>
      <c r="F113" t="s">
        <v>1954</v>
      </c>
      <c r="G113" t="s">
        <v>3468</v>
      </c>
      <c r="H113" t="s">
        <v>3742</v>
      </c>
      <c r="I113" t="s">
        <v>2905</v>
      </c>
      <c r="J113" t="s">
        <v>2990</v>
      </c>
    </row>
    <row r="114" spans="1:10" ht="15" customHeight="1" x14ac:dyDescent="0.25">
      <c r="A114" t="s">
        <v>3743</v>
      </c>
      <c r="B114" t="s">
        <v>2958</v>
      </c>
      <c r="C114" t="s">
        <v>2959</v>
      </c>
      <c r="D114" t="s">
        <v>3744</v>
      </c>
      <c r="E114" t="s">
        <v>3745</v>
      </c>
      <c r="F114" t="s">
        <v>1954</v>
      </c>
      <c r="G114" t="s">
        <v>3746</v>
      </c>
      <c r="H114" t="s">
        <v>3747</v>
      </c>
      <c r="I114" t="s">
        <v>2905</v>
      </c>
      <c r="J114" t="s">
        <v>2889</v>
      </c>
    </row>
    <row r="115" spans="1:10" ht="15" customHeight="1" x14ac:dyDescent="0.25">
      <c r="A115" t="s">
        <v>3748</v>
      </c>
      <c r="B115" t="s">
        <v>2951</v>
      </c>
      <c r="C115" t="s">
        <v>2959</v>
      </c>
      <c r="D115" t="s">
        <v>3749</v>
      </c>
      <c r="E115" t="s">
        <v>3750</v>
      </c>
      <c r="F115" t="s">
        <v>1954</v>
      </c>
      <c r="G115" t="s">
        <v>3473</v>
      </c>
      <c r="H115" t="s">
        <v>3748</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3751</v>
      </c>
      <c r="B117" t="s">
        <v>2958</v>
      </c>
      <c r="C117" t="s">
        <v>3009</v>
      </c>
      <c r="D117" t="s">
        <v>3752</v>
      </c>
      <c r="E117" t="s">
        <v>3753</v>
      </c>
      <c r="F117" t="s">
        <v>1358</v>
      </c>
      <c r="G117" t="s">
        <v>3359</v>
      </c>
      <c r="H117" t="s">
        <v>3751</v>
      </c>
      <c r="I117" t="s">
        <v>2905</v>
      </c>
      <c r="J117" t="s">
        <v>2968</v>
      </c>
    </row>
    <row r="118" spans="1:10" ht="15" customHeight="1" x14ac:dyDescent="0.25">
      <c r="A118" t="s">
        <v>3028</v>
      </c>
      <c r="B118" t="s">
        <v>2958</v>
      </c>
      <c r="C118" t="s">
        <v>3280</v>
      </c>
      <c r="D118" t="s">
        <v>3754</v>
      </c>
      <c r="E118" t="s">
        <v>3755</v>
      </c>
      <c r="F118" t="s">
        <v>1954</v>
      </c>
      <c r="H118" t="s">
        <v>3028</v>
      </c>
      <c r="I118" t="s">
        <v>2905</v>
      </c>
      <c r="J118" t="s">
        <v>2968</v>
      </c>
    </row>
    <row r="119" spans="1:10" ht="15" customHeight="1" x14ac:dyDescent="0.25">
      <c r="A119" t="s">
        <v>3756</v>
      </c>
      <c r="B119" t="s">
        <v>2951</v>
      </c>
      <c r="C119" t="s">
        <v>2991</v>
      </c>
      <c r="D119" t="s">
        <v>3757</v>
      </c>
      <c r="F119" t="s">
        <v>2199</v>
      </c>
      <c r="H119" t="s">
        <v>3758</v>
      </c>
      <c r="I119" t="s">
        <v>2905</v>
      </c>
      <c r="J119" t="s">
        <v>3013</v>
      </c>
    </row>
    <row r="120" spans="1:10" ht="15" customHeight="1" x14ac:dyDescent="0.25">
      <c r="A120" t="s">
        <v>3759</v>
      </c>
      <c r="B120" t="s">
        <v>2951</v>
      </c>
      <c r="C120" t="s">
        <v>2959</v>
      </c>
      <c r="D120" t="s">
        <v>3760</v>
      </c>
      <c r="E120" t="s">
        <v>3761</v>
      </c>
      <c r="F120" t="s">
        <v>902</v>
      </c>
      <c r="G120" t="s">
        <v>3762</v>
      </c>
      <c r="H120" t="s">
        <v>3763</v>
      </c>
      <c r="I120" t="s">
        <v>2905</v>
      </c>
      <c r="J120" t="s">
        <v>3416</v>
      </c>
    </row>
    <row r="121" spans="1:10" ht="15" customHeight="1" x14ac:dyDescent="0.25">
      <c r="A121" t="s">
        <v>3029</v>
      </c>
      <c r="B121" t="s">
        <v>3030</v>
      </c>
      <c r="C121" t="s">
        <v>3764</v>
      </c>
      <c r="D121" t="s">
        <v>3765</v>
      </c>
      <c r="F121" t="s">
        <v>1482</v>
      </c>
      <c r="G121" t="s">
        <v>3034</v>
      </c>
      <c r="H121" t="s">
        <v>3035</v>
      </c>
      <c r="I121" t="s">
        <v>2905</v>
      </c>
      <c r="J121" t="s">
        <v>2990</v>
      </c>
    </row>
    <row r="122" spans="1:10" ht="15" customHeight="1" x14ac:dyDescent="0.25">
      <c r="A122" t="s">
        <v>3766</v>
      </c>
      <c r="B122" t="s">
        <v>2958</v>
      </c>
      <c r="C122" t="s">
        <v>2994</v>
      </c>
      <c r="D122" t="s">
        <v>3767</v>
      </c>
      <c r="E122" t="s">
        <v>3768</v>
      </c>
      <c r="F122" t="s">
        <v>1954</v>
      </c>
      <c r="H122" t="s">
        <v>3769</v>
      </c>
      <c r="I122" t="s">
        <v>2905</v>
      </c>
      <c r="J122" t="s">
        <v>2963</v>
      </c>
    </row>
    <row r="123" spans="1:10" ht="15" customHeight="1" x14ac:dyDescent="0.25">
      <c r="A123" t="s">
        <v>3770</v>
      </c>
      <c r="B123" t="s">
        <v>2970</v>
      </c>
      <c r="C123" t="s">
        <v>3280</v>
      </c>
      <c r="D123" t="s">
        <v>3771</v>
      </c>
      <c r="E123" t="s">
        <v>3772</v>
      </c>
      <c r="F123" t="s">
        <v>347</v>
      </c>
      <c r="G123" t="s">
        <v>139</v>
      </c>
      <c r="H123" t="s">
        <v>3770</v>
      </c>
      <c r="I123" t="s">
        <v>2905</v>
      </c>
      <c r="J123" t="s">
        <v>2968</v>
      </c>
    </row>
    <row r="124" spans="1:10" ht="15" customHeight="1" x14ac:dyDescent="0.25">
      <c r="A124" t="s">
        <v>3773</v>
      </c>
      <c r="B124" t="s">
        <v>2958</v>
      </c>
      <c r="C124" t="s">
        <v>2994</v>
      </c>
      <c r="D124" t="s">
        <v>3774</v>
      </c>
      <c r="E124" t="s">
        <v>3775</v>
      </c>
      <c r="F124" t="s">
        <v>1954</v>
      </c>
      <c r="G124" t="s">
        <v>3599</v>
      </c>
      <c r="H124" t="s">
        <v>3773</v>
      </c>
      <c r="I124" t="s">
        <v>2905</v>
      </c>
      <c r="J124" t="s">
        <v>3306</v>
      </c>
    </row>
    <row r="125" spans="1:10" ht="15" customHeight="1" x14ac:dyDescent="0.25">
      <c r="A125" t="s">
        <v>3776</v>
      </c>
      <c r="B125" t="s">
        <v>2951</v>
      </c>
      <c r="C125" t="s">
        <v>3777</v>
      </c>
      <c r="D125" t="s">
        <v>3778</v>
      </c>
      <c r="E125" t="s">
        <v>3779</v>
      </c>
      <c r="F125" t="s">
        <v>1954</v>
      </c>
      <c r="G125" t="s">
        <v>3283</v>
      </c>
      <c r="H125" t="s">
        <v>3780</v>
      </c>
      <c r="I125" t="s">
        <v>2905</v>
      </c>
      <c r="J125" t="s">
        <v>3013</v>
      </c>
    </row>
    <row r="126" spans="1:10" ht="15" customHeight="1" x14ac:dyDescent="0.25">
      <c r="A126" t="s">
        <v>3781</v>
      </c>
      <c r="B126" t="s">
        <v>2970</v>
      </c>
      <c r="C126" t="s">
        <v>3280</v>
      </c>
      <c r="D126" t="s">
        <v>3782</v>
      </c>
      <c r="E126" t="s">
        <v>3783</v>
      </c>
      <c r="F126" t="s">
        <v>347</v>
      </c>
      <c r="G126" t="s">
        <v>3026</v>
      </c>
      <c r="H126" t="s">
        <v>3781</v>
      </c>
      <c r="I126" t="s">
        <v>2905</v>
      </c>
      <c r="J126" t="s">
        <v>2968</v>
      </c>
    </row>
    <row r="127" spans="1:10" ht="15" customHeight="1" x14ac:dyDescent="0.25">
      <c r="A127" t="s">
        <v>3784</v>
      </c>
      <c r="B127" t="s">
        <v>2958</v>
      </c>
      <c r="C127" t="s">
        <v>3731</v>
      </c>
      <c r="D127" t="s">
        <v>3785</v>
      </c>
      <c r="E127" t="s">
        <v>3786</v>
      </c>
      <c r="F127" t="s">
        <v>2199</v>
      </c>
      <c r="G127" t="s">
        <v>3787</v>
      </c>
      <c r="H127" t="s">
        <v>3788</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3789</v>
      </c>
      <c r="B1" t="s">
        <v>9</v>
      </c>
      <c r="C1" t="s">
        <v>53</v>
      </c>
      <c r="D1" t="s">
        <v>3036</v>
      </c>
      <c r="E1" t="s">
        <v>3790</v>
      </c>
      <c r="F1" t="s">
        <v>3791</v>
      </c>
      <c r="G1" t="s">
        <v>3792</v>
      </c>
      <c r="H1" t="s">
        <v>3793</v>
      </c>
      <c r="I1" t="s">
        <v>3794</v>
      </c>
      <c r="J1" t="s">
        <v>3795</v>
      </c>
      <c r="K1" t="s">
        <v>3796</v>
      </c>
      <c r="L1" t="s">
        <v>3268</v>
      </c>
      <c r="M1" t="s">
        <v>56</v>
      </c>
    </row>
    <row r="2" spans="1:13" ht="15" customHeight="1" x14ac:dyDescent="0.25">
      <c r="A2" t="s">
        <v>3797</v>
      </c>
      <c r="B2" t="s">
        <v>1358</v>
      </c>
      <c r="C2" t="s">
        <v>18</v>
      </c>
      <c r="D2" t="s">
        <v>3798</v>
      </c>
      <c r="E2">
        <v>0</v>
      </c>
      <c r="F2" t="s">
        <v>2958</v>
      </c>
      <c r="G2" t="s">
        <v>3799</v>
      </c>
      <c r="H2" t="s">
        <v>3800</v>
      </c>
      <c r="I2" t="s">
        <v>3801</v>
      </c>
      <c r="J2" t="s">
        <v>3802</v>
      </c>
      <c r="K2" t="s">
        <v>2905</v>
      </c>
      <c r="L2" t="s">
        <v>3803</v>
      </c>
      <c r="M2" t="s">
        <v>3804</v>
      </c>
    </row>
    <row r="3" spans="1:13" ht="15" customHeight="1" x14ac:dyDescent="0.25">
      <c r="A3" t="s">
        <v>3805</v>
      </c>
      <c r="B3" t="s">
        <v>1358</v>
      </c>
      <c r="C3" t="s">
        <v>18</v>
      </c>
      <c r="D3" t="s">
        <v>3798</v>
      </c>
      <c r="E3">
        <v>0</v>
      </c>
      <c r="F3" t="s">
        <v>2958</v>
      </c>
      <c r="G3" t="s">
        <v>3806</v>
      </c>
      <c r="H3" t="s">
        <v>3807</v>
      </c>
      <c r="I3" t="s">
        <v>3801</v>
      </c>
      <c r="J3" t="s">
        <v>3808</v>
      </c>
      <c r="K3" t="s">
        <v>2905</v>
      </c>
      <c r="L3" t="s">
        <v>3803</v>
      </c>
      <c r="M3" t="s">
        <v>139</v>
      </c>
    </row>
    <row r="4" spans="1:13" ht="15" customHeight="1" x14ac:dyDescent="0.25">
      <c r="A4" t="s">
        <v>3809</v>
      </c>
      <c r="B4" t="s">
        <v>1954</v>
      </c>
      <c r="C4" t="s">
        <v>22</v>
      </c>
      <c r="D4" t="s">
        <v>3798</v>
      </c>
      <c r="E4">
        <v>0</v>
      </c>
      <c r="F4" t="s">
        <v>2970</v>
      </c>
      <c r="G4" t="s">
        <v>3810</v>
      </c>
      <c r="H4" t="s">
        <v>3810</v>
      </c>
      <c r="I4" t="s">
        <v>3801</v>
      </c>
      <c r="J4" t="s">
        <v>3811</v>
      </c>
      <c r="K4">
        <v>1</v>
      </c>
      <c r="L4" t="s">
        <v>3803</v>
      </c>
    </row>
    <row r="5" spans="1:13" ht="15" customHeight="1" x14ac:dyDescent="0.25">
      <c r="A5" t="s">
        <v>3812</v>
      </c>
      <c r="B5" t="s">
        <v>1954</v>
      </c>
      <c r="C5" t="s">
        <v>22</v>
      </c>
      <c r="D5" t="s">
        <v>3813</v>
      </c>
      <c r="E5">
        <v>0</v>
      </c>
      <c r="F5" t="s">
        <v>2958</v>
      </c>
      <c r="G5" t="s">
        <v>2905</v>
      </c>
      <c r="H5" t="s">
        <v>3814</v>
      </c>
      <c r="I5" t="s">
        <v>3801</v>
      </c>
      <c r="J5" t="s">
        <v>3815</v>
      </c>
      <c r="K5" t="s">
        <v>2905</v>
      </c>
      <c r="L5" t="s">
        <v>3803</v>
      </c>
      <c r="M5" t="s">
        <v>3816</v>
      </c>
    </row>
    <row r="9" spans="1:13" ht="15" customHeight="1" x14ac:dyDescent="0.25">
      <c r="A9" t="s">
        <v>3817</v>
      </c>
      <c r="B9" t="s">
        <v>3818</v>
      </c>
      <c r="C9" t="s">
        <v>3819</v>
      </c>
      <c r="F9" t="s">
        <v>3820</v>
      </c>
      <c r="G9" t="s">
        <v>3821</v>
      </c>
      <c r="J9" t="s">
        <v>2905</v>
      </c>
    </row>
    <row r="10" spans="1:13" ht="15" customHeight="1" x14ac:dyDescent="0.25">
      <c r="A10" t="s">
        <v>3822</v>
      </c>
      <c r="B10" t="s">
        <v>3823</v>
      </c>
      <c r="C10" t="s">
        <v>3824</v>
      </c>
      <c r="F10" t="s">
        <v>3825</v>
      </c>
      <c r="G10" t="s">
        <v>3826</v>
      </c>
      <c r="J10" t="s">
        <v>3827</v>
      </c>
    </row>
    <row r="11" spans="1:13" ht="15" customHeight="1" x14ac:dyDescent="0.25">
      <c r="A11" t="s">
        <v>3828</v>
      </c>
      <c r="B11" t="s">
        <v>3829</v>
      </c>
      <c r="C11" t="s">
        <v>3830</v>
      </c>
      <c r="F11" t="s">
        <v>3831</v>
      </c>
      <c r="J11" t="s">
        <v>2905</v>
      </c>
    </row>
    <row r="12" spans="1:13" ht="15" customHeight="1" x14ac:dyDescent="0.25">
      <c r="A12" t="s">
        <v>3832</v>
      </c>
      <c r="B12" t="s">
        <v>3833</v>
      </c>
      <c r="C12" t="s">
        <v>3834</v>
      </c>
      <c r="F12" t="s">
        <v>3835</v>
      </c>
    </row>
    <row r="13" spans="1:13" ht="15" customHeight="1" x14ac:dyDescent="0.25">
      <c r="A13" t="s">
        <v>3836</v>
      </c>
      <c r="B13" t="s">
        <v>3837</v>
      </c>
      <c r="C13" t="s">
        <v>3838</v>
      </c>
      <c r="F13" t="s">
        <v>3839</v>
      </c>
      <c r="G13" t="s">
        <v>3840</v>
      </c>
      <c r="I13" t="s">
        <v>3841</v>
      </c>
    </row>
    <row r="14" spans="1:13" ht="15" customHeight="1" x14ac:dyDescent="0.25">
      <c r="A14" t="s">
        <v>3842</v>
      </c>
      <c r="B14" t="s">
        <v>3843</v>
      </c>
      <c r="C14" t="s">
        <v>3844</v>
      </c>
      <c r="F14" t="s">
        <v>3845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3791</v>
      </c>
      <c r="D1" t="s">
        <v>2899</v>
      </c>
      <c r="E1" t="s">
        <v>2946</v>
      </c>
      <c r="F1" t="s">
        <v>3846</v>
      </c>
      <c r="G1" t="s">
        <v>2947</v>
      </c>
      <c r="H1" t="s">
        <v>3847</v>
      </c>
      <c r="I1" t="s">
        <v>3848</v>
      </c>
      <c r="J1" t="s">
        <v>3795</v>
      </c>
      <c r="K1" t="s">
        <v>56</v>
      </c>
    </row>
    <row r="2" spans="1:11" ht="15" customHeight="1" x14ac:dyDescent="0.25">
      <c r="A2" t="s">
        <v>3836</v>
      </c>
      <c r="B2" t="s">
        <v>3849</v>
      </c>
      <c r="C2" t="s">
        <v>2970</v>
      </c>
      <c r="D2" t="s">
        <v>3850</v>
      </c>
      <c r="E2" t="s">
        <v>3851</v>
      </c>
      <c r="F2" t="s">
        <v>3852</v>
      </c>
      <c r="G2" t="s">
        <v>2199</v>
      </c>
      <c r="H2" t="s">
        <v>3853</v>
      </c>
      <c r="I2" t="s">
        <v>3854</v>
      </c>
      <c r="J2" t="s">
        <v>3855</v>
      </c>
    </row>
    <row r="3" spans="1:11" ht="15" customHeight="1" x14ac:dyDescent="0.25">
      <c r="A3" t="s">
        <v>3856</v>
      </c>
      <c r="B3" t="s">
        <v>3857</v>
      </c>
      <c r="C3" t="s">
        <v>2958</v>
      </c>
      <c r="D3" t="s">
        <v>3858</v>
      </c>
      <c r="E3" t="s">
        <v>3859</v>
      </c>
      <c r="F3" t="s">
        <v>3860</v>
      </c>
      <c r="G3" t="s">
        <v>1358</v>
      </c>
      <c r="J3" t="s">
        <v>3861</v>
      </c>
    </row>
    <row r="4" spans="1:11" ht="15" customHeight="1" x14ac:dyDescent="0.25">
      <c r="A4" t="s">
        <v>3862</v>
      </c>
      <c r="B4" t="s">
        <v>3857</v>
      </c>
      <c r="C4" t="s">
        <v>2958</v>
      </c>
      <c r="D4" t="s">
        <v>3863</v>
      </c>
      <c r="E4" t="s">
        <v>3864</v>
      </c>
      <c r="F4" t="s">
        <v>3865</v>
      </c>
      <c r="G4" t="s">
        <v>828</v>
      </c>
      <c r="J4" t="s">
        <v>3866</v>
      </c>
    </row>
    <row r="5" spans="1:11" ht="15" customHeight="1" x14ac:dyDescent="0.25">
      <c r="A5" t="s">
        <v>3867</v>
      </c>
      <c r="B5" t="s">
        <v>3013</v>
      </c>
      <c r="C5" t="s">
        <v>2958</v>
      </c>
      <c r="D5" t="s">
        <v>3868</v>
      </c>
      <c r="E5" t="s">
        <v>3869</v>
      </c>
      <c r="F5" t="s">
        <v>2905</v>
      </c>
      <c r="G5" t="s">
        <v>1772</v>
      </c>
      <c r="J5" t="s">
        <v>3870</v>
      </c>
    </row>
    <row r="6" spans="1:11" ht="15" customHeight="1" x14ac:dyDescent="0.25">
      <c r="A6" t="s">
        <v>3871</v>
      </c>
      <c r="B6" t="s">
        <v>3013</v>
      </c>
      <c r="C6" t="s">
        <v>2951</v>
      </c>
      <c r="D6" t="s">
        <v>3872</v>
      </c>
      <c r="E6" t="s">
        <v>3873</v>
      </c>
      <c r="F6" t="s">
        <v>2905</v>
      </c>
      <c r="G6" t="s">
        <v>1772</v>
      </c>
      <c r="J6" t="s">
        <v>3874</v>
      </c>
    </row>
    <row r="7" spans="1:11" ht="15" customHeight="1" x14ac:dyDescent="0.25">
      <c r="A7" t="s">
        <v>3875</v>
      </c>
      <c r="B7" t="s">
        <v>3876</v>
      </c>
      <c r="C7" t="s">
        <v>2958</v>
      </c>
      <c r="D7" t="s">
        <v>3877</v>
      </c>
      <c r="E7" t="s">
        <v>3878</v>
      </c>
      <c r="F7" t="s">
        <v>2905</v>
      </c>
      <c r="G7" t="s">
        <v>577</v>
      </c>
      <c r="J7" t="s">
        <v>3879</v>
      </c>
    </row>
    <row r="8" spans="1:11" ht="15" customHeight="1" x14ac:dyDescent="0.25">
      <c r="A8" t="s">
        <v>3880</v>
      </c>
      <c r="B8" t="s">
        <v>3849</v>
      </c>
      <c r="C8" t="s">
        <v>2951</v>
      </c>
      <c r="D8" t="s">
        <v>3881</v>
      </c>
      <c r="E8" t="s">
        <v>3882</v>
      </c>
      <c r="F8" t="s">
        <v>2905</v>
      </c>
      <c r="G8" t="s">
        <v>2199</v>
      </c>
      <c r="H8" t="s">
        <v>3883</v>
      </c>
      <c r="I8" t="s">
        <v>3884</v>
      </c>
      <c r="J8" t="s">
        <v>3885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3886</v>
      </c>
      <c r="E1" t="s">
        <v>3887</v>
      </c>
      <c r="F1" t="s">
        <v>3888</v>
      </c>
      <c r="G1" t="s">
        <v>3041</v>
      </c>
      <c r="H1" t="s">
        <v>9</v>
      </c>
      <c r="I1" t="s">
        <v>3889</v>
      </c>
      <c r="J1" t="s">
        <v>3890</v>
      </c>
      <c r="K1" t="s">
        <v>57</v>
      </c>
      <c r="L1" t="s">
        <v>3891</v>
      </c>
      <c r="M1" t="s">
        <v>3042</v>
      </c>
    </row>
    <row r="2" spans="1:13" ht="27.75" customHeight="1" x14ac:dyDescent="0.25">
      <c r="A2" t="s">
        <v>3085</v>
      </c>
      <c r="B2" t="s">
        <v>3892</v>
      </c>
      <c r="C2" t="s">
        <v>3893</v>
      </c>
      <c r="D2">
        <v>2</v>
      </c>
      <c r="E2">
        <v>48</v>
      </c>
      <c r="F2">
        <v>54</v>
      </c>
      <c r="G2" t="s">
        <v>2905</v>
      </c>
      <c r="H2" t="s">
        <v>1954</v>
      </c>
      <c r="I2" t="s">
        <v>3894</v>
      </c>
      <c r="J2" s="4" t="s">
        <v>3895</v>
      </c>
      <c r="K2" t="s">
        <v>3085</v>
      </c>
      <c r="L2" t="s">
        <v>2905</v>
      </c>
    </row>
    <row r="3" spans="1:13" ht="41.25" customHeight="1" x14ac:dyDescent="0.25">
      <c r="A3" t="s">
        <v>3106</v>
      </c>
      <c r="B3" t="s">
        <v>3892</v>
      </c>
      <c r="C3" t="s">
        <v>3896</v>
      </c>
      <c r="D3">
        <v>6</v>
      </c>
      <c r="E3">
        <v>114</v>
      </c>
      <c r="F3">
        <v>120</v>
      </c>
      <c r="G3" t="s">
        <v>2905</v>
      </c>
      <c r="H3" t="s">
        <v>1954</v>
      </c>
      <c r="I3" t="s">
        <v>3894</v>
      </c>
      <c r="J3" s="4" t="s">
        <v>3897</v>
      </c>
      <c r="K3" t="s">
        <v>3106</v>
      </c>
      <c r="L3" t="s">
        <v>2905</v>
      </c>
    </row>
    <row r="4" spans="1:13" ht="15" customHeight="1" x14ac:dyDescent="0.25">
      <c r="A4" t="s">
        <v>3114</v>
      </c>
      <c r="B4" t="s">
        <v>3892</v>
      </c>
      <c r="C4" t="s">
        <v>3898</v>
      </c>
      <c r="D4">
        <v>9</v>
      </c>
      <c r="E4">
        <v>999</v>
      </c>
      <c r="F4">
        <v>999</v>
      </c>
      <c r="G4" t="s">
        <v>3899</v>
      </c>
      <c r="H4" t="s">
        <v>1954</v>
      </c>
      <c r="I4" t="s">
        <v>3894</v>
      </c>
      <c r="J4" t="s">
        <v>3900</v>
      </c>
      <c r="K4" t="s">
        <v>3114</v>
      </c>
      <c r="L4" t="s">
        <v>2905</v>
      </c>
    </row>
    <row r="5" spans="1:13" ht="54.75" customHeight="1" x14ac:dyDescent="0.25">
      <c r="A5" t="s">
        <v>3901</v>
      </c>
      <c r="B5" t="s">
        <v>3892</v>
      </c>
      <c r="C5" t="s">
        <v>3893</v>
      </c>
      <c r="D5">
        <v>3</v>
      </c>
      <c r="E5">
        <v>40</v>
      </c>
      <c r="F5">
        <v>44</v>
      </c>
      <c r="G5" t="s">
        <v>2905</v>
      </c>
      <c r="H5" t="s">
        <v>1954</v>
      </c>
      <c r="I5" t="s">
        <v>3894</v>
      </c>
      <c r="J5" s="4" t="s">
        <v>3902</v>
      </c>
      <c r="K5" t="s">
        <v>3903</v>
      </c>
      <c r="L5" t="s">
        <v>2905</v>
      </c>
    </row>
    <row r="6" spans="1:13" ht="27.75" customHeight="1" x14ac:dyDescent="0.25">
      <c r="A6" t="s">
        <v>3904</v>
      </c>
      <c r="B6" t="s">
        <v>3892</v>
      </c>
      <c r="C6" t="s">
        <v>3893</v>
      </c>
      <c r="D6">
        <v>1</v>
      </c>
      <c r="E6">
        <v>10</v>
      </c>
      <c r="F6">
        <v>15</v>
      </c>
      <c r="G6" t="s">
        <v>3905</v>
      </c>
      <c r="H6" t="s">
        <v>1954</v>
      </c>
      <c r="I6" t="s">
        <v>3894</v>
      </c>
      <c r="J6" s="4" t="s">
        <v>3906</v>
      </c>
      <c r="K6" t="s">
        <v>3907</v>
      </c>
      <c r="L6" t="s">
        <v>2905</v>
      </c>
      <c r="M6" t="s">
        <v>3485</v>
      </c>
    </row>
    <row r="7" spans="1:13" ht="27.75" customHeight="1" x14ac:dyDescent="0.25">
      <c r="A7" t="s">
        <v>3908</v>
      </c>
      <c r="B7" t="s">
        <v>3892</v>
      </c>
      <c r="C7" t="s">
        <v>3893</v>
      </c>
      <c r="D7">
        <v>1</v>
      </c>
      <c r="E7">
        <v>11</v>
      </c>
      <c r="F7">
        <v>17</v>
      </c>
      <c r="G7" t="s">
        <v>3905</v>
      </c>
      <c r="H7" t="s">
        <v>1954</v>
      </c>
      <c r="I7" t="s">
        <v>3894</v>
      </c>
      <c r="J7" s="4" t="s">
        <v>3909</v>
      </c>
      <c r="K7" t="s">
        <v>3910</v>
      </c>
      <c r="L7" t="s">
        <v>2905</v>
      </c>
      <c r="M7" t="s">
        <v>3485</v>
      </c>
    </row>
    <row r="8" spans="1:13" ht="41.25" customHeight="1" x14ac:dyDescent="0.25">
      <c r="A8" t="s">
        <v>3911</v>
      </c>
      <c r="B8" t="s">
        <v>3892</v>
      </c>
      <c r="C8" t="s">
        <v>3893</v>
      </c>
      <c r="D8">
        <v>4</v>
      </c>
      <c r="E8">
        <v>65</v>
      </c>
      <c r="F8">
        <v>69</v>
      </c>
      <c r="G8" t="s">
        <v>3912</v>
      </c>
      <c r="H8" t="s">
        <v>1954</v>
      </c>
      <c r="I8" t="s">
        <v>3894</v>
      </c>
      <c r="J8" s="4" t="s">
        <v>3913</v>
      </c>
      <c r="K8" t="s">
        <v>3914</v>
      </c>
      <c r="L8" t="s">
        <v>2905</v>
      </c>
      <c r="M8" t="s">
        <v>3102</v>
      </c>
    </row>
    <row r="9" spans="1:13" ht="41.25" customHeight="1" x14ac:dyDescent="0.25">
      <c r="A9" t="s">
        <v>3915</v>
      </c>
      <c r="B9" t="s">
        <v>3892</v>
      </c>
      <c r="C9" t="s">
        <v>3893</v>
      </c>
      <c r="D9">
        <v>2</v>
      </c>
      <c r="E9">
        <v>28</v>
      </c>
      <c r="F9">
        <v>32</v>
      </c>
      <c r="G9" t="s">
        <v>2905</v>
      </c>
      <c r="H9" t="s">
        <v>1954</v>
      </c>
      <c r="I9" t="s">
        <v>3894</v>
      </c>
      <c r="J9" s="4" t="s">
        <v>3916</v>
      </c>
      <c r="K9" t="s">
        <v>3917</v>
      </c>
      <c r="L9" t="s">
        <v>2905</v>
      </c>
      <c r="M9" t="s">
        <v>3102</v>
      </c>
    </row>
    <row r="10" spans="1:13" ht="27.75" customHeight="1" x14ac:dyDescent="0.25">
      <c r="A10" t="s">
        <v>3918</v>
      </c>
      <c r="B10" t="s">
        <v>3892</v>
      </c>
      <c r="C10" t="s">
        <v>3893</v>
      </c>
      <c r="D10">
        <v>1</v>
      </c>
      <c r="E10">
        <v>8</v>
      </c>
      <c r="F10">
        <v>12</v>
      </c>
      <c r="G10" t="s">
        <v>2905</v>
      </c>
      <c r="H10" t="s">
        <v>1954</v>
      </c>
      <c r="I10" t="s">
        <v>3894</v>
      </c>
      <c r="J10" s="4" t="s">
        <v>3919</v>
      </c>
      <c r="K10" t="s">
        <v>3920</v>
      </c>
      <c r="L10" t="s">
        <v>2905</v>
      </c>
      <c r="M10" t="s">
        <v>3102</v>
      </c>
    </row>
    <row r="11" spans="1:13" ht="27.75" customHeight="1" x14ac:dyDescent="0.25">
      <c r="A11" t="s">
        <v>3099</v>
      </c>
      <c r="B11" t="s">
        <v>3892</v>
      </c>
      <c r="C11" t="s">
        <v>3893</v>
      </c>
      <c r="D11">
        <v>4</v>
      </c>
      <c r="E11">
        <v>64</v>
      </c>
      <c r="F11">
        <v>70</v>
      </c>
      <c r="G11" t="s">
        <v>3921</v>
      </c>
      <c r="H11" t="s">
        <v>1954</v>
      </c>
      <c r="I11" t="s">
        <v>3894</v>
      </c>
      <c r="J11" s="4" t="s">
        <v>3922</v>
      </c>
      <c r="K11" t="s">
        <v>3101</v>
      </c>
      <c r="L11" t="s">
        <v>2905</v>
      </c>
      <c r="M11" t="s">
        <v>3102</v>
      </c>
    </row>
    <row r="12" spans="1:13" ht="27.75" customHeight="1" x14ac:dyDescent="0.25">
      <c r="A12" t="s">
        <v>3923</v>
      </c>
      <c r="B12" t="s">
        <v>3892</v>
      </c>
      <c r="C12" t="s">
        <v>3893</v>
      </c>
      <c r="D12">
        <v>2</v>
      </c>
      <c r="E12">
        <v>28</v>
      </c>
      <c r="F12">
        <v>32</v>
      </c>
      <c r="G12" t="s">
        <v>2905</v>
      </c>
      <c r="H12" t="s">
        <v>1954</v>
      </c>
      <c r="I12" t="s">
        <v>3894</v>
      </c>
      <c r="J12" s="4" t="s">
        <v>3924</v>
      </c>
      <c r="K12" t="s">
        <v>3925</v>
      </c>
      <c r="L12" t="s">
        <v>2905</v>
      </c>
      <c r="M12" t="s">
        <v>3102</v>
      </c>
    </row>
    <row r="13" spans="1:13" ht="15" customHeight="1" x14ac:dyDescent="0.25">
      <c r="A13" t="s">
        <v>3926</v>
      </c>
      <c r="B13" t="s">
        <v>3892</v>
      </c>
      <c r="C13" t="s">
        <v>3893</v>
      </c>
      <c r="D13">
        <v>1</v>
      </c>
      <c r="E13">
        <v>10</v>
      </c>
      <c r="F13">
        <v>14</v>
      </c>
      <c r="G13" t="s">
        <v>2905</v>
      </c>
      <c r="H13" t="s">
        <v>1954</v>
      </c>
      <c r="I13" t="s">
        <v>3894</v>
      </c>
      <c r="J13" t="s">
        <v>3927</v>
      </c>
      <c r="K13" t="s">
        <v>3928</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3929</v>
      </c>
      <c r="C1" t="s">
        <v>3036</v>
      </c>
      <c r="D1" t="s">
        <v>3886</v>
      </c>
      <c r="E1" t="s">
        <v>9</v>
      </c>
      <c r="F1" t="s">
        <v>3887</v>
      </c>
      <c r="G1" t="s">
        <v>3888</v>
      </c>
      <c r="H1" t="s">
        <v>3930</v>
      </c>
      <c r="I1" t="s">
        <v>3037</v>
      </c>
      <c r="J1" t="s">
        <v>3931</v>
      </c>
      <c r="K1" t="s">
        <v>3932</v>
      </c>
      <c r="L1" t="s">
        <v>3933</v>
      </c>
      <c r="M1" t="s">
        <v>3934</v>
      </c>
      <c r="N1" t="s">
        <v>3935</v>
      </c>
      <c r="O1" t="s">
        <v>3936</v>
      </c>
      <c r="P1" t="s">
        <v>3937</v>
      </c>
      <c r="Q1" t="s">
        <v>3938</v>
      </c>
      <c r="R1" t="s">
        <v>3939</v>
      </c>
      <c r="S1" t="s">
        <v>3041</v>
      </c>
      <c r="T1" t="s">
        <v>3042</v>
      </c>
    </row>
    <row r="2" spans="1:20" ht="15" customHeight="1" x14ac:dyDescent="0.25">
      <c r="A2" t="s">
        <v>3050</v>
      </c>
      <c r="B2" t="s">
        <v>3940</v>
      </c>
      <c r="C2" t="s">
        <v>3893</v>
      </c>
      <c r="D2">
        <v>1</v>
      </c>
      <c r="E2" t="s">
        <v>347</v>
      </c>
      <c r="F2">
        <v>10</v>
      </c>
      <c r="G2">
        <v>15</v>
      </c>
      <c r="H2">
        <v>80</v>
      </c>
      <c r="I2">
        <v>1</v>
      </c>
      <c r="J2" t="s">
        <v>3941</v>
      </c>
      <c r="K2">
        <v>0</v>
      </c>
      <c r="L2" t="s">
        <v>3942</v>
      </c>
      <c r="M2" t="s">
        <v>3943</v>
      </c>
      <c r="N2" t="s">
        <v>3801</v>
      </c>
      <c r="O2" t="s">
        <v>3944</v>
      </c>
      <c r="R2" t="s">
        <v>3945</v>
      </c>
      <c r="T2" t="s">
        <v>2955</v>
      </c>
    </row>
    <row r="3" spans="1:20" ht="15" customHeight="1" x14ac:dyDescent="0.25">
      <c r="A3" t="s">
        <v>3946</v>
      </c>
      <c r="B3" t="s">
        <v>3947</v>
      </c>
      <c r="C3" t="s">
        <v>3893</v>
      </c>
      <c r="D3">
        <v>2</v>
      </c>
      <c r="E3" t="s">
        <v>2199</v>
      </c>
      <c r="F3">
        <v>16</v>
      </c>
      <c r="G3">
        <v>20</v>
      </c>
      <c r="H3">
        <v>90</v>
      </c>
      <c r="I3">
        <v>1</v>
      </c>
      <c r="J3" t="s">
        <v>3941</v>
      </c>
      <c r="K3">
        <v>0</v>
      </c>
      <c r="L3" t="s">
        <v>3948</v>
      </c>
      <c r="M3" t="s">
        <v>3949</v>
      </c>
      <c r="N3" t="s">
        <v>3801</v>
      </c>
      <c r="Q3" t="s">
        <v>3950</v>
      </c>
      <c r="R3" t="s">
        <v>3951</v>
      </c>
      <c r="S3" t="s">
        <v>3952</v>
      </c>
    </row>
    <row r="4" spans="1:20" ht="15" customHeight="1" x14ac:dyDescent="0.25">
      <c r="A4" t="s">
        <v>3953</v>
      </c>
      <c r="B4" t="s">
        <v>3954</v>
      </c>
      <c r="C4" t="s">
        <v>3893</v>
      </c>
      <c r="D4">
        <v>0</v>
      </c>
      <c r="E4" t="s">
        <v>2199</v>
      </c>
      <c r="F4">
        <v>16</v>
      </c>
      <c r="G4">
        <v>20</v>
      </c>
      <c r="H4">
        <v>60</v>
      </c>
      <c r="I4">
        <v>1</v>
      </c>
      <c r="J4" t="s">
        <v>3955</v>
      </c>
      <c r="K4">
        <v>0</v>
      </c>
      <c r="L4" t="s">
        <v>3956</v>
      </c>
      <c r="M4" t="s">
        <v>3957</v>
      </c>
      <c r="N4" t="s">
        <v>3801</v>
      </c>
      <c r="Q4" t="s">
        <v>3958</v>
      </c>
      <c r="R4" t="s">
        <v>3959</v>
      </c>
    </row>
    <row r="5" spans="1:20" ht="15" customHeight="1" x14ac:dyDescent="0.25">
      <c r="A5" t="s">
        <v>3960</v>
      </c>
      <c r="B5" t="s">
        <v>3961</v>
      </c>
      <c r="C5" t="s">
        <v>3893</v>
      </c>
      <c r="D5">
        <v>2</v>
      </c>
      <c r="E5" t="s">
        <v>2199</v>
      </c>
      <c r="F5">
        <v>16</v>
      </c>
      <c r="G5">
        <v>20</v>
      </c>
      <c r="H5">
        <v>0</v>
      </c>
      <c r="I5">
        <v>1</v>
      </c>
      <c r="J5" t="s">
        <v>3962</v>
      </c>
      <c r="K5">
        <v>0</v>
      </c>
      <c r="L5" t="s">
        <v>3963</v>
      </c>
      <c r="M5" t="s">
        <v>3964</v>
      </c>
      <c r="N5" t="s">
        <v>3801</v>
      </c>
      <c r="R5" t="s">
        <v>3965</v>
      </c>
    </row>
    <row r="6" spans="1:20" ht="15" customHeight="1" x14ac:dyDescent="0.25">
      <c r="A6" t="s">
        <v>3955</v>
      </c>
      <c r="B6" t="s">
        <v>3966</v>
      </c>
      <c r="C6" t="s">
        <v>3893</v>
      </c>
      <c r="D6">
        <v>0</v>
      </c>
      <c r="E6" t="s">
        <v>2199</v>
      </c>
      <c r="F6">
        <v>16</v>
      </c>
      <c r="G6">
        <v>20</v>
      </c>
      <c r="H6">
        <v>70</v>
      </c>
      <c r="I6">
        <v>1</v>
      </c>
      <c r="J6" t="s">
        <v>3955</v>
      </c>
      <c r="K6">
        <v>0</v>
      </c>
      <c r="L6" t="s">
        <v>3948</v>
      </c>
      <c r="M6" t="s">
        <v>3967</v>
      </c>
      <c r="N6" t="s">
        <v>3801</v>
      </c>
      <c r="Q6" t="s">
        <v>3968</v>
      </c>
      <c r="R6" t="s">
        <v>3969</v>
      </c>
    </row>
    <row r="7" spans="1:20" ht="15" customHeight="1" x14ac:dyDescent="0.25">
      <c r="A7" t="s">
        <v>3970</v>
      </c>
      <c r="B7" t="s">
        <v>3971</v>
      </c>
      <c r="C7" t="s">
        <v>3893</v>
      </c>
      <c r="D7">
        <v>2</v>
      </c>
      <c r="E7" t="s">
        <v>347</v>
      </c>
      <c r="F7">
        <v>12</v>
      </c>
      <c r="G7">
        <v>16</v>
      </c>
      <c r="H7">
        <v>70</v>
      </c>
      <c r="I7">
        <v>1</v>
      </c>
      <c r="J7" t="s">
        <v>3972</v>
      </c>
      <c r="K7">
        <v>6</v>
      </c>
      <c r="L7" t="s">
        <v>3973</v>
      </c>
      <c r="M7" t="s">
        <v>3974</v>
      </c>
      <c r="N7" t="s">
        <v>3801</v>
      </c>
      <c r="O7" t="s">
        <v>3944</v>
      </c>
      <c r="P7" t="s">
        <v>3975</v>
      </c>
      <c r="R7" t="s">
        <v>3945</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3876</v>
      </c>
      <c r="D1" t="s">
        <v>3976</v>
      </c>
      <c r="E1" t="s">
        <v>2946</v>
      </c>
    </row>
    <row r="2" spans="1:5" ht="15" customHeight="1" x14ac:dyDescent="0.25">
      <c r="A2" t="s">
        <v>3977</v>
      </c>
      <c r="B2" t="s">
        <v>3107</v>
      </c>
      <c r="C2" t="s">
        <v>3978</v>
      </c>
      <c r="D2" t="s">
        <v>3427</v>
      </c>
    </row>
    <row r="3" spans="1:5" ht="15" customHeight="1" x14ac:dyDescent="0.25">
      <c r="A3" t="s">
        <v>3979</v>
      </c>
      <c r="B3" t="s">
        <v>3107</v>
      </c>
      <c r="C3" t="s">
        <v>3980</v>
      </c>
      <c r="D3" t="s">
        <v>3427</v>
      </c>
    </row>
    <row r="4" spans="1:5" ht="15" customHeight="1" x14ac:dyDescent="0.25">
      <c r="A4" t="s">
        <v>3981</v>
      </c>
      <c r="B4" t="s">
        <v>3107</v>
      </c>
      <c r="C4" t="s">
        <v>3199</v>
      </c>
      <c r="D4" t="s">
        <v>3982</v>
      </c>
    </row>
    <row r="5" spans="1:5" ht="15" customHeight="1" x14ac:dyDescent="0.25">
      <c r="A5" t="s">
        <v>3983</v>
      </c>
      <c r="B5" t="s">
        <v>3107</v>
      </c>
      <c r="C5" t="s">
        <v>3984</v>
      </c>
      <c r="D5" t="s">
        <v>3427</v>
      </c>
    </row>
    <row r="6" spans="1:5" ht="15" customHeight="1" x14ac:dyDescent="0.25">
      <c r="A6" t="s">
        <v>3985</v>
      </c>
      <c r="B6" t="s">
        <v>3107</v>
      </c>
      <c r="C6" t="s">
        <v>3986</v>
      </c>
      <c r="D6" t="s">
        <v>3427</v>
      </c>
    </row>
    <row r="7" spans="1:5" ht="15" customHeight="1" x14ac:dyDescent="0.25">
      <c r="A7" t="s">
        <v>3987</v>
      </c>
      <c r="B7" t="s">
        <v>3107</v>
      </c>
      <c r="C7" t="s">
        <v>3988</v>
      </c>
      <c r="D7" t="s">
        <v>3989</v>
      </c>
    </row>
    <row r="8" spans="1:5" ht="15" customHeight="1" x14ac:dyDescent="0.25">
      <c r="A8" t="s">
        <v>3990</v>
      </c>
      <c r="B8" t="s">
        <v>3107</v>
      </c>
      <c r="C8" t="s">
        <v>3991</v>
      </c>
      <c r="D8" t="s">
        <v>3992</v>
      </c>
    </row>
    <row r="9" spans="1:5" ht="15" customHeight="1" x14ac:dyDescent="0.25">
      <c r="A9" t="s">
        <v>3993</v>
      </c>
      <c r="B9" t="s">
        <v>3994</v>
      </c>
      <c r="C9" t="s">
        <v>3995</v>
      </c>
      <c r="D9" t="s">
        <v>2905</v>
      </c>
      <c r="E9" t="s">
        <v>3996</v>
      </c>
    </row>
    <row r="10" spans="1:5" ht="15" customHeight="1" x14ac:dyDescent="0.25">
      <c r="A10" t="s">
        <v>3997</v>
      </c>
      <c r="B10" t="s">
        <v>3994</v>
      </c>
      <c r="C10" t="s">
        <v>3998</v>
      </c>
      <c r="D10" t="s">
        <v>2905</v>
      </c>
      <c r="E10" t="s">
        <v>3999</v>
      </c>
    </row>
    <row r="11" spans="1:5" ht="15" customHeight="1" x14ac:dyDescent="0.25">
      <c r="A11" t="s">
        <v>4000</v>
      </c>
      <c r="B11" t="s">
        <v>3994</v>
      </c>
      <c r="C11" t="s">
        <v>4001</v>
      </c>
      <c r="D11" t="s">
        <v>2905</v>
      </c>
      <c r="E11" t="s">
        <v>4002</v>
      </c>
    </row>
    <row r="12" spans="1:5" ht="15" customHeight="1" x14ac:dyDescent="0.25">
      <c r="A12" t="s">
        <v>4003</v>
      </c>
      <c r="B12" t="s">
        <v>3107</v>
      </c>
      <c r="C12" t="s">
        <v>4004</v>
      </c>
      <c r="D12" t="s">
        <v>4005</v>
      </c>
    </row>
    <row r="13" spans="1:5" ht="15" customHeight="1" x14ac:dyDescent="0.25">
      <c r="A13" t="s">
        <v>4006</v>
      </c>
      <c r="B13" t="s">
        <v>3107</v>
      </c>
      <c r="C13" t="s">
        <v>4007</v>
      </c>
      <c r="D13" t="s">
        <v>3427</v>
      </c>
    </row>
    <row r="14" spans="1:5" ht="15" customHeight="1" x14ac:dyDescent="0.25">
      <c r="A14" t="s">
        <v>4008</v>
      </c>
      <c r="B14" t="s">
        <v>3107</v>
      </c>
      <c r="C14" t="s">
        <v>4009</v>
      </c>
      <c r="D14" t="s">
        <v>4010</v>
      </c>
    </row>
    <row r="15" spans="1:5" ht="15" customHeight="1" x14ac:dyDescent="0.25">
      <c r="A15" t="s">
        <v>4011</v>
      </c>
      <c r="B15" t="s">
        <v>3107</v>
      </c>
      <c r="C15" t="s">
        <v>4012</v>
      </c>
      <c r="D15" t="s">
        <v>3427</v>
      </c>
    </row>
    <row r="16" spans="1:5" ht="15" customHeight="1" x14ac:dyDescent="0.25">
      <c r="A16" t="s">
        <v>4013</v>
      </c>
      <c r="B16" t="s">
        <v>3994</v>
      </c>
      <c r="C16" t="s">
        <v>4014</v>
      </c>
      <c r="D16" t="s">
        <v>2905</v>
      </c>
      <c r="E16" t="s">
        <v>4015</v>
      </c>
    </row>
    <row r="17" spans="1:4" ht="15" customHeight="1" x14ac:dyDescent="0.25">
      <c r="A17" t="s">
        <v>4016</v>
      </c>
      <c r="B17" t="s">
        <v>3107</v>
      </c>
      <c r="C17" t="s">
        <v>4017</v>
      </c>
      <c r="D17" t="s">
        <v>4018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4019</v>
      </c>
      <c r="E1" t="s">
        <v>4020</v>
      </c>
      <c r="F1" t="s">
        <v>4021</v>
      </c>
      <c r="G1" t="s">
        <v>4022</v>
      </c>
      <c r="H1" t="s">
        <v>3243</v>
      </c>
      <c r="I1" t="s">
        <v>57</v>
      </c>
      <c r="J1" t="s">
        <v>3791</v>
      </c>
      <c r="K1" t="s">
        <v>4023</v>
      </c>
    </row>
    <row r="2" spans="1:11" ht="15" customHeight="1" x14ac:dyDescent="0.25">
      <c r="A2" t="s">
        <v>4024</v>
      </c>
      <c r="B2" t="s">
        <v>4025</v>
      </c>
      <c r="C2" t="s">
        <v>4026</v>
      </c>
      <c r="D2" t="s">
        <v>70</v>
      </c>
      <c r="E2" t="s">
        <v>2905</v>
      </c>
      <c r="F2" t="s">
        <v>3803</v>
      </c>
      <c r="G2" t="s">
        <v>3798</v>
      </c>
      <c r="H2" t="s">
        <v>3256</v>
      </c>
      <c r="I2" t="s">
        <v>4024</v>
      </c>
      <c r="J2" t="s">
        <v>2970</v>
      </c>
      <c r="K2" t="s">
        <v>2905</v>
      </c>
    </row>
    <row r="3" spans="1:11" ht="15" customHeight="1" x14ac:dyDescent="0.25">
      <c r="A3" t="s">
        <v>2964</v>
      </c>
      <c r="B3" t="s">
        <v>4027</v>
      </c>
      <c r="C3" t="s">
        <v>3041</v>
      </c>
      <c r="D3" t="s">
        <v>3801</v>
      </c>
      <c r="E3" t="s">
        <v>2905</v>
      </c>
      <c r="F3" t="s">
        <v>3803</v>
      </c>
      <c r="G3" t="s">
        <v>3798</v>
      </c>
      <c r="H3" t="s">
        <v>3256</v>
      </c>
      <c r="I3" t="s">
        <v>2964</v>
      </c>
      <c r="J3" t="s">
        <v>2951</v>
      </c>
      <c r="K3" t="s">
        <v>2905</v>
      </c>
    </row>
    <row r="4" spans="1:11" ht="15" customHeight="1" x14ac:dyDescent="0.25">
      <c r="A4" t="s">
        <v>4028</v>
      </c>
      <c r="B4" t="s">
        <v>4029</v>
      </c>
      <c r="C4" t="s">
        <v>4030</v>
      </c>
      <c r="D4" t="s">
        <v>70</v>
      </c>
      <c r="E4" t="s">
        <v>2905</v>
      </c>
      <c r="F4" t="s">
        <v>4031</v>
      </c>
      <c r="G4" t="s">
        <v>3798</v>
      </c>
      <c r="H4" t="s">
        <v>3245</v>
      </c>
      <c r="I4" t="s">
        <v>4028</v>
      </c>
      <c r="J4" t="s">
        <v>2970</v>
      </c>
      <c r="K4" t="s">
        <v>2905</v>
      </c>
    </row>
    <row r="5" spans="1:11" ht="15" customHeight="1" x14ac:dyDescent="0.25">
      <c r="A5" t="s">
        <v>4032</v>
      </c>
      <c r="B5" t="s">
        <v>4033</v>
      </c>
      <c r="C5" t="s">
        <v>4026</v>
      </c>
      <c r="D5" t="s">
        <v>70</v>
      </c>
      <c r="E5" t="s">
        <v>2905</v>
      </c>
      <c r="F5" t="s">
        <v>3803</v>
      </c>
      <c r="G5" t="s">
        <v>3798</v>
      </c>
      <c r="H5" t="s">
        <v>3256</v>
      </c>
      <c r="I5" t="s">
        <v>4034</v>
      </c>
      <c r="J5" t="s">
        <v>2951</v>
      </c>
      <c r="K5" t="s">
        <v>2905</v>
      </c>
    </row>
    <row r="6" spans="1:11" ht="15" customHeight="1" x14ac:dyDescent="0.25">
      <c r="A6" t="s">
        <v>4035</v>
      </c>
      <c r="B6" t="s">
        <v>4036</v>
      </c>
      <c r="C6" t="s">
        <v>4030</v>
      </c>
      <c r="D6" t="s">
        <v>70</v>
      </c>
      <c r="E6" t="s">
        <v>2905</v>
      </c>
      <c r="F6" t="s">
        <v>4037</v>
      </c>
      <c r="G6" t="s">
        <v>3798</v>
      </c>
      <c r="H6" t="s">
        <v>3245</v>
      </c>
      <c r="I6" t="s">
        <v>4035</v>
      </c>
      <c r="J6" t="s">
        <v>2958</v>
      </c>
      <c r="K6" t="s">
        <v>2905</v>
      </c>
    </row>
    <row r="7" spans="1:11" ht="15" customHeight="1" x14ac:dyDescent="0.25">
      <c r="A7" t="s">
        <v>4038</v>
      </c>
      <c r="B7" t="s">
        <v>4039</v>
      </c>
      <c r="C7" t="s">
        <v>4026</v>
      </c>
      <c r="D7" t="s">
        <v>70</v>
      </c>
      <c r="E7" t="s">
        <v>2905</v>
      </c>
      <c r="F7" t="s">
        <v>4037</v>
      </c>
      <c r="G7" t="s">
        <v>3798</v>
      </c>
      <c r="H7" t="s">
        <v>3256</v>
      </c>
      <c r="I7" t="s">
        <v>4038</v>
      </c>
      <c r="J7" t="s">
        <v>2951</v>
      </c>
      <c r="K7" t="s">
        <v>2905</v>
      </c>
    </row>
    <row r="8" spans="1:11" ht="15" customHeight="1" x14ac:dyDescent="0.25">
      <c r="A8" t="s">
        <v>4040</v>
      </c>
      <c r="B8" t="s">
        <v>4041</v>
      </c>
      <c r="C8" t="s">
        <v>4026</v>
      </c>
      <c r="D8" t="s">
        <v>70</v>
      </c>
      <c r="E8" t="s">
        <v>2905</v>
      </c>
      <c r="F8" t="s">
        <v>3803</v>
      </c>
      <c r="G8" t="s">
        <v>3798</v>
      </c>
      <c r="H8" t="s">
        <v>3256</v>
      </c>
      <c r="I8" t="s">
        <v>4040</v>
      </c>
      <c r="J8" t="s">
        <v>2958</v>
      </c>
      <c r="K8" t="s">
        <v>2905</v>
      </c>
    </row>
    <row r="9" spans="1:11" ht="15" customHeight="1" x14ac:dyDescent="0.25">
      <c r="A9" t="s">
        <v>4042</v>
      </c>
      <c r="B9" t="s">
        <v>4043</v>
      </c>
      <c r="C9" t="s">
        <v>4030</v>
      </c>
      <c r="D9" t="s">
        <v>70</v>
      </c>
      <c r="E9" t="s">
        <v>2905</v>
      </c>
      <c r="F9" t="s">
        <v>3803</v>
      </c>
      <c r="G9" t="s">
        <v>3798</v>
      </c>
      <c r="H9" t="s">
        <v>3245</v>
      </c>
      <c r="I9" t="s">
        <v>4042</v>
      </c>
      <c r="J9" t="s">
        <v>2958</v>
      </c>
      <c r="K9" t="s">
        <v>2905</v>
      </c>
    </row>
    <row r="10" spans="1:11" ht="15" customHeight="1" x14ac:dyDescent="0.25">
      <c r="A10" t="s">
        <v>4044</v>
      </c>
      <c r="B10" t="s">
        <v>4045</v>
      </c>
      <c r="C10" t="s">
        <v>4026</v>
      </c>
      <c r="D10" t="s">
        <v>70</v>
      </c>
      <c r="E10" t="s">
        <v>2905</v>
      </c>
      <c r="F10" t="s">
        <v>4046</v>
      </c>
      <c r="G10" t="s">
        <v>3798</v>
      </c>
      <c r="H10" t="s">
        <v>3256</v>
      </c>
      <c r="I10" t="s">
        <v>4044</v>
      </c>
      <c r="J10" t="s">
        <v>2951</v>
      </c>
      <c r="K10" t="s">
        <v>2905</v>
      </c>
    </row>
    <row r="11" spans="1:11" ht="15" customHeight="1" x14ac:dyDescent="0.25">
      <c r="A11" t="s">
        <v>4047</v>
      </c>
      <c r="B11" t="s">
        <v>4048</v>
      </c>
      <c r="C11" t="s">
        <v>4030</v>
      </c>
      <c r="D11" t="s">
        <v>70</v>
      </c>
      <c r="E11" t="s">
        <v>2905</v>
      </c>
      <c r="F11" t="s">
        <v>4037</v>
      </c>
      <c r="G11" t="s">
        <v>3798</v>
      </c>
      <c r="H11" t="s">
        <v>3245</v>
      </c>
      <c r="I11" t="s">
        <v>4047</v>
      </c>
      <c r="J11" t="s">
        <v>2958</v>
      </c>
      <c r="K11" t="s">
        <v>2905</v>
      </c>
    </row>
    <row r="12" spans="1:11" ht="15" customHeight="1" x14ac:dyDescent="0.25">
      <c r="A12" t="s">
        <v>4049</v>
      </c>
      <c r="B12" t="s">
        <v>4050</v>
      </c>
      <c r="C12" t="s">
        <v>4026</v>
      </c>
      <c r="D12" t="s">
        <v>70</v>
      </c>
      <c r="E12" t="s">
        <v>2905</v>
      </c>
      <c r="F12" t="s">
        <v>4051</v>
      </c>
      <c r="G12" t="s">
        <v>4052</v>
      </c>
      <c r="H12" t="s">
        <v>3256</v>
      </c>
      <c r="I12" t="s">
        <v>4049</v>
      </c>
      <c r="J12" t="s">
        <v>2951</v>
      </c>
      <c r="K12" t="s">
        <v>2905</v>
      </c>
    </row>
    <row r="13" spans="1:11" ht="15" customHeight="1" x14ac:dyDescent="0.25">
      <c r="A13" t="s">
        <v>4053</v>
      </c>
      <c r="B13" t="s">
        <v>4054</v>
      </c>
      <c r="C13" t="s">
        <v>4030</v>
      </c>
      <c r="D13" t="s">
        <v>70</v>
      </c>
      <c r="E13" t="s">
        <v>2905</v>
      </c>
      <c r="F13" t="s">
        <v>4051</v>
      </c>
      <c r="G13" t="s">
        <v>4055</v>
      </c>
      <c r="H13" t="s">
        <v>3245</v>
      </c>
      <c r="I13" t="s">
        <v>4053</v>
      </c>
      <c r="J13" t="s">
        <v>2905</v>
      </c>
      <c r="K13" t="s">
        <v>2905</v>
      </c>
    </row>
    <row r="14" spans="1:11" ht="15" customHeight="1" x14ac:dyDescent="0.25">
      <c r="A14" t="s">
        <v>4056</v>
      </c>
      <c r="B14" t="s">
        <v>4057</v>
      </c>
      <c r="C14" t="s">
        <v>4030</v>
      </c>
      <c r="D14" t="s">
        <v>70</v>
      </c>
      <c r="E14" t="s">
        <v>2905</v>
      </c>
      <c r="F14" t="s">
        <v>4037</v>
      </c>
      <c r="G14" t="s">
        <v>4052</v>
      </c>
      <c r="H14" t="s">
        <v>3245</v>
      </c>
      <c r="I14" t="s">
        <v>4056</v>
      </c>
      <c r="J14" t="s">
        <v>2905</v>
      </c>
      <c r="K14" t="s">
        <v>2905</v>
      </c>
    </row>
    <row r="15" spans="1:11" ht="15" customHeight="1" x14ac:dyDescent="0.25">
      <c r="A15" t="s">
        <v>4058</v>
      </c>
      <c r="B15" t="s">
        <v>4059</v>
      </c>
      <c r="C15" t="s">
        <v>4030</v>
      </c>
      <c r="D15" t="s">
        <v>70</v>
      </c>
      <c r="E15" t="s">
        <v>2905</v>
      </c>
      <c r="F15" t="s">
        <v>3803</v>
      </c>
      <c r="G15" t="s">
        <v>4055</v>
      </c>
      <c r="H15" t="s">
        <v>3245</v>
      </c>
      <c r="I15" t="s">
        <v>4060</v>
      </c>
      <c r="J15" t="s">
        <v>2905</v>
      </c>
      <c r="K15" t="s">
        <v>2905</v>
      </c>
    </row>
    <row r="16" spans="1:11" ht="15" customHeight="1" x14ac:dyDescent="0.25">
      <c r="A16" t="s">
        <v>4061</v>
      </c>
      <c r="B16" t="s">
        <v>4062</v>
      </c>
      <c r="C16" t="s">
        <v>3041</v>
      </c>
      <c r="D16" t="s">
        <v>3801</v>
      </c>
      <c r="E16" t="s">
        <v>2905</v>
      </c>
      <c r="F16" t="s">
        <v>3803</v>
      </c>
      <c r="G16" t="s">
        <v>3798</v>
      </c>
      <c r="H16" t="s">
        <v>3256</v>
      </c>
      <c r="I16" t="s">
        <v>4063</v>
      </c>
      <c r="J16" t="s">
        <v>2905</v>
      </c>
      <c r="K16" t="s">
        <v>2905</v>
      </c>
    </row>
    <row r="17" spans="1:11" ht="15" customHeight="1" x14ac:dyDescent="0.25">
      <c r="A17" t="s">
        <v>2963</v>
      </c>
      <c r="B17" t="s">
        <v>4064</v>
      </c>
      <c r="C17" t="s">
        <v>4026</v>
      </c>
      <c r="D17" t="s">
        <v>70</v>
      </c>
      <c r="E17" t="s">
        <v>2905</v>
      </c>
      <c r="F17" t="s">
        <v>3803</v>
      </c>
      <c r="G17" t="s">
        <v>3798</v>
      </c>
      <c r="H17" t="s">
        <v>3256</v>
      </c>
      <c r="I17" t="s">
        <v>2963</v>
      </c>
      <c r="J17" t="s">
        <v>2970</v>
      </c>
      <c r="K17" t="s">
        <v>2905</v>
      </c>
    </row>
    <row r="18" spans="1:11" ht="15" customHeight="1" x14ac:dyDescent="0.25">
      <c r="A18" t="s">
        <v>4065</v>
      </c>
      <c r="B18" t="s">
        <v>4066</v>
      </c>
      <c r="C18" t="s">
        <v>4026</v>
      </c>
      <c r="D18" t="s">
        <v>70</v>
      </c>
      <c r="E18" t="s">
        <v>2905</v>
      </c>
      <c r="F18" t="s">
        <v>4067</v>
      </c>
      <c r="G18" t="s">
        <v>3798</v>
      </c>
      <c r="H18" t="s">
        <v>3256</v>
      </c>
      <c r="I18" t="s">
        <v>4065</v>
      </c>
      <c r="J18" t="s">
        <v>2951</v>
      </c>
      <c r="K18" t="s">
        <v>2905</v>
      </c>
    </row>
    <row r="19" spans="1:11" ht="15" customHeight="1" x14ac:dyDescent="0.25">
      <c r="A19" t="s">
        <v>4068</v>
      </c>
      <c r="B19" t="s">
        <v>4069</v>
      </c>
      <c r="C19" t="s">
        <v>4030</v>
      </c>
      <c r="D19" t="s">
        <v>70</v>
      </c>
      <c r="E19" t="s">
        <v>2905</v>
      </c>
      <c r="F19" t="s">
        <v>3803</v>
      </c>
      <c r="G19" t="s">
        <v>3798</v>
      </c>
      <c r="H19" t="s">
        <v>3245</v>
      </c>
      <c r="I19" t="s">
        <v>4068</v>
      </c>
      <c r="J19" t="s">
        <v>2970</v>
      </c>
      <c r="K19" t="s">
        <v>2905</v>
      </c>
    </row>
    <row r="20" spans="1:11" ht="15" customHeight="1" x14ac:dyDescent="0.25">
      <c r="A20" t="s">
        <v>4070</v>
      </c>
      <c r="B20" t="s">
        <v>4071</v>
      </c>
      <c r="C20" t="s">
        <v>4026</v>
      </c>
      <c r="D20" t="s">
        <v>70</v>
      </c>
      <c r="E20" t="s">
        <v>2905</v>
      </c>
      <c r="F20" t="s">
        <v>4037</v>
      </c>
      <c r="G20" t="s">
        <v>4052</v>
      </c>
      <c r="H20" t="s">
        <v>3256</v>
      </c>
      <c r="I20" t="s">
        <v>4072</v>
      </c>
      <c r="J20" t="s">
        <v>2951</v>
      </c>
      <c r="K20" t="s">
        <v>2905</v>
      </c>
    </row>
    <row r="21" spans="1:11" ht="15" customHeight="1" x14ac:dyDescent="0.25">
      <c r="A21" t="s">
        <v>4073</v>
      </c>
      <c r="B21" t="s">
        <v>4074</v>
      </c>
      <c r="C21" t="s">
        <v>4030</v>
      </c>
      <c r="D21" t="s">
        <v>70</v>
      </c>
      <c r="E21" t="s">
        <v>2905</v>
      </c>
      <c r="F21" t="s">
        <v>4037</v>
      </c>
      <c r="G21" t="s">
        <v>3798</v>
      </c>
      <c r="H21" t="s">
        <v>3245</v>
      </c>
      <c r="I21" t="s">
        <v>4073</v>
      </c>
      <c r="J21" t="s">
        <v>2951</v>
      </c>
      <c r="K21" t="s">
        <v>2905</v>
      </c>
    </row>
    <row r="22" spans="1:11" ht="15" customHeight="1" x14ac:dyDescent="0.25">
      <c r="A22" t="s">
        <v>4075</v>
      </c>
      <c r="B22" t="s">
        <v>4076</v>
      </c>
      <c r="C22" t="s">
        <v>3041</v>
      </c>
      <c r="D22" t="s">
        <v>70</v>
      </c>
      <c r="E22" t="s">
        <v>2905</v>
      </c>
      <c r="F22" t="s">
        <v>3803</v>
      </c>
      <c r="G22" t="s">
        <v>4052</v>
      </c>
      <c r="H22" t="s">
        <v>3256</v>
      </c>
      <c r="I22" t="s">
        <v>4075</v>
      </c>
      <c r="J22" t="s">
        <v>2905</v>
      </c>
      <c r="K22" t="s">
        <v>2905</v>
      </c>
    </row>
    <row r="23" spans="1:11" ht="15" customHeight="1" x14ac:dyDescent="0.25">
      <c r="A23" t="s">
        <v>4077</v>
      </c>
      <c r="B23" t="s">
        <v>4078</v>
      </c>
      <c r="C23" t="s">
        <v>3041</v>
      </c>
      <c r="D23" t="s">
        <v>70</v>
      </c>
      <c r="E23" t="s">
        <v>2905</v>
      </c>
      <c r="F23" t="s">
        <v>3803</v>
      </c>
      <c r="G23" t="s">
        <v>4052</v>
      </c>
      <c r="H23" t="s">
        <v>3256</v>
      </c>
      <c r="I23" t="s">
        <v>4077</v>
      </c>
      <c r="J23" t="s">
        <v>2905</v>
      </c>
      <c r="K23" t="s">
        <v>2905</v>
      </c>
    </row>
    <row r="24" spans="1:11" ht="15" customHeight="1" x14ac:dyDescent="0.25">
      <c r="A24" t="s">
        <v>4079</v>
      </c>
      <c r="B24" t="s">
        <v>4080</v>
      </c>
      <c r="C24" t="s">
        <v>4030</v>
      </c>
      <c r="D24" t="s">
        <v>70</v>
      </c>
      <c r="E24" t="s">
        <v>2905</v>
      </c>
      <c r="F24" t="s">
        <v>4037</v>
      </c>
      <c r="G24" t="s">
        <v>3798</v>
      </c>
      <c r="H24" t="s">
        <v>3245</v>
      </c>
      <c r="I24" t="s">
        <v>4081</v>
      </c>
      <c r="J24" t="s">
        <v>2905</v>
      </c>
      <c r="K24" t="s">
        <v>2905</v>
      </c>
    </row>
    <row r="25" spans="1:11" ht="15" customHeight="1" x14ac:dyDescent="0.25">
      <c r="A25" t="s">
        <v>4082</v>
      </c>
      <c r="B25" t="s">
        <v>4083</v>
      </c>
      <c r="C25" t="s">
        <v>4030</v>
      </c>
      <c r="D25" t="s">
        <v>70</v>
      </c>
      <c r="E25" t="s">
        <v>2905</v>
      </c>
      <c r="F25" t="s">
        <v>4084</v>
      </c>
      <c r="G25" t="s">
        <v>4052</v>
      </c>
      <c r="H25" t="s">
        <v>3245</v>
      </c>
      <c r="I25" t="s">
        <v>4082</v>
      </c>
      <c r="J25" t="s">
        <v>2970</v>
      </c>
      <c r="K25" t="s">
        <v>2905</v>
      </c>
    </row>
    <row r="26" spans="1:11" ht="15" customHeight="1" x14ac:dyDescent="0.25">
      <c r="A26" t="s">
        <v>4085</v>
      </c>
      <c r="B26" t="s">
        <v>4086</v>
      </c>
      <c r="C26" t="s">
        <v>3041</v>
      </c>
      <c r="D26" t="s">
        <v>70</v>
      </c>
      <c r="E26" t="s">
        <v>2905</v>
      </c>
      <c r="F26" t="s">
        <v>3803</v>
      </c>
      <c r="G26" t="s">
        <v>4052</v>
      </c>
      <c r="H26" t="s">
        <v>3256</v>
      </c>
      <c r="I26" t="s">
        <v>4087</v>
      </c>
      <c r="J26" t="s">
        <v>2905</v>
      </c>
      <c r="K26" t="s">
        <v>2905</v>
      </c>
    </row>
    <row r="27" spans="1:11" ht="15" customHeight="1" x14ac:dyDescent="0.25">
      <c r="A27" t="s">
        <v>4088</v>
      </c>
      <c r="B27" t="s">
        <v>4089</v>
      </c>
      <c r="C27" t="s">
        <v>3041</v>
      </c>
      <c r="D27" t="s">
        <v>70</v>
      </c>
      <c r="E27" t="s">
        <v>2905</v>
      </c>
      <c r="F27" t="s">
        <v>3803</v>
      </c>
      <c r="G27" t="s">
        <v>4052</v>
      </c>
      <c r="H27" t="s">
        <v>3256</v>
      </c>
      <c r="I27" t="s">
        <v>4090</v>
      </c>
      <c r="J27" t="s">
        <v>2905</v>
      </c>
      <c r="K27" t="s">
        <v>2905</v>
      </c>
    </row>
    <row r="28" spans="1:11" ht="15" customHeight="1" x14ac:dyDescent="0.25">
      <c r="A28" t="s">
        <v>4091</v>
      </c>
      <c r="B28" t="s">
        <v>4092</v>
      </c>
      <c r="C28" t="s">
        <v>4026</v>
      </c>
      <c r="D28" t="s">
        <v>70</v>
      </c>
      <c r="E28" t="s">
        <v>2905</v>
      </c>
      <c r="F28" t="s">
        <v>4051</v>
      </c>
      <c r="G28" t="s">
        <v>3798</v>
      </c>
      <c r="H28" t="s">
        <v>3256</v>
      </c>
      <c r="I28" t="s">
        <v>4093</v>
      </c>
      <c r="J28" t="s">
        <v>2970</v>
      </c>
      <c r="K28" t="s">
        <v>2905</v>
      </c>
    </row>
    <row r="29" spans="1:11" ht="15" customHeight="1" x14ac:dyDescent="0.25">
      <c r="A29" t="s">
        <v>4094</v>
      </c>
      <c r="B29" t="s">
        <v>4095</v>
      </c>
      <c r="C29" t="s">
        <v>3041</v>
      </c>
      <c r="D29" t="s">
        <v>3801</v>
      </c>
      <c r="E29" t="s">
        <v>2905</v>
      </c>
      <c r="F29" t="s">
        <v>4096</v>
      </c>
      <c r="G29" t="s">
        <v>4055</v>
      </c>
      <c r="H29" t="s">
        <v>3245</v>
      </c>
      <c r="I29" t="s">
        <v>4094</v>
      </c>
      <c r="J29" t="s">
        <v>2905</v>
      </c>
      <c r="K29" t="s">
        <v>2905</v>
      </c>
    </row>
    <row r="30" spans="1:11" ht="15" customHeight="1" x14ac:dyDescent="0.25">
      <c r="A30" t="s">
        <v>4097</v>
      </c>
      <c r="B30" t="s">
        <v>4098</v>
      </c>
      <c r="C30" t="s">
        <v>3041</v>
      </c>
      <c r="D30" t="s">
        <v>3801</v>
      </c>
      <c r="E30" t="s">
        <v>2905</v>
      </c>
      <c r="F30" t="s">
        <v>3803</v>
      </c>
      <c r="G30" t="s">
        <v>4055</v>
      </c>
      <c r="H30" t="s">
        <v>3264</v>
      </c>
      <c r="I30" t="s">
        <v>4097</v>
      </c>
      <c r="J30" t="s">
        <v>2905</v>
      </c>
      <c r="K30" t="s">
        <v>2905</v>
      </c>
    </row>
    <row r="31" spans="1:11" ht="15" customHeight="1" x14ac:dyDescent="0.25">
      <c r="A31" t="s">
        <v>4099</v>
      </c>
      <c r="B31" t="s">
        <v>4100</v>
      </c>
      <c r="C31" t="s">
        <v>4030</v>
      </c>
      <c r="D31" t="s">
        <v>70</v>
      </c>
      <c r="E31" t="s">
        <v>2905</v>
      </c>
      <c r="F31" t="s">
        <v>4037</v>
      </c>
      <c r="G31" t="s">
        <v>4052</v>
      </c>
      <c r="H31" t="s">
        <v>3245</v>
      </c>
      <c r="I31" t="s">
        <v>4099</v>
      </c>
      <c r="J31" t="s">
        <v>2958</v>
      </c>
      <c r="K31" t="s">
        <v>2905</v>
      </c>
    </row>
    <row r="32" spans="1:11" ht="15" customHeight="1" x14ac:dyDescent="0.25">
      <c r="A32" t="s">
        <v>4101</v>
      </c>
      <c r="B32" t="s">
        <v>4102</v>
      </c>
      <c r="C32" t="s">
        <v>4026</v>
      </c>
      <c r="D32" t="s">
        <v>70</v>
      </c>
      <c r="E32" t="s">
        <v>2905</v>
      </c>
      <c r="F32" t="s">
        <v>4037</v>
      </c>
      <c r="G32" t="s">
        <v>3798</v>
      </c>
      <c r="H32" t="s">
        <v>3256</v>
      </c>
      <c r="I32" t="s">
        <v>4101</v>
      </c>
      <c r="J32" t="s">
        <v>2951</v>
      </c>
      <c r="K32" t="s">
        <v>2905</v>
      </c>
    </row>
    <row r="33" spans="1:11" ht="15" customHeight="1" x14ac:dyDescent="0.25">
      <c r="A33" t="s">
        <v>4103</v>
      </c>
      <c r="B33" t="s">
        <v>4104</v>
      </c>
      <c r="C33" t="s">
        <v>4030</v>
      </c>
      <c r="D33" t="s">
        <v>70</v>
      </c>
      <c r="E33" t="s">
        <v>2905</v>
      </c>
      <c r="F33" t="s">
        <v>3803</v>
      </c>
      <c r="G33" t="s">
        <v>3798</v>
      </c>
      <c r="H33" t="s">
        <v>3245</v>
      </c>
      <c r="I33" t="s">
        <v>4103</v>
      </c>
      <c r="J33" t="s">
        <v>2970</v>
      </c>
      <c r="K33" t="s">
        <v>2905</v>
      </c>
    </row>
    <row r="34" spans="1:11" ht="15" customHeight="1" x14ac:dyDescent="0.25">
      <c r="A34" t="s">
        <v>4105</v>
      </c>
      <c r="B34" t="s">
        <v>4106</v>
      </c>
      <c r="C34" t="s">
        <v>3041</v>
      </c>
      <c r="D34" t="s">
        <v>3801</v>
      </c>
      <c r="E34" t="s">
        <v>2905</v>
      </c>
      <c r="F34" t="s">
        <v>3803</v>
      </c>
      <c r="G34" t="s">
        <v>4055</v>
      </c>
      <c r="H34" t="s">
        <v>3256</v>
      </c>
      <c r="I34" t="s">
        <v>4107</v>
      </c>
      <c r="J34" t="s">
        <v>2905</v>
      </c>
      <c r="K34" t="s">
        <v>2905</v>
      </c>
    </row>
    <row r="35" spans="1:11" ht="15" customHeight="1" x14ac:dyDescent="0.25">
      <c r="A35" t="s">
        <v>4108</v>
      </c>
      <c r="B35" t="s">
        <v>4109</v>
      </c>
      <c r="C35" t="s">
        <v>4026</v>
      </c>
      <c r="D35" t="s">
        <v>4110</v>
      </c>
      <c r="E35" t="s">
        <v>2905</v>
      </c>
      <c r="F35" t="s">
        <v>4111</v>
      </c>
      <c r="G35" t="s">
        <v>4052</v>
      </c>
      <c r="H35" t="s">
        <v>3256</v>
      </c>
      <c r="I35" t="s">
        <v>4112</v>
      </c>
      <c r="J35" t="s">
        <v>2958</v>
      </c>
      <c r="K35" t="s">
        <v>2905</v>
      </c>
    </row>
    <row r="36" spans="1:11" ht="15" customHeight="1" x14ac:dyDescent="0.25">
      <c r="A36" t="s">
        <v>4113</v>
      </c>
      <c r="B36" t="s">
        <v>4114</v>
      </c>
      <c r="C36" t="s">
        <v>4026</v>
      </c>
      <c r="D36" t="s">
        <v>4110</v>
      </c>
      <c r="E36" t="s">
        <v>2905</v>
      </c>
      <c r="F36" t="s">
        <v>4111</v>
      </c>
      <c r="G36" t="s">
        <v>4052</v>
      </c>
      <c r="H36" t="s">
        <v>3256</v>
      </c>
      <c r="I36" t="s">
        <v>4115</v>
      </c>
      <c r="J36" t="s">
        <v>2951</v>
      </c>
      <c r="K36" t="s">
        <v>2905</v>
      </c>
    </row>
    <row r="37" spans="1:11" ht="15" customHeight="1" x14ac:dyDescent="0.25">
      <c r="A37" t="s">
        <v>4116</v>
      </c>
      <c r="B37" t="s">
        <v>4117</v>
      </c>
      <c r="C37" t="s">
        <v>4026</v>
      </c>
      <c r="D37" t="s">
        <v>4110</v>
      </c>
      <c r="E37" t="s">
        <v>2905</v>
      </c>
      <c r="F37" t="s">
        <v>4111</v>
      </c>
      <c r="G37" t="s">
        <v>4052</v>
      </c>
      <c r="H37" t="s">
        <v>3256</v>
      </c>
      <c r="I37" t="s">
        <v>4118</v>
      </c>
      <c r="J37" t="s">
        <v>2951</v>
      </c>
      <c r="K37" t="s">
        <v>2905</v>
      </c>
    </row>
    <row r="38" spans="1:11" ht="15" customHeight="1" x14ac:dyDescent="0.25">
      <c r="A38" t="s">
        <v>4119</v>
      </c>
      <c r="B38" t="s">
        <v>4120</v>
      </c>
      <c r="C38" t="s">
        <v>4030</v>
      </c>
      <c r="D38" t="s">
        <v>3801</v>
      </c>
      <c r="E38" t="s">
        <v>2905</v>
      </c>
      <c r="F38" t="s">
        <v>4037</v>
      </c>
      <c r="G38" t="s">
        <v>4052</v>
      </c>
      <c r="H38" t="s">
        <v>3245</v>
      </c>
      <c r="I38" t="s">
        <v>4121</v>
      </c>
      <c r="J38" t="s">
        <v>2905</v>
      </c>
      <c r="K38" t="s">
        <v>2905</v>
      </c>
    </row>
    <row r="39" spans="1:11" ht="15" customHeight="1" x14ac:dyDescent="0.25">
      <c r="A39" t="s">
        <v>4122</v>
      </c>
      <c r="B39" t="s">
        <v>4123</v>
      </c>
      <c r="C39" t="s">
        <v>4030</v>
      </c>
      <c r="D39" t="s">
        <v>70</v>
      </c>
      <c r="E39" t="s">
        <v>2905</v>
      </c>
      <c r="F39" t="s">
        <v>4037</v>
      </c>
      <c r="G39" t="s">
        <v>3798</v>
      </c>
      <c r="H39" t="s">
        <v>3245</v>
      </c>
      <c r="I39" t="s">
        <v>4122</v>
      </c>
      <c r="J39" t="s">
        <v>2905</v>
      </c>
      <c r="K39" t="s">
        <v>2905</v>
      </c>
    </row>
    <row r="40" spans="1:11" ht="15" customHeight="1" x14ac:dyDescent="0.25">
      <c r="A40" t="s">
        <v>4124</v>
      </c>
      <c r="B40" t="s">
        <v>4125</v>
      </c>
      <c r="C40" t="s">
        <v>4026</v>
      </c>
      <c r="D40" t="s">
        <v>70</v>
      </c>
      <c r="E40" t="s">
        <v>2905</v>
      </c>
      <c r="F40" t="s">
        <v>3803</v>
      </c>
      <c r="G40" t="s">
        <v>3798</v>
      </c>
      <c r="H40" t="s">
        <v>3256</v>
      </c>
      <c r="I40" t="s">
        <v>4124</v>
      </c>
      <c r="J40" t="s">
        <v>2951</v>
      </c>
      <c r="K40" t="s">
        <v>2905</v>
      </c>
    </row>
    <row r="41" spans="1:11" ht="15" customHeight="1" x14ac:dyDescent="0.25">
      <c r="A41" t="s">
        <v>4126</v>
      </c>
      <c r="B41" t="s">
        <v>4127</v>
      </c>
      <c r="C41" t="s">
        <v>3041</v>
      </c>
      <c r="D41" t="s">
        <v>3801</v>
      </c>
      <c r="E41" t="s">
        <v>2905</v>
      </c>
      <c r="F41" t="s">
        <v>3803</v>
      </c>
      <c r="G41" t="s">
        <v>4055</v>
      </c>
      <c r="H41" t="s">
        <v>3264</v>
      </c>
      <c r="I41" t="s">
        <v>4128</v>
      </c>
      <c r="J41" t="s">
        <v>2905</v>
      </c>
      <c r="K41" t="s">
        <v>2905</v>
      </c>
    </row>
    <row r="42" spans="1:11" ht="15" customHeight="1" x14ac:dyDescent="0.25">
      <c r="A42" t="s">
        <v>4129</v>
      </c>
      <c r="B42" t="s">
        <v>4130</v>
      </c>
      <c r="C42" t="s">
        <v>4026</v>
      </c>
      <c r="D42" t="s">
        <v>70</v>
      </c>
      <c r="E42" t="s">
        <v>2905</v>
      </c>
      <c r="F42" t="s">
        <v>4131</v>
      </c>
      <c r="G42" t="s">
        <v>3798</v>
      </c>
      <c r="H42" t="s">
        <v>3256</v>
      </c>
      <c r="I42" t="s">
        <v>4132</v>
      </c>
      <c r="J42" t="s">
        <v>2970</v>
      </c>
      <c r="K42" t="s">
        <v>2905</v>
      </c>
    </row>
    <row r="43" spans="1:11" ht="15" customHeight="1" x14ac:dyDescent="0.25">
      <c r="A43" t="s">
        <v>4133</v>
      </c>
      <c r="B43" t="s">
        <v>4134</v>
      </c>
      <c r="C43" t="s">
        <v>4030</v>
      </c>
      <c r="D43" t="s">
        <v>70</v>
      </c>
      <c r="E43" t="s">
        <v>2905</v>
      </c>
      <c r="F43" t="s">
        <v>4135</v>
      </c>
      <c r="G43" t="s">
        <v>3798</v>
      </c>
      <c r="H43" t="s">
        <v>3245</v>
      </c>
      <c r="I43" t="s">
        <v>4133</v>
      </c>
      <c r="J43" t="s">
        <v>2958</v>
      </c>
      <c r="K43" t="s">
        <v>2905</v>
      </c>
    </row>
    <row r="44" spans="1:11" ht="15" customHeight="1" x14ac:dyDescent="0.25">
      <c r="A44" t="s">
        <v>3449</v>
      </c>
      <c r="B44" t="s">
        <v>4136</v>
      </c>
      <c r="C44" t="s">
        <v>4026</v>
      </c>
      <c r="D44" t="s">
        <v>70</v>
      </c>
      <c r="E44" t="s">
        <v>2905</v>
      </c>
      <c r="F44" t="s">
        <v>3803</v>
      </c>
      <c r="G44" t="s">
        <v>3798</v>
      </c>
      <c r="H44" t="s">
        <v>3256</v>
      </c>
      <c r="I44" t="s">
        <v>3449</v>
      </c>
      <c r="J44" t="s">
        <v>2970</v>
      </c>
      <c r="K44" t="s">
        <v>2905</v>
      </c>
    </row>
    <row r="45" spans="1:11" ht="15" customHeight="1" x14ac:dyDescent="0.25">
      <c r="A45" t="s">
        <v>4137</v>
      </c>
      <c r="B45" t="s">
        <v>4138</v>
      </c>
      <c r="C45" t="s">
        <v>4026</v>
      </c>
      <c r="D45" t="s">
        <v>70</v>
      </c>
      <c r="E45" t="s">
        <v>2905</v>
      </c>
      <c r="F45" t="s">
        <v>4037</v>
      </c>
      <c r="G45" t="s">
        <v>3798</v>
      </c>
      <c r="H45" t="s">
        <v>3256</v>
      </c>
      <c r="I45" t="s">
        <v>4137</v>
      </c>
      <c r="J45" t="s">
        <v>2970</v>
      </c>
      <c r="K45" t="s">
        <v>2905</v>
      </c>
    </row>
    <row r="46" spans="1:11" ht="15" customHeight="1" x14ac:dyDescent="0.25">
      <c r="A46" t="s">
        <v>4139</v>
      </c>
      <c r="B46" t="s">
        <v>4140</v>
      </c>
      <c r="C46" t="s">
        <v>3041</v>
      </c>
      <c r="D46" t="s">
        <v>3801</v>
      </c>
      <c r="E46" t="s">
        <v>2905</v>
      </c>
      <c r="F46" t="s">
        <v>3803</v>
      </c>
      <c r="G46" t="s">
        <v>4055</v>
      </c>
      <c r="H46" t="s">
        <v>3264</v>
      </c>
      <c r="I46" t="s">
        <v>4139</v>
      </c>
      <c r="J46" t="s">
        <v>2905</v>
      </c>
      <c r="K46" t="s">
        <v>2905</v>
      </c>
    </row>
    <row r="47" spans="1:11" ht="15" customHeight="1" x14ac:dyDescent="0.25">
      <c r="A47" t="s">
        <v>4141</v>
      </c>
      <c r="B47" t="s">
        <v>4142</v>
      </c>
      <c r="C47" t="s">
        <v>4026</v>
      </c>
      <c r="D47" t="s">
        <v>70</v>
      </c>
      <c r="E47" t="s">
        <v>2905</v>
      </c>
      <c r="F47" t="s">
        <v>3803</v>
      </c>
      <c r="G47" t="s">
        <v>3798</v>
      </c>
      <c r="H47" t="s">
        <v>3256</v>
      </c>
      <c r="I47" t="s">
        <v>4141</v>
      </c>
      <c r="J47" t="s">
        <v>2951</v>
      </c>
      <c r="K47" t="s">
        <v>2905</v>
      </c>
    </row>
    <row r="48" spans="1:11" ht="15" customHeight="1" x14ac:dyDescent="0.25">
      <c r="A48" t="s">
        <v>4143</v>
      </c>
      <c r="B48" t="s">
        <v>4144</v>
      </c>
      <c r="C48" t="s">
        <v>4030</v>
      </c>
      <c r="D48" t="s">
        <v>70</v>
      </c>
      <c r="E48" t="s">
        <v>2905</v>
      </c>
      <c r="F48" t="s">
        <v>4145</v>
      </c>
      <c r="G48" t="s">
        <v>3798</v>
      </c>
      <c r="H48" t="s">
        <v>3245</v>
      </c>
      <c r="I48" t="s">
        <v>4143</v>
      </c>
      <c r="J48" t="s">
        <v>2905</v>
      </c>
      <c r="K48" t="s">
        <v>2905</v>
      </c>
    </row>
    <row r="49" spans="1:11" ht="15" customHeight="1" x14ac:dyDescent="0.25">
      <c r="A49" t="s">
        <v>4146</v>
      </c>
      <c r="B49" t="s">
        <v>4147</v>
      </c>
      <c r="C49" t="s">
        <v>3041</v>
      </c>
      <c r="D49" t="s">
        <v>3801</v>
      </c>
      <c r="E49" t="s">
        <v>2905</v>
      </c>
      <c r="F49" t="s">
        <v>3803</v>
      </c>
      <c r="G49" t="s">
        <v>4055</v>
      </c>
      <c r="H49" t="s">
        <v>3264</v>
      </c>
      <c r="I49" t="s">
        <v>4146</v>
      </c>
      <c r="J49" t="s">
        <v>2905</v>
      </c>
      <c r="K49" t="s">
        <v>2905</v>
      </c>
    </row>
    <row r="50" spans="1:11" ht="15" customHeight="1" x14ac:dyDescent="0.25">
      <c r="A50" t="s">
        <v>4148</v>
      </c>
      <c r="B50" t="s">
        <v>4149</v>
      </c>
      <c r="C50" t="s">
        <v>4026</v>
      </c>
      <c r="D50" t="s">
        <v>70</v>
      </c>
      <c r="E50" t="s">
        <v>2905</v>
      </c>
      <c r="F50" t="s">
        <v>4111</v>
      </c>
      <c r="G50" t="s">
        <v>3798</v>
      </c>
      <c r="H50" t="s">
        <v>3256</v>
      </c>
      <c r="I50" t="s">
        <v>4148</v>
      </c>
      <c r="J50" t="s">
        <v>2905</v>
      </c>
      <c r="K50" t="s">
        <v>2905</v>
      </c>
    </row>
    <row r="51" spans="1:11" ht="15" customHeight="1" x14ac:dyDescent="0.25">
      <c r="A51" t="s">
        <v>4150</v>
      </c>
      <c r="B51" t="s">
        <v>4151</v>
      </c>
      <c r="C51" t="s">
        <v>4030</v>
      </c>
      <c r="D51" t="s">
        <v>3801</v>
      </c>
      <c r="E51" t="s">
        <v>2905</v>
      </c>
      <c r="F51" t="s">
        <v>3803</v>
      </c>
      <c r="G51" t="s">
        <v>3798</v>
      </c>
      <c r="H51" t="s">
        <v>3245</v>
      </c>
      <c r="I51" t="s">
        <v>4150</v>
      </c>
      <c r="J51" t="s">
        <v>2905</v>
      </c>
      <c r="K51" t="s">
        <v>2905</v>
      </c>
    </row>
    <row r="52" spans="1:11" ht="15" customHeight="1" x14ac:dyDescent="0.25">
      <c r="A52" t="s">
        <v>4152</v>
      </c>
      <c r="B52" t="s">
        <v>4153</v>
      </c>
      <c r="C52" t="s">
        <v>4030</v>
      </c>
      <c r="D52" t="s">
        <v>3801</v>
      </c>
      <c r="E52" t="s">
        <v>2905</v>
      </c>
      <c r="F52" t="s">
        <v>3803</v>
      </c>
      <c r="G52" t="s">
        <v>3798</v>
      </c>
      <c r="H52" t="s">
        <v>3245</v>
      </c>
      <c r="I52" t="s">
        <v>4154</v>
      </c>
      <c r="J52" t="s">
        <v>2951</v>
      </c>
      <c r="K52" t="s">
        <v>2905</v>
      </c>
    </row>
    <row r="53" spans="1:11" ht="15" customHeight="1" x14ac:dyDescent="0.25">
      <c r="A53" t="s">
        <v>4155</v>
      </c>
      <c r="B53" t="s">
        <v>4156</v>
      </c>
      <c r="C53" t="s">
        <v>3041</v>
      </c>
      <c r="D53" t="s">
        <v>3801</v>
      </c>
      <c r="E53" t="s">
        <v>2905</v>
      </c>
      <c r="F53" t="s">
        <v>3803</v>
      </c>
      <c r="G53" t="s">
        <v>4055</v>
      </c>
      <c r="H53" t="s">
        <v>3256</v>
      </c>
      <c r="I53" t="s">
        <v>4155</v>
      </c>
      <c r="J53" t="s">
        <v>2905</v>
      </c>
      <c r="K53" t="s">
        <v>2905</v>
      </c>
    </row>
    <row r="54" spans="1:11" ht="15" customHeight="1" x14ac:dyDescent="0.25">
      <c r="A54" t="s">
        <v>4157</v>
      </c>
      <c r="B54" t="s">
        <v>4158</v>
      </c>
      <c r="C54" t="s">
        <v>3041</v>
      </c>
      <c r="D54" t="s">
        <v>3801</v>
      </c>
      <c r="E54" t="s">
        <v>2905</v>
      </c>
      <c r="F54" t="s">
        <v>3803</v>
      </c>
      <c r="G54" t="s">
        <v>4055</v>
      </c>
      <c r="H54" t="s">
        <v>3245</v>
      </c>
      <c r="I54" t="s">
        <v>4159</v>
      </c>
      <c r="J54" t="s">
        <v>2905</v>
      </c>
      <c r="K54" t="s">
        <v>2905</v>
      </c>
    </row>
    <row r="55" spans="1:11" ht="15" customHeight="1" x14ac:dyDescent="0.25">
      <c r="A55" t="s">
        <v>4159</v>
      </c>
      <c r="B55" t="s">
        <v>4160</v>
      </c>
      <c r="C55" t="s">
        <v>4030</v>
      </c>
      <c r="D55" t="s">
        <v>3801</v>
      </c>
      <c r="E55">
        <v>1</v>
      </c>
      <c r="F55" t="s">
        <v>4037</v>
      </c>
      <c r="G55" t="s">
        <v>4055</v>
      </c>
      <c r="H55" t="s">
        <v>3245</v>
      </c>
      <c r="I55" t="s">
        <v>4159</v>
      </c>
      <c r="J55" t="s">
        <v>2905</v>
      </c>
      <c r="K55" t="s">
        <v>2905</v>
      </c>
    </row>
    <row r="56" spans="1:11" ht="15" customHeight="1" x14ac:dyDescent="0.25">
      <c r="A56" t="s">
        <v>4161</v>
      </c>
      <c r="B56" t="s">
        <v>4162</v>
      </c>
      <c r="C56" t="s">
        <v>4026</v>
      </c>
      <c r="D56" t="s">
        <v>70</v>
      </c>
      <c r="E56" t="s">
        <v>2905</v>
      </c>
      <c r="F56" t="s">
        <v>3803</v>
      </c>
      <c r="G56" t="s">
        <v>3798</v>
      </c>
      <c r="H56" t="s">
        <v>3256</v>
      </c>
      <c r="I56" t="s">
        <v>4161</v>
      </c>
      <c r="J56" t="s">
        <v>2970</v>
      </c>
      <c r="K56" t="s">
        <v>2905</v>
      </c>
    </row>
    <row r="57" spans="1:11" ht="15" customHeight="1" x14ac:dyDescent="0.25">
      <c r="A57" t="s">
        <v>4163</v>
      </c>
      <c r="B57" t="s">
        <v>4164</v>
      </c>
      <c r="C57" t="s">
        <v>4165</v>
      </c>
      <c r="D57" t="s">
        <v>3801</v>
      </c>
      <c r="E57" t="s">
        <v>2905</v>
      </c>
      <c r="F57" t="s">
        <v>3803</v>
      </c>
      <c r="G57" t="s">
        <v>4055</v>
      </c>
      <c r="H57" t="s">
        <v>3264</v>
      </c>
      <c r="I57" t="s">
        <v>4163</v>
      </c>
      <c r="J57" t="s">
        <v>2905</v>
      </c>
      <c r="K57" t="s">
        <v>2905</v>
      </c>
    </row>
    <row r="58" spans="1:11" ht="15" customHeight="1" x14ac:dyDescent="0.25">
      <c r="A58" t="s">
        <v>4166</v>
      </c>
      <c r="B58" t="s">
        <v>4167</v>
      </c>
      <c r="C58" t="s">
        <v>4030</v>
      </c>
      <c r="D58" t="s">
        <v>70</v>
      </c>
      <c r="E58" t="s">
        <v>2905</v>
      </c>
      <c r="F58" t="s">
        <v>4037</v>
      </c>
      <c r="G58" t="s">
        <v>3798</v>
      </c>
      <c r="H58" t="s">
        <v>3245</v>
      </c>
      <c r="I58" t="s">
        <v>4166</v>
      </c>
      <c r="J58" t="s">
        <v>2958</v>
      </c>
      <c r="K58" t="s">
        <v>2905</v>
      </c>
    </row>
    <row r="59" spans="1:11" ht="15" customHeight="1" x14ac:dyDescent="0.25">
      <c r="A59" t="s">
        <v>4168</v>
      </c>
      <c r="B59" t="s">
        <v>4169</v>
      </c>
      <c r="C59" t="s">
        <v>4030</v>
      </c>
      <c r="D59" t="s">
        <v>70</v>
      </c>
      <c r="E59" t="s">
        <v>2905</v>
      </c>
      <c r="F59" t="s">
        <v>4037</v>
      </c>
      <c r="G59" t="s">
        <v>3798</v>
      </c>
      <c r="H59" t="s">
        <v>3245</v>
      </c>
      <c r="I59" t="s">
        <v>4168</v>
      </c>
      <c r="J59" t="s">
        <v>2958</v>
      </c>
      <c r="K59" t="s">
        <v>2905</v>
      </c>
    </row>
    <row r="60" spans="1:11" ht="15" customHeight="1" x14ac:dyDescent="0.25">
      <c r="A60" t="s">
        <v>4170</v>
      </c>
      <c r="B60" t="s">
        <v>4171</v>
      </c>
      <c r="C60" t="s">
        <v>3041</v>
      </c>
      <c r="D60" t="s">
        <v>70</v>
      </c>
      <c r="E60" t="s">
        <v>2905</v>
      </c>
      <c r="F60" t="s">
        <v>4051</v>
      </c>
      <c r="G60" t="s">
        <v>4052</v>
      </c>
      <c r="H60" t="s">
        <v>3256</v>
      </c>
      <c r="I60" t="s">
        <v>4172</v>
      </c>
      <c r="J60" t="s">
        <v>2905</v>
      </c>
      <c r="K60" t="s">
        <v>2905</v>
      </c>
    </row>
    <row r="61" spans="1:11" ht="15" customHeight="1" x14ac:dyDescent="0.25">
      <c r="A61" t="s">
        <v>4173</v>
      </c>
      <c r="B61" t="s">
        <v>4174</v>
      </c>
      <c r="C61" t="s">
        <v>3041</v>
      </c>
      <c r="D61" t="s">
        <v>70</v>
      </c>
      <c r="E61" t="s">
        <v>2905</v>
      </c>
      <c r="F61" t="s">
        <v>4037</v>
      </c>
      <c r="G61" t="s">
        <v>3798</v>
      </c>
      <c r="H61" t="s">
        <v>3264</v>
      </c>
      <c r="I61" t="s">
        <v>4173</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4019</v>
      </c>
      <c r="F1" t="s">
        <v>4020</v>
      </c>
      <c r="G1" t="s">
        <v>4021</v>
      </c>
      <c r="H1" t="s">
        <v>4022</v>
      </c>
      <c r="I1" t="s">
        <v>3243</v>
      </c>
      <c r="J1" t="s">
        <v>4175</v>
      </c>
      <c r="K1" t="s">
        <v>3791</v>
      </c>
      <c r="L1" t="s">
        <v>4176</v>
      </c>
      <c r="M1" t="s">
        <v>4177</v>
      </c>
    </row>
    <row r="2" spans="1:13" ht="15" customHeight="1" x14ac:dyDescent="0.25">
      <c r="A2" t="s">
        <v>4024</v>
      </c>
      <c r="B2" t="s">
        <v>4025</v>
      </c>
      <c r="C2" t="s">
        <v>4178</v>
      </c>
      <c r="D2" t="s">
        <v>4026</v>
      </c>
      <c r="E2" t="s">
        <v>70</v>
      </c>
      <c r="F2" t="s">
        <v>2905</v>
      </c>
      <c r="G2" t="s">
        <v>3803</v>
      </c>
      <c r="H2" t="s">
        <v>3798</v>
      </c>
      <c r="I2" t="s">
        <v>3256</v>
      </c>
      <c r="J2" t="s">
        <v>4024</v>
      </c>
      <c r="K2" t="s">
        <v>2970</v>
      </c>
      <c r="L2" t="s">
        <v>70</v>
      </c>
      <c r="M2" t="s">
        <v>2905</v>
      </c>
    </row>
    <row r="3" spans="1:13" ht="15" customHeight="1" x14ac:dyDescent="0.25">
      <c r="A3" t="s">
        <v>4028</v>
      </c>
      <c r="B3" t="s">
        <v>4179</v>
      </c>
      <c r="C3" t="s">
        <v>4180</v>
      </c>
      <c r="D3" t="s">
        <v>4030</v>
      </c>
      <c r="E3" t="s">
        <v>70</v>
      </c>
      <c r="F3" t="s">
        <v>2905</v>
      </c>
      <c r="G3" t="s">
        <v>4181</v>
      </c>
      <c r="H3" t="s">
        <v>3798</v>
      </c>
      <c r="I3" t="s">
        <v>3245</v>
      </c>
      <c r="J3" t="s">
        <v>4028</v>
      </c>
      <c r="K3" t="s">
        <v>2970</v>
      </c>
      <c r="L3" t="s">
        <v>3801</v>
      </c>
      <c r="M3" t="s">
        <v>4182</v>
      </c>
    </row>
    <row r="4" spans="1:13" ht="15" customHeight="1" x14ac:dyDescent="0.25">
      <c r="A4" t="s">
        <v>4032</v>
      </c>
      <c r="B4" t="s">
        <v>4183</v>
      </c>
      <c r="C4" t="s">
        <v>4184</v>
      </c>
      <c r="D4" t="s">
        <v>4026</v>
      </c>
      <c r="E4" t="s">
        <v>70</v>
      </c>
      <c r="F4" t="s">
        <v>2905</v>
      </c>
      <c r="G4" t="s">
        <v>3803</v>
      </c>
      <c r="H4" t="s">
        <v>3798</v>
      </c>
      <c r="I4" t="s">
        <v>3256</v>
      </c>
      <c r="J4" t="s">
        <v>4034</v>
      </c>
      <c r="K4" t="s">
        <v>2951</v>
      </c>
      <c r="L4" t="s">
        <v>70</v>
      </c>
      <c r="M4" t="s">
        <v>2905</v>
      </c>
    </row>
    <row r="5" spans="1:13" ht="15" customHeight="1" x14ac:dyDescent="0.25">
      <c r="A5" s="5" t="s">
        <v>4035</v>
      </c>
      <c r="B5" s="5" t="s">
        <v>4185</v>
      </c>
      <c r="C5" s="5" t="s">
        <v>4186</v>
      </c>
      <c r="D5" s="5" t="s">
        <v>4030</v>
      </c>
      <c r="E5" s="5" t="s">
        <v>70</v>
      </c>
      <c r="F5" s="5" t="s">
        <v>2905</v>
      </c>
      <c r="G5" s="5" t="s">
        <v>4037</v>
      </c>
      <c r="H5" s="5" t="s">
        <v>3798</v>
      </c>
      <c r="I5" s="5" t="s">
        <v>3245</v>
      </c>
      <c r="J5" s="5" t="s">
        <v>4035</v>
      </c>
      <c r="K5" s="5" t="s">
        <v>2958</v>
      </c>
      <c r="L5" t="s">
        <v>70</v>
      </c>
      <c r="M5" t="s">
        <v>2905</v>
      </c>
    </row>
    <row r="6" spans="1:13" ht="15" customHeight="1" x14ac:dyDescent="0.25">
      <c r="A6" t="s">
        <v>4042</v>
      </c>
      <c r="B6" t="s">
        <v>4187</v>
      </c>
      <c r="C6" t="s">
        <v>4188</v>
      </c>
      <c r="D6" t="s">
        <v>4030</v>
      </c>
      <c r="E6" t="s">
        <v>70</v>
      </c>
      <c r="F6" t="s">
        <v>2905</v>
      </c>
      <c r="G6" t="s">
        <v>3803</v>
      </c>
      <c r="H6" t="s">
        <v>3798</v>
      </c>
      <c r="I6" t="s">
        <v>3245</v>
      </c>
      <c r="J6" t="s">
        <v>4042</v>
      </c>
      <c r="K6" t="s">
        <v>2958</v>
      </c>
      <c r="L6" t="s">
        <v>70</v>
      </c>
      <c r="M6" t="s">
        <v>2905</v>
      </c>
    </row>
    <row r="7" spans="1:13" ht="15" customHeight="1" x14ac:dyDescent="0.25">
      <c r="A7" s="6" t="s">
        <v>4044</v>
      </c>
      <c r="B7" s="7" t="s">
        <v>4045</v>
      </c>
      <c r="C7" s="7" t="s">
        <v>4189</v>
      </c>
      <c r="D7" s="7" t="s">
        <v>4026</v>
      </c>
      <c r="E7" s="7" t="s">
        <v>70</v>
      </c>
      <c r="F7" s="7" t="s">
        <v>2905</v>
      </c>
      <c r="G7" s="8" t="s">
        <v>4067</v>
      </c>
      <c r="H7" s="7" t="s">
        <v>3798</v>
      </c>
      <c r="I7" s="7" t="s">
        <v>3256</v>
      </c>
      <c r="J7" s="7" t="s">
        <v>4044</v>
      </c>
      <c r="K7" s="7" t="s">
        <v>2951</v>
      </c>
      <c r="L7" t="s">
        <v>70</v>
      </c>
      <c r="M7" t="s">
        <v>2905</v>
      </c>
    </row>
    <row r="8" spans="1:13" ht="15" customHeight="1" x14ac:dyDescent="0.25">
      <c r="A8" t="s">
        <v>4047</v>
      </c>
      <c r="B8" t="s">
        <v>4048</v>
      </c>
      <c r="C8" t="s">
        <v>4190</v>
      </c>
      <c r="D8" t="s">
        <v>4030</v>
      </c>
      <c r="E8" t="s">
        <v>70</v>
      </c>
      <c r="F8" t="s">
        <v>2905</v>
      </c>
      <c r="G8" t="s">
        <v>4037</v>
      </c>
      <c r="H8" t="s">
        <v>3798</v>
      </c>
      <c r="I8" t="s">
        <v>3245</v>
      </c>
      <c r="J8" t="s">
        <v>4047</v>
      </c>
      <c r="K8" t="s">
        <v>2958</v>
      </c>
      <c r="L8" t="s">
        <v>70</v>
      </c>
      <c r="M8" t="s">
        <v>2905</v>
      </c>
    </row>
    <row r="9" spans="1:13" ht="15" customHeight="1" x14ac:dyDescent="0.25">
      <c r="A9" t="s">
        <v>4056</v>
      </c>
      <c r="B9" s="9" t="s">
        <v>4191</v>
      </c>
      <c r="C9" s="9" t="s">
        <v>4192</v>
      </c>
      <c r="D9" t="s">
        <v>4030</v>
      </c>
      <c r="E9" t="s">
        <v>70</v>
      </c>
      <c r="F9" t="s">
        <v>2905</v>
      </c>
      <c r="G9" t="s">
        <v>4037</v>
      </c>
      <c r="H9" t="s">
        <v>4052</v>
      </c>
      <c r="I9" t="s">
        <v>3245</v>
      </c>
      <c r="J9" t="s">
        <v>4056</v>
      </c>
      <c r="K9" t="s">
        <v>2905</v>
      </c>
      <c r="L9" t="s">
        <v>70</v>
      </c>
      <c r="M9" t="s">
        <v>2905</v>
      </c>
    </row>
    <row r="10" spans="1:13" ht="15" customHeight="1" x14ac:dyDescent="0.25">
      <c r="A10" t="s">
        <v>4193</v>
      </c>
      <c r="B10" t="s">
        <v>4194</v>
      </c>
      <c r="C10" t="s">
        <v>4195</v>
      </c>
      <c r="D10" t="s">
        <v>4026</v>
      </c>
      <c r="E10" t="s">
        <v>70</v>
      </c>
      <c r="F10" t="s">
        <v>2905</v>
      </c>
      <c r="G10" t="s">
        <v>3803</v>
      </c>
      <c r="H10" t="s">
        <v>3798</v>
      </c>
      <c r="I10" t="s">
        <v>3256</v>
      </c>
      <c r="J10" t="s">
        <v>4196</v>
      </c>
      <c r="K10" t="s">
        <v>2958</v>
      </c>
      <c r="L10" t="s">
        <v>70</v>
      </c>
      <c r="M10" t="s">
        <v>2905</v>
      </c>
    </row>
    <row r="11" spans="1:13" ht="15" customHeight="1" x14ac:dyDescent="0.25">
      <c r="A11" t="s">
        <v>4061</v>
      </c>
      <c r="B11" s="9" t="s">
        <v>4197</v>
      </c>
      <c r="C11" s="9" t="s">
        <v>4198</v>
      </c>
      <c r="D11" t="s">
        <v>3041</v>
      </c>
      <c r="E11" t="s">
        <v>3801</v>
      </c>
      <c r="F11" t="s">
        <v>2905</v>
      </c>
      <c r="G11" t="s">
        <v>3803</v>
      </c>
      <c r="H11" t="s">
        <v>3798</v>
      </c>
      <c r="I11" t="s">
        <v>3256</v>
      </c>
      <c r="J11" t="s">
        <v>4063</v>
      </c>
      <c r="K11" t="s">
        <v>2905</v>
      </c>
      <c r="L11" t="s">
        <v>70</v>
      </c>
      <c r="M11" t="s">
        <v>2905</v>
      </c>
    </row>
    <row r="12" spans="1:13" ht="15" customHeight="1" x14ac:dyDescent="0.25">
      <c r="A12" t="s">
        <v>2963</v>
      </c>
      <c r="B12" t="s">
        <v>4064</v>
      </c>
      <c r="C12" t="s">
        <v>4199</v>
      </c>
      <c r="D12" t="s">
        <v>4026</v>
      </c>
      <c r="E12" t="s">
        <v>70</v>
      </c>
      <c r="F12" t="s">
        <v>2905</v>
      </c>
      <c r="G12" t="s">
        <v>3803</v>
      </c>
      <c r="H12" t="s">
        <v>3798</v>
      </c>
      <c r="I12" t="s">
        <v>3256</v>
      </c>
      <c r="J12" t="s">
        <v>2963</v>
      </c>
      <c r="K12" t="s">
        <v>2970</v>
      </c>
      <c r="L12" t="s">
        <v>70</v>
      </c>
      <c r="M12" t="s">
        <v>2905</v>
      </c>
    </row>
    <row r="13" spans="1:13" ht="15" customHeight="1" x14ac:dyDescent="0.25">
      <c r="A13" t="s">
        <v>4065</v>
      </c>
      <c r="B13" t="s">
        <v>4066</v>
      </c>
      <c r="C13" t="s">
        <v>4189</v>
      </c>
      <c r="D13" t="s">
        <v>4026</v>
      </c>
      <c r="E13" t="s">
        <v>70</v>
      </c>
      <c r="F13" t="s">
        <v>2905</v>
      </c>
      <c r="G13" t="s">
        <v>4046</v>
      </c>
      <c r="H13" t="s">
        <v>3798</v>
      </c>
      <c r="I13" t="s">
        <v>3256</v>
      </c>
      <c r="J13" t="s">
        <v>4065</v>
      </c>
      <c r="K13" t="s">
        <v>2951</v>
      </c>
      <c r="L13" t="s">
        <v>70</v>
      </c>
      <c r="M13" t="s">
        <v>2905</v>
      </c>
    </row>
    <row r="14" spans="1:13" ht="15" customHeight="1" x14ac:dyDescent="0.25">
      <c r="A14" t="s">
        <v>4081</v>
      </c>
      <c r="B14" s="9" t="s">
        <v>4080</v>
      </c>
      <c r="C14" s="9" t="s">
        <v>4200</v>
      </c>
      <c r="D14" t="s">
        <v>4030</v>
      </c>
      <c r="E14" t="s">
        <v>70</v>
      </c>
      <c r="F14" t="s">
        <v>2905</v>
      </c>
      <c r="G14" t="s">
        <v>4037</v>
      </c>
      <c r="H14" t="s">
        <v>3798</v>
      </c>
      <c r="I14" t="s">
        <v>3245</v>
      </c>
      <c r="J14" t="s">
        <v>4081</v>
      </c>
      <c r="K14" t="s">
        <v>2905</v>
      </c>
      <c r="L14" t="s">
        <v>70</v>
      </c>
      <c r="M14" t="s">
        <v>2905</v>
      </c>
    </row>
    <row r="15" spans="1:13" ht="15" customHeight="1" x14ac:dyDescent="0.25">
      <c r="A15" t="s">
        <v>4082</v>
      </c>
      <c r="B15" t="s">
        <v>4083</v>
      </c>
      <c r="C15" t="s">
        <v>2905</v>
      </c>
      <c r="D15" t="s">
        <v>4030</v>
      </c>
      <c r="E15" t="s">
        <v>70</v>
      </c>
      <c r="F15" t="s">
        <v>2905</v>
      </c>
      <c r="G15" t="s">
        <v>4084</v>
      </c>
      <c r="H15" t="s">
        <v>4052</v>
      </c>
      <c r="I15" t="s">
        <v>3245</v>
      </c>
      <c r="J15" t="s">
        <v>4082</v>
      </c>
      <c r="K15" t="s">
        <v>2970</v>
      </c>
      <c r="L15" t="s">
        <v>3801</v>
      </c>
      <c r="M15" t="s">
        <v>4201</v>
      </c>
    </row>
    <row r="16" spans="1:13" ht="15" customHeight="1" x14ac:dyDescent="0.25">
      <c r="A16" t="s">
        <v>4099</v>
      </c>
      <c r="B16" t="s">
        <v>4100</v>
      </c>
      <c r="C16" t="s">
        <v>4202</v>
      </c>
      <c r="D16" t="s">
        <v>4030</v>
      </c>
      <c r="E16" t="s">
        <v>70</v>
      </c>
      <c r="F16" t="s">
        <v>2905</v>
      </c>
      <c r="G16" t="s">
        <v>4037</v>
      </c>
      <c r="H16" t="s">
        <v>3798</v>
      </c>
      <c r="I16" t="s">
        <v>3245</v>
      </c>
      <c r="J16" t="s">
        <v>4099</v>
      </c>
      <c r="K16" t="s">
        <v>2958</v>
      </c>
      <c r="L16" t="s">
        <v>70</v>
      </c>
      <c r="M16" t="s">
        <v>2905</v>
      </c>
    </row>
    <row r="17" spans="1:13" ht="15" customHeight="1" x14ac:dyDescent="0.25">
      <c r="A17" t="s">
        <v>4124</v>
      </c>
      <c r="B17" t="s">
        <v>4125</v>
      </c>
      <c r="C17" t="s">
        <v>4203</v>
      </c>
      <c r="D17" t="s">
        <v>4026</v>
      </c>
      <c r="E17" t="s">
        <v>70</v>
      </c>
      <c r="F17" t="s">
        <v>2905</v>
      </c>
      <c r="G17" t="s">
        <v>3803</v>
      </c>
      <c r="H17" t="s">
        <v>3798</v>
      </c>
      <c r="I17" t="s">
        <v>3256</v>
      </c>
      <c r="J17" t="s">
        <v>4124</v>
      </c>
      <c r="K17" t="s">
        <v>2951</v>
      </c>
      <c r="L17" t="s">
        <v>70</v>
      </c>
      <c r="M17" t="s">
        <v>2905</v>
      </c>
    </row>
    <row r="18" spans="1:13" ht="15" customHeight="1" x14ac:dyDescent="0.25">
      <c r="A18" t="s">
        <v>4129</v>
      </c>
      <c r="B18" t="s">
        <v>4130</v>
      </c>
      <c r="C18" t="s">
        <v>4204</v>
      </c>
      <c r="D18" t="s">
        <v>4026</v>
      </c>
      <c r="E18" t="s">
        <v>70</v>
      </c>
      <c r="F18" t="s">
        <v>2905</v>
      </c>
      <c r="G18" s="3" t="s">
        <v>4131</v>
      </c>
      <c r="H18" t="s">
        <v>3798</v>
      </c>
      <c r="I18" t="s">
        <v>3256</v>
      </c>
      <c r="J18" t="s">
        <v>4132</v>
      </c>
      <c r="K18" t="s">
        <v>2970</v>
      </c>
      <c r="L18" t="s">
        <v>2905</v>
      </c>
      <c r="M18" t="s">
        <v>2905</v>
      </c>
    </row>
    <row r="19" spans="1:13" ht="15" customHeight="1" x14ac:dyDescent="0.25">
      <c r="A19" t="s">
        <v>4133</v>
      </c>
      <c r="B19" t="s">
        <v>4134</v>
      </c>
      <c r="C19" t="s">
        <v>4205</v>
      </c>
      <c r="D19" t="s">
        <v>4030</v>
      </c>
      <c r="E19" t="s">
        <v>70</v>
      </c>
      <c r="F19" t="s">
        <v>2905</v>
      </c>
      <c r="G19" t="s">
        <v>4135</v>
      </c>
      <c r="H19" t="s">
        <v>3798</v>
      </c>
      <c r="I19" t="s">
        <v>3245</v>
      </c>
      <c r="J19" t="s">
        <v>4133</v>
      </c>
      <c r="K19" t="s">
        <v>2958</v>
      </c>
      <c r="L19" t="s">
        <v>70</v>
      </c>
      <c r="M19" t="s">
        <v>2905</v>
      </c>
    </row>
    <row r="20" spans="1:13" ht="15" customHeight="1" x14ac:dyDescent="0.25">
      <c r="A20" t="s">
        <v>3449</v>
      </c>
      <c r="B20" t="s">
        <v>4136</v>
      </c>
      <c r="C20" t="s">
        <v>4206</v>
      </c>
      <c r="D20" t="s">
        <v>4026</v>
      </c>
      <c r="E20" t="s">
        <v>70</v>
      </c>
      <c r="F20" t="s">
        <v>2905</v>
      </c>
      <c r="G20" t="s">
        <v>3803</v>
      </c>
      <c r="H20" t="s">
        <v>3798</v>
      </c>
      <c r="I20" t="s">
        <v>3256</v>
      </c>
      <c r="J20" t="s">
        <v>3449</v>
      </c>
      <c r="K20" t="s">
        <v>2970</v>
      </c>
      <c r="L20" t="s">
        <v>70</v>
      </c>
      <c r="M20" t="s">
        <v>2905</v>
      </c>
    </row>
    <row r="21" spans="1:13" ht="15" customHeight="1" x14ac:dyDescent="0.25">
      <c r="A21" t="s">
        <v>4137</v>
      </c>
      <c r="B21" t="s">
        <v>4138</v>
      </c>
      <c r="C21" t="s">
        <v>4207</v>
      </c>
      <c r="D21" t="s">
        <v>4026</v>
      </c>
      <c r="E21" t="s">
        <v>70</v>
      </c>
      <c r="F21" t="s">
        <v>2905</v>
      </c>
      <c r="G21" t="s">
        <v>4037</v>
      </c>
      <c r="H21" t="s">
        <v>3798</v>
      </c>
      <c r="I21" t="s">
        <v>3256</v>
      </c>
      <c r="J21" t="s">
        <v>4137</v>
      </c>
      <c r="K21" t="s">
        <v>2970</v>
      </c>
      <c r="L21" t="s">
        <v>70</v>
      </c>
      <c r="M21" t="s">
        <v>2905</v>
      </c>
    </row>
    <row r="22" spans="1:13" ht="15" customHeight="1" x14ac:dyDescent="0.25">
      <c r="A22" t="s">
        <v>4141</v>
      </c>
      <c r="B22" s="9" t="s">
        <v>4142</v>
      </c>
      <c r="C22" s="9" t="s">
        <v>4208</v>
      </c>
      <c r="D22" t="s">
        <v>4026</v>
      </c>
      <c r="E22" t="s">
        <v>70</v>
      </c>
      <c r="F22" t="s">
        <v>2905</v>
      </c>
      <c r="G22" t="s">
        <v>3803</v>
      </c>
      <c r="H22" t="s">
        <v>3798</v>
      </c>
      <c r="I22" t="s">
        <v>3256</v>
      </c>
      <c r="J22" t="s">
        <v>4141</v>
      </c>
      <c r="K22" t="s">
        <v>2951</v>
      </c>
      <c r="L22" t="s">
        <v>70</v>
      </c>
      <c r="M22" t="s">
        <v>2905</v>
      </c>
    </row>
    <row r="23" spans="1:13" ht="15" customHeight="1" x14ac:dyDescent="0.25">
      <c r="A23" t="s">
        <v>4148</v>
      </c>
      <c r="B23" s="9" t="s">
        <v>4209</v>
      </c>
      <c r="C23" s="9" t="s">
        <v>4210</v>
      </c>
      <c r="D23" t="s">
        <v>4026</v>
      </c>
      <c r="E23" t="s">
        <v>70</v>
      </c>
      <c r="F23" t="s">
        <v>2905</v>
      </c>
      <c r="G23" t="s">
        <v>4111</v>
      </c>
      <c r="H23" t="s">
        <v>3798</v>
      </c>
      <c r="I23" t="s">
        <v>3256</v>
      </c>
      <c r="J23" t="s">
        <v>4148</v>
      </c>
      <c r="K23" t="s">
        <v>2905</v>
      </c>
      <c r="L23" t="s">
        <v>70</v>
      </c>
      <c r="M23" t="s">
        <v>2905</v>
      </c>
    </row>
    <row r="24" spans="1:13" ht="15" customHeight="1" x14ac:dyDescent="0.25">
      <c r="A24" t="s">
        <v>4150</v>
      </c>
      <c r="B24" s="9" t="s">
        <v>4211</v>
      </c>
      <c r="C24" s="9" t="s">
        <v>4212</v>
      </c>
      <c r="D24" t="s">
        <v>4030</v>
      </c>
      <c r="E24" t="s">
        <v>3801</v>
      </c>
      <c r="F24" t="s">
        <v>2905</v>
      </c>
      <c r="G24" t="s">
        <v>3803</v>
      </c>
      <c r="H24" t="s">
        <v>3798</v>
      </c>
      <c r="I24" t="s">
        <v>3245</v>
      </c>
      <c r="J24" t="s">
        <v>4150</v>
      </c>
      <c r="K24" t="s">
        <v>2905</v>
      </c>
      <c r="L24" t="s">
        <v>70</v>
      </c>
      <c r="M24" t="s">
        <v>2905</v>
      </c>
    </row>
    <row r="25" spans="1:13" ht="15" customHeight="1" x14ac:dyDescent="0.25">
      <c r="A25" t="s">
        <v>4152</v>
      </c>
      <c r="B25" t="s">
        <v>4153</v>
      </c>
      <c r="C25" t="s">
        <v>4213</v>
      </c>
      <c r="D25" t="s">
        <v>4030</v>
      </c>
      <c r="E25" t="s">
        <v>3801</v>
      </c>
      <c r="F25" t="s">
        <v>2905</v>
      </c>
      <c r="G25" t="s">
        <v>3803</v>
      </c>
      <c r="H25" t="s">
        <v>3798</v>
      </c>
      <c r="I25" t="s">
        <v>3245</v>
      </c>
      <c r="J25" t="s">
        <v>4154</v>
      </c>
      <c r="K25" t="s">
        <v>2951</v>
      </c>
      <c r="L25" t="s">
        <v>70</v>
      </c>
      <c r="M25" t="s">
        <v>2905</v>
      </c>
    </row>
    <row r="26" spans="1:13" ht="15" customHeight="1" x14ac:dyDescent="0.25">
      <c r="A26" t="s">
        <v>4155</v>
      </c>
      <c r="B26" s="9" t="s">
        <v>4214</v>
      </c>
      <c r="C26" s="9" t="s">
        <v>4215</v>
      </c>
      <c r="D26" t="s">
        <v>3041</v>
      </c>
      <c r="E26" t="s">
        <v>3801</v>
      </c>
      <c r="F26" t="s">
        <v>2905</v>
      </c>
      <c r="G26" t="s">
        <v>3803</v>
      </c>
      <c r="H26" t="s">
        <v>4055</v>
      </c>
      <c r="I26" t="s">
        <v>3256</v>
      </c>
      <c r="J26" t="s">
        <v>4155</v>
      </c>
      <c r="K26" t="s">
        <v>2905</v>
      </c>
      <c r="L26" t="s">
        <v>70</v>
      </c>
      <c r="M26" t="s">
        <v>2905</v>
      </c>
    </row>
    <row r="27" spans="1:13" ht="15" customHeight="1" x14ac:dyDescent="0.25">
      <c r="A27" t="s">
        <v>4161</v>
      </c>
      <c r="B27" t="s">
        <v>4216</v>
      </c>
      <c r="C27" t="s">
        <v>4217</v>
      </c>
      <c r="D27" t="s">
        <v>4026</v>
      </c>
      <c r="E27" t="s">
        <v>70</v>
      </c>
      <c r="F27" t="s">
        <v>2905</v>
      </c>
      <c r="G27" t="s">
        <v>3803</v>
      </c>
      <c r="H27" t="s">
        <v>3798</v>
      </c>
      <c r="I27" t="s">
        <v>3256</v>
      </c>
      <c r="J27" t="s">
        <v>4161</v>
      </c>
      <c r="K27" t="s">
        <v>2970</v>
      </c>
      <c r="L27" t="s">
        <v>70</v>
      </c>
      <c r="M27" t="s">
        <v>2905</v>
      </c>
    </row>
    <row r="28" spans="1:13" ht="15" customHeight="1" x14ac:dyDescent="0.25">
      <c r="A28" t="s">
        <v>4166</v>
      </c>
      <c r="B28" t="s">
        <v>4167</v>
      </c>
      <c r="C28" t="s">
        <v>4218</v>
      </c>
      <c r="D28" t="s">
        <v>4030</v>
      </c>
      <c r="E28" t="s">
        <v>70</v>
      </c>
      <c r="F28" t="s">
        <v>2905</v>
      </c>
      <c r="G28" t="s">
        <v>4037</v>
      </c>
      <c r="H28" t="s">
        <v>3798</v>
      </c>
      <c r="I28" t="s">
        <v>3245</v>
      </c>
      <c r="J28" t="s">
        <v>4166</v>
      </c>
      <c r="K28" t="s">
        <v>2958</v>
      </c>
      <c r="L28" t="s">
        <v>70</v>
      </c>
      <c r="M28" t="s">
        <v>2905</v>
      </c>
    </row>
    <row r="29" spans="1:13" ht="15" customHeight="1" x14ac:dyDescent="0.25">
      <c r="A29" t="s">
        <v>4168</v>
      </c>
      <c r="B29" t="s">
        <v>4169</v>
      </c>
      <c r="C29" t="s">
        <v>4219</v>
      </c>
      <c r="D29" t="s">
        <v>4030</v>
      </c>
      <c r="E29" t="s">
        <v>70</v>
      </c>
      <c r="F29" t="s">
        <v>2905</v>
      </c>
      <c r="G29" t="s">
        <v>4037</v>
      </c>
      <c r="H29" t="s">
        <v>3798</v>
      </c>
      <c r="I29" t="s">
        <v>3245</v>
      </c>
      <c r="J29" t="s">
        <v>4168</v>
      </c>
      <c r="K29" t="s">
        <v>2958</v>
      </c>
      <c r="L29" t="s">
        <v>70</v>
      </c>
      <c r="M29" t="s">
        <v>2905</v>
      </c>
    </row>
    <row r="30" spans="1:13" ht="15" customHeight="1" x14ac:dyDescent="0.25">
      <c r="A30" t="s">
        <v>4159</v>
      </c>
      <c r="B30" t="s">
        <v>4160</v>
      </c>
      <c r="C30" t="s">
        <v>4220</v>
      </c>
      <c r="D30" t="s">
        <v>4030</v>
      </c>
      <c r="E30" t="s">
        <v>3801</v>
      </c>
      <c r="F30">
        <v>1</v>
      </c>
      <c r="G30" t="s">
        <v>4037</v>
      </c>
      <c r="H30" t="s">
        <v>3798</v>
      </c>
      <c r="I30" t="s">
        <v>3245</v>
      </c>
      <c r="J30" t="s">
        <v>4159</v>
      </c>
      <c r="K30" t="s">
        <v>2905</v>
      </c>
      <c r="L30" t="s">
        <v>70</v>
      </c>
      <c r="M30" t="s">
        <v>4221</v>
      </c>
    </row>
    <row r="31" spans="1:13" ht="60" customHeight="1" x14ac:dyDescent="0.25">
      <c r="A31" t="s">
        <v>4116</v>
      </c>
      <c r="B31" s="9" t="s">
        <v>4222</v>
      </c>
      <c r="C31" s="9" t="s">
        <v>4223</v>
      </c>
      <c r="D31" t="s">
        <v>4026</v>
      </c>
      <c r="E31" t="s">
        <v>70</v>
      </c>
      <c r="F31" t="s">
        <v>2905</v>
      </c>
      <c r="G31" t="s">
        <v>4111</v>
      </c>
      <c r="H31" t="s">
        <v>4052</v>
      </c>
      <c r="I31" t="s">
        <v>3256</v>
      </c>
      <c r="J31" t="s">
        <v>4118</v>
      </c>
      <c r="K31" t="s">
        <v>2970</v>
      </c>
      <c r="L31" t="s">
        <v>3801</v>
      </c>
      <c r="M31" s="9" t="s">
        <v>4224</v>
      </c>
    </row>
    <row r="32" spans="1:13" ht="45" customHeight="1" x14ac:dyDescent="0.25">
      <c r="A32" t="s">
        <v>4113</v>
      </c>
      <c r="B32" s="9" t="s">
        <v>4225</v>
      </c>
      <c r="C32" s="9" t="s">
        <v>4226</v>
      </c>
      <c r="D32" t="s">
        <v>4026</v>
      </c>
      <c r="E32" t="s">
        <v>70</v>
      </c>
      <c r="F32" t="s">
        <v>2905</v>
      </c>
      <c r="G32" t="s">
        <v>4111</v>
      </c>
      <c r="H32" t="s">
        <v>4052</v>
      </c>
      <c r="I32" t="s">
        <v>3256</v>
      </c>
      <c r="J32" t="s">
        <v>4115</v>
      </c>
      <c r="K32" t="s">
        <v>2970</v>
      </c>
      <c r="L32" t="s">
        <v>3801</v>
      </c>
      <c r="M32" s="9" t="s">
        <v>4227</v>
      </c>
    </row>
    <row r="33" spans="1:13" ht="60" customHeight="1" x14ac:dyDescent="0.25">
      <c r="A33" t="s">
        <v>4119</v>
      </c>
      <c r="B33" s="9" t="s">
        <v>4228</v>
      </c>
      <c r="C33" s="9" t="s">
        <v>4229</v>
      </c>
      <c r="D33" t="s">
        <v>4030</v>
      </c>
      <c r="E33" t="s">
        <v>70</v>
      </c>
      <c r="F33" t="s">
        <v>2905</v>
      </c>
      <c r="G33" t="s">
        <v>4037</v>
      </c>
      <c r="H33" t="s">
        <v>4052</v>
      </c>
      <c r="I33" t="s">
        <v>3245</v>
      </c>
      <c r="J33" t="s">
        <v>4121</v>
      </c>
      <c r="K33" t="s">
        <v>2905</v>
      </c>
      <c r="L33" t="s">
        <v>3801</v>
      </c>
      <c r="M33" s="9" t="s">
        <v>4230</v>
      </c>
    </row>
    <row r="34" spans="1:13" ht="45" customHeight="1" x14ac:dyDescent="0.25">
      <c r="A34" t="s">
        <v>4101</v>
      </c>
      <c r="B34" s="9" t="s">
        <v>4102</v>
      </c>
      <c r="C34" s="9" t="s">
        <v>4231</v>
      </c>
      <c r="D34" t="s">
        <v>4026</v>
      </c>
      <c r="E34" t="s">
        <v>70</v>
      </c>
      <c r="F34" t="s">
        <v>2905</v>
      </c>
      <c r="G34" t="s">
        <v>4037</v>
      </c>
      <c r="H34" t="s">
        <v>3798</v>
      </c>
      <c r="I34" t="s">
        <v>3256</v>
      </c>
      <c r="J34" t="s">
        <v>4101</v>
      </c>
      <c r="K34" t="s">
        <v>2951</v>
      </c>
      <c r="L34" t="s">
        <v>70</v>
      </c>
      <c r="M34" s="9" t="s">
        <v>4232</v>
      </c>
    </row>
    <row r="35" spans="1:13" ht="45" customHeight="1" x14ac:dyDescent="0.25">
      <c r="A35" t="s">
        <v>4053</v>
      </c>
      <c r="B35" s="9" t="s">
        <v>4233</v>
      </c>
      <c r="C35" s="9" t="s">
        <v>4234</v>
      </c>
      <c r="D35" t="s">
        <v>4030</v>
      </c>
      <c r="E35" t="s">
        <v>70</v>
      </c>
      <c r="F35" t="s">
        <v>2905</v>
      </c>
      <c r="G35" t="s">
        <v>4235</v>
      </c>
      <c r="H35" t="s">
        <v>4055</v>
      </c>
      <c r="I35" t="s">
        <v>3245</v>
      </c>
      <c r="J35" t="s">
        <v>4053</v>
      </c>
      <c r="K35" t="s">
        <v>2905</v>
      </c>
      <c r="L35" t="s">
        <v>70</v>
      </c>
      <c r="M35" s="9" t="s">
        <v>4236</v>
      </c>
    </row>
    <row r="36" spans="1:13" x14ac:dyDescent="0.25">
      <c r="A36" t="s">
        <v>4091</v>
      </c>
      <c r="B36" s="9" t="s">
        <v>4237</v>
      </c>
      <c r="C36" s="9" t="s">
        <v>4238</v>
      </c>
      <c r="D36" t="s">
        <v>4239</v>
      </c>
      <c r="E36" t="s">
        <v>70</v>
      </c>
      <c r="F36" t="s">
        <v>2905</v>
      </c>
      <c r="G36" t="s">
        <v>4240</v>
      </c>
      <c r="H36" t="s">
        <v>4052</v>
      </c>
      <c r="I36" t="s">
        <v>3256</v>
      </c>
      <c r="J36" t="s">
        <v>4093</v>
      </c>
      <c r="K36" t="s">
        <v>2970</v>
      </c>
      <c r="L36" t="s">
        <v>3801</v>
      </c>
      <c r="M36" t="s">
        <v>2905</v>
      </c>
    </row>
    <row r="37" spans="1:13" x14ac:dyDescent="0.25">
      <c r="A37" t="s">
        <v>4241</v>
      </c>
      <c r="B37" s="9" t="s">
        <v>4242</v>
      </c>
      <c r="C37" s="9" t="s">
        <v>4238</v>
      </c>
      <c r="D37" t="s">
        <v>4239</v>
      </c>
      <c r="E37" t="s">
        <v>70</v>
      </c>
      <c r="F37" t="s">
        <v>2905</v>
      </c>
      <c r="G37" t="s">
        <v>4240</v>
      </c>
      <c r="H37" t="s">
        <v>4052</v>
      </c>
      <c r="I37" t="s">
        <v>3256</v>
      </c>
      <c r="J37" t="s">
        <v>4241</v>
      </c>
      <c r="K37" t="s">
        <v>2970</v>
      </c>
      <c r="L37" t="s">
        <v>3801</v>
      </c>
      <c r="M37" t="s">
        <v>2905</v>
      </c>
    </row>
    <row r="38" spans="1:13" x14ac:dyDescent="0.25">
      <c r="A38" t="s">
        <v>4243</v>
      </c>
      <c r="B38" s="9" t="s">
        <v>4244</v>
      </c>
      <c r="C38" s="9" t="s">
        <v>4238</v>
      </c>
      <c r="D38" t="s">
        <v>4239</v>
      </c>
      <c r="E38" t="s">
        <v>70</v>
      </c>
      <c r="F38" t="s">
        <v>2905</v>
      </c>
      <c r="G38" t="s">
        <v>4240</v>
      </c>
      <c r="H38" t="s">
        <v>4052</v>
      </c>
      <c r="I38" t="s">
        <v>3256</v>
      </c>
      <c r="J38" t="s">
        <v>4245</v>
      </c>
      <c r="K38" t="s">
        <v>2951</v>
      </c>
      <c r="L38" t="s">
        <v>3801</v>
      </c>
      <c r="M38" t="s">
        <v>2905</v>
      </c>
    </row>
    <row r="39" spans="1:13" x14ac:dyDescent="0.25">
      <c r="A39" t="s">
        <v>4038</v>
      </c>
      <c r="B39" s="9" t="s">
        <v>4246</v>
      </c>
      <c r="C39" s="9" t="s">
        <v>4247</v>
      </c>
      <c r="D39" t="s">
        <v>4026</v>
      </c>
      <c r="E39" t="s">
        <v>70</v>
      </c>
      <c r="F39" t="s">
        <v>2905</v>
      </c>
      <c r="G39" t="s">
        <v>4248</v>
      </c>
      <c r="H39" t="s">
        <v>4052</v>
      </c>
      <c r="I39" t="s">
        <v>3256</v>
      </c>
      <c r="J39" t="s">
        <v>4038</v>
      </c>
      <c r="K39" t="s">
        <v>2970</v>
      </c>
      <c r="L39" t="s">
        <v>3801</v>
      </c>
      <c r="M39" t="s">
        <v>4249</v>
      </c>
    </row>
    <row r="40" spans="1:13" x14ac:dyDescent="0.25">
      <c r="A40" t="s">
        <v>4049</v>
      </c>
      <c r="B40" s="9" t="s">
        <v>4250</v>
      </c>
      <c r="C40" s="9" t="s">
        <v>4238</v>
      </c>
      <c r="D40" t="s">
        <v>4239</v>
      </c>
      <c r="E40" t="s">
        <v>70</v>
      </c>
      <c r="F40" t="s">
        <v>2905</v>
      </c>
      <c r="G40" t="s">
        <v>4240</v>
      </c>
      <c r="H40" t="s">
        <v>4052</v>
      </c>
      <c r="I40" t="s">
        <v>3256</v>
      </c>
      <c r="J40" t="s">
        <v>4049</v>
      </c>
      <c r="K40" t="s">
        <v>2951</v>
      </c>
      <c r="L40" t="s">
        <v>3801</v>
      </c>
      <c r="M40" t="s">
        <v>2905</v>
      </c>
    </row>
    <row r="41" spans="1:13" x14ac:dyDescent="0.25">
      <c r="A41" t="s">
        <v>4108</v>
      </c>
      <c r="B41" s="9" t="s">
        <v>4251</v>
      </c>
      <c r="C41" s="9" t="s">
        <v>4252</v>
      </c>
      <c r="D41" t="s">
        <v>4026</v>
      </c>
      <c r="E41" t="s">
        <v>70</v>
      </c>
      <c r="F41" t="s">
        <v>2905</v>
      </c>
      <c r="G41" t="s">
        <v>4111</v>
      </c>
      <c r="H41" t="s">
        <v>4052</v>
      </c>
      <c r="I41" t="s">
        <v>3256</v>
      </c>
      <c r="J41" t="s">
        <v>4112</v>
      </c>
      <c r="K41" t="s">
        <v>2970</v>
      </c>
      <c r="L41" t="s">
        <v>3801</v>
      </c>
      <c r="M41" t="s">
        <v>4253</v>
      </c>
    </row>
    <row r="42" spans="1:13" x14ac:dyDescent="0.25">
      <c r="A42" t="s">
        <v>4070</v>
      </c>
      <c r="B42" s="9" t="s">
        <v>4254</v>
      </c>
      <c r="C42" s="9" t="s">
        <v>4255</v>
      </c>
      <c r="D42" t="s">
        <v>4026</v>
      </c>
      <c r="E42" t="s">
        <v>70</v>
      </c>
      <c r="F42" t="s">
        <v>2905</v>
      </c>
      <c r="G42" t="s">
        <v>4037</v>
      </c>
      <c r="H42" t="s">
        <v>3798</v>
      </c>
      <c r="I42" t="s">
        <v>3256</v>
      </c>
      <c r="J42" t="s">
        <v>4072</v>
      </c>
      <c r="K42" t="s">
        <v>2951</v>
      </c>
      <c r="L42" t="s">
        <v>70</v>
      </c>
      <c r="M42" t="s">
        <v>2905</v>
      </c>
    </row>
    <row r="43" spans="1:13" x14ac:dyDescent="0.25">
      <c r="A43" t="s">
        <v>4058</v>
      </c>
      <c r="B43" s="9" t="s">
        <v>4256</v>
      </c>
      <c r="C43" s="9" t="s">
        <v>4257</v>
      </c>
      <c r="D43" t="s">
        <v>4030</v>
      </c>
      <c r="E43" t="s">
        <v>3801</v>
      </c>
      <c r="F43" t="s">
        <v>2905</v>
      </c>
      <c r="G43" t="s">
        <v>3803</v>
      </c>
      <c r="H43" t="s">
        <v>4055</v>
      </c>
      <c r="I43" t="s">
        <v>3245</v>
      </c>
      <c r="J43" t="s">
        <v>4060</v>
      </c>
      <c r="K43" t="s">
        <v>2951</v>
      </c>
      <c r="L43" t="s">
        <v>3801</v>
      </c>
      <c r="M43" t="s">
        <v>4258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4259</v>
      </c>
      <c r="C1" t="s">
        <v>4260</v>
      </c>
      <c r="D1" t="s">
        <v>4261</v>
      </c>
      <c r="E1" t="s">
        <v>3934</v>
      </c>
    </row>
    <row r="2" spans="1:5" ht="15" customHeight="1" x14ac:dyDescent="0.25">
      <c r="A2" t="s">
        <v>4262</v>
      </c>
      <c r="B2" t="s">
        <v>4263</v>
      </c>
      <c r="E2" t="s">
        <v>4264</v>
      </c>
    </row>
    <row r="3" spans="1:5" ht="15" customHeight="1" x14ac:dyDescent="0.25">
      <c r="A3" t="s">
        <v>4265</v>
      </c>
      <c r="B3" t="s">
        <v>4266</v>
      </c>
      <c r="E3" t="s">
        <v>4267</v>
      </c>
    </row>
    <row r="4" spans="1:5" ht="15" customHeight="1" x14ac:dyDescent="0.25">
      <c r="A4" t="s">
        <v>4268</v>
      </c>
      <c r="B4" t="s">
        <v>2905</v>
      </c>
      <c r="E4" t="s">
        <v>4269</v>
      </c>
    </row>
    <row r="5" spans="1:5" ht="15" customHeight="1" x14ac:dyDescent="0.25">
      <c r="A5" t="s">
        <v>4270</v>
      </c>
      <c r="B5" t="s">
        <v>4271</v>
      </c>
      <c r="E5" t="s">
        <v>4272</v>
      </c>
    </row>
    <row r="6" spans="1:5" ht="15" customHeight="1" x14ac:dyDescent="0.25">
      <c r="A6" t="s">
        <v>4273</v>
      </c>
      <c r="B6" t="s">
        <v>4274</v>
      </c>
      <c r="E6" t="s">
        <v>4275</v>
      </c>
    </row>
    <row r="7" spans="1:5" ht="15" customHeight="1" x14ac:dyDescent="0.25">
      <c r="A7" t="s">
        <v>4133</v>
      </c>
      <c r="B7" t="s">
        <v>4276</v>
      </c>
      <c r="E7" t="s">
        <v>4277</v>
      </c>
    </row>
    <row r="8" spans="1:5" ht="15" customHeight="1" x14ac:dyDescent="0.25">
      <c r="A8" t="s">
        <v>4278</v>
      </c>
      <c r="B8" t="s">
        <v>4279</v>
      </c>
      <c r="C8" t="s">
        <v>4280</v>
      </c>
      <c r="D8" t="s">
        <v>4281</v>
      </c>
      <c r="E8" t="s">
        <v>4282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4283</v>
      </c>
      <c r="D1" t="s">
        <v>4284</v>
      </c>
    </row>
    <row r="2" spans="1:4" ht="15" customHeight="1" x14ac:dyDescent="0.25">
      <c r="A2" t="s">
        <v>4285</v>
      </c>
      <c r="B2" t="s">
        <v>4286</v>
      </c>
      <c r="C2" t="s">
        <v>3798</v>
      </c>
      <c r="D2" t="s">
        <v>2905</v>
      </c>
    </row>
    <row r="3" spans="1:4" ht="15" customHeight="1" x14ac:dyDescent="0.25">
      <c r="A3" t="s">
        <v>4287</v>
      </c>
      <c r="B3" t="s">
        <v>4288</v>
      </c>
      <c r="C3" t="s">
        <v>4289</v>
      </c>
      <c r="D3" t="s">
        <v>2905</v>
      </c>
    </row>
    <row r="4" spans="1:4" ht="15" customHeight="1" x14ac:dyDescent="0.25">
      <c r="A4" t="s">
        <v>4290</v>
      </c>
      <c r="B4" t="s">
        <v>4291</v>
      </c>
      <c r="C4" t="s">
        <v>3798</v>
      </c>
      <c r="D4" t="s">
        <v>2905</v>
      </c>
    </row>
    <row r="5" spans="1:4" ht="15" customHeight="1" x14ac:dyDescent="0.25">
      <c r="A5" t="s">
        <v>4292</v>
      </c>
      <c r="B5" t="s">
        <v>4293</v>
      </c>
      <c r="C5" t="s">
        <v>4289</v>
      </c>
      <c r="D5" t="s">
        <v>2905</v>
      </c>
    </row>
    <row r="6" spans="1:4" ht="15" customHeight="1" x14ac:dyDescent="0.25">
      <c r="A6" t="s">
        <v>4294</v>
      </c>
      <c r="B6" t="s">
        <v>4295</v>
      </c>
      <c r="C6" t="s">
        <v>4289</v>
      </c>
      <c r="D6" t="s">
        <v>2905</v>
      </c>
    </row>
    <row r="7" spans="1:4" ht="15" customHeight="1" x14ac:dyDescent="0.25">
      <c r="A7" t="s">
        <v>4296</v>
      </c>
      <c r="B7" t="s">
        <v>4297</v>
      </c>
      <c r="C7" t="s">
        <v>3798</v>
      </c>
      <c r="D7" t="s">
        <v>2905</v>
      </c>
    </row>
    <row r="8" spans="1:4" ht="15" customHeight="1" x14ac:dyDescent="0.25">
      <c r="A8" t="s">
        <v>4298</v>
      </c>
      <c r="B8" t="s">
        <v>4299</v>
      </c>
      <c r="C8" t="s">
        <v>3798</v>
      </c>
      <c r="D8" t="s">
        <v>2905</v>
      </c>
    </row>
    <row r="9" spans="1:4" ht="15" customHeight="1" x14ac:dyDescent="0.25">
      <c r="A9" t="s">
        <v>4300</v>
      </c>
      <c r="B9" t="s">
        <v>4301</v>
      </c>
      <c r="C9" t="s">
        <v>3798</v>
      </c>
      <c r="D9" t="s">
        <v>2905</v>
      </c>
    </row>
    <row r="10" spans="1:4" ht="15" customHeight="1" x14ac:dyDescent="0.25">
      <c r="A10" t="s">
        <v>4302</v>
      </c>
      <c r="B10" t="s">
        <v>4303</v>
      </c>
      <c r="C10" t="s">
        <v>4304</v>
      </c>
      <c r="D10" t="s">
        <v>2905</v>
      </c>
    </row>
    <row r="11" spans="1:4" ht="15" customHeight="1" x14ac:dyDescent="0.25">
      <c r="A11" t="s">
        <v>4305</v>
      </c>
      <c r="B11" t="s">
        <v>4306</v>
      </c>
      <c r="C11" t="s">
        <v>3274</v>
      </c>
      <c r="D11" t="s">
        <v>2905</v>
      </c>
    </row>
    <row r="12" spans="1:4" ht="15" customHeight="1" x14ac:dyDescent="0.25">
      <c r="A12" t="s">
        <v>4307</v>
      </c>
      <c r="B12" t="s">
        <v>4308</v>
      </c>
      <c r="C12" t="s">
        <v>3274</v>
      </c>
      <c r="D12" t="s">
        <v>2905</v>
      </c>
    </row>
    <row r="13" spans="1:4" ht="15" customHeight="1" x14ac:dyDescent="0.25">
      <c r="A13" t="s">
        <v>4309</v>
      </c>
      <c r="B13" t="s">
        <v>4310</v>
      </c>
      <c r="C13" t="s">
        <v>4289</v>
      </c>
      <c r="D13" t="s">
        <v>2905</v>
      </c>
    </row>
    <row r="14" spans="1:4" ht="15" customHeight="1" x14ac:dyDescent="0.25">
      <c r="A14" t="s">
        <v>4311</v>
      </c>
      <c r="B14" t="s">
        <v>4312</v>
      </c>
      <c r="C14" t="s">
        <v>3798</v>
      </c>
      <c r="D14" t="s">
        <v>2905</v>
      </c>
    </row>
    <row r="15" spans="1:4" ht="15" customHeight="1" x14ac:dyDescent="0.25">
      <c r="A15" t="s">
        <v>4313</v>
      </c>
      <c r="B15" t="s">
        <v>4314</v>
      </c>
      <c r="C15" t="s">
        <v>3798</v>
      </c>
      <c r="D15" t="s">
        <v>2905</v>
      </c>
    </row>
    <row r="16" spans="1:4" ht="15" customHeight="1" x14ac:dyDescent="0.25">
      <c r="A16" t="s">
        <v>4315</v>
      </c>
      <c r="B16" t="s">
        <v>4316</v>
      </c>
      <c r="C16" t="s">
        <v>4304</v>
      </c>
      <c r="D16" t="s">
        <v>2905</v>
      </c>
    </row>
    <row r="17" spans="1:4" ht="15" customHeight="1" x14ac:dyDescent="0.25">
      <c r="A17" t="s">
        <v>4317</v>
      </c>
      <c r="B17" t="s">
        <v>4318</v>
      </c>
      <c r="C17" t="s">
        <v>3798</v>
      </c>
      <c r="D17" t="s">
        <v>2905</v>
      </c>
    </row>
    <row r="18" spans="1:4" ht="15" customHeight="1" x14ac:dyDescent="0.25">
      <c r="A18" t="s">
        <v>4319</v>
      </c>
      <c r="B18" t="s">
        <v>4320</v>
      </c>
      <c r="C18" t="s">
        <v>4321</v>
      </c>
      <c r="D18" t="s">
        <v>2905</v>
      </c>
    </row>
    <row r="19" spans="1:4" ht="15" customHeight="1" x14ac:dyDescent="0.25">
      <c r="A19" t="s">
        <v>4322</v>
      </c>
      <c r="B19" t="s">
        <v>4323</v>
      </c>
      <c r="C19" t="s">
        <v>3798</v>
      </c>
      <c r="D19" t="s">
        <v>2905</v>
      </c>
    </row>
    <row r="20" spans="1:4" ht="15" customHeight="1" x14ac:dyDescent="0.25">
      <c r="A20" t="s">
        <v>4324</v>
      </c>
      <c r="B20" t="s">
        <v>4325</v>
      </c>
      <c r="C20" t="s">
        <v>3798</v>
      </c>
      <c r="D20" t="s">
        <v>2905</v>
      </c>
    </row>
    <row r="21" spans="1:4" ht="15" customHeight="1" x14ac:dyDescent="0.25">
      <c r="A21" t="s">
        <v>4326</v>
      </c>
      <c r="B21" t="s">
        <v>4327</v>
      </c>
      <c r="C21" t="s">
        <v>3798</v>
      </c>
      <c r="D21" t="s">
        <v>4328</v>
      </c>
    </row>
    <row r="22" spans="1:4" ht="15" customHeight="1" x14ac:dyDescent="0.25">
      <c r="A22" t="s">
        <v>4329</v>
      </c>
      <c r="B22" t="s">
        <v>4330</v>
      </c>
      <c r="C22" t="s">
        <v>4331</v>
      </c>
      <c r="D22" t="s">
        <v>2905</v>
      </c>
    </row>
    <row r="23" spans="1:4" ht="15" customHeight="1" x14ac:dyDescent="0.25">
      <c r="A23" t="s">
        <v>4332</v>
      </c>
      <c r="B23" t="s">
        <v>4333</v>
      </c>
      <c r="C23" t="s">
        <v>4304</v>
      </c>
      <c r="D23" t="s">
        <v>2905</v>
      </c>
    </row>
    <row r="24" spans="1:4" ht="15" customHeight="1" x14ac:dyDescent="0.25">
      <c r="A24" t="s">
        <v>4334</v>
      </c>
      <c r="B24" t="s">
        <v>4335</v>
      </c>
      <c r="C24" t="s">
        <v>4304</v>
      </c>
      <c r="D24" t="s">
        <v>4336</v>
      </c>
    </row>
    <row r="25" spans="1:4" ht="15" customHeight="1" x14ac:dyDescent="0.25">
      <c r="A25" t="s">
        <v>4337</v>
      </c>
      <c r="B25" t="s">
        <v>4338</v>
      </c>
      <c r="C25" t="s">
        <v>4321</v>
      </c>
      <c r="D25" t="s">
        <v>2905</v>
      </c>
    </row>
    <row r="26" spans="1:4" ht="15" customHeight="1" x14ac:dyDescent="0.25">
      <c r="A26" t="s">
        <v>4339</v>
      </c>
      <c r="B26" t="s">
        <v>4340</v>
      </c>
      <c r="C26" t="s">
        <v>4289</v>
      </c>
      <c r="D26" t="s">
        <v>2905</v>
      </c>
    </row>
    <row r="27" spans="1:4" ht="15" customHeight="1" x14ac:dyDescent="0.25">
      <c r="A27" t="s">
        <v>4341</v>
      </c>
      <c r="B27" t="s">
        <v>4342</v>
      </c>
      <c r="C27" t="s">
        <v>4304</v>
      </c>
      <c r="D27" t="s">
        <v>2905</v>
      </c>
    </row>
    <row r="28" spans="1:4" ht="15" customHeight="1" x14ac:dyDescent="0.25">
      <c r="A28" t="s">
        <v>4343</v>
      </c>
      <c r="B28" t="s">
        <v>4344</v>
      </c>
      <c r="C28" t="s">
        <v>4304</v>
      </c>
      <c r="D28" t="s">
        <v>2905</v>
      </c>
    </row>
    <row r="29" spans="1:4" ht="15" customHeight="1" x14ac:dyDescent="0.25">
      <c r="A29" t="s">
        <v>4345</v>
      </c>
      <c r="B29" t="s">
        <v>4346</v>
      </c>
      <c r="C29" t="s">
        <v>4347</v>
      </c>
      <c r="D29" t="s">
        <v>2905</v>
      </c>
    </row>
    <row r="30" spans="1:4" ht="15" customHeight="1" x14ac:dyDescent="0.25">
      <c r="A30" t="s">
        <v>4348</v>
      </c>
      <c r="B30" t="s">
        <v>4349</v>
      </c>
      <c r="C30" t="s">
        <v>3798</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4350</v>
      </c>
      <c r="F1" t="s">
        <v>4351</v>
      </c>
      <c r="G1" t="s">
        <v>4284</v>
      </c>
      <c r="H1" t="s">
        <v>4352</v>
      </c>
      <c r="I1" t="s">
        <v>4353</v>
      </c>
      <c r="J1" t="s">
        <v>4354</v>
      </c>
      <c r="K1" t="s">
        <v>4355</v>
      </c>
      <c r="L1" t="s">
        <v>4356</v>
      </c>
      <c r="M1" t="s">
        <v>4357</v>
      </c>
    </row>
    <row r="2" spans="1:13" ht="15" customHeight="1" x14ac:dyDescent="0.25">
      <c r="A2" t="s">
        <v>4290</v>
      </c>
      <c r="B2" t="s">
        <v>4291</v>
      </c>
      <c r="C2" t="s">
        <v>4358</v>
      </c>
      <c r="D2" t="s">
        <v>4359</v>
      </c>
      <c r="E2" t="s">
        <v>3801</v>
      </c>
      <c r="F2" t="s">
        <v>3798</v>
      </c>
      <c r="G2" t="s">
        <v>2905</v>
      </c>
      <c r="H2" t="s">
        <v>4360</v>
      </c>
      <c r="I2" t="s">
        <v>4361</v>
      </c>
      <c r="J2" t="s">
        <v>4362</v>
      </c>
    </row>
    <row r="3" spans="1:13" ht="15" customHeight="1" x14ac:dyDescent="0.25">
      <c r="A3" t="s">
        <v>4296</v>
      </c>
      <c r="B3" t="s">
        <v>4297</v>
      </c>
      <c r="C3" t="s">
        <v>4297</v>
      </c>
      <c r="D3" t="s">
        <v>4297</v>
      </c>
      <c r="E3" t="s">
        <v>3801</v>
      </c>
      <c r="F3" t="s">
        <v>3798</v>
      </c>
      <c r="G3" t="s">
        <v>2905</v>
      </c>
      <c r="H3" t="s">
        <v>4363</v>
      </c>
      <c r="I3" t="s">
        <v>4364</v>
      </c>
    </row>
    <row r="4" spans="1:13" ht="15" customHeight="1" x14ac:dyDescent="0.25">
      <c r="A4" t="s">
        <v>4365</v>
      </c>
      <c r="B4" s="9" t="s">
        <v>4366</v>
      </c>
      <c r="C4" s="9" t="s">
        <v>4366</v>
      </c>
      <c r="D4" s="9" t="s">
        <v>4366</v>
      </c>
      <c r="E4" t="s">
        <v>70</v>
      </c>
      <c r="F4" t="s">
        <v>3798</v>
      </c>
      <c r="G4" t="s">
        <v>2905</v>
      </c>
      <c r="H4" t="s">
        <v>4367</v>
      </c>
      <c r="I4" t="s">
        <v>4368</v>
      </c>
    </row>
    <row r="5" spans="1:13" ht="15" customHeight="1" x14ac:dyDescent="0.25">
      <c r="A5" t="s">
        <v>4369</v>
      </c>
      <c r="B5" t="s">
        <v>4370</v>
      </c>
      <c r="C5" t="s">
        <v>4370</v>
      </c>
      <c r="D5" t="s">
        <v>4370</v>
      </c>
      <c r="E5" t="s">
        <v>3801</v>
      </c>
      <c r="F5" t="s">
        <v>4304</v>
      </c>
      <c r="G5" t="s">
        <v>2905</v>
      </c>
      <c r="H5" t="s">
        <v>4371</v>
      </c>
      <c r="I5" t="s">
        <v>4364</v>
      </c>
    </row>
    <row r="6" spans="1:13" ht="15" customHeight="1" x14ac:dyDescent="0.25">
      <c r="A6" t="s">
        <v>4302</v>
      </c>
      <c r="B6" t="s">
        <v>4303</v>
      </c>
      <c r="C6" t="s">
        <v>4372</v>
      </c>
      <c r="D6" t="s">
        <v>4303</v>
      </c>
      <c r="E6" t="s">
        <v>3801</v>
      </c>
      <c r="F6" t="s">
        <v>4304</v>
      </c>
      <c r="G6" t="s">
        <v>2905</v>
      </c>
      <c r="H6" t="s">
        <v>4373</v>
      </c>
      <c r="I6" t="s">
        <v>4364</v>
      </c>
      <c r="K6" t="s">
        <v>4374</v>
      </c>
      <c r="L6" t="s">
        <v>4375</v>
      </c>
    </row>
    <row r="7" spans="1:13" ht="15" customHeight="1" x14ac:dyDescent="0.25">
      <c r="A7" t="s">
        <v>4376</v>
      </c>
      <c r="B7" t="s">
        <v>4377</v>
      </c>
      <c r="C7" t="s">
        <v>4378</v>
      </c>
      <c r="D7" t="s">
        <v>4377</v>
      </c>
      <c r="E7" t="s">
        <v>3801</v>
      </c>
      <c r="F7" t="s">
        <v>4304</v>
      </c>
      <c r="G7" t="s">
        <v>2905</v>
      </c>
      <c r="H7" t="s">
        <v>4379</v>
      </c>
      <c r="I7" t="s">
        <v>4364</v>
      </c>
      <c r="K7" t="s">
        <v>4380</v>
      </c>
      <c r="L7" t="s">
        <v>4381</v>
      </c>
    </row>
    <row r="8" spans="1:13" ht="15" customHeight="1" x14ac:dyDescent="0.25">
      <c r="A8" t="s">
        <v>4305</v>
      </c>
      <c r="B8" t="s">
        <v>4382</v>
      </c>
      <c r="C8" t="s">
        <v>4383</v>
      </c>
      <c r="D8" t="s">
        <v>4383</v>
      </c>
      <c r="E8" t="s">
        <v>3801</v>
      </c>
      <c r="F8" t="s">
        <v>3274</v>
      </c>
      <c r="G8" t="s">
        <v>2905</v>
      </c>
      <c r="H8" t="s">
        <v>4384</v>
      </c>
      <c r="I8" t="s">
        <v>4385</v>
      </c>
      <c r="J8" t="s">
        <v>4384</v>
      </c>
    </row>
    <row r="9" spans="1:13" ht="15" customHeight="1" x14ac:dyDescent="0.25">
      <c r="A9" t="s">
        <v>4307</v>
      </c>
      <c r="B9" t="s">
        <v>4308</v>
      </c>
      <c r="C9" t="s">
        <v>4308</v>
      </c>
      <c r="D9" t="s">
        <v>4308</v>
      </c>
      <c r="E9" t="s">
        <v>3801</v>
      </c>
      <c r="F9" t="s">
        <v>3798</v>
      </c>
      <c r="G9" t="s">
        <v>2905</v>
      </c>
      <c r="H9" t="s">
        <v>4386</v>
      </c>
      <c r="I9" t="s">
        <v>4387</v>
      </c>
      <c r="J9" t="s">
        <v>3125</v>
      </c>
    </row>
    <row r="10" spans="1:13" ht="15" customHeight="1" x14ac:dyDescent="0.25">
      <c r="A10" t="s">
        <v>4311</v>
      </c>
      <c r="B10" t="s">
        <v>4312</v>
      </c>
      <c r="C10" t="s">
        <v>4388</v>
      </c>
      <c r="D10" t="s">
        <v>4388</v>
      </c>
      <c r="E10" t="s">
        <v>3801</v>
      </c>
      <c r="F10" t="s">
        <v>3798</v>
      </c>
      <c r="G10" t="s">
        <v>2905</v>
      </c>
      <c r="H10" t="s">
        <v>4389</v>
      </c>
      <c r="I10" t="s">
        <v>4385</v>
      </c>
      <c r="J10" t="s">
        <v>4389</v>
      </c>
    </row>
    <row r="11" spans="1:13" ht="15" customHeight="1" x14ac:dyDescent="0.25">
      <c r="A11" t="s">
        <v>4390</v>
      </c>
      <c r="B11" t="s">
        <v>4314</v>
      </c>
      <c r="C11" t="s">
        <v>4391</v>
      </c>
      <c r="D11" t="s">
        <v>4314</v>
      </c>
      <c r="E11" t="s">
        <v>70</v>
      </c>
      <c r="F11" t="s">
        <v>3798</v>
      </c>
      <c r="G11" t="s">
        <v>2905</v>
      </c>
      <c r="H11" t="s">
        <v>4392</v>
      </c>
      <c r="I11" t="s">
        <v>4368</v>
      </c>
    </row>
    <row r="12" spans="1:13" ht="15" customHeight="1" x14ac:dyDescent="0.25">
      <c r="A12" t="s">
        <v>4315</v>
      </c>
      <c r="B12" t="s">
        <v>4316</v>
      </c>
      <c r="C12" t="s">
        <v>4393</v>
      </c>
      <c r="D12" t="s">
        <v>4316</v>
      </c>
      <c r="E12" t="s">
        <v>3801</v>
      </c>
      <c r="F12" t="s">
        <v>4304</v>
      </c>
      <c r="G12" t="s">
        <v>2905</v>
      </c>
      <c r="H12" t="s">
        <v>4394</v>
      </c>
      <c r="I12" t="s">
        <v>4364</v>
      </c>
      <c r="K12" t="s">
        <v>4395</v>
      </c>
      <c r="L12" t="s">
        <v>4396</v>
      </c>
    </row>
    <row r="13" spans="1:13" ht="15" customHeight="1" x14ac:dyDescent="0.25">
      <c r="A13" t="s">
        <v>4317</v>
      </c>
      <c r="B13" t="s">
        <v>4318</v>
      </c>
      <c r="C13" t="s">
        <v>4318</v>
      </c>
      <c r="D13" t="s">
        <v>4318</v>
      </c>
      <c r="E13" t="s">
        <v>3801</v>
      </c>
      <c r="F13" t="s">
        <v>3798</v>
      </c>
      <c r="G13" t="s">
        <v>2905</v>
      </c>
      <c r="H13" t="s">
        <v>4397</v>
      </c>
      <c r="I13" t="s">
        <v>4385</v>
      </c>
      <c r="J13" t="s">
        <v>4397</v>
      </c>
    </row>
    <row r="14" spans="1:13" ht="15" customHeight="1" x14ac:dyDescent="0.25">
      <c r="A14" t="s">
        <v>4322</v>
      </c>
      <c r="B14" t="s">
        <v>4398</v>
      </c>
      <c r="C14" t="s">
        <v>4399</v>
      </c>
      <c r="D14" t="s">
        <v>4399</v>
      </c>
      <c r="E14" t="s">
        <v>3801</v>
      </c>
      <c r="F14" t="s">
        <v>3798</v>
      </c>
      <c r="G14" t="s">
        <v>2905</v>
      </c>
      <c r="H14" t="s">
        <v>4400</v>
      </c>
      <c r="I14" t="s">
        <v>4364</v>
      </c>
    </row>
    <row r="15" spans="1:13" ht="15" customHeight="1" x14ac:dyDescent="0.25">
      <c r="A15" t="s">
        <v>4401</v>
      </c>
      <c r="B15" t="s">
        <v>4402</v>
      </c>
      <c r="C15" t="s">
        <v>4402</v>
      </c>
      <c r="D15" t="s">
        <v>4402</v>
      </c>
      <c r="E15" t="s">
        <v>3801</v>
      </c>
      <c r="F15" t="s">
        <v>4403</v>
      </c>
      <c r="G15" t="s">
        <v>2905</v>
      </c>
      <c r="H15" t="s">
        <v>4404</v>
      </c>
      <c r="I15" t="s">
        <v>4404</v>
      </c>
    </row>
    <row r="16" spans="1:13" ht="15" customHeight="1" x14ac:dyDescent="0.25">
      <c r="A16" t="s">
        <v>4405</v>
      </c>
      <c r="B16" t="s">
        <v>4406</v>
      </c>
      <c r="C16" t="s">
        <v>4406</v>
      </c>
      <c r="D16" t="s">
        <v>4406</v>
      </c>
      <c r="E16" t="s">
        <v>70</v>
      </c>
      <c r="F16" t="s">
        <v>4403</v>
      </c>
      <c r="G16" t="s">
        <v>2905</v>
      </c>
      <c r="H16" t="s">
        <v>4407</v>
      </c>
      <c r="I16" t="s">
        <v>4407</v>
      </c>
    </row>
    <row r="17" spans="1:12" ht="15" customHeight="1" x14ac:dyDescent="0.25">
      <c r="A17" t="s">
        <v>4329</v>
      </c>
      <c r="B17" t="s">
        <v>4330</v>
      </c>
      <c r="C17" t="s">
        <v>4408</v>
      </c>
      <c r="D17" t="s">
        <v>4408</v>
      </c>
      <c r="E17" t="s">
        <v>3801</v>
      </c>
      <c r="F17" t="s">
        <v>3798</v>
      </c>
      <c r="G17" t="s">
        <v>2905</v>
      </c>
      <c r="H17" t="s">
        <v>4409</v>
      </c>
      <c r="I17" t="s">
        <v>4364</v>
      </c>
    </row>
    <row r="18" spans="1:12" ht="15" customHeight="1" x14ac:dyDescent="0.25">
      <c r="A18" t="s">
        <v>4410</v>
      </c>
      <c r="B18" t="s">
        <v>4411</v>
      </c>
      <c r="C18" t="s">
        <v>4411</v>
      </c>
      <c r="D18" t="s">
        <v>4412</v>
      </c>
      <c r="E18" t="s">
        <v>70</v>
      </c>
      <c r="F18" t="s">
        <v>4304</v>
      </c>
      <c r="G18" t="s">
        <v>2905</v>
      </c>
      <c r="H18" t="s">
        <v>4413</v>
      </c>
      <c r="I18" t="s">
        <v>4414</v>
      </c>
    </row>
    <row r="19" spans="1:12" ht="15" customHeight="1" x14ac:dyDescent="0.25">
      <c r="A19" t="s">
        <v>4332</v>
      </c>
      <c r="B19" t="s">
        <v>4333</v>
      </c>
      <c r="C19" t="s">
        <v>4415</v>
      </c>
      <c r="D19" t="s">
        <v>4333</v>
      </c>
      <c r="E19" t="s">
        <v>3801</v>
      </c>
      <c r="F19" t="s">
        <v>4304</v>
      </c>
      <c r="G19" t="s">
        <v>2905</v>
      </c>
      <c r="H19" t="s">
        <v>4416</v>
      </c>
      <c r="I19" t="s">
        <v>4364</v>
      </c>
    </row>
    <row r="20" spans="1:12" ht="15" customHeight="1" x14ac:dyDescent="0.25">
      <c r="A20" t="s">
        <v>4341</v>
      </c>
      <c r="B20" t="s">
        <v>4417</v>
      </c>
      <c r="C20" t="s">
        <v>4418</v>
      </c>
      <c r="D20" t="s">
        <v>4417</v>
      </c>
      <c r="E20" t="s">
        <v>3801</v>
      </c>
      <c r="F20" t="s">
        <v>4304</v>
      </c>
      <c r="G20" t="s">
        <v>2905</v>
      </c>
      <c r="H20" t="s">
        <v>4419</v>
      </c>
      <c r="I20" t="s">
        <v>4364</v>
      </c>
    </row>
    <row r="21" spans="1:12" ht="15" customHeight="1" x14ac:dyDescent="0.25">
      <c r="A21" t="s">
        <v>4343</v>
      </c>
      <c r="B21" t="s">
        <v>4420</v>
      </c>
      <c r="C21" t="s">
        <v>4372</v>
      </c>
      <c r="D21" t="s">
        <v>4420</v>
      </c>
      <c r="E21" t="s">
        <v>3801</v>
      </c>
      <c r="F21" t="s">
        <v>4304</v>
      </c>
      <c r="G21" t="s">
        <v>2905</v>
      </c>
      <c r="H21" t="s">
        <v>4421</v>
      </c>
      <c r="I21" t="s">
        <v>4364</v>
      </c>
      <c r="K21" t="s">
        <v>4422</v>
      </c>
      <c r="L21" t="s">
        <v>4375</v>
      </c>
    </row>
    <row r="22" spans="1:12" ht="15" customHeight="1" x14ac:dyDescent="0.25">
      <c r="A22" t="s">
        <v>4345</v>
      </c>
      <c r="B22" t="s">
        <v>4423</v>
      </c>
      <c r="C22" t="s">
        <v>4423</v>
      </c>
      <c r="D22" t="s">
        <v>4423</v>
      </c>
      <c r="E22" t="s">
        <v>3801</v>
      </c>
      <c r="F22" t="s">
        <v>3274</v>
      </c>
      <c r="G22" t="s">
        <v>2905</v>
      </c>
      <c r="H22" t="s">
        <v>4424</v>
      </c>
      <c r="I22" t="s">
        <v>4425</v>
      </c>
    </row>
    <row r="23" spans="1:12" ht="15" customHeight="1" x14ac:dyDescent="0.25">
      <c r="A23" t="s">
        <v>4348</v>
      </c>
      <c r="B23" t="s">
        <v>4349</v>
      </c>
      <c r="C23" t="s">
        <v>4349</v>
      </c>
      <c r="D23" t="s">
        <v>4349</v>
      </c>
      <c r="E23" t="s">
        <v>3801</v>
      </c>
      <c r="F23" t="s">
        <v>3798</v>
      </c>
      <c r="G23" t="s">
        <v>2905</v>
      </c>
      <c r="H23" t="s">
        <v>4426</v>
      </c>
      <c r="I23" t="s">
        <v>4387</v>
      </c>
      <c r="J23" t="s">
        <v>4427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3791</v>
      </c>
      <c r="C1" t="s">
        <v>4428</v>
      </c>
      <c r="D1" t="s">
        <v>4429</v>
      </c>
      <c r="E1" t="s">
        <v>4430</v>
      </c>
      <c r="F1" t="s">
        <v>4431</v>
      </c>
      <c r="G1" t="s">
        <v>4432</v>
      </c>
      <c r="H1" t="s">
        <v>4433</v>
      </c>
      <c r="I1" t="s">
        <v>4434</v>
      </c>
      <c r="J1" t="s">
        <v>4435</v>
      </c>
      <c r="K1" t="s">
        <v>2947</v>
      </c>
      <c r="L1" t="s">
        <v>3243</v>
      </c>
      <c r="M1" t="s">
        <v>57</v>
      </c>
    </row>
    <row r="2" spans="1:13" ht="15" customHeight="1" x14ac:dyDescent="0.25">
      <c r="A2" t="s">
        <v>4436</v>
      </c>
      <c r="B2" t="s">
        <v>2970</v>
      </c>
      <c r="C2" t="s">
        <v>4437</v>
      </c>
      <c r="D2" t="s">
        <v>4438</v>
      </c>
      <c r="E2" t="s">
        <v>4437</v>
      </c>
      <c r="F2" t="s">
        <v>4438</v>
      </c>
      <c r="G2" t="s">
        <v>4437</v>
      </c>
      <c r="H2" t="s">
        <v>4438</v>
      </c>
      <c r="I2" t="s">
        <v>4437</v>
      </c>
      <c r="J2" t="s">
        <v>4438</v>
      </c>
      <c r="K2" t="s">
        <v>1794</v>
      </c>
      <c r="L2" t="s">
        <v>3264</v>
      </c>
    </row>
    <row r="3" spans="1:13" ht="15" customHeight="1" x14ac:dyDescent="0.25">
      <c r="A3" t="s">
        <v>3244</v>
      </c>
      <c r="B3" t="s">
        <v>2970</v>
      </c>
      <c r="C3" t="s">
        <v>4439</v>
      </c>
      <c r="D3" t="s">
        <v>4440</v>
      </c>
      <c r="E3" t="s">
        <v>4441</v>
      </c>
      <c r="F3" t="s">
        <v>4442</v>
      </c>
      <c r="G3" t="s">
        <v>4443</v>
      </c>
      <c r="H3" t="s">
        <v>4444</v>
      </c>
      <c r="I3" t="s">
        <v>4445</v>
      </c>
      <c r="J3" t="s">
        <v>4446</v>
      </c>
      <c r="K3" t="s">
        <v>1794</v>
      </c>
      <c r="L3" t="s">
        <v>3245</v>
      </c>
    </row>
    <row r="4" spans="1:13" ht="15" customHeight="1" x14ac:dyDescent="0.25">
      <c r="A4" t="s">
        <v>3248</v>
      </c>
      <c r="B4" t="s">
        <v>2970</v>
      </c>
      <c r="C4" t="s">
        <v>4447</v>
      </c>
      <c r="D4" t="s">
        <v>4448</v>
      </c>
      <c r="E4" t="s">
        <v>4449</v>
      </c>
      <c r="F4" t="s">
        <v>4450</v>
      </c>
      <c r="G4" t="s">
        <v>4451</v>
      </c>
      <c r="H4" t="s">
        <v>4452</v>
      </c>
      <c r="I4" t="s">
        <v>4453</v>
      </c>
      <c r="J4" t="s">
        <v>4454</v>
      </c>
      <c r="K4" t="s">
        <v>1034</v>
      </c>
      <c r="L4" t="s">
        <v>3245</v>
      </c>
      <c r="M4" t="s">
        <v>3251</v>
      </c>
    </row>
    <row r="5" spans="1:13" ht="15" customHeight="1" x14ac:dyDescent="0.25">
      <c r="A5" t="s">
        <v>4455</v>
      </c>
      <c r="B5" t="s">
        <v>2970</v>
      </c>
      <c r="C5" t="s">
        <v>4456</v>
      </c>
      <c r="D5" t="s">
        <v>4457</v>
      </c>
      <c r="E5" t="s">
        <v>4458</v>
      </c>
      <c r="F5" t="s">
        <v>4459</v>
      </c>
      <c r="G5" t="s">
        <v>4460</v>
      </c>
      <c r="H5" t="s">
        <v>4461</v>
      </c>
      <c r="I5" t="s">
        <v>4462</v>
      </c>
      <c r="J5" t="s">
        <v>4463</v>
      </c>
      <c r="K5" t="s">
        <v>1421</v>
      </c>
      <c r="L5" t="s">
        <v>3256</v>
      </c>
    </row>
    <row r="6" spans="1:13" ht="15" customHeight="1" x14ac:dyDescent="0.25">
      <c r="A6" t="s">
        <v>3252</v>
      </c>
      <c r="B6" t="s">
        <v>2958</v>
      </c>
      <c r="C6" t="s">
        <v>4464</v>
      </c>
      <c r="D6" t="s">
        <v>4465</v>
      </c>
      <c r="E6" t="s">
        <v>4466</v>
      </c>
      <c r="F6" t="s">
        <v>4467</v>
      </c>
      <c r="G6" t="s">
        <v>4468</v>
      </c>
      <c r="H6" t="s">
        <v>4469</v>
      </c>
      <c r="I6" t="s">
        <v>4470</v>
      </c>
      <c r="J6" t="s">
        <v>4471</v>
      </c>
      <c r="K6" t="s">
        <v>1794</v>
      </c>
      <c r="L6" t="s">
        <v>3245</v>
      </c>
    </row>
    <row r="7" spans="1:13" ht="15" customHeight="1" x14ac:dyDescent="0.25">
      <c r="A7" t="s">
        <v>4472</v>
      </c>
      <c r="B7" t="s">
        <v>2958</v>
      </c>
      <c r="C7" t="s">
        <v>4473</v>
      </c>
      <c r="D7" t="s">
        <v>4474</v>
      </c>
      <c r="E7" t="s">
        <v>4475</v>
      </c>
      <c r="F7" t="s">
        <v>4476</v>
      </c>
      <c r="G7" t="s">
        <v>4477</v>
      </c>
      <c r="H7" t="s">
        <v>4478</v>
      </c>
      <c r="I7" t="s">
        <v>4479</v>
      </c>
      <c r="J7" t="s">
        <v>4480</v>
      </c>
      <c r="K7" t="s">
        <v>1794</v>
      </c>
      <c r="L7" t="s">
        <v>3256</v>
      </c>
      <c r="M7" t="s">
        <v>4481</v>
      </c>
    </row>
    <row r="8" spans="1:13" ht="15" customHeight="1" x14ac:dyDescent="0.25">
      <c r="A8" t="s">
        <v>4482</v>
      </c>
      <c r="B8" t="s">
        <v>2970</v>
      </c>
      <c r="C8" t="s">
        <v>4483</v>
      </c>
      <c r="D8" t="s">
        <v>4484</v>
      </c>
      <c r="E8" t="s">
        <v>4485</v>
      </c>
      <c r="F8" t="s">
        <v>4486</v>
      </c>
      <c r="G8" t="s">
        <v>4487</v>
      </c>
      <c r="H8" t="s">
        <v>4488</v>
      </c>
      <c r="I8" t="s">
        <v>4489</v>
      </c>
      <c r="J8" t="s">
        <v>4490</v>
      </c>
      <c r="K8" t="s">
        <v>1034</v>
      </c>
      <c r="L8" t="s">
        <v>3245</v>
      </c>
    </row>
    <row r="9" spans="1:13" ht="15" customHeight="1" x14ac:dyDescent="0.25">
      <c r="A9" t="s">
        <v>3255</v>
      </c>
      <c r="B9" t="s">
        <v>2958</v>
      </c>
      <c r="C9" t="s">
        <v>4491</v>
      </c>
      <c r="D9" t="s">
        <v>4492</v>
      </c>
      <c r="E9" t="s">
        <v>4493</v>
      </c>
      <c r="F9" t="s">
        <v>4494</v>
      </c>
      <c r="G9" t="s">
        <v>3257</v>
      </c>
      <c r="H9" t="s">
        <v>3258</v>
      </c>
      <c r="I9" t="s">
        <v>4495</v>
      </c>
      <c r="J9" t="s">
        <v>4496</v>
      </c>
      <c r="K9" t="s">
        <v>1794</v>
      </c>
      <c r="L9" t="s">
        <v>3256</v>
      </c>
      <c r="M9" t="s">
        <v>3259</v>
      </c>
    </row>
    <row r="10" spans="1:13" ht="15" customHeight="1" x14ac:dyDescent="0.25">
      <c r="A10" t="s">
        <v>3260</v>
      </c>
      <c r="B10" t="s">
        <v>2970</v>
      </c>
      <c r="C10" t="s">
        <v>4497</v>
      </c>
      <c r="D10" t="s">
        <v>4498</v>
      </c>
      <c r="E10" t="s">
        <v>4499</v>
      </c>
      <c r="F10" t="s">
        <v>4500</v>
      </c>
      <c r="G10" t="s">
        <v>4501</v>
      </c>
      <c r="H10" t="s">
        <v>3262</v>
      </c>
      <c r="I10" t="s">
        <v>4502</v>
      </c>
      <c r="J10" t="s">
        <v>4503</v>
      </c>
      <c r="K10" t="s">
        <v>1794</v>
      </c>
      <c r="L10" t="s">
        <v>3256</v>
      </c>
    </row>
    <row r="11" spans="1:13" ht="15" customHeight="1" x14ac:dyDescent="0.25">
      <c r="A11" t="s">
        <v>4504</v>
      </c>
      <c r="B11" t="s">
        <v>2970</v>
      </c>
      <c r="C11" t="s">
        <v>4505</v>
      </c>
      <c r="D11" t="s">
        <v>4506</v>
      </c>
      <c r="E11" t="s">
        <v>4507</v>
      </c>
      <c r="F11" t="s">
        <v>4508</v>
      </c>
      <c r="G11" t="s">
        <v>4509</v>
      </c>
      <c r="H11" t="s">
        <v>4510</v>
      </c>
      <c r="I11" t="s">
        <v>4511</v>
      </c>
      <c r="J11" t="s">
        <v>4512</v>
      </c>
      <c r="K11" t="s">
        <v>1794</v>
      </c>
      <c r="L11" t="s">
        <v>3245</v>
      </c>
    </row>
    <row r="12" spans="1:13" ht="15" customHeight="1" x14ac:dyDescent="0.25">
      <c r="A12" t="s">
        <v>4513</v>
      </c>
      <c r="B12" t="s">
        <v>2958</v>
      </c>
      <c r="C12" t="s">
        <v>4514</v>
      </c>
      <c r="D12" t="s">
        <v>4515</v>
      </c>
      <c r="E12" t="s">
        <v>4516</v>
      </c>
      <c r="F12" t="s">
        <v>4517</v>
      </c>
      <c r="G12" t="s">
        <v>4518</v>
      </c>
      <c r="H12" t="s">
        <v>4519</v>
      </c>
      <c r="I12" t="s">
        <v>4520</v>
      </c>
      <c r="J12" t="s">
        <v>4521</v>
      </c>
      <c r="K12" t="s">
        <v>1794</v>
      </c>
      <c r="L12" t="s">
        <v>3264</v>
      </c>
      <c r="M12" t="s">
        <v>3267</v>
      </c>
    </row>
    <row r="13" spans="1:13" ht="15" customHeight="1" x14ac:dyDescent="0.25">
      <c r="A13" t="s">
        <v>4522</v>
      </c>
      <c r="B13" t="s">
        <v>2951</v>
      </c>
      <c r="C13" t="s">
        <v>4523</v>
      </c>
      <c r="D13" t="s">
        <v>4524</v>
      </c>
      <c r="E13" t="s">
        <v>4525</v>
      </c>
      <c r="F13" t="s">
        <v>4526</v>
      </c>
      <c r="G13" t="s">
        <v>4527</v>
      </c>
      <c r="H13" t="s">
        <v>4528</v>
      </c>
      <c r="I13" t="s">
        <v>4529</v>
      </c>
      <c r="J13" t="s">
        <v>4530</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3791</v>
      </c>
      <c r="C1" t="s">
        <v>2946</v>
      </c>
      <c r="D1" t="s">
        <v>2947</v>
      </c>
      <c r="E1" t="s">
        <v>57</v>
      </c>
    </row>
    <row r="2" spans="1:5" ht="15" customHeight="1" x14ac:dyDescent="0.25">
      <c r="A2" t="s">
        <v>4531</v>
      </c>
      <c r="B2" t="s">
        <v>2958</v>
      </c>
      <c r="C2" t="s">
        <v>4532</v>
      </c>
      <c r="D2" t="s">
        <v>1954</v>
      </c>
      <c r="E2" t="s">
        <v>4533</v>
      </c>
    </row>
    <row r="3" spans="1:5" ht="15" customHeight="1" x14ac:dyDescent="0.25">
      <c r="A3" t="s">
        <v>4534</v>
      </c>
      <c r="B3" t="s">
        <v>2958</v>
      </c>
      <c r="C3" t="s">
        <v>4535</v>
      </c>
      <c r="D3" t="s">
        <v>1954</v>
      </c>
      <c r="E3" t="s">
        <v>4536</v>
      </c>
    </row>
    <row r="4" spans="1:5" ht="15" customHeight="1" x14ac:dyDescent="0.25">
      <c r="A4" t="s">
        <v>4537</v>
      </c>
      <c r="B4" t="s">
        <v>2958</v>
      </c>
      <c r="C4" t="s">
        <v>4538</v>
      </c>
      <c r="D4" t="s">
        <v>1954</v>
      </c>
      <c r="E4" t="s">
        <v>4539</v>
      </c>
    </row>
    <row r="5" spans="1:5" ht="15" customHeight="1" x14ac:dyDescent="0.25">
      <c r="A5" t="s">
        <v>4540</v>
      </c>
      <c r="B5" t="s">
        <v>2958</v>
      </c>
      <c r="C5" t="s">
        <v>4541</v>
      </c>
      <c r="D5" t="s">
        <v>1954</v>
      </c>
      <c r="E5" t="s">
        <v>4542</v>
      </c>
    </row>
    <row r="6" spans="1:5" ht="15" customHeight="1" x14ac:dyDescent="0.25">
      <c r="A6" t="s">
        <v>4543</v>
      </c>
      <c r="B6" t="s">
        <v>2958</v>
      </c>
      <c r="C6" t="s">
        <v>4544</v>
      </c>
      <c r="D6" t="s">
        <v>1954</v>
      </c>
      <c r="E6" t="s">
        <v>4545</v>
      </c>
    </row>
    <row r="7" spans="1:5" ht="15" customHeight="1" x14ac:dyDescent="0.25">
      <c r="A7" t="s">
        <v>4546</v>
      </c>
      <c r="B7" t="s">
        <v>2958</v>
      </c>
      <c r="C7" t="s">
        <v>4547</v>
      </c>
      <c r="D7" t="s">
        <v>1954</v>
      </c>
      <c r="E7" t="s">
        <v>4548</v>
      </c>
    </row>
    <row r="8" spans="1:5" ht="15" customHeight="1" x14ac:dyDescent="0.25">
      <c r="A8" t="s">
        <v>4549</v>
      </c>
      <c r="B8" t="s">
        <v>2958</v>
      </c>
      <c r="C8" t="s">
        <v>4550</v>
      </c>
      <c r="D8" t="s">
        <v>1954</v>
      </c>
      <c r="E8" t="s">
        <v>4551</v>
      </c>
    </row>
    <row r="9" spans="1:5" ht="15" customHeight="1" x14ac:dyDescent="0.25">
      <c r="A9" t="s">
        <v>4552</v>
      </c>
      <c r="B9" t="s">
        <v>2951</v>
      </c>
      <c r="C9" t="s">
        <v>4553</v>
      </c>
      <c r="D9" t="s">
        <v>1954</v>
      </c>
      <c r="E9" t="s">
        <v>4554</v>
      </c>
    </row>
    <row r="10" spans="1:5" ht="15" customHeight="1" x14ac:dyDescent="0.25">
      <c r="A10" t="s">
        <v>4555</v>
      </c>
      <c r="B10" t="s">
        <v>2958</v>
      </c>
      <c r="C10" t="s">
        <v>4556</v>
      </c>
      <c r="D10" t="s">
        <v>1954</v>
      </c>
      <c r="E10" t="s">
        <v>4557</v>
      </c>
    </row>
    <row r="11" spans="1:5" ht="15" customHeight="1" x14ac:dyDescent="0.25">
      <c r="A11" t="s">
        <v>4558</v>
      </c>
      <c r="B11" t="s">
        <v>2958</v>
      </c>
      <c r="C11" t="s">
        <v>4559</v>
      </c>
      <c r="D11" t="s">
        <v>1954</v>
      </c>
      <c r="E11" t="s">
        <v>4560</v>
      </c>
    </row>
    <row r="12" spans="1:5" ht="15" customHeight="1" x14ac:dyDescent="0.25">
      <c r="A12" t="s">
        <v>4561</v>
      </c>
      <c r="B12" t="s">
        <v>2958</v>
      </c>
      <c r="C12" t="s">
        <v>4562</v>
      </c>
      <c r="D12" t="s">
        <v>1954</v>
      </c>
      <c r="E12" t="s">
        <v>4563</v>
      </c>
    </row>
    <row r="13" spans="1:5" ht="15" customHeight="1" x14ac:dyDescent="0.25">
      <c r="A13" t="s">
        <v>4564</v>
      </c>
      <c r="B13" t="s">
        <v>2970</v>
      </c>
      <c r="C13" t="s">
        <v>4565</v>
      </c>
      <c r="D13" t="s">
        <v>1954</v>
      </c>
      <c r="E13" t="s">
        <v>4566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3381</v>
      </c>
      <c r="E1" t="s">
        <v>4567</v>
      </c>
      <c r="F1" t="s">
        <v>4568</v>
      </c>
      <c r="G1" t="s">
        <v>4569</v>
      </c>
      <c r="H1" t="s">
        <v>4570</v>
      </c>
      <c r="I1" t="s">
        <v>3427</v>
      </c>
      <c r="J1" t="s">
        <v>4571</v>
      </c>
      <c r="K1" t="s">
        <v>2891</v>
      </c>
      <c r="L1" t="s">
        <v>4572</v>
      </c>
      <c r="M1" t="s">
        <v>3116</v>
      </c>
      <c r="N1" t="s">
        <v>4573</v>
      </c>
      <c r="O1" t="s">
        <v>4574</v>
      </c>
      <c r="P1" t="s">
        <v>2897</v>
      </c>
      <c r="Q1" t="s">
        <v>2898</v>
      </c>
      <c r="R1" t="s">
        <v>2899</v>
      </c>
      <c r="S1" t="s">
        <v>4575</v>
      </c>
      <c r="T1" t="s">
        <v>4576</v>
      </c>
      <c r="U1" t="s">
        <v>4577</v>
      </c>
      <c r="V1" t="s">
        <v>4578</v>
      </c>
      <c r="W1" t="s">
        <v>4579</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4580</v>
      </c>
      <c r="R2" t="s">
        <v>2936</v>
      </c>
      <c r="S2" t="s">
        <v>4304</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4581</v>
      </c>
      <c r="R3" t="s">
        <v>2919</v>
      </c>
      <c r="S3" t="s">
        <v>4321</v>
      </c>
      <c r="T3">
        <v>5</v>
      </c>
      <c r="U3">
        <v>4</v>
      </c>
      <c r="V3" t="s">
        <v>4582</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4583</v>
      </c>
      <c r="R4" t="s">
        <v>2944</v>
      </c>
      <c r="S4" t="s">
        <v>3401</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4584</v>
      </c>
      <c r="R5" t="s">
        <v>2927</v>
      </c>
      <c r="S5" t="s">
        <v>4585</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4586</v>
      </c>
      <c r="R6" t="s">
        <v>2915</v>
      </c>
      <c r="S6" t="s">
        <v>4304</v>
      </c>
      <c r="T6">
        <v>5</v>
      </c>
      <c r="U6">
        <v>4</v>
      </c>
      <c r="V6" t="s">
        <v>2890</v>
      </c>
      <c r="X6" t="s">
        <v>2916</v>
      </c>
    </row>
    <row r="7" spans="1:24" ht="15" customHeight="1" x14ac:dyDescent="0.25">
      <c r="A7" t="s">
        <v>4587</v>
      </c>
      <c r="B7" t="s">
        <v>1954</v>
      </c>
      <c r="C7">
        <v>70</v>
      </c>
      <c r="D7">
        <v>3</v>
      </c>
      <c r="E7">
        <v>0</v>
      </c>
      <c r="F7">
        <v>2</v>
      </c>
      <c r="G7">
        <v>0</v>
      </c>
      <c r="H7">
        <v>0</v>
      </c>
      <c r="I7">
        <v>0</v>
      </c>
      <c r="J7">
        <v>0</v>
      </c>
      <c r="K7">
        <v>0</v>
      </c>
      <c r="L7">
        <v>0</v>
      </c>
      <c r="M7">
        <v>0</v>
      </c>
      <c r="N7">
        <v>0</v>
      </c>
      <c r="O7">
        <v>0</v>
      </c>
      <c r="P7" t="s">
        <v>2913</v>
      </c>
      <c r="Q7" t="s">
        <v>4588</v>
      </c>
      <c r="R7" t="s">
        <v>4589</v>
      </c>
      <c r="S7" t="s">
        <v>4304</v>
      </c>
      <c r="T7">
        <v>5</v>
      </c>
      <c r="U7">
        <v>5</v>
      </c>
      <c r="V7" t="s">
        <v>4590</v>
      </c>
      <c r="W7" t="s">
        <v>4591</v>
      </c>
      <c r="X7" t="s">
        <v>3661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3791</v>
      </c>
      <c r="C1" t="s">
        <v>53</v>
      </c>
      <c r="D1" t="s">
        <v>4592</v>
      </c>
      <c r="E1" t="s">
        <v>2899</v>
      </c>
      <c r="F1" t="s">
        <v>4593</v>
      </c>
      <c r="G1" t="s">
        <v>4594</v>
      </c>
      <c r="H1" t="s">
        <v>3795</v>
      </c>
      <c r="I1" t="s">
        <v>9</v>
      </c>
      <c r="J1" t="s">
        <v>56</v>
      </c>
    </row>
    <row r="2" spans="1:10" ht="15" customHeight="1" x14ac:dyDescent="0.25">
      <c r="A2" t="s">
        <v>4595</v>
      </c>
      <c r="B2" t="s">
        <v>2970</v>
      </c>
      <c r="C2" t="s">
        <v>3449</v>
      </c>
      <c r="D2">
        <v>1</v>
      </c>
      <c r="E2" t="s">
        <v>4596</v>
      </c>
      <c r="F2" t="s">
        <v>4597</v>
      </c>
      <c r="G2">
        <v>1</v>
      </c>
      <c r="H2" t="s">
        <v>4595</v>
      </c>
      <c r="I2" t="s">
        <v>1954</v>
      </c>
      <c r="J2" t="s">
        <v>4598</v>
      </c>
    </row>
    <row r="3" spans="1:10" ht="15" customHeight="1" x14ac:dyDescent="0.25">
      <c r="A3" t="s">
        <v>4599</v>
      </c>
      <c r="B3" t="s">
        <v>2958</v>
      </c>
      <c r="C3" t="s">
        <v>4239</v>
      </c>
      <c r="D3">
        <v>1</v>
      </c>
      <c r="E3" t="s">
        <v>4600</v>
      </c>
      <c r="F3" t="s">
        <v>4601</v>
      </c>
      <c r="G3">
        <v>1</v>
      </c>
      <c r="H3" t="s">
        <v>4599</v>
      </c>
      <c r="I3" t="s">
        <v>1954</v>
      </c>
      <c r="J3" t="s">
        <v>4602</v>
      </c>
    </row>
    <row r="4" spans="1:10" ht="15" customHeight="1" x14ac:dyDescent="0.25">
      <c r="A4" t="s">
        <v>4603</v>
      </c>
      <c r="B4" t="s">
        <v>2951</v>
      </c>
      <c r="C4" t="s">
        <v>4239</v>
      </c>
      <c r="D4">
        <v>0</v>
      </c>
      <c r="E4" t="s">
        <v>4604</v>
      </c>
      <c r="F4" t="s">
        <v>4605</v>
      </c>
      <c r="G4">
        <v>0</v>
      </c>
      <c r="H4" t="s">
        <v>4603</v>
      </c>
      <c r="I4" t="s">
        <v>1954</v>
      </c>
      <c r="J4" t="s">
        <v>4606</v>
      </c>
    </row>
    <row r="5" spans="1:10" ht="15" customHeight="1" x14ac:dyDescent="0.25">
      <c r="A5" t="s">
        <v>4607</v>
      </c>
      <c r="B5" t="s">
        <v>2951</v>
      </c>
      <c r="C5" t="s">
        <v>3449</v>
      </c>
      <c r="D5">
        <v>1</v>
      </c>
      <c r="E5" t="s">
        <v>4608</v>
      </c>
      <c r="F5" t="s">
        <v>4609</v>
      </c>
      <c r="G5">
        <v>1</v>
      </c>
      <c r="H5" t="s">
        <v>4610</v>
      </c>
      <c r="I5" t="s">
        <v>1954</v>
      </c>
      <c r="J5" t="s">
        <v>4611</v>
      </c>
    </row>
    <row r="6" spans="1:10" ht="15" customHeight="1" x14ac:dyDescent="0.25">
      <c r="A6" t="s">
        <v>4612</v>
      </c>
      <c r="B6" t="s">
        <v>2951</v>
      </c>
      <c r="C6" t="s">
        <v>4239</v>
      </c>
      <c r="D6">
        <v>1</v>
      </c>
      <c r="E6" t="s">
        <v>4613</v>
      </c>
      <c r="F6" t="s">
        <v>4613</v>
      </c>
      <c r="G6">
        <v>0</v>
      </c>
      <c r="H6" t="s">
        <v>4612</v>
      </c>
      <c r="I6" t="s">
        <v>1954</v>
      </c>
      <c r="J6" t="s">
        <v>4614</v>
      </c>
    </row>
    <row r="7" spans="1:10" ht="15" customHeight="1" x14ac:dyDescent="0.25">
      <c r="A7" t="s">
        <v>4615</v>
      </c>
      <c r="B7" t="s">
        <v>2951</v>
      </c>
      <c r="C7" t="s">
        <v>4616</v>
      </c>
      <c r="D7">
        <v>2</v>
      </c>
      <c r="E7" t="s">
        <v>4617</v>
      </c>
      <c r="F7" t="s">
        <v>4618</v>
      </c>
      <c r="G7">
        <v>2</v>
      </c>
      <c r="H7" t="s">
        <v>4619</v>
      </c>
      <c r="I7" t="s">
        <v>1954</v>
      </c>
      <c r="J7" t="s">
        <v>4620</v>
      </c>
    </row>
    <row r="8" spans="1:10" ht="15" customHeight="1" x14ac:dyDescent="0.25">
      <c r="A8" t="s">
        <v>4621</v>
      </c>
      <c r="B8" t="s">
        <v>2970</v>
      </c>
      <c r="C8" t="s">
        <v>4616</v>
      </c>
      <c r="D8">
        <v>1</v>
      </c>
      <c r="E8" t="s">
        <v>4622</v>
      </c>
      <c r="F8" t="s">
        <v>4623</v>
      </c>
      <c r="G8">
        <v>1</v>
      </c>
      <c r="H8" t="s">
        <v>4624</v>
      </c>
      <c r="I8" t="s">
        <v>1954</v>
      </c>
      <c r="J8" t="s">
        <v>4625</v>
      </c>
    </row>
    <row r="9" spans="1:10" ht="15" customHeight="1" x14ac:dyDescent="0.25">
      <c r="A9" t="s">
        <v>4626</v>
      </c>
      <c r="B9" t="s">
        <v>2958</v>
      </c>
      <c r="C9" t="s">
        <v>4616</v>
      </c>
      <c r="D9">
        <v>0</v>
      </c>
      <c r="E9" t="s">
        <v>4627</v>
      </c>
      <c r="F9" t="s">
        <v>4628</v>
      </c>
      <c r="G9">
        <v>0</v>
      </c>
      <c r="H9" t="s">
        <v>4626</v>
      </c>
      <c r="I9" t="s">
        <v>1954</v>
      </c>
      <c r="J9" t="s">
        <v>4629</v>
      </c>
    </row>
    <row r="10" spans="1:10" ht="15" customHeight="1" x14ac:dyDescent="0.25">
      <c r="A10" t="s">
        <v>4630</v>
      </c>
      <c r="B10" t="s">
        <v>2958</v>
      </c>
      <c r="C10" t="s">
        <v>4239</v>
      </c>
      <c r="D10">
        <v>1</v>
      </c>
      <c r="E10" t="s">
        <v>4631</v>
      </c>
      <c r="F10" t="s">
        <v>4632</v>
      </c>
      <c r="G10">
        <v>1</v>
      </c>
      <c r="H10" t="s">
        <v>4630</v>
      </c>
      <c r="I10" t="s">
        <v>1954</v>
      </c>
      <c r="J10" t="s">
        <v>4633</v>
      </c>
    </row>
    <row r="11" spans="1:10" ht="15" customHeight="1" x14ac:dyDescent="0.25">
      <c r="A11" t="s">
        <v>4634</v>
      </c>
      <c r="B11" t="s">
        <v>2958</v>
      </c>
      <c r="C11" t="s">
        <v>4239</v>
      </c>
      <c r="D11">
        <v>1</v>
      </c>
      <c r="E11" t="s">
        <v>4635</v>
      </c>
      <c r="F11" t="s">
        <v>4636</v>
      </c>
      <c r="G11">
        <v>1</v>
      </c>
      <c r="H11" t="s">
        <v>4634</v>
      </c>
      <c r="I11" t="s">
        <v>1954</v>
      </c>
      <c r="J11" t="s">
        <v>4637</v>
      </c>
    </row>
    <row r="12" spans="1:10" ht="15" customHeight="1" x14ac:dyDescent="0.25">
      <c r="A12" t="s">
        <v>4638</v>
      </c>
      <c r="B12" t="s">
        <v>2970</v>
      </c>
      <c r="C12" t="s">
        <v>4616</v>
      </c>
      <c r="D12">
        <v>0</v>
      </c>
      <c r="E12" t="s">
        <v>4639</v>
      </c>
      <c r="F12" t="s">
        <v>4640</v>
      </c>
      <c r="G12">
        <v>0</v>
      </c>
      <c r="H12" t="s">
        <v>4638</v>
      </c>
      <c r="I12" t="s">
        <v>1954</v>
      </c>
      <c r="J12" t="s">
        <v>4641</v>
      </c>
    </row>
    <row r="13" spans="1:10" ht="15" customHeight="1" x14ac:dyDescent="0.25">
      <c r="A13" t="s">
        <v>3273</v>
      </c>
      <c r="B13" t="s">
        <v>2970</v>
      </c>
      <c r="C13" t="s">
        <v>4239</v>
      </c>
      <c r="D13">
        <v>1</v>
      </c>
      <c r="E13" t="s">
        <v>4642</v>
      </c>
      <c r="F13" t="s">
        <v>4642</v>
      </c>
      <c r="G13">
        <v>1</v>
      </c>
      <c r="H13" t="s">
        <v>3278</v>
      </c>
      <c r="I13" t="s">
        <v>1358</v>
      </c>
      <c r="J13" t="s">
        <v>4643</v>
      </c>
    </row>
    <row r="14" spans="1:10" ht="15" customHeight="1" x14ac:dyDescent="0.25">
      <c r="A14" t="s">
        <v>4644</v>
      </c>
      <c r="B14" t="s">
        <v>2958</v>
      </c>
      <c r="C14" t="s">
        <v>4616</v>
      </c>
      <c r="D14">
        <v>1</v>
      </c>
      <c r="E14" t="s">
        <v>4645</v>
      </c>
      <c r="F14" t="s">
        <v>4646</v>
      </c>
      <c r="G14">
        <v>1</v>
      </c>
      <c r="H14" t="s">
        <v>4644</v>
      </c>
      <c r="I14" t="s">
        <v>1954</v>
      </c>
      <c r="J14" t="s">
        <v>4647</v>
      </c>
    </row>
    <row r="15" spans="1:10" ht="15" customHeight="1" x14ac:dyDescent="0.25">
      <c r="A15" t="s">
        <v>3285</v>
      </c>
      <c r="B15" t="s">
        <v>2970</v>
      </c>
      <c r="C15" t="s">
        <v>4616</v>
      </c>
      <c r="D15">
        <v>1</v>
      </c>
      <c r="E15" t="s">
        <v>4648</v>
      </c>
      <c r="F15" t="s">
        <v>4648</v>
      </c>
      <c r="G15">
        <v>1</v>
      </c>
      <c r="H15" t="s">
        <v>3285</v>
      </c>
      <c r="I15" t="s">
        <v>828</v>
      </c>
      <c r="J15" t="s">
        <v>4649</v>
      </c>
    </row>
    <row r="16" spans="1:10" ht="15" customHeight="1" x14ac:dyDescent="0.25">
      <c r="A16" t="s">
        <v>2964</v>
      </c>
      <c r="B16" t="s">
        <v>2951</v>
      </c>
      <c r="C16" t="s">
        <v>3449</v>
      </c>
      <c r="D16">
        <v>3</v>
      </c>
      <c r="E16" t="s">
        <v>4650</v>
      </c>
      <c r="F16" t="s">
        <v>4650</v>
      </c>
      <c r="G16">
        <v>2</v>
      </c>
      <c r="H16" t="s">
        <v>2964</v>
      </c>
      <c r="I16" t="s">
        <v>1954</v>
      </c>
      <c r="J16" t="s">
        <v>4633</v>
      </c>
    </row>
    <row r="17" spans="1:10" ht="15" customHeight="1" x14ac:dyDescent="0.25">
      <c r="A17" t="s">
        <v>2890</v>
      </c>
      <c r="B17" t="s">
        <v>2982</v>
      </c>
      <c r="C17" t="s">
        <v>4616</v>
      </c>
      <c r="D17">
        <v>2</v>
      </c>
      <c r="E17" t="s">
        <v>4651</v>
      </c>
      <c r="F17" t="s">
        <v>4652</v>
      </c>
      <c r="G17">
        <v>2</v>
      </c>
      <c r="H17" t="s">
        <v>2890</v>
      </c>
      <c r="I17" t="s">
        <v>1954</v>
      </c>
      <c r="J17" t="s">
        <v>4629</v>
      </c>
    </row>
    <row r="18" spans="1:10" ht="15" customHeight="1" x14ac:dyDescent="0.25">
      <c r="A18" t="s">
        <v>4653</v>
      </c>
      <c r="B18" t="s">
        <v>2970</v>
      </c>
      <c r="C18" t="s">
        <v>4239</v>
      </c>
      <c r="D18">
        <v>0</v>
      </c>
      <c r="E18" t="s">
        <v>4654</v>
      </c>
      <c r="F18" t="s">
        <v>4655</v>
      </c>
      <c r="G18">
        <v>0</v>
      </c>
      <c r="H18" t="s">
        <v>4656</v>
      </c>
      <c r="I18" t="s">
        <v>1954</v>
      </c>
      <c r="J18" t="s">
        <v>4657</v>
      </c>
    </row>
    <row r="19" spans="1:10" ht="15" customHeight="1" x14ac:dyDescent="0.25">
      <c r="A19" t="s">
        <v>4658</v>
      </c>
      <c r="B19" t="s">
        <v>2958</v>
      </c>
      <c r="C19" t="s">
        <v>4616</v>
      </c>
      <c r="D19">
        <v>0</v>
      </c>
      <c r="E19" t="s">
        <v>4659</v>
      </c>
      <c r="F19" t="s">
        <v>4660</v>
      </c>
      <c r="G19">
        <v>0</v>
      </c>
      <c r="H19" t="s">
        <v>4661</v>
      </c>
      <c r="I19" t="s">
        <v>1954</v>
      </c>
      <c r="J19" t="s">
        <v>4662</v>
      </c>
    </row>
    <row r="20" spans="1:10" ht="15" customHeight="1" x14ac:dyDescent="0.25">
      <c r="A20" t="s">
        <v>4663</v>
      </c>
      <c r="B20" t="s">
        <v>2951</v>
      </c>
      <c r="C20" t="s">
        <v>3449</v>
      </c>
      <c r="D20">
        <v>0</v>
      </c>
      <c r="E20" t="s">
        <v>4664</v>
      </c>
      <c r="F20" t="s">
        <v>4665</v>
      </c>
      <c r="G20">
        <v>0</v>
      </c>
      <c r="H20" t="s">
        <v>4663</v>
      </c>
      <c r="I20" t="s">
        <v>1954</v>
      </c>
      <c r="J20" t="s">
        <v>4666</v>
      </c>
    </row>
    <row r="21" spans="1:10" ht="15" customHeight="1" x14ac:dyDescent="0.25">
      <c r="A21" t="s">
        <v>4667</v>
      </c>
      <c r="B21" t="s">
        <v>2958</v>
      </c>
      <c r="C21" t="s">
        <v>4239</v>
      </c>
      <c r="D21">
        <v>1</v>
      </c>
      <c r="E21" t="s">
        <v>4668</v>
      </c>
      <c r="F21" t="s">
        <v>4669</v>
      </c>
      <c r="G21">
        <v>1</v>
      </c>
      <c r="H21" t="s">
        <v>4670</v>
      </c>
      <c r="I21" t="s">
        <v>1954</v>
      </c>
      <c r="J21" t="s">
        <v>4671</v>
      </c>
    </row>
    <row r="22" spans="1:10" ht="15" customHeight="1" x14ac:dyDescent="0.25">
      <c r="A22" t="s">
        <v>3312</v>
      </c>
      <c r="B22" t="s">
        <v>2958</v>
      </c>
      <c r="C22" t="s">
        <v>4616</v>
      </c>
      <c r="D22">
        <v>1</v>
      </c>
      <c r="E22" t="s">
        <v>4672</v>
      </c>
      <c r="F22" t="s">
        <v>4672</v>
      </c>
      <c r="G22">
        <v>1</v>
      </c>
      <c r="H22" t="s">
        <v>3315</v>
      </c>
      <c r="I22" t="s">
        <v>881</v>
      </c>
      <c r="J22" t="s">
        <v>4649</v>
      </c>
    </row>
    <row r="23" spans="1:10" ht="15" customHeight="1" x14ac:dyDescent="0.25">
      <c r="A23" t="s">
        <v>4673</v>
      </c>
      <c r="B23" t="s">
        <v>2970</v>
      </c>
      <c r="C23" t="s">
        <v>4616</v>
      </c>
      <c r="D23">
        <v>4</v>
      </c>
      <c r="E23" t="s">
        <v>4674</v>
      </c>
      <c r="F23" t="s">
        <v>4675</v>
      </c>
      <c r="G23">
        <v>3</v>
      </c>
      <c r="H23" t="s">
        <v>4676</v>
      </c>
      <c r="I23" t="s">
        <v>1954</v>
      </c>
      <c r="J23" t="s">
        <v>4657</v>
      </c>
    </row>
    <row r="24" spans="1:10" ht="15" customHeight="1" x14ac:dyDescent="0.25">
      <c r="A24" t="s">
        <v>3316</v>
      </c>
      <c r="B24" t="s">
        <v>2951</v>
      </c>
      <c r="C24" t="s">
        <v>4616</v>
      </c>
      <c r="D24">
        <v>1</v>
      </c>
      <c r="E24" t="s">
        <v>4677</v>
      </c>
      <c r="F24" t="s">
        <v>4677</v>
      </c>
      <c r="G24">
        <v>1</v>
      </c>
      <c r="H24" t="s">
        <v>3319</v>
      </c>
      <c r="I24" t="s">
        <v>1330</v>
      </c>
      <c r="J24" t="s">
        <v>4649</v>
      </c>
    </row>
    <row r="25" spans="1:10" ht="15" customHeight="1" x14ac:dyDescent="0.25">
      <c r="A25" t="s">
        <v>4678</v>
      </c>
      <c r="B25" t="s">
        <v>2970</v>
      </c>
      <c r="C25" t="s">
        <v>4239</v>
      </c>
      <c r="D25">
        <v>0</v>
      </c>
      <c r="E25" t="s">
        <v>4679</v>
      </c>
      <c r="F25" t="s">
        <v>4680</v>
      </c>
      <c r="G25">
        <v>0</v>
      </c>
      <c r="H25" t="s">
        <v>4678</v>
      </c>
      <c r="I25" t="s">
        <v>1954</v>
      </c>
      <c r="J25" t="s">
        <v>4666</v>
      </c>
    </row>
    <row r="26" spans="1:10" ht="15" customHeight="1" x14ac:dyDescent="0.25">
      <c r="A26" t="s">
        <v>4681</v>
      </c>
      <c r="B26" t="s">
        <v>2951</v>
      </c>
      <c r="C26" t="s">
        <v>4616</v>
      </c>
      <c r="D26">
        <v>3</v>
      </c>
      <c r="E26" t="s">
        <v>4682</v>
      </c>
      <c r="F26" t="s">
        <v>4683</v>
      </c>
      <c r="G26">
        <v>3</v>
      </c>
      <c r="H26" t="s">
        <v>4681</v>
      </c>
      <c r="I26" t="s">
        <v>1954</v>
      </c>
      <c r="J26" t="s">
        <v>4629</v>
      </c>
    </row>
    <row r="27" spans="1:10" ht="15" customHeight="1" x14ac:dyDescent="0.25">
      <c r="A27" t="s">
        <v>4684</v>
      </c>
      <c r="B27" t="s">
        <v>3803</v>
      </c>
      <c r="C27" t="s">
        <v>4685</v>
      </c>
      <c r="D27">
        <v>1</v>
      </c>
      <c r="E27" t="s">
        <v>4686</v>
      </c>
      <c r="F27" t="s">
        <v>2905</v>
      </c>
      <c r="G27" t="s">
        <v>2905</v>
      </c>
      <c r="H27" t="s">
        <v>4687</v>
      </c>
      <c r="I27" t="s">
        <v>351</v>
      </c>
      <c r="J27" t="s">
        <v>4688</v>
      </c>
    </row>
    <row r="28" spans="1:10" ht="15" customHeight="1" x14ac:dyDescent="0.25">
      <c r="A28" t="s">
        <v>4038</v>
      </c>
      <c r="B28" t="s">
        <v>2970</v>
      </c>
      <c r="C28" t="s">
        <v>4239</v>
      </c>
      <c r="D28">
        <v>1</v>
      </c>
      <c r="E28" t="s">
        <v>4689</v>
      </c>
      <c r="F28" t="s">
        <v>4690</v>
      </c>
      <c r="G28">
        <v>1</v>
      </c>
      <c r="H28" t="s">
        <v>4038</v>
      </c>
      <c r="I28" t="s">
        <v>1954</v>
      </c>
      <c r="J28" t="s">
        <v>4611</v>
      </c>
    </row>
    <row r="29" spans="1:10" ht="15" customHeight="1" x14ac:dyDescent="0.25">
      <c r="A29" t="s">
        <v>4691</v>
      </c>
      <c r="B29" t="s">
        <v>2958</v>
      </c>
      <c r="C29" t="s">
        <v>4616</v>
      </c>
      <c r="D29">
        <v>1</v>
      </c>
      <c r="E29" t="s">
        <v>4692</v>
      </c>
      <c r="F29" t="s">
        <v>4692</v>
      </c>
      <c r="G29">
        <v>0</v>
      </c>
      <c r="H29" t="s">
        <v>4693</v>
      </c>
      <c r="I29" t="s">
        <v>1954</v>
      </c>
      <c r="J29" t="s">
        <v>4629</v>
      </c>
    </row>
    <row r="30" spans="1:10" ht="15" customHeight="1" x14ac:dyDescent="0.25">
      <c r="A30" t="s">
        <v>4694</v>
      </c>
      <c r="B30" t="s">
        <v>2970</v>
      </c>
      <c r="C30" t="s">
        <v>4239</v>
      </c>
      <c r="D30">
        <v>0</v>
      </c>
      <c r="E30" t="s">
        <v>4695</v>
      </c>
      <c r="F30" t="s">
        <v>4696</v>
      </c>
      <c r="G30">
        <v>0</v>
      </c>
      <c r="H30" t="s">
        <v>4697</v>
      </c>
      <c r="I30" t="s">
        <v>1954</v>
      </c>
      <c r="J30" t="s">
        <v>4698</v>
      </c>
    </row>
    <row r="31" spans="1:10" ht="15" customHeight="1" x14ac:dyDescent="0.25">
      <c r="A31" t="s">
        <v>4699</v>
      </c>
      <c r="B31" t="s">
        <v>2970</v>
      </c>
      <c r="C31" t="s">
        <v>4700</v>
      </c>
      <c r="D31">
        <v>3</v>
      </c>
      <c r="E31" t="s">
        <v>4701</v>
      </c>
      <c r="F31" t="s">
        <v>4702</v>
      </c>
      <c r="G31">
        <v>3</v>
      </c>
      <c r="H31" t="s">
        <v>4703</v>
      </c>
      <c r="I31" t="s">
        <v>1377</v>
      </c>
    </row>
    <row r="32" spans="1:10" ht="15" customHeight="1" x14ac:dyDescent="0.25">
      <c r="A32" t="s">
        <v>4704</v>
      </c>
      <c r="B32" t="s">
        <v>2970</v>
      </c>
      <c r="C32" t="s">
        <v>4239</v>
      </c>
      <c r="D32">
        <v>2</v>
      </c>
      <c r="E32" t="s">
        <v>4705</v>
      </c>
      <c r="F32" t="s">
        <v>4706</v>
      </c>
      <c r="G32">
        <v>2</v>
      </c>
      <c r="H32" t="s">
        <v>4707</v>
      </c>
      <c r="I32" t="s">
        <v>1954</v>
      </c>
      <c r="J32" t="s">
        <v>4708</v>
      </c>
    </row>
    <row r="33" spans="1:10" ht="15" customHeight="1" x14ac:dyDescent="0.25">
      <c r="A33" t="s">
        <v>4709</v>
      </c>
      <c r="B33" t="s">
        <v>2951</v>
      </c>
      <c r="C33" t="s">
        <v>3449</v>
      </c>
      <c r="D33">
        <v>0</v>
      </c>
      <c r="E33" t="s">
        <v>4710</v>
      </c>
      <c r="F33" t="s">
        <v>4711</v>
      </c>
      <c r="G33">
        <v>0</v>
      </c>
      <c r="H33" t="s">
        <v>4709</v>
      </c>
      <c r="I33" t="s">
        <v>1954</v>
      </c>
      <c r="J33" t="s">
        <v>4657</v>
      </c>
    </row>
    <row r="34" spans="1:10" ht="15" customHeight="1" x14ac:dyDescent="0.25">
      <c r="A34" t="s">
        <v>4044</v>
      </c>
      <c r="B34" t="s">
        <v>2951</v>
      </c>
      <c r="C34" t="s">
        <v>3449</v>
      </c>
      <c r="D34">
        <v>2</v>
      </c>
      <c r="E34" t="s">
        <v>4712</v>
      </c>
      <c r="F34" t="s">
        <v>4713</v>
      </c>
      <c r="G34">
        <v>2</v>
      </c>
      <c r="H34" t="s">
        <v>4044</v>
      </c>
      <c r="I34" t="s">
        <v>1954</v>
      </c>
      <c r="J34" t="s">
        <v>4714</v>
      </c>
    </row>
    <row r="35" spans="1:10" ht="15" customHeight="1" x14ac:dyDescent="0.25">
      <c r="A35" t="s">
        <v>4715</v>
      </c>
      <c r="B35" t="s">
        <v>2951</v>
      </c>
      <c r="C35" t="s">
        <v>4239</v>
      </c>
      <c r="D35">
        <v>3</v>
      </c>
      <c r="E35" t="s">
        <v>4716</v>
      </c>
      <c r="F35" t="s">
        <v>4716</v>
      </c>
      <c r="G35">
        <v>2</v>
      </c>
      <c r="H35" t="s">
        <v>4717</v>
      </c>
      <c r="I35" t="s">
        <v>1954</v>
      </c>
      <c r="J35" t="s">
        <v>4718</v>
      </c>
    </row>
    <row r="36" spans="1:10" ht="15" customHeight="1" x14ac:dyDescent="0.25">
      <c r="A36" t="s">
        <v>4047</v>
      </c>
      <c r="B36" t="s">
        <v>3803</v>
      </c>
      <c r="C36" t="s">
        <v>4685</v>
      </c>
      <c r="D36" t="s">
        <v>3801</v>
      </c>
      <c r="E36" t="s">
        <v>4719</v>
      </c>
      <c r="F36" t="s">
        <v>4720</v>
      </c>
      <c r="G36" t="s">
        <v>3801</v>
      </c>
      <c r="H36" t="s">
        <v>4047</v>
      </c>
      <c r="I36" t="s">
        <v>1954</v>
      </c>
    </row>
    <row r="37" spans="1:10" ht="15" customHeight="1" x14ac:dyDescent="0.25">
      <c r="A37" t="s">
        <v>4721</v>
      </c>
      <c r="B37" t="s">
        <v>2970</v>
      </c>
      <c r="C37" t="s">
        <v>4239</v>
      </c>
      <c r="D37">
        <v>1</v>
      </c>
      <c r="E37" t="s">
        <v>4722</v>
      </c>
      <c r="F37" t="s">
        <v>4723</v>
      </c>
      <c r="G37">
        <v>1</v>
      </c>
      <c r="H37" t="s">
        <v>4724</v>
      </c>
      <c r="I37" t="s">
        <v>1954</v>
      </c>
      <c r="J37" t="s">
        <v>4725</v>
      </c>
    </row>
    <row r="38" spans="1:10" ht="15" customHeight="1" x14ac:dyDescent="0.25">
      <c r="A38" t="s">
        <v>4049</v>
      </c>
      <c r="B38" t="s">
        <v>2951</v>
      </c>
      <c r="C38" t="s">
        <v>4239</v>
      </c>
      <c r="D38">
        <v>1</v>
      </c>
      <c r="E38" t="s">
        <v>4726</v>
      </c>
      <c r="F38" t="s">
        <v>4727</v>
      </c>
      <c r="G38">
        <v>1</v>
      </c>
      <c r="H38" t="s">
        <v>4049</v>
      </c>
      <c r="I38" t="s">
        <v>1954</v>
      </c>
      <c r="J38" t="s">
        <v>4718</v>
      </c>
    </row>
    <row r="39" spans="1:10" ht="15" customHeight="1" x14ac:dyDescent="0.25">
      <c r="A39" t="s">
        <v>4728</v>
      </c>
      <c r="B39" t="s">
        <v>2970</v>
      </c>
      <c r="C39" t="s">
        <v>4239</v>
      </c>
      <c r="D39">
        <v>0</v>
      </c>
      <c r="E39" t="s">
        <v>4729</v>
      </c>
      <c r="F39" t="s">
        <v>4730</v>
      </c>
      <c r="G39">
        <v>0</v>
      </c>
      <c r="H39" t="s">
        <v>4731</v>
      </c>
      <c r="I39" t="s">
        <v>1954</v>
      </c>
      <c r="J39" t="s">
        <v>4732</v>
      </c>
    </row>
    <row r="40" spans="1:10" ht="15" customHeight="1" x14ac:dyDescent="0.25">
      <c r="A40" t="s">
        <v>4733</v>
      </c>
      <c r="B40" t="s">
        <v>2970</v>
      </c>
      <c r="C40" t="s">
        <v>3449</v>
      </c>
      <c r="D40">
        <v>1</v>
      </c>
      <c r="E40" t="s">
        <v>4565</v>
      </c>
      <c r="F40" t="s">
        <v>4734</v>
      </c>
      <c r="G40">
        <v>1</v>
      </c>
      <c r="H40" t="s">
        <v>4733</v>
      </c>
      <c r="I40" t="s">
        <v>1954</v>
      </c>
      <c r="J40" t="s">
        <v>4611</v>
      </c>
    </row>
    <row r="41" spans="1:10" ht="15" customHeight="1" x14ac:dyDescent="0.25">
      <c r="A41" t="s">
        <v>4735</v>
      </c>
      <c r="B41" t="s">
        <v>2970</v>
      </c>
      <c r="C41" t="s">
        <v>4616</v>
      </c>
      <c r="D41">
        <v>2</v>
      </c>
      <c r="E41" t="s">
        <v>4736</v>
      </c>
      <c r="F41" t="s">
        <v>4737</v>
      </c>
      <c r="G41">
        <v>2</v>
      </c>
      <c r="H41" t="s">
        <v>4735</v>
      </c>
      <c r="I41" t="s">
        <v>1954</v>
      </c>
      <c r="J41" t="s">
        <v>4629</v>
      </c>
    </row>
    <row r="42" spans="1:10" ht="15" customHeight="1" x14ac:dyDescent="0.25">
      <c r="A42" t="s">
        <v>4738</v>
      </c>
      <c r="B42" t="s">
        <v>2970</v>
      </c>
      <c r="C42" t="s">
        <v>4239</v>
      </c>
      <c r="D42">
        <v>1</v>
      </c>
      <c r="E42" t="s">
        <v>4739</v>
      </c>
      <c r="F42" t="s">
        <v>4740</v>
      </c>
      <c r="G42">
        <v>1</v>
      </c>
      <c r="H42" t="s">
        <v>4738</v>
      </c>
      <c r="I42" t="s">
        <v>1954</v>
      </c>
      <c r="J42" t="s">
        <v>4708</v>
      </c>
    </row>
    <row r="43" spans="1:10" ht="15" customHeight="1" x14ac:dyDescent="0.25">
      <c r="A43" t="s">
        <v>4741</v>
      </c>
      <c r="B43" t="s">
        <v>2970</v>
      </c>
      <c r="C43" t="s">
        <v>4616</v>
      </c>
      <c r="D43">
        <v>2</v>
      </c>
      <c r="E43" t="s">
        <v>4742</v>
      </c>
      <c r="F43" t="s">
        <v>4743</v>
      </c>
      <c r="G43">
        <v>2</v>
      </c>
      <c r="H43" t="s">
        <v>4741</v>
      </c>
      <c r="I43" t="s">
        <v>1954</v>
      </c>
      <c r="J43" t="s">
        <v>4744</v>
      </c>
    </row>
    <row r="44" spans="1:10" ht="15" customHeight="1" x14ac:dyDescent="0.25">
      <c r="A44" t="s">
        <v>4745</v>
      </c>
      <c r="B44" t="s">
        <v>2958</v>
      </c>
      <c r="C44" t="s">
        <v>4616</v>
      </c>
      <c r="D44">
        <v>0</v>
      </c>
      <c r="E44" t="s">
        <v>4746</v>
      </c>
      <c r="F44" t="s">
        <v>4747</v>
      </c>
      <c r="G44">
        <v>0</v>
      </c>
      <c r="H44" t="s">
        <v>4745</v>
      </c>
      <c r="I44" t="s">
        <v>1954</v>
      </c>
      <c r="J44" t="s">
        <v>4629</v>
      </c>
    </row>
    <row r="45" spans="1:10" ht="15" customHeight="1" x14ac:dyDescent="0.25">
      <c r="A45" t="s">
        <v>4748</v>
      </c>
      <c r="B45" t="s">
        <v>2958</v>
      </c>
      <c r="C45" t="s">
        <v>4616</v>
      </c>
      <c r="D45">
        <v>0</v>
      </c>
      <c r="E45" t="s">
        <v>4749</v>
      </c>
      <c r="F45" t="s">
        <v>4750</v>
      </c>
      <c r="G45">
        <v>0</v>
      </c>
      <c r="H45" t="s">
        <v>4748</v>
      </c>
      <c r="I45" t="s">
        <v>1954</v>
      </c>
      <c r="J45" t="s">
        <v>4751</v>
      </c>
    </row>
    <row r="46" spans="1:10" ht="15" customHeight="1" x14ac:dyDescent="0.25">
      <c r="A46" t="s">
        <v>4290</v>
      </c>
      <c r="B46" t="s">
        <v>2958</v>
      </c>
      <c r="C46" t="s">
        <v>4616</v>
      </c>
      <c r="D46">
        <v>1</v>
      </c>
      <c r="E46" t="s">
        <v>4752</v>
      </c>
      <c r="F46" t="s">
        <v>4753</v>
      </c>
      <c r="G46">
        <v>1</v>
      </c>
      <c r="H46" t="s">
        <v>4290</v>
      </c>
      <c r="I46" t="s">
        <v>1954</v>
      </c>
      <c r="J46" t="s">
        <v>4754</v>
      </c>
    </row>
    <row r="47" spans="1:10" ht="15" customHeight="1" x14ac:dyDescent="0.25">
      <c r="A47" t="s">
        <v>4755</v>
      </c>
      <c r="B47" t="s">
        <v>2958</v>
      </c>
      <c r="C47" t="s">
        <v>4239</v>
      </c>
      <c r="D47">
        <v>1</v>
      </c>
      <c r="E47" t="s">
        <v>4756</v>
      </c>
      <c r="F47" t="s">
        <v>4757</v>
      </c>
      <c r="G47">
        <v>1</v>
      </c>
      <c r="H47" t="s">
        <v>4758</v>
      </c>
      <c r="I47" t="s">
        <v>1954</v>
      </c>
      <c r="J47" t="s">
        <v>4611</v>
      </c>
    </row>
    <row r="48" spans="1:10" ht="15" customHeight="1" x14ac:dyDescent="0.25">
      <c r="A48" t="s">
        <v>4759</v>
      </c>
      <c r="B48" t="s">
        <v>2958</v>
      </c>
      <c r="C48" t="s">
        <v>4616</v>
      </c>
      <c r="D48">
        <v>2</v>
      </c>
      <c r="E48" t="s">
        <v>4760</v>
      </c>
      <c r="F48" t="s">
        <v>4761</v>
      </c>
      <c r="G48">
        <v>2</v>
      </c>
      <c r="H48" t="s">
        <v>4759</v>
      </c>
      <c r="I48" t="s">
        <v>1954</v>
      </c>
      <c r="J48" t="s">
        <v>4762</v>
      </c>
    </row>
    <row r="49" spans="1:10" ht="15" customHeight="1" x14ac:dyDescent="0.25">
      <c r="A49" t="s">
        <v>4763</v>
      </c>
      <c r="B49" t="s">
        <v>3803</v>
      </c>
      <c r="C49" t="s">
        <v>4764</v>
      </c>
      <c r="D49" t="s">
        <v>3801</v>
      </c>
      <c r="E49" t="s">
        <v>4765</v>
      </c>
      <c r="F49" t="s">
        <v>2905</v>
      </c>
      <c r="G49" t="s">
        <v>2905</v>
      </c>
      <c r="H49" t="s">
        <v>4763</v>
      </c>
      <c r="I49" t="s">
        <v>1954</v>
      </c>
      <c r="J49" t="s">
        <v>4766</v>
      </c>
    </row>
    <row r="50" spans="1:10" ht="15" customHeight="1" x14ac:dyDescent="0.25">
      <c r="A50" t="s">
        <v>4763</v>
      </c>
      <c r="B50" t="s">
        <v>2958</v>
      </c>
      <c r="C50" t="s">
        <v>4321</v>
      </c>
      <c r="D50">
        <v>1</v>
      </c>
      <c r="E50" t="s">
        <v>4767</v>
      </c>
      <c r="F50" t="s">
        <v>4768</v>
      </c>
      <c r="G50">
        <v>1</v>
      </c>
      <c r="H50" t="s">
        <v>4763</v>
      </c>
      <c r="I50" t="s">
        <v>4769</v>
      </c>
      <c r="J50" t="s">
        <v>4770</v>
      </c>
    </row>
    <row r="51" spans="1:10" ht="15" customHeight="1" x14ac:dyDescent="0.25">
      <c r="A51" t="s">
        <v>4771</v>
      </c>
      <c r="B51" t="s">
        <v>2970</v>
      </c>
      <c r="C51" t="s">
        <v>3449</v>
      </c>
      <c r="D51">
        <v>1</v>
      </c>
      <c r="E51" t="s">
        <v>4772</v>
      </c>
      <c r="F51" t="s">
        <v>4773</v>
      </c>
      <c r="G51">
        <v>1</v>
      </c>
      <c r="H51" t="s">
        <v>4771</v>
      </c>
      <c r="I51" t="s">
        <v>1954</v>
      </c>
      <c r="J51" t="s">
        <v>4629</v>
      </c>
    </row>
    <row r="52" spans="1:10" ht="15" customHeight="1" x14ac:dyDescent="0.25">
      <c r="A52" t="s">
        <v>4774</v>
      </c>
      <c r="B52" t="s">
        <v>2970</v>
      </c>
      <c r="C52" t="s">
        <v>4239</v>
      </c>
      <c r="D52">
        <v>0</v>
      </c>
      <c r="E52" t="s">
        <v>4775</v>
      </c>
      <c r="F52" t="s">
        <v>4776</v>
      </c>
      <c r="G52">
        <v>0</v>
      </c>
      <c r="H52" t="s">
        <v>4774</v>
      </c>
      <c r="I52" t="s">
        <v>1954</v>
      </c>
      <c r="J52" t="s">
        <v>4777</v>
      </c>
    </row>
    <row r="53" spans="1:10" ht="15" customHeight="1" x14ac:dyDescent="0.25">
      <c r="A53" t="s">
        <v>4058</v>
      </c>
      <c r="B53" t="s">
        <v>2951</v>
      </c>
      <c r="C53" t="s">
        <v>4239</v>
      </c>
      <c r="D53">
        <v>2</v>
      </c>
      <c r="E53" t="s">
        <v>4778</v>
      </c>
      <c r="F53" t="s">
        <v>4779</v>
      </c>
      <c r="G53">
        <v>2</v>
      </c>
      <c r="H53" t="s">
        <v>4060</v>
      </c>
      <c r="I53" t="s">
        <v>1954</v>
      </c>
      <c r="J53" t="s">
        <v>4780</v>
      </c>
    </row>
    <row r="54" spans="1:10" ht="15" customHeight="1" x14ac:dyDescent="0.25">
      <c r="A54" t="s">
        <v>4781</v>
      </c>
      <c r="B54" t="s">
        <v>2951</v>
      </c>
      <c r="C54" t="s">
        <v>3449</v>
      </c>
      <c r="D54">
        <v>3</v>
      </c>
      <c r="E54" t="s">
        <v>4782</v>
      </c>
      <c r="F54" t="s">
        <v>4782</v>
      </c>
      <c r="G54">
        <v>2</v>
      </c>
      <c r="H54" t="s">
        <v>4781</v>
      </c>
      <c r="I54" t="s">
        <v>1954</v>
      </c>
      <c r="J54" t="s">
        <v>4666</v>
      </c>
    </row>
    <row r="55" spans="1:10" ht="15" customHeight="1" x14ac:dyDescent="0.25">
      <c r="A55" t="s">
        <v>4783</v>
      </c>
      <c r="B55" t="s">
        <v>2970</v>
      </c>
      <c r="C55" t="s">
        <v>4239</v>
      </c>
      <c r="D55">
        <v>2</v>
      </c>
      <c r="E55" t="s">
        <v>4784</v>
      </c>
      <c r="F55" t="s">
        <v>4785</v>
      </c>
      <c r="G55">
        <v>2</v>
      </c>
      <c r="H55" t="s">
        <v>4786</v>
      </c>
      <c r="I55" t="s">
        <v>1954</v>
      </c>
      <c r="J55" t="s">
        <v>4780</v>
      </c>
    </row>
    <row r="56" spans="1:10" ht="15" customHeight="1" x14ac:dyDescent="0.25">
      <c r="A56" t="s">
        <v>4787</v>
      </c>
      <c r="B56" t="s">
        <v>2951</v>
      </c>
      <c r="C56" t="s">
        <v>4321</v>
      </c>
      <c r="D56">
        <v>1</v>
      </c>
      <c r="E56" t="s">
        <v>4767</v>
      </c>
      <c r="F56" t="s">
        <v>4768</v>
      </c>
      <c r="G56">
        <v>1</v>
      </c>
      <c r="H56" t="s">
        <v>4787</v>
      </c>
      <c r="I56" t="s">
        <v>4769</v>
      </c>
      <c r="J56" t="s">
        <v>4770</v>
      </c>
    </row>
    <row r="57" spans="1:10" ht="15" customHeight="1" x14ac:dyDescent="0.25">
      <c r="A57" t="s">
        <v>4788</v>
      </c>
      <c r="B57" t="s">
        <v>2958</v>
      </c>
      <c r="C57" t="s">
        <v>4616</v>
      </c>
      <c r="D57">
        <v>1</v>
      </c>
      <c r="E57" t="s">
        <v>4789</v>
      </c>
      <c r="F57" t="s">
        <v>4790</v>
      </c>
      <c r="G57">
        <v>1</v>
      </c>
      <c r="H57" t="s">
        <v>4791</v>
      </c>
      <c r="I57" t="s">
        <v>1954</v>
      </c>
      <c r="J57" t="s">
        <v>4792</v>
      </c>
    </row>
    <row r="58" spans="1:10" ht="15" customHeight="1" x14ac:dyDescent="0.25">
      <c r="A58" t="s">
        <v>4793</v>
      </c>
      <c r="B58" t="s">
        <v>2958</v>
      </c>
      <c r="C58" t="s">
        <v>4616</v>
      </c>
      <c r="D58">
        <v>1</v>
      </c>
      <c r="E58" t="s">
        <v>4794</v>
      </c>
      <c r="F58" t="s">
        <v>4795</v>
      </c>
      <c r="G58">
        <v>1</v>
      </c>
      <c r="H58" t="s">
        <v>4796</v>
      </c>
      <c r="I58" t="s">
        <v>1954</v>
      </c>
      <c r="J58" t="s">
        <v>4797</v>
      </c>
    </row>
    <row r="59" spans="1:10" ht="15" customHeight="1" x14ac:dyDescent="0.25">
      <c r="A59" t="s">
        <v>4798</v>
      </c>
      <c r="B59" t="s">
        <v>2970</v>
      </c>
      <c r="C59" t="s">
        <v>3449</v>
      </c>
      <c r="D59">
        <v>2</v>
      </c>
      <c r="E59" t="s">
        <v>4799</v>
      </c>
      <c r="F59" t="s">
        <v>4799</v>
      </c>
      <c r="G59">
        <v>1</v>
      </c>
      <c r="H59" t="s">
        <v>4800</v>
      </c>
      <c r="I59" t="s">
        <v>1954</v>
      </c>
      <c r="J59" t="s">
        <v>4725</v>
      </c>
    </row>
    <row r="60" spans="1:10" ht="15" customHeight="1" x14ac:dyDescent="0.25">
      <c r="A60" t="s">
        <v>2891</v>
      </c>
      <c r="B60" t="s">
        <v>2970</v>
      </c>
      <c r="C60" t="s">
        <v>4616</v>
      </c>
      <c r="D60">
        <v>2</v>
      </c>
      <c r="E60" t="s">
        <v>4801</v>
      </c>
      <c r="F60" t="s">
        <v>4802</v>
      </c>
      <c r="G60">
        <v>2</v>
      </c>
      <c r="H60" t="s">
        <v>2891</v>
      </c>
      <c r="I60" t="s">
        <v>1954</v>
      </c>
      <c r="J60" t="s">
        <v>4803</v>
      </c>
    </row>
    <row r="61" spans="1:10" ht="15" customHeight="1" x14ac:dyDescent="0.25">
      <c r="A61" t="s">
        <v>4804</v>
      </c>
      <c r="B61" t="s">
        <v>3803</v>
      </c>
      <c r="C61" t="s">
        <v>4685</v>
      </c>
      <c r="D61" t="s">
        <v>3801</v>
      </c>
      <c r="E61" t="s">
        <v>4805</v>
      </c>
      <c r="F61" t="s">
        <v>2905</v>
      </c>
      <c r="G61" t="s">
        <v>3801</v>
      </c>
      <c r="H61" t="s">
        <v>4804</v>
      </c>
      <c r="I61" t="s">
        <v>1954</v>
      </c>
    </row>
    <row r="62" spans="1:10" ht="15" customHeight="1" x14ac:dyDescent="0.25">
      <c r="A62" t="s">
        <v>4806</v>
      </c>
      <c r="B62" t="s">
        <v>2958</v>
      </c>
      <c r="C62" t="s">
        <v>4239</v>
      </c>
      <c r="D62">
        <v>1</v>
      </c>
      <c r="E62" t="s">
        <v>4807</v>
      </c>
      <c r="F62" t="s">
        <v>4808</v>
      </c>
      <c r="G62">
        <v>1</v>
      </c>
      <c r="H62" t="s">
        <v>4809</v>
      </c>
      <c r="I62" t="s">
        <v>1954</v>
      </c>
      <c r="J62" t="s">
        <v>4708</v>
      </c>
    </row>
    <row r="63" spans="1:10" ht="15" customHeight="1" x14ac:dyDescent="0.25">
      <c r="A63" t="s">
        <v>4021</v>
      </c>
      <c r="B63" t="s">
        <v>3803</v>
      </c>
      <c r="C63" t="s">
        <v>4764</v>
      </c>
      <c r="D63" t="s">
        <v>3801</v>
      </c>
      <c r="E63" t="s">
        <v>4810</v>
      </c>
      <c r="F63" t="s">
        <v>2905</v>
      </c>
      <c r="G63" t="s">
        <v>2905</v>
      </c>
      <c r="H63" t="s">
        <v>4021</v>
      </c>
      <c r="I63" t="s">
        <v>1954</v>
      </c>
      <c r="J63" t="s">
        <v>4766</v>
      </c>
    </row>
    <row r="64" spans="1:10" ht="15" customHeight="1" x14ac:dyDescent="0.25">
      <c r="A64" t="s">
        <v>4811</v>
      </c>
      <c r="B64" t="s">
        <v>2982</v>
      </c>
      <c r="C64" t="s">
        <v>4239</v>
      </c>
      <c r="D64">
        <v>1</v>
      </c>
      <c r="E64" t="s">
        <v>4812</v>
      </c>
      <c r="F64" t="s">
        <v>4813</v>
      </c>
      <c r="G64">
        <v>1</v>
      </c>
      <c r="H64" t="s">
        <v>2905</v>
      </c>
      <c r="I64" t="s">
        <v>2905</v>
      </c>
    </row>
    <row r="65" spans="1:10" ht="15" customHeight="1" x14ac:dyDescent="0.25">
      <c r="A65" t="s">
        <v>4814</v>
      </c>
      <c r="B65" t="s">
        <v>2958</v>
      </c>
      <c r="C65" t="s">
        <v>4321</v>
      </c>
      <c r="D65">
        <v>1</v>
      </c>
      <c r="E65" t="s">
        <v>4767</v>
      </c>
      <c r="F65" t="s">
        <v>4768</v>
      </c>
      <c r="G65">
        <v>1</v>
      </c>
      <c r="H65" t="s">
        <v>4814</v>
      </c>
      <c r="I65" t="s">
        <v>4769</v>
      </c>
      <c r="J65" t="s">
        <v>4815</v>
      </c>
    </row>
    <row r="66" spans="1:10" ht="15" customHeight="1" x14ac:dyDescent="0.25">
      <c r="A66" t="s">
        <v>4816</v>
      </c>
      <c r="B66" t="s">
        <v>2958</v>
      </c>
      <c r="C66" t="s">
        <v>4239</v>
      </c>
      <c r="D66">
        <v>0</v>
      </c>
      <c r="E66" t="s">
        <v>4817</v>
      </c>
      <c r="F66" t="s">
        <v>4818</v>
      </c>
      <c r="G66">
        <v>0</v>
      </c>
      <c r="H66" t="s">
        <v>4816</v>
      </c>
      <c r="I66" t="s">
        <v>1954</v>
      </c>
      <c r="J66" t="s">
        <v>4611</v>
      </c>
    </row>
    <row r="67" spans="1:10" ht="15" customHeight="1" x14ac:dyDescent="0.25">
      <c r="A67" t="s">
        <v>4819</v>
      </c>
      <c r="B67" t="s">
        <v>2951</v>
      </c>
      <c r="C67" t="s">
        <v>3449</v>
      </c>
      <c r="D67">
        <v>3</v>
      </c>
      <c r="E67" t="s">
        <v>4820</v>
      </c>
      <c r="F67" t="s">
        <v>4821</v>
      </c>
      <c r="G67">
        <v>3</v>
      </c>
      <c r="H67" t="s">
        <v>4822</v>
      </c>
      <c r="I67" t="s">
        <v>1954</v>
      </c>
      <c r="J67" t="s">
        <v>4823</v>
      </c>
    </row>
    <row r="68" spans="1:10" ht="15" customHeight="1" x14ac:dyDescent="0.25">
      <c r="A68" t="s">
        <v>3434</v>
      </c>
      <c r="B68" t="s">
        <v>2970</v>
      </c>
      <c r="C68" t="s">
        <v>4616</v>
      </c>
      <c r="D68">
        <v>0</v>
      </c>
      <c r="E68" t="s">
        <v>4824</v>
      </c>
      <c r="F68" t="s">
        <v>4824</v>
      </c>
      <c r="G68">
        <v>1</v>
      </c>
      <c r="H68" t="s">
        <v>3434</v>
      </c>
      <c r="I68" t="s">
        <v>1330</v>
      </c>
      <c r="J68" t="s">
        <v>4649</v>
      </c>
    </row>
    <row r="69" spans="1:10" ht="15" customHeight="1" x14ac:dyDescent="0.25">
      <c r="A69" t="s">
        <v>4825</v>
      </c>
      <c r="B69" t="s">
        <v>2951</v>
      </c>
      <c r="C69" t="s">
        <v>4616</v>
      </c>
      <c r="D69">
        <v>1</v>
      </c>
      <c r="E69" t="s">
        <v>4826</v>
      </c>
      <c r="F69" t="s">
        <v>4827</v>
      </c>
      <c r="G69">
        <v>1</v>
      </c>
      <c r="H69" t="s">
        <v>4828</v>
      </c>
      <c r="I69" t="s">
        <v>1954</v>
      </c>
      <c r="J69" t="s">
        <v>4829</v>
      </c>
    </row>
    <row r="70" spans="1:10" ht="15" customHeight="1" x14ac:dyDescent="0.25">
      <c r="A70" t="s">
        <v>4830</v>
      </c>
      <c r="B70" t="s">
        <v>2970</v>
      </c>
      <c r="C70" t="s">
        <v>4239</v>
      </c>
      <c r="D70">
        <v>1</v>
      </c>
      <c r="E70" t="s">
        <v>4831</v>
      </c>
      <c r="F70" t="s">
        <v>4832</v>
      </c>
      <c r="G70">
        <v>1</v>
      </c>
      <c r="H70" t="s">
        <v>4830</v>
      </c>
      <c r="I70" t="s">
        <v>1954</v>
      </c>
      <c r="J70" t="s">
        <v>4833</v>
      </c>
    </row>
    <row r="71" spans="1:10" ht="15" customHeight="1" x14ac:dyDescent="0.25">
      <c r="A71" t="s">
        <v>4834</v>
      </c>
      <c r="B71" t="s">
        <v>2970</v>
      </c>
      <c r="C71" t="s">
        <v>4239</v>
      </c>
      <c r="D71">
        <v>1</v>
      </c>
      <c r="E71" t="s">
        <v>4835</v>
      </c>
      <c r="F71" t="s">
        <v>4835</v>
      </c>
      <c r="G71">
        <v>0</v>
      </c>
      <c r="H71" t="s">
        <v>4834</v>
      </c>
      <c r="I71" t="s">
        <v>1954</v>
      </c>
      <c r="J71" t="s">
        <v>4836</v>
      </c>
    </row>
    <row r="72" spans="1:10" ht="15" customHeight="1" x14ac:dyDescent="0.25">
      <c r="A72" t="s">
        <v>4837</v>
      </c>
      <c r="B72" t="s">
        <v>2958</v>
      </c>
      <c r="C72" t="s">
        <v>4239</v>
      </c>
      <c r="D72">
        <v>1</v>
      </c>
      <c r="E72" t="s">
        <v>4838</v>
      </c>
      <c r="F72" t="s">
        <v>4839</v>
      </c>
      <c r="G72">
        <v>1</v>
      </c>
      <c r="H72" t="s">
        <v>4840</v>
      </c>
      <c r="I72" t="s">
        <v>1954</v>
      </c>
      <c r="J72" t="s">
        <v>4611</v>
      </c>
    </row>
    <row r="73" spans="1:10" ht="15" customHeight="1" x14ac:dyDescent="0.25">
      <c r="A73" t="s">
        <v>4841</v>
      </c>
      <c r="B73" t="s">
        <v>2951</v>
      </c>
      <c r="C73" t="s">
        <v>4239</v>
      </c>
      <c r="D73" t="s">
        <v>4842</v>
      </c>
      <c r="E73" t="s">
        <v>4843</v>
      </c>
      <c r="F73" t="s">
        <v>4844</v>
      </c>
      <c r="G73" t="s">
        <v>4842</v>
      </c>
      <c r="H73" t="s">
        <v>4841</v>
      </c>
      <c r="I73" t="s">
        <v>1954</v>
      </c>
      <c r="J73" t="s">
        <v>4845</v>
      </c>
    </row>
    <row r="74" spans="1:10" ht="15" customHeight="1" x14ac:dyDescent="0.25">
      <c r="A74" t="s">
        <v>4243</v>
      </c>
      <c r="B74" t="s">
        <v>2951</v>
      </c>
      <c r="C74" t="s">
        <v>4239</v>
      </c>
      <c r="D74">
        <v>1</v>
      </c>
      <c r="E74" t="s">
        <v>4846</v>
      </c>
      <c r="F74" t="s">
        <v>4847</v>
      </c>
      <c r="G74">
        <v>1</v>
      </c>
      <c r="H74" t="s">
        <v>4245</v>
      </c>
      <c r="I74" t="s">
        <v>1954</v>
      </c>
      <c r="J74" t="s">
        <v>4848</v>
      </c>
    </row>
    <row r="75" spans="1:10" ht="15" customHeight="1" x14ac:dyDescent="0.25">
      <c r="A75" t="s">
        <v>4849</v>
      </c>
      <c r="B75" t="s">
        <v>3803</v>
      </c>
      <c r="C75" t="s">
        <v>4764</v>
      </c>
      <c r="D75" t="s">
        <v>3801</v>
      </c>
      <c r="E75" t="s">
        <v>4850</v>
      </c>
      <c r="F75" t="s">
        <v>2905</v>
      </c>
      <c r="G75" t="s">
        <v>2905</v>
      </c>
      <c r="H75" t="s">
        <v>4849</v>
      </c>
      <c r="I75" t="s">
        <v>1954</v>
      </c>
      <c r="J75" t="s">
        <v>4766</v>
      </c>
    </row>
    <row r="76" spans="1:10" ht="15" customHeight="1" x14ac:dyDescent="0.25">
      <c r="A76" t="s">
        <v>4851</v>
      </c>
      <c r="B76" t="s">
        <v>2970</v>
      </c>
      <c r="C76" t="s">
        <v>4616</v>
      </c>
      <c r="D76">
        <v>1</v>
      </c>
      <c r="E76" t="s">
        <v>4852</v>
      </c>
      <c r="F76" t="s">
        <v>4853</v>
      </c>
      <c r="G76">
        <v>1</v>
      </c>
      <c r="H76" t="s">
        <v>4851</v>
      </c>
      <c r="I76" t="s">
        <v>1954</v>
      </c>
      <c r="J76" t="s">
        <v>4854</v>
      </c>
    </row>
    <row r="77" spans="1:10" ht="15" customHeight="1" x14ac:dyDescent="0.25">
      <c r="A77" t="s">
        <v>4855</v>
      </c>
      <c r="B77" t="s">
        <v>2970</v>
      </c>
      <c r="C77" t="s">
        <v>4321</v>
      </c>
      <c r="D77">
        <v>1</v>
      </c>
      <c r="E77" t="s">
        <v>4856</v>
      </c>
      <c r="F77" t="s">
        <v>4857</v>
      </c>
      <c r="G77">
        <v>1</v>
      </c>
      <c r="H77" t="s">
        <v>4855</v>
      </c>
      <c r="I77" t="s">
        <v>4769</v>
      </c>
      <c r="J77" t="s">
        <v>4858</v>
      </c>
    </row>
    <row r="78" spans="1:10" ht="15" customHeight="1" x14ac:dyDescent="0.25">
      <c r="A78" t="s">
        <v>4859</v>
      </c>
      <c r="B78" t="s">
        <v>2970</v>
      </c>
      <c r="C78" t="s">
        <v>4239</v>
      </c>
      <c r="D78">
        <v>1</v>
      </c>
      <c r="E78" t="s">
        <v>4860</v>
      </c>
      <c r="F78" t="s">
        <v>4861</v>
      </c>
      <c r="G78">
        <v>1</v>
      </c>
      <c r="H78" t="s">
        <v>4862</v>
      </c>
      <c r="I78" t="s">
        <v>1954</v>
      </c>
      <c r="J78" t="s">
        <v>4657</v>
      </c>
    </row>
    <row r="79" spans="1:10" ht="15" customHeight="1" x14ac:dyDescent="0.25">
      <c r="A79" t="s">
        <v>4863</v>
      </c>
      <c r="B79" t="s">
        <v>2970</v>
      </c>
      <c r="C79" t="s">
        <v>4616</v>
      </c>
      <c r="D79">
        <v>0</v>
      </c>
      <c r="E79" t="s">
        <v>4864</v>
      </c>
      <c r="F79" t="s">
        <v>4865</v>
      </c>
      <c r="G79">
        <v>0</v>
      </c>
      <c r="H79" t="s">
        <v>4866</v>
      </c>
      <c r="I79" t="s">
        <v>1954</v>
      </c>
      <c r="J79" t="s">
        <v>4671</v>
      </c>
    </row>
    <row r="80" spans="1:10" ht="15" customHeight="1" x14ac:dyDescent="0.25">
      <c r="A80" t="s">
        <v>4867</v>
      </c>
      <c r="B80" t="s">
        <v>2970</v>
      </c>
      <c r="C80" t="s">
        <v>4239</v>
      </c>
      <c r="D80">
        <v>2</v>
      </c>
      <c r="E80" t="s">
        <v>4868</v>
      </c>
      <c r="F80" t="s">
        <v>4868</v>
      </c>
      <c r="G80">
        <v>1</v>
      </c>
      <c r="H80" t="s">
        <v>4867</v>
      </c>
      <c r="I80" t="s">
        <v>1954</v>
      </c>
      <c r="J80" t="s">
        <v>4633</v>
      </c>
    </row>
    <row r="81" spans="1:10" ht="15" customHeight="1" x14ac:dyDescent="0.25">
      <c r="A81" t="s">
        <v>4075</v>
      </c>
      <c r="B81" t="s">
        <v>2951</v>
      </c>
      <c r="C81" t="s">
        <v>3449</v>
      </c>
      <c r="D81">
        <v>2</v>
      </c>
      <c r="E81" t="s">
        <v>4869</v>
      </c>
      <c r="F81" t="s">
        <v>4869</v>
      </c>
      <c r="G81">
        <v>1</v>
      </c>
      <c r="H81" t="s">
        <v>4075</v>
      </c>
      <c r="I81" t="s">
        <v>1954</v>
      </c>
      <c r="J81" t="s">
        <v>4744</v>
      </c>
    </row>
    <row r="82" spans="1:10" ht="15" customHeight="1" x14ac:dyDescent="0.25">
      <c r="A82" t="s">
        <v>4870</v>
      </c>
      <c r="B82" t="s">
        <v>2970</v>
      </c>
      <c r="C82" t="s">
        <v>4239</v>
      </c>
      <c r="D82">
        <v>0</v>
      </c>
      <c r="E82" t="s">
        <v>4871</v>
      </c>
      <c r="F82" t="s">
        <v>4872</v>
      </c>
      <c r="G82">
        <v>0</v>
      </c>
      <c r="H82" t="s">
        <v>4873</v>
      </c>
      <c r="I82" t="s">
        <v>1954</v>
      </c>
      <c r="J82" t="s">
        <v>4874</v>
      </c>
    </row>
    <row r="83" spans="1:10" ht="15" customHeight="1" x14ac:dyDescent="0.25">
      <c r="A83" t="s">
        <v>4875</v>
      </c>
      <c r="B83" t="s">
        <v>2970</v>
      </c>
      <c r="C83" t="s">
        <v>4616</v>
      </c>
      <c r="D83">
        <v>3</v>
      </c>
      <c r="E83" t="s">
        <v>4876</v>
      </c>
      <c r="F83" t="s">
        <v>4877</v>
      </c>
      <c r="G83">
        <v>3</v>
      </c>
      <c r="H83" t="s">
        <v>4875</v>
      </c>
      <c r="I83" t="s">
        <v>1954</v>
      </c>
      <c r="J83" t="s">
        <v>4878</v>
      </c>
    </row>
    <row r="84" spans="1:10" ht="15" customHeight="1" x14ac:dyDescent="0.25">
      <c r="A84" t="s">
        <v>4077</v>
      </c>
      <c r="B84" t="s">
        <v>2970</v>
      </c>
      <c r="C84" t="s">
        <v>3449</v>
      </c>
      <c r="D84">
        <v>1</v>
      </c>
      <c r="E84" t="s">
        <v>4879</v>
      </c>
      <c r="F84" t="s">
        <v>4880</v>
      </c>
      <c r="G84">
        <v>1</v>
      </c>
      <c r="H84" t="s">
        <v>4077</v>
      </c>
      <c r="I84" t="s">
        <v>1954</v>
      </c>
      <c r="J84" t="s">
        <v>4881</v>
      </c>
    </row>
    <row r="85" spans="1:10" ht="15" customHeight="1" x14ac:dyDescent="0.25">
      <c r="A85" t="s">
        <v>4882</v>
      </c>
      <c r="B85" t="s">
        <v>2951</v>
      </c>
      <c r="C85" t="s">
        <v>4239</v>
      </c>
      <c r="D85">
        <v>1</v>
      </c>
      <c r="E85" t="s">
        <v>4883</v>
      </c>
      <c r="F85" t="s">
        <v>4883</v>
      </c>
      <c r="G85">
        <v>0</v>
      </c>
      <c r="H85" t="s">
        <v>4882</v>
      </c>
      <c r="I85" t="s">
        <v>1954</v>
      </c>
      <c r="J85" t="s">
        <v>4884</v>
      </c>
    </row>
    <row r="86" spans="1:10" ht="15" customHeight="1" x14ac:dyDescent="0.25">
      <c r="A86" t="s">
        <v>4885</v>
      </c>
      <c r="B86" t="s">
        <v>2970</v>
      </c>
      <c r="C86" t="s">
        <v>4239</v>
      </c>
      <c r="D86">
        <v>1</v>
      </c>
      <c r="E86" t="s">
        <v>4886</v>
      </c>
      <c r="F86" t="s">
        <v>4887</v>
      </c>
      <c r="G86">
        <v>1</v>
      </c>
      <c r="H86" t="s">
        <v>4885</v>
      </c>
      <c r="I86" t="s">
        <v>1954</v>
      </c>
      <c r="J86" t="s">
        <v>4888</v>
      </c>
    </row>
    <row r="87" spans="1:10" ht="15" customHeight="1" x14ac:dyDescent="0.25">
      <c r="A87" t="s">
        <v>4889</v>
      </c>
      <c r="B87" t="s">
        <v>2951</v>
      </c>
      <c r="C87" t="s">
        <v>4616</v>
      </c>
      <c r="D87">
        <v>1</v>
      </c>
      <c r="E87" t="s">
        <v>4890</v>
      </c>
      <c r="F87" t="s">
        <v>4891</v>
      </c>
      <c r="G87">
        <v>1</v>
      </c>
      <c r="H87" t="s">
        <v>4889</v>
      </c>
      <c r="I87" t="s">
        <v>1954</v>
      </c>
      <c r="J87" t="s">
        <v>4892</v>
      </c>
    </row>
    <row r="88" spans="1:10" ht="15" customHeight="1" x14ac:dyDescent="0.25">
      <c r="A88" t="s">
        <v>4085</v>
      </c>
      <c r="B88" t="s">
        <v>2970</v>
      </c>
      <c r="C88" t="s">
        <v>3449</v>
      </c>
      <c r="D88">
        <v>1</v>
      </c>
      <c r="E88" t="s">
        <v>4893</v>
      </c>
      <c r="F88" t="s">
        <v>4894</v>
      </c>
      <c r="G88">
        <v>1</v>
      </c>
      <c r="H88" t="s">
        <v>4087</v>
      </c>
      <c r="I88" t="s">
        <v>1954</v>
      </c>
      <c r="J88" t="s">
        <v>4895</v>
      </c>
    </row>
    <row r="89" spans="1:10" ht="15" customHeight="1" x14ac:dyDescent="0.25">
      <c r="A89" t="s">
        <v>4896</v>
      </c>
      <c r="B89" t="s">
        <v>2951</v>
      </c>
      <c r="C89" t="s">
        <v>4616</v>
      </c>
      <c r="D89">
        <v>2</v>
      </c>
      <c r="E89" t="s">
        <v>4897</v>
      </c>
      <c r="F89" t="s">
        <v>4898</v>
      </c>
      <c r="G89">
        <v>2</v>
      </c>
      <c r="H89" t="s">
        <v>4899</v>
      </c>
      <c r="I89" t="s">
        <v>1954</v>
      </c>
      <c r="J89" t="s">
        <v>4900</v>
      </c>
    </row>
    <row r="90" spans="1:10" ht="15" customHeight="1" x14ac:dyDescent="0.25">
      <c r="A90" t="s">
        <v>4901</v>
      </c>
      <c r="B90" t="s">
        <v>2958</v>
      </c>
      <c r="C90" t="s">
        <v>4321</v>
      </c>
      <c r="D90">
        <v>1</v>
      </c>
      <c r="E90" t="s">
        <v>4767</v>
      </c>
      <c r="F90" t="s">
        <v>4768</v>
      </c>
      <c r="G90">
        <v>1</v>
      </c>
      <c r="H90" t="s">
        <v>4901</v>
      </c>
      <c r="I90" t="s">
        <v>1962</v>
      </c>
      <c r="J90" t="s">
        <v>4902</v>
      </c>
    </row>
    <row r="91" spans="1:10" ht="15" customHeight="1" x14ac:dyDescent="0.25">
      <c r="A91" t="s">
        <v>4903</v>
      </c>
      <c r="B91" t="s">
        <v>2970</v>
      </c>
      <c r="C91" t="s">
        <v>4616</v>
      </c>
      <c r="D91">
        <v>1</v>
      </c>
      <c r="E91" t="s">
        <v>4904</v>
      </c>
      <c r="F91" t="s">
        <v>4905</v>
      </c>
      <c r="G91">
        <v>1</v>
      </c>
      <c r="H91" t="s">
        <v>4903</v>
      </c>
      <c r="I91" t="s">
        <v>1954</v>
      </c>
      <c r="J91" t="s">
        <v>4671</v>
      </c>
    </row>
    <row r="92" spans="1:10" ht="15" customHeight="1" x14ac:dyDescent="0.25">
      <c r="A92" t="s">
        <v>4088</v>
      </c>
      <c r="B92" t="s">
        <v>2970</v>
      </c>
      <c r="C92" t="s">
        <v>3449</v>
      </c>
      <c r="D92">
        <v>1</v>
      </c>
      <c r="E92" t="s">
        <v>4906</v>
      </c>
      <c r="F92" t="s">
        <v>4907</v>
      </c>
      <c r="G92">
        <v>1</v>
      </c>
      <c r="H92" t="s">
        <v>4090</v>
      </c>
      <c r="I92" t="s">
        <v>1954</v>
      </c>
      <c r="J92" t="s">
        <v>4908</v>
      </c>
    </row>
    <row r="93" spans="1:10" ht="15" customHeight="1" x14ac:dyDescent="0.25">
      <c r="A93" t="s">
        <v>4091</v>
      </c>
      <c r="B93" t="s">
        <v>2970</v>
      </c>
      <c r="C93" t="s">
        <v>4239</v>
      </c>
      <c r="D93">
        <v>2</v>
      </c>
      <c r="E93" t="s">
        <v>4909</v>
      </c>
      <c r="F93" t="s">
        <v>4910</v>
      </c>
      <c r="G93">
        <v>2</v>
      </c>
      <c r="H93" t="s">
        <v>4093</v>
      </c>
      <c r="I93" t="s">
        <v>1954</v>
      </c>
      <c r="J93" t="s">
        <v>4633</v>
      </c>
    </row>
    <row r="94" spans="1:10" ht="15" customHeight="1" x14ac:dyDescent="0.25">
      <c r="A94" t="s">
        <v>4911</v>
      </c>
      <c r="B94" t="s">
        <v>2970</v>
      </c>
      <c r="C94" t="s">
        <v>4616</v>
      </c>
      <c r="D94">
        <v>1</v>
      </c>
      <c r="E94" t="s">
        <v>4912</v>
      </c>
      <c r="F94" t="s">
        <v>4913</v>
      </c>
      <c r="G94">
        <v>1</v>
      </c>
      <c r="H94" t="s">
        <v>4911</v>
      </c>
      <c r="I94" t="s">
        <v>1954</v>
      </c>
      <c r="J94" t="s">
        <v>4671</v>
      </c>
    </row>
    <row r="95" spans="1:10" ht="15" customHeight="1" x14ac:dyDescent="0.25">
      <c r="A95" t="s">
        <v>4914</v>
      </c>
      <c r="B95" t="s">
        <v>2958</v>
      </c>
      <c r="C95" t="s">
        <v>4239</v>
      </c>
      <c r="D95">
        <v>0</v>
      </c>
      <c r="E95" t="s">
        <v>4915</v>
      </c>
      <c r="F95" t="s">
        <v>4916</v>
      </c>
      <c r="G95">
        <v>0</v>
      </c>
      <c r="H95" t="s">
        <v>4914</v>
      </c>
      <c r="I95" t="s">
        <v>1954</v>
      </c>
      <c r="J95" t="s">
        <v>4629</v>
      </c>
    </row>
    <row r="96" spans="1:10" ht="15" customHeight="1" x14ac:dyDescent="0.25">
      <c r="A96" t="s">
        <v>4917</v>
      </c>
      <c r="B96" t="s">
        <v>2958</v>
      </c>
      <c r="C96" t="s">
        <v>4616</v>
      </c>
      <c r="D96">
        <v>1</v>
      </c>
      <c r="E96" t="s">
        <v>4918</v>
      </c>
      <c r="F96" t="s">
        <v>4919</v>
      </c>
      <c r="G96">
        <v>1</v>
      </c>
      <c r="H96" t="s">
        <v>4920</v>
      </c>
      <c r="I96" t="s">
        <v>1954</v>
      </c>
      <c r="J96" t="s">
        <v>4921</v>
      </c>
    </row>
    <row r="97" spans="1:10" ht="15" customHeight="1" x14ac:dyDescent="0.25">
      <c r="A97" t="s">
        <v>4922</v>
      </c>
      <c r="B97" t="s">
        <v>2970</v>
      </c>
      <c r="C97" t="s">
        <v>3449</v>
      </c>
      <c r="D97">
        <v>1</v>
      </c>
      <c r="E97" t="s">
        <v>4556</v>
      </c>
      <c r="F97" t="s">
        <v>4923</v>
      </c>
      <c r="G97">
        <v>1</v>
      </c>
      <c r="H97" t="s">
        <v>4922</v>
      </c>
      <c r="I97" t="s">
        <v>1954</v>
      </c>
      <c r="J97" t="s">
        <v>4611</v>
      </c>
    </row>
    <row r="98" spans="1:10" ht="15" customHeight="1" x14ac:dyDescent="0.25">
      <c r="A98" t="s">
        <v>4924</v>
      </c>
      <c r="B98" t="s">
        <v>2970</v>
      </c>
      <c r="C98" t="s">
        <v>4321</v>
      </c>
      <c r="D98">
        <v>1</v>
      </c>
      <c r="E98" t="s">
        <v>4767</v>
      </c>
      <c r="F98" t="s">
        <v>4768</v>
      </c>
      <c r="G98">
        <v>1</v>
      </c>
      <c r="H98" t="s">
        <v>4924</v>
      </c>
      <c r="I98" t="s">
        <v>1962</v>
      </c>
      <c r="J98" t="s">
        <v>4770</v>
      </c>
    </row>
    <row r="99" spans="1:10" ht="15" customHeight="1" x14ac:dyDescent="0.25">
      <c r="A99" t="s">
        <v>4925</v>
      </c>
      <c r="B99" t="s">
        <v>2970</v>
      </c>
      <c r="C99" t="s">
        <v>4239</v>
      </c>
      <c r="D99">
        <v>1</v>
      </c>
      <c r="E99" t="s">
        <v>4926</v>
      </c>
      <c r="F99" t="s">
        <v>4927</v>
      </c>
      <c r="G99">
        <v>1</v>
      </c>
      <c r="H99" t="s">
        <v>4928</v>
      </c>
      <c r="I99" t="s">
        <v>1954</v>
      </c>
      <c r="J99" t="s">
        <v>4633</v>
      </c>
    </row>
    <row r="100" spans="1:10" ht="15" customHeight="1" x14ac:dyDescent="0.25">
      <c r="A100" t="s">
        <v>4929</v>
      </c>
      <c r="B100" t="s">
        <v>2970</v>
      </c>
      <c r="C100" t="s">
        <v>4321</v>
      </c>
      <c r="D100">
        <v>1</v>
      </c>
      <c r="E100" t="s">
        <v>4767</v>
      </c>
      <c r="F100" t="s">
        <v>4768</v>
      </c>
      <c r="G100">
        <v>1</v>
      </c>
      <c r="H100" t="s">
        <v>4929</v>
      </c>
      <c r="I100" t="s">
        <v>1962</v>
      </c>
      <c r="J100" t="s">
        <v>4902</v>
      </c>
    </row>
    <row r="101" spans="1:10" ht="15" customHeight="1" x14ac:dyDescent="0.25">
      <c r="A101" t="s">
        <v>4930</v>
      </c>
      <c r="B101" t="s">
        <v>2951</v>
      </c>
      <c r="C101" t="s">
        <v>4616</v>
      </c>
      <c r="D101">
        <v>1</v>
      </c>
      <c r="E101" t="s">
        <v>4931</v>
      </c>
      <c r="F101" t="s">
        <v>4932</v>
      </c>
      <c r="G101">
        <v>1</v>
      </c>
      <c r="H101" t="s">
        <v>4933</v>
      </c>
      <c r="I101" t="s">
        <v>1954</v>
      </c>
      <c r="J101" t="s">
        <v>4671</v>
      </c>
    </row>
    <row r="102" spans="1:10" ht="15" customHeight="1" x14ac:dyDescent="0.25">
      <c r="A102" t="s">
        <v>4934</v>
      </c>
      <c r="B102" t="s">
        <v>2958</v>
      </c>
      <c r="C102" t="s">
        <v>4616</v>
      </c>
      <c r="D102">
        <v>0</v>
      </c>
      <c r="E102" t="s">
        <v>4935</v>
      </c>
      <c r="F102" t="s">
        <v>4936</v>
      </c>
      <c r="G102">
        <v>0</v>
      </c>
      <c r="H102" t="s">
        <v>4937</v>
      </c>
      <c r="I102" t="s">
        <v>1954</v>
      </c>
      <c r="J102" t="s">
        <v>4662</v>
      </c>
    </row>
    <row r="103" spans="1:10" ht="15" customHeight="1" x14ac:dyDescent="0.25">
      <c r="A103" t="s">
        <v>4938</v>
      </c>
      <c r="B103" t="s">
        <v>2951</v>
      </c>
      <c r="C103" t="s">
        <v>4616</v>
      </c>
      <c r="D103">
        <v>0</v>
      </c>
      <c r="E103" t="s">
        <v>4939</v>
      </c>
      <c r="F103" t="s">
        <v>4940</v>
      </c>
      <c r="G103">
        <v>0</v>
      </c>
      <c r="H103" t="s">
        <v>4941</v>
      </c>
      <c r="I103" t="s">
        <v>1954</v>
      </c>
      <c r="J103" t="s">
        <v>4671</v>
      </c>
    </row>
    <row r="104" spans="1:10" ht="15" customHeight="1" x14ac:dyDescent="0.25">
      <c r="A104" t="s">
        <v>4005</v>
      </c>
      <c r="B104" t="s">
        <v>3803</v>
      </c>
      <c r="C104" t="s">
        <v>4764</v>
      </c>
      <c r="D104" t="s">
        <v>3801</v>
      </c>
      <c r="E104" t="s">
        <v>4942</v>
      </c>
      <c r="F104" t="s">
        <v>2905</v>
      </c>
      <c r="G104" t="s">
        <v>2905</v>
      </c>
      <c r="H104" t="s">
        <v>4005</v>
      </c>
      <c r="I104" t="s">
        <v>1958</v>
      </c>
      <c r="J104" t="s">
        <v>4766</v>
      </c>
    </row>
    <row r="105" spans="1:10" ht="15" customHeight="1" x14ac:dyDescent="0.25">
      <c r="A105" t="s">
        <v>4943</v>
      </c>
      <c r="B105" t="s">
        <v>2958</v>
      </c>
      <c r="C105" t="s">
        <v>4239</v>
      </c>
      <c r="D105">
        <v>1</v>
      </c>
      <c r="E105" t="s">
        <v>4944</v>
      </c>
      <c r="F105" t="s">
        <v>4944</v>
      </c>
      <c r="G105">
        <v>0</v>
      </c>
      <c r="H105" t="s">
        <v>4943</v>
      </c>
      <c r="I105" t="s">
        <v>1954</v>
      </c>
      <c r="J105" t="s">
        <v>4900</v>
      </c>
    </row>
    <row r="106" spans="1:10" ht="15" customHeight="1" x14ac:dyDescent="0.25">
      <c r="A106" t="s">
        <v>4945</v>
      </c>
      <c r="B106" t="s">
        <v>2958</v>
      </c>
      <c r="C106" t="s">
        <v>4616</v>
      </c>
      <c r="D106">
        <v>1</v>
      </c>
      <c r="E106" t="s">
        <v>4946</v>
      </c>
      <c r="F106" t="s">
        <v>4947</v>
      </c>
      <c r="G106">
        <v>1</v>
      </c>
      <c r="H106" t="s">
        <v>4945</v>
      </c>
      <c r="I106" t="s">
        <v>1954</v>
      </c>
      <c r="J106" t="s">
        <v>4629</v>
      </c>
    </row>
    <row r="107" spans="1:10" ht="15" customHeight="1" x14ac:dyDescent="0.25">
      <c r="A107" t="s">
        <v>4948</v>
      </c>
      <c r="B107" t="s">
        <v>2958</v>
      </c>
      <c r="C107" t="s">
        <v>4321</v>
      </c>
      <c r="D107">
        <v>1</v>
      </c>
      <c r="E107" t="s">
        <v>4949</v>
      </c>
      <c r="F107" t="s">
        <v>4950</v>
      </c>
      <c r="G107">
        <v>1</v>
      </c>
      <c r="H107" t="s">
        <v>4948</v>
      </c>
      <c r="I107" t="s">
        <v>1962</v>
      </c>
      <c r="J107" t="s">
        <v>4858</v>
      </c>
    </row>
    <row r="108" spans="1:10" ht="15" customHeight="1" x14ac:dyDescent="0.25">
      <c r="A108" t="s">
        <v>4951</v>
      </c>
      <c r="B108" t="s">
        <v>2958</v>
      </c>
      <c r="C108" t="s">
        <v>4616</v>
      </c>
      <c r="D108">
        <v>2</v>
      </c>
      <c r="E108" t="s">
        <v>4952</v>
      </c>
      <c r="F108" t="s">
        <v>4953</v>
      </c>
      <c r="G108">
        <v>2</v>
      </c>
      <c r="H108" t="s">
        <v>4954</v>
      </c>
      <c r="I108" t="s">
        <v>1954</v>
      </c>
      <c r="J108" t="s">
        <v>4955</v>
      </c>
    </row>
    <row r="109" spans="1:10" ht="15" customHeight="1" x14ac:dyDescent="0.25">
      <c r="A109" t="s">
        <v>4956</v>
      </c>
      <c r="B109" t="s">
        <v>2970</v>
      </c>
      <c r="C109" t="s">
        <v>4616</v>
      </c>
      <c r="D109">
        <v>1</v>
      </c>
      <c r="E109" t="s">
        <v>4957</v>
      </c>
      <c r="F109" t="s">
        <v>4958</v>
      </c>
      <c r="G109">
        <v>1</v>
      </c>
      <c r="H109" t="s">
        <v>4959</v>
      </c>
      <c r="I109" t="s">
        <v>1954</v>
      </c>
      <c r="J109" t="s">
        <v>4744</v>
      </c>
    </row>
    <row r="110" spans="1:10" ht="15" customHeight="1" x14ac:dyDescent="0.25">
      <c r="A110" t="s">
        <v>4960</v>
      </c>
      <c r="B110" t="s">
        <v>2970</v>
      </c>
      <c r="C110" t="s">
        <v>4616</v>
      </c>
      <c r="D110">
        <v>1</v>
      </c>
      <c r="E110" t="s">
        <v>4961</v>
      </c>
      <c r="F110" t="s">
        <v>4962</v>
      </c>
      <c r="G110">
        <v>1</v>
      </c>
      <c r="H110" t="s">
        <v>4960</v>
      </c>
      <c r="I110" t="s">
        <v>1954</v>
      </c>
      <c r="J110" t="s">
        <v>4629</v>
      </c>
    </row>
    <row r="111" spans="1:10" ht="15" customHeight="1" x14ac:dyDescent="0.25">
      <c r="A111" t="s">
        <v>4963</v>
      </c>
      <c r="B111" t="s">
        <v>2958</v>
      </c>
      <c r="C111" t="s">
        <v>4239</v>
      </c>
      <c r="D111">
        <v>1</v>
      </c>
      <c r="E111" t="s">
        <v>4964</v>
      </c>
      <c r="F111" t="s">
        <v>4965</v>
      </c>
      <c r="G111">
        <v>1</v>
      </c>
      <c r="H111" t="s">
        <v>4963</v>
      </c>
      <c r="I111" t="s">
        <v>1954</v>
      </c>
      <c r="J111" t="s">
        <v>4966</v>
      </c>
    </row>
    <row r="112" spans="1:10" ht="15" customHeight="1" x14ac:dyDescent="0.25">
      <c r="A112" t="s">
        <v>4967</v>
      </c>
      <c r="B112" t="s">
        <v>2951</v>
      </c>
      <c r="C112" t="s">
        <v>4616</v>
      </c>
      <c r="D112">
        <v>2</v>
      </c>
      <c r="E112" t="s">
        <v>4968</v>
      </c>
      <c r="F112" t="s">
        <v>4969</v>
      </c>
      <c r="G112">
        <v>2</v>
      </c>
      <c r="H112" t="s">
        <v>4967</v>
      </c>
      <c r="I112" t="s">
        <v>1954</v>
      </c>
      <c r="J112" t="s">
        <v>4629</v>
      </c>
    </row>
    <row r="113" spans="1:10" ht="15" customHeight="1" x14ac:dyDescent="0.25">
      <c r="A113" t="s">
        <v>4970</v>
      </c>
      <c r="B113" t="s">
        <v>2951</v>
      </c>
      <c r="C113" t="s">
        <v>4239</v>
      </c>
      <c r="D113">
        <v>2</v>
      </c>
      <c r="E113" t="s">
        <v>4971</v>
      </c>
      <c r="F113" t="s">
        <v>4972</v>
      </c>
      <c r="G113">
        <v>2</v>
      </c>
      <c r="H113" t="s">
        <v>4970</v>
      </c>
      <c r="I113" t="s">
        <v>1954</v>
      </c>
      <c r="J113" t="s">
        <v>4895</v>
      </c>
    </row>
    <row r="114" spans="1:10" ht="15" customHeight="1" x14ac:dyDescent="0.25">
      <c r="A114" t="s">
        <v>4973</v>
      </c>
      <c r="B114" t="s">
        <v>2970</v>
      </c>
      <c r="C114" t="s">
        <v>4239</v>
      </c>
      <c r="D114">
        <v>1</v>
      </c>
      <c r="E114" t="s">
        <v>4974</v>
      </c>
      <c r="F114" t="s">
        <v>4974</v>
      </c>
      <c r="G114">
        <v>0</v>
      </c>
      <c r="H114" t="s">
        <v>4975</v>
      </c>
      <c r="I114" t="s">
        <v>1954</v>
      </c>
      <c r="J114" t="s">
        <v>4976</v>
      </c>
    </row>
    <row r="115" spans="1:10" ht="15" customHeight="1" x14ac:dyDescent="0.25">
      <c r="A115" t="s">
        <v>4977</v>
      </c>
      <c r="B115" t="s">
        <v>2970</v>
      </c>
      <c r="C115" t="s">
        <v>3449</v>
      </c>
      <c r="D115">
        <v>1</v>
      </c>
      <c r="E115" t="s">
        <v>4978</v>
      </c>
      <c r="F115" t="s">
        <v>4979</v>
      </c>
      <c r="G115">
        <v>1</v>
      </c>
      <c r="H115" t="s">
        <v>4980</v>
      </c>
      <c r="I115" t="s">
        <v>1954</v>
      </c>
      <c r="J115" t="s">
        <v>4671</v>
      </c>
    </row>
    <row r="116" spans="1:10" ht="15" customHeight="1" x14ac:dyDescent="0.25">
      <c r="A116" t="s">
        <v>4981</v>
      </c>
      <c r="B116" t="s">
        <v>2970</v>
      </c>
      <c r="C116" t="s">
        <v>3449</v>
      </c>
      <c r="D116">
        <v>1</v>
      </c>
      <c r="E116" t="s">
        <v>4982</v>
      </c>
      <c r="F116" t="s">
        <v>4983</v>
      </c>
      <c r="G116">
        <v>1</v>
      </c>
      <c r="H116" t="s">
        <v>4981</v>
      </c>
      <c r="I116" t="s">
        <v>1954</v>
      </c>
      <c r="J116" t="s">
        <v>4823</v>
      </c>
    </row>
    <row r="117" spans="1:10" ht="15" customHeight="1" x14ac:dyDescent="0.25">
      <c r="A117" t="s">
        <v>4010</v>
      </c>
      <c r="B117" t="s">
        <v>3803</v>
      </c>
      <c r="C117" t="s">
        <v>4764</v>
      </c>
      <c r="D117" t="s">
        <v>3801</v>
      </c>
      <c r="E117" t="s">
        <v>4984</v>
      </c>
      <c r="F117" t="s">
        <v>2905</v>
      </c>
      <c r="G117" t="s">
        <v>2905</v>
      </c>
      <c r="H117" t="s">
        <v>4010</v>
      </c>
      <c r="I117" t="s">
        <v>1954</v>
      </c>
      <c r="J117" t="s">
        <v>4766</v>
      </c>
    </row>
    <row r="118" spans="1:10" ht="15" customHeight="1" x14ac:dyDescent="0.25">
      <c r="A118" t="s">
        <v>4985</v>
      </c>
      <c r="B118" t="s">
        <v>2970</v>
      </c>
      <c r="C118" t="s">
        <v>4239</v>
      </c>
      <c r="D118">
        <v>0</v>
      </c>
      <c r="E118" t="s">
        <v>4986</v>
      </c>
      <c r="F118" t="s">
        <v>4987</v>
      </c>
      <c r="G118">
        <v>0</v>
      </c>
      <c r="H118" t="s">
        <v>4985</v>
      </c>
      <c r="I118" t="s">
        <v>1954</v>
      </c>
      <c r="J118" t="s">
        <v>4833</v>
      </c>
    </row>
    <row r="119" spans="1:10" ht="15" customHeight="1" x14ac:dyDescent="0.25">
      <c r="A119" t="s">
        <v>4988</v>
      </c>
      <c r="B119" t="s">
        <v>2958</v>
      </c>
      <c r="C119" t="s">
        <v>4616</v>
      </c>
      <c r="D119">
        <v>1</v>
      </c>
      <c r="E119" t="s">
        <v>4989</v>
      </c>
      <c r="F119" t="s">
        <v>4990</v>
      </c>
      <c r="G119">
        <v>1</v>
      </c>
      <c r="H119" t="s">
        <v>4991</v>
      </c>
      <c r="I119" t="s">
        <v>1954</v>
      </c>
      <c r="J119" t="s">
        <v>4992</v>
      </c>
    </row>
    <row r="120" spans="1:10" ht="15" customHeight="1" x14ac:dyDescent="0.25">
      <c r="A120" t="s">
        <v>4582</v>
      </c>
      <c r="B120" t="s">
        <v>2982</v>
      </c>
      <c r="C120" t="s">
        <v>4321</v>
      </c>
      <c r="D120">
        <v>1</v>
      </c>
      <c r="E120" s="4" t="s">
        <v>4993</v>
      </c>
      <c r="F120" s="4" t="s">
        <v>4993</v>
      </c>
      <c r="G120" s="4">
        <v>0</v>
      </c>
      <c r="H120" t="s">
        <v>2905</v>
      </c>
      <c r="I120" t="s">
        <v>2199</v>
      </c>
    </row>
    <row r="121" spans="1:10" ht="15" customHeight="1" x14ac:dyDescent="0.25">
      <c r="A121" t="s">
        <v>4994</v>
      </c>
      <c r="B121" t="s">
        <v>2970</v>
      </c>
      <c r="C121" t="s">
        <v>4321</v>
      </c>
      <c r="D121">
        <v>1</v>
      </c>
      <c r="E121" t="s">
        <v>4995</v>
      </c>
      <c r="F121" t="s">
        <v>4996</v>
      </c>
      <c r="G121">
        <v>1</v>
      </c>
      <c r="H121" t="s">
        <v>4994</v>
      </c>
      <c r="I121" t="s">
        <v>1962</v>
      </c>
      <c r="J121" t="s">
        <v>4997</v>
      </c>
    </row>
    <row r="122" spans="1:10" ht="15" customHeight="1" x14ac:dyDescent="0.25">
      <c r="A122" t="s">
        <v>4998</v>
      </c>
      <c r="B122" t="s">
        <v>2951</v>
      </c>
      <c r="C122" t="s">
        <v>3449</v>
      </c>
      <c r="D122">
        <v>2</v>
      </c>
      <c r="E122" t="s">
        <v>4999</v>
      </c>
      <c r="F122" t="s">
        <v>5000</v>
      </c>
      <c r="G122">
        <v>2</v>
      </c>
      <c r="H122" t="s">
        <v>4998</v>
      </c>
      <c r="I122" t="s">
        <v>1954</v>
      </c>
      <c r="J122" t="s">
        <v>4992</v>
      </c>
    </row>
    <row r="123" spans="1:10" ht="15" customHeight="1" x14ac:dyDescent="0.25">
      <c r="A123" t="s">
        <v>5001</v>
      </c>
      <c r="B123" t="s">
        <v>2970</v>
      </c>
      <c r="C123" t="s">
        <v>4321</v>
      </c>
      <c r="D123">
        <v>1</v>
      </c>
      <c r="E123" t="s">
        <v>4767</v>
      </c>
      <c r="F123" t="s">
        <v>4768</v>
      </c>
      <c r="G123">
        <v>1</v>
      </c>
      <c r="H123" t="s">
        <v>5001</v>
      </c>
      <c r="I123" t="s">
        <v>1962</v>
      </c>
      <c r="J123" t="s">
        <v>4770</v>
      </c>
    </row>
    <row r="124" spans="1:10" ht="15" customHeight="1" x14ac:dyDescent="0.25">
      <c r="A124" t="s">
        <v>5002</v>
      </c>
      <c r="B124" t="s">
        <v>2958</v>
      </c>
      <c r="C124" t="s">
        <v>4321</v>
      </c>
      <c r="D124">
        <v>1</v>
      </c>
      <c r="E124" t="s">
        <v>4767</v>
      </c>
      <c r="F124" t="s">
        <v>4768</v>
      </c>
      <c r="G124">
        <v>1</v>
      </c>
      <c r="H124" t="s">
        <v>5002</v>
      </c>
      <c r="I124" t="s">
        <v>1962</v>
      </c>
      <c r="J124" t="s">
        <v>4902</v>
      </c>
    </row>
    <row r="125" spans="1:10" ht="15" customHeight="1" x14ac:dyDescent="0.25">
      <c r="A125" t="s">
        <v>5003</v>
      </c>
      <c r="B125" t="s">
        <v>2958</v>
      </c>
      <c r="C125" t="s">
        <v>4239</v>
      </c>
      <c r="D125">
        <v>1</v>
      </c>
      <c r="E125" t="s">
        <v>5004</v>
      </c>
      <c r="F125" t="s">
        <v>5005</v>
      </c>
      <c r="G125">
        <v>1</v>
      </c>
      <c r="H125" t="s">
        <v>5003</v>
      </c>
      <c r="I125" t="s">
        <v>1954</v>
      </c>
      <c r="J125" t="s">
        <v>4714</v>
      </c>
    </row>
    <row r="126" spans="1:10" ht="15" customHeight="1" x14ac:dyDescent="0.25">
      <c r="A126" t="s">
        <v>5006</v>
      </c>
      <c r="B126" t="s">
        <v>2970</v>
      </c>
      <c r="C126" t="s">
        <v>4239</v>
      </c>
      <c r="D126">
        <v>2</v>
      </c>
      <c r="E126" t="s">
        <v>5007</v>
      </c>
      <c r="F126" t="s">
        <v>5008</v>
      </c>
      <c r="G126">
        <v>2</v>
      </c>
      <c r="H126" t="s">
        <v>5009</v>
      </c>
      <c r="I126" t="s">
        <v>1954</v>
      </c>
      <c r="J126" t="s">
        <v>5010</v>
      </c>
    </row>
    <row r="127" spans="1:10" ht="15" customHeight="1" x14ac:dyDescent="0.25">
      <c r="A127" t="s">
        <v>3545</v>
      </c>
      <c r="B127" t="s">
        <v>2958</v>
      </c>
      <c r="C127" t="s">
        <v>4616</v>
      </c>
      <c r="D127">
        <v>1</v>
      </c>
      <c r="E127" t="s">
        <v>5011</v>
      </c>
      <c r="F127" t="s">
        <v>5011</v>
      </c>
      <c r="G127">
        <v>1</v>
      </c>
      <c r="H127" t="s">
        <v>3548</v>
      </c>
      <c r="I127" t="s">
        <v>828</v>
      </c>
      <c r="J127" t="s">
        <v>4649</v>
      </c>
    </row>
    <row r="128" spans="1:10" ht="15" customHeight="1" x14ac:dyDescent="0.25">
      <c r="A128" t="s">
        <v>5012</v>
      </c>
      <c r="B128" t="s">
        <v>2951</v>
      </c>
      <c r="C128" t="s">
        <v>4239</v>
      </c>
      <c r="D128">
        <v>1</v>
      </c>
      <c r="E128" t="s">
        <v>5013</v>
      </c>
      <c r="F128" t="s">
        <v>5014</v>
      </c>
      <c r="G128">
        <v>1</v>
      </c>
      <c r="H128" t="s">
        <v>5015</v>
      </c>
      <c r="I128" t="s">
        <v>1954</v>
      </c>
      <c r="J128" t="s">
        <v>4823</v>
      </c>
    </row>
    <row r="129" spans="1:10" ht="15" customHeight="1" x14ac:dyDescent="0.25">
      <c r="A129" t="s">
        <v>5016</v>
      </c>
      <c r="B129" t="s">
        <v>2951</v>
      </c>
      <c r="C129" t="s">
        <v>3449</v>
      </c>
      <c r="D129">
        <v>1</v>
      </c>
      <c r="E129" t="s">
        <v>5017</v>
      </c>
      <c r="F129" t="s">
        <v>5018</v>
      </c>
      <c r="G129">
        <v>1</v>
      </c>
      <c r="H129" t="s">
        <v>5019</v>
      </c>
      <c r="I129" t="s">
        <v>1954</v>
      </c>
      <c r="J129" t="s">
        <v>5020</v>
      </c>
    </row>
    <row r="130" spans="1:10" ht="15" customHeight="1" x14ac:dyDescent="0.25">
      <c r="A130" t="s">
        <v>5021</v>
      </c>
      <c r="B130" t="s">
        <v>2958</v>
      </c>
      <c r="C130" t="s">
        <v>4321</v>
      </c>
      <c r="D130">
        <v>1</v>
      </c>
      <c r="E130" t="s">
        <v>5022</v>
      </c>
      <c r="F130" t="s">
        <v>5023</v>
      </c>
      <c r="G130">
        <v>1</v>
      </c>
      <c r="H130" t="s">
        <v>5021</v>
      </c>
      <c r="I130" t="s">
        <v>1962</v>
      </c>
      <c r="J130" t="s">
        <v>4997</v>
      </c>
    </row>
    <row r="131" spans="1:10" ht="15" customHeight="1" x14ac:dyDescent="0.25">
      <c r="A131" t="s">
        <v>5024</v>
      </c>
      <c r="B131" t="s">
        <v>2951</v>
      </c>
      <c r="C131" t="s">
        <v>4239</v>
      </c>
      <c r="D131" t="s">
        <v>4842</v>
      </c>
      <c r="E131" t="s">
        <v>5025</v>
      </c>
      <c r="F131" t="s">
        <v>5026</v>
      </c>
      <c r="G131" t="s">
        <v>4842</v>
      </c>
      <c r="H131" t="s">
        <v>5024</v>
      </c>
      <c r="I131" t="s">
        <v>1954</v>
      </c>
      <c r="J131" t="s">
        <v>5027</v>
      </c>
    </row>
    <row r="132" spans="1:10" ht="15" customHeight="1" x14ac:dyDescent="0.25">
      <c r="A132" t="s">
        <v>5028</v>
      </c>
      <c r="B132" t="s">
        <v>2970</v>
      </c>
      <c r="C132" t="s">
        <v>4616</v>
      </c>
      <c r="D132">
        <v>0</v>
      </c>
      <c r="E132" t="s">
        <v>5029</v>
      </c>
      <c r="F132" t="s">
        <v>5030</v>
      </c>
      <c r="G132">
        <v>0</v>
      </c>
      <c r="H132" t="s">
        <v>5031</v>
      </c>
      <c r="I132" t="s">
        <v>1954</v>
      </c>
      <c r="J132" t="s">
        <v>4671</v>
      </c>
    </row>
    <row r="133" spans="1:10" ht="15" customHeight="1" x14ac:dyDescent="0.25">
      <c r="A133" t="s">
        <v>5032</v>
      </c>
      <c r="B133" t="s">
        <v>2970</v>
      </c>
      <c r="C133" t="s">
        <v>3449</v>
      </c>
      <c r="D133">
        <v>1</v>
      </c>
      <c r="E133" t="s">
        <v>5033</v>
      </c>
      <c r="F133" t="s">
        <v>5034</v>
      </c>
      <c r="G133">
        <v>1</v>
      </c>
      <c r="H133" t="s">
        <v>5032</v>
      </c>
      <c r="I133" t="s">
        <v>1954</v>
      </c>
      <c r="J133" t="s">
        <v>4633</v>
      </c>
    </row>
    <row r="134" spans="1:10" ht="15" customHeight="1" x14ac:dyDescent="0.25">
      <c r="A134" t="s">
        <v>5035</v>
      </c>
      <c r="B134" t="s">
        <v>2951</v>
      </c>
      <c r="C134" t="s">
        <v>4700</v>
      </c>
      <c r="D134">
        <v>5</v>
      </c>
      <c r="E134" t="s">
        <v>5036</v>
      </c>
      <c r="F134" t="s">
        <v>5036</v>
      </c>
      <c r="G134">
        <v>4</v>
      </c>
      <c r="H134" t="s">
        <v>5037</v>
      </c>
      <c r="I134" t="s">
        <v>1377</v>
      </c>
    </row>
    <row r="135" spans="1:10" ht="15" customHeight="1" x14ac:dyDescent="0.25">
      <c r="A135" t="s">
        <v>5038</v>
      </c>
      <c r="B135" t="s">
        <v>2958</v>
      </c>
      <c r="C135" t="s">
        <v>4321</v>
      </c>
      <c r="D135">
        <v>1</v>
      </c>
      <c r="E135" t="s">
        <v>5039</v>
      </c>
      <c r="F135" t="s">
        <v>5040</v>
      </c>
      <c r="G135">
        <v>1</v>
      </c>
      <c r="H135" t="s">
        <v>5038</v>
      </c>
      <c r="I135" t="s">
        <v>1962</v>
      </c>
      <c r="J135" t="s">
        <v>4858</v>
      </c>
    </row>
    <row r="136" spans="1:10" ht="15" customHeight="1" x14ac:dyDescent="0.25">
      <c r="A136" t="s">
        <v>4591</v>
      </c>
      <c r="B136" t="s">
        <v>2982</v>
      </c>
      <c r="C136" t="s">
        <v>4616</v>
      </c>
      <c r="D136">
        <v>0</v>
      </c>
      <c r="E136" t="s">
        <v>5041</v>
      </c>
      <c r="F136" t="s">
        <v>5042</v>
      </c>
      <c r="G136">
        <v>0</v>
      </c>
      <c r="H136" t="s">
        <v>4591</v>
      </c>
      <c r="I136" t="s">
        <v>1954</v>
      </c>
      <c r="J136" t="s">
        <v>4647</v>
      </c>
    </row>
    <row r="137" spans="1:10" ht="15" customHeight="1" x14ac:dyDescent="0.25">
      <c r="A137" t="s">
        <v>5043</v>
      </c>
      <c r="B137" t="s">
        <v>2951</v>
      </c>
      <c r="C137" t="s">
        <v>4239</v>
      </c>
      <c r="D137">
        <v>3</v>
      </c>
      <c r="E137" t="s">
        <v>5044</v>
      </c>
      <c r="F137" t="s">
        <v>5044</v>
      </c>
      <c r="G137">
        <v>2</v>
      </c>
      <c r="H137" t="s">
        <v>5043</v>
      </c>
      <c r="I137" t="s">
        <v>1954</v>
      </c>
      <c r="J137" t="s">
        <v>4888</v>
      </c>
    </row>
    <row r="138" spans="1:10" ht="15" customHeight="1" x14ac:dyDescent="0.25">
      <c r="A138" t="s">
        <v>5045</v>
      </c>
      <c r="B138" t="s">
        <v>2970</v>
      </c>
      <c r="C138" t="s">
        <v>3449</v>
      </c>
      <c r="D138">
        <v>1</v>
      </c>
      <c r="E138" t="s">
        <v>5046</v>
      </c>
      <c r="F138" t="s">
        <v>5047</v>
      </c>
      <c r="G138">
        <v>1</v>
      </c>
      <c r="H138" t="s">
        <v>5048</v>
      </c>
      <c r="I138" t="s">
        <v>1954</v>
      </c>
      <c r="J138" t="s">
        <v>4780</v>
      </c>
    </row>
    <row r="139" spans="1:10" ht="15" customHeight="1" x14ac:dyDescent="0.25">
      <c r="A139" t="s">
        <v>5049</v>
      </c>
      <c r="B139" t="s">
        <v>2951</v>
      </c>
      <c r="C139" t="s">
        <v>4239</v>
      </c>
      <c r="D139">
        <v>0</v>
      </c>
      <c r="E139" t="s">
        <v>5050</v>
      </c>
      <c r="F139" t="s">
        <v>5051</v>
      </c>
      <c r="G139">
        <v>0</v>
      </c>
      <c r="H139" t="s">
        <v>5049</v>
      </c>
      <c r="I139" t="s">
        <v>1954</v>
      </c>
      <c r="J139" t="s">
        <v>5052</v>
      </c>
    </row>
    <row r="140" spans="1:10" ht="15" customHeight="1" x14ac:dyDescent="0.25">
      <c r="A140" t="s">
        <v>5053</v>
      </c>
      <c r="B140" t="s">
        <v>2958</v>
      </c>
      <c r="C140" t="s">
        <v>4239</v>
      </c>
      <c r="D140">
        <v>1</v>
      </c>
      <c r="E140" t="s">
        <v>5054</v>
      </c>
      <c r="F140" t="s">
        <v>5055</v>
      </c>
      <c r="G140">
        <v>1</v>
      </c>
      <c r="H140" t="s">
        <v>5053</v>
      </c>
      <c r="I140" t="s">
        <v>1954</v>
      </c>
      <c r="J140" t="s">
        <v>4718</v>
      </c>
    </row>
    <row r="141" spans="1:10" ht="15" customHeight="1" x14ac:dyDescent="0.25">
      <c r="A141" t="s">
        <v>5056</v>
      </c>
      <c r="B141" t="s">
        <v>3803</v>
      </c>
      <c r="C141" t="s">
        <v>4764</v>
      </c>
      <c r="D141" t="s">
        <v>3801</v>
      </c>
      <c r="E141" t="s">
        <v>5057</v>
      </c>
      <c r="F141" t="s">
        <v>2905</v>
      </c>
      <c r="G141" t="s">
        <v>2905</v>
      </c>
      <c r="H141" t="s">
        <v>5056</v>
      </c>
      <c r="I141" t="s">
        <v>1954</v>
      </c>
      <c r="J141" t="s">
        <v>4766</v>
      </c>
    </row>
    <row r="142" spans="1:10" ht="15" customHeight="1" x14ac:dyDescent="0.25">
      <c r="A142" t="s">
        <v>5058</v>
      </c>
      <c r="B142" t="s">
        <v>2958</v>
      </c>
      <c r="C142" t="s">
        <v>4616</v>
      </c>
      <c r="D142">
        <v>2</v>
      </c>
      <c r="E142" t="s">
        <v>5059</v>
      </c>
      <c r="F142" t="s">
        <v>5060</v>
      </c>
      <c r="G142">
        <v>2</v>
      </c>
      <c r="H142" t="s">
        <v>5061</v>
      </c>
      <c r="I142" t="s">
        <v>1954</v>
      </c>
      <c r="J142" t="s">
        <v>4629</v>
      </c>
    </row>
    <row r="143" spans="1:10" ht="15" customHeight="1" x14ac:dyDescent="0.25">
      <c r="A143" t="s">
        <v>5062</v>
      </c>
      <c r="B143" t="s">
        <v>2951</v>
      </c>
      <c r="C143" t="s">
        <v>4239</v>
      </c>
      <c r="D143">
        <v>1</v>
      </c>
      <c r="E143" t="s">
        <v>5063</v>
      </c>
      <c r="F143" t="s">
        <v>5063</v>
      </c>
      <c r="G143">
        <v>0</v>
      </c>
      <c r="H143" t="s">
        <v>5064</v>
      </c>
      <c r="I143" t="s">
        <v>1954</v>
      </c>
      <c r="J143" t="s">
        <v>4671</v>
      </c>
    </row>
    <row r="144" spans="1:10" ht="15" customHeight="1" x14ac:dyDescent="0.25">
      <c r="A144" t="s">
        <v>5065</v>
      </c>
      <c r="B144" t="s">
        <v>2958</v>
      </c>
      <c r="C144" t="s">
        <v>4239</v>
      </c>
      <c r="D144">
        <v>1</v>
      </c>
      <c r="E144" t="s">
        <v>5066</v>
      </c>
      <c r="F144" t="s">
        <v>5067</v>
      </c>
      <c r="G144">
        <v>1</v>
      </c>
      <c r="H144" t="s">
        <v>5068</v>
      </c>
      <c r="I144" t="s">
        <v>1954</v>
      </c>
      <c r="J144" t="s">
        <v>5027</v>
      </c>
    </row>
    <row r="145" spans="1:10" ht="15" customHeight="1" x14ac:dyDescent="0.25">
      <c r="A145" t="s">
        <v>5069</v>
      </c>
      <c r="B145" t="s">
        <v>2958</v>
      </c>
      <c r="C145" t="s">
        <v>4616</v>
      </c>
      <c r="D145">
        <v>1</v>
      </c>
      <c r="E145" t="s">
        <v>5070</v>
      </c>
      <c r="F145" t="s">
        <v>5071</v>
      </c>
      <c r="G145">
        <v>1</v>
      </c>
      <c r="H145" t="s">
        <v>5072</v>
      </c>
      <c r="I145" t="s">
        <v>1954</v>
      </c>
      <c r="J145" t="s">
        <v>4647</v>
      </c>
    </row>
    <row r="146" spans="1:10" ht="15" customHeight="1" x14ac:dyDescent="0.25">
      <c r="A146" t="s">
        <v>5073</v>
      </c>
      <c r="B146" t="s">
        <v>2958</v>
      </c>
      <c r="C146" t="s">
        <v>4616</v>
      </c>
      <c r="D146">
        <v>1</v>
      </c>
      <c r="E146" t="s">
        <v>5074</v>
      </c>
      <c r="F146" t="s">
        <v>5075</v>
      </c>
      <c r="G146">
        <v>1</v>
      </c>
      <c r="H146" t="s">
        <v>5076</v>
      </c>
      <c r="I146" t="s">
        <v>1954</v>
      </c>
      <c r="J146" t="s">
        <v>5077</v>
      </c>
    </row>
    <row r="147" spans="1:10" ht="15" customHeight="1" x14ac:dyDescent="0.25">
      <c r="A147" t="s">
        <v>5078</v>
      </c>
      <c r="B147" t="s">
        <v>2970</v>
      </c>
      <c r="C147" t="s">
        <v>4239</v>
      </c>
      <c r="D147">
        <v>1</v>
      </c>
      <c r="E147" t="s">
        <v>5079</v>
      </c>
      <c r="F147" t="s">
        <v>5080</v>
      </c>
      <c r="G147">
        <v>1</v>
      </c>
      <c r="H147" t="s">
        <v>5081</v>
      </c>
      <c r="I147" t="s">
        <v>1954</v>
      </c>
      <c r="J147" t="s">
        <v>5082</v>
      </c>
    </row>
    <row r="148" spans="1:10" ht="15" customHeight="1" x14ac:dyDescent="0.25">
      <c r="A148" t="s">
        <v>5083</v>
      </c>
      <c r="B148" t="s">
        <v>2970</v>
      </c>
      <c r="C148" t="s">
        <v>4616</v>
      </c>
      <c r="D148">
        <v>2</v>
      </c>
      <c r="E148" t="s">
        <v>5084</v>
      </c>
      <c r="F148" t="s">
        <v>5085</v>
      </c>
      <c r="G148">
        <v>2</v>
      </c>
      <c r="H148" t="s">
        <v>5083</v>
      </c>
      <c r="I148" t="s">
        <v>1954</v>
      </c>
      <c r="J148" t="s">
        <v>4921</v>
      </c>
    </row>
    <row r="149" spans="1:10" ht="15" customHeight="1" x14ac:dyDescent="0.25">
      <c r="A149" t="s">
        <v>5086</v>
      </c>
      <c r="B149" t="s">
        <v>2958</v>
      </c>
      <c r="C149" t="s">
        <v>4239</v>
      </c>
      <c r="D149">
        <v>0</v>
      </c>
      <c r="E149" t="s">
        <v>5087</v>
      </c>
      <c r="F149" t="s">
        <v>5088</v>
      </c>
      <c r="G149">
        <v>0</v>
      </c>
      <c r="H149" t="s">
        <v>5086</v>
      </c>
      <c r="I149" t="s">
        <v>1954</v>
      </c>
      <c r="J149" t="s">
        <v>4602</v>
      </c>
    </row>
    <row r="150" spans="1:10" ht="15" customHeight="1" x14ac:dyDescent="0.25">
      <c r="A150" t="s">
        <v>5089</v>
      </c>
      <c r="B150" t="s">
        <v>2970</v>
      </c>
      <c r="C150" t="s">
        <v>4616</v>
      </c>
      <c r="D150">
        <v>1</v>
      </c>
      <c r="E150" t="s">
        <v>5090</v>
      </c>
      <c r="F150" t="s">
        <v>5091</v>
      </c>
      <c r="G150">
        <v>1</v>
      </c>
      <c r="H150" t="s">
        <v>5089</v>
      </c>
      <c r="I150" t="s">
        <v>1954</v>
      </c>
      <c r="J150" t="s">
        <v>4900</v>
      </c>
    </row>
    <row r="151" spans="1:10" ht="15" customHeight="1" x14ac:dyDescent="0.25">
      <c r="A151" t="s">
        <v>4018</v>
      </c>
      <c r="B151" t="s">
        <v>3803</v>
      </c>
      <c r="C151" t="s">
        <v>4764</v>
      </c>
      <c r="D151" t="s">
        <v>3801</v>
      </c>
      <c r="E151" t="s">
        <v>5092</v>
      </c>
      <c r="F151" t="s">
        <v>2905</v>
      </c>
      <c r="G151" t="s">
        <v>3801</v>
      </c>
      <c r="H151" t="s">
        <v>5093</v>
      </c>
      <c r="I151" t="s">
        <v>1358</v>
      </c>
    </row>
    <row r="152" spans="1:10" ht="15" customHeight="1" x14ac:dyDescent="0.25">
      <c r="A152" t="s">
        <v>5094</v>
      </c>
      <c r="B152" t="s">
        <v>3803</v>
      </c>
      <c r="C152" t="s">
        <v>4685</v>
      </c>
      <c r="D152">
        <v>1</v>
      </c>
      <c r="E152" t="s">
        <v>5095</v>
      </c>
      <c r="F152" t="s">
        <v>2905</v>
      </c>
      <c r="G152" t="s">
        <v>2905</v>
      </c>
      <c r="H152" t="s">
        <v>5096</v>
      </c>
      <c r="I152" t="s">
        <v>351</v>
      </c>
      <c r="J152" t="s">
        <v>4688</v>
      </c>
    </row>
    <row r="153" spans="1:10" ht="15" customHeight="1" x14ac:dyDescent="0.25">
      <c r="A153" t="s">
        <v>5097</v>
      </c>
      <c r="B153" t="s">
        <v>2958</v>
      </c>
      <c r="C153" t="s">
        <v>4616</v>
      </c>
      <c r="D153">
        <v>1</v>
      </c>
      <c r="E153" t="s">
        <v>5098</v>
      </c>
      <c r="F153" t="s">
        <v>5099</v>
      </c>
      <c r="G153">
        <v>1</v>
      </c>
      <c r="H153" t="s">
        <v>5100</v>
      </c>
      <c r="I153" t="s">
        <v>1954</v>
      </c>
      <c r="J153" t="s">
        <v>5101</v>
      </c>
    </row>
    <row r="154" spans="1:10" ht="15" customHeight="1" x14ac:dyDescent="0.25">
      <c r="A154" t="s">
        <v>4241</v>
      </c>
      <c r="B154" t="s">
        <v>2970</v>
      </c>
      <c r="C154" t="s">
        <v>4239</v>
      </c>
      <c r="D154">
        <v>0</v>
      </c>
      <c r="E154" t="s">
        <v>5102</v>
      </c>
      <c r="F154" t="s">
        <v>5103</v>
      </c>
      <c r="G154">
        <v>0</v>
      </c>
      <c r="H154" t="s">
        <v>4241</v>
      </c>
      <c r="I154" t="s">
        <v>1954</v>
      </c>
      <c r="J154" t="s">
        <v>4633</v>
      </c>
    </row>
    <row r="155" spans="1:10" ht="15" customHeight="1" x14ac:dyDescent="0.25">
      <c r="A155" t="s">
        <v>5104</v>
      </c>
      <c r="B155" t="s">
        <v>2970</v>
      </c>
      <c r="C155" t="s">
        <v>4616</v>
      </c>
      <c r="D155">
        <v>1</v>
      </c>
      <c r="E155" t="s">
        <v>5105</v>
      </c>
      <c r="F155" t="s">
        <v>5106</v>
      </c>
      <c r="G155">
        <v>1</v>
      </c>
      <c r="H155" t="s">
        <v>5104</v>
      </c>
      <c r="I155" t="s">
        <v>1954</v>
      </c>
      <c r="J155" t="s">
        <v>4955</v>
      </c>
    </row>
    <row r="156" spans="1:10" ht="15" customHeight="1" x14ac:dyDescent="0.25">
      <c r="A156" t="s">
        <v>5107</v>
      </c>
      <c r="B156" t="s">
        <v>2970</v>
      </c>
      <c r="C156" t="s">
        <v>4321</v>
      </c>
      <c r="D156">
        <v>1</v>
      </c>
      <c r="E156" t="s">
        <v>4767</v>
      </c>
      <c r="F156" t="s">
        <v>4768</v>
      </c>
      <c r="G156">
        <v>1</v>
      </c>
      <c r="H156" t="s">
        <v>5107</v>
      </c>
      <c r="I156" t="s">
        <v>1962</v>
      </c>
      <c r="J156" t="s">
        <v>4770</v>
      </c>
    </row>
    <row r="157" spans="1:10" ht="15" customHeight="1" x14ac:dyDescent="0.25">
      <c r="A157" t="s">
        <v>5108</v>
      </c>
      <c r="B157" t="s">
        <v>2951</v>
      </c>
      <c r="C157" t="s">
        <v>4616</v>
      </c>
      <c r="D157">
        <v>2</v>
      </c>
      <c r="E157" t="s">
        <v>5109</v>
      </c>
      <c r="F157" t="s">
        <v>5110</v>
      </c>
      <c r="G157">
        <v>2</v>
      </c>
      <c r="H157" t="s">
        <v>5108</v>
      </c>
      <c r="I157" t="s">
        <v>1954</v>
      </c>
      <c r="J157" t="s">
        <v>4892</v>
      </c>
    </row>
    <row r="158" spans="1:10" ht="15" customHeight="1" x14ac:dyDescent="0.25">
      <c r="A158" t="s">
        <v>5111</v>
      </c>
      <c r="B158" t="s">
        <v>2970</v>
      </c>
      <c r="C158" t="s">
        <v>4616</v>
      </c>
      <c r="D158">
        <v>0</v>
      </c>
      <c r="E158" t="s">
        <v>5112</v>
      </c>
      <c r="F158" t="s">
        <v>5113</v>
      </c>
      <c r="G158">
        <v>0</v>
      </c>
      <c r="H158" t="s">
        <v>5114</v>
      </c>
      <c r="I158" t="s">
        <v>1954</v>
      </c>
      <c r="J158" t="s">
        <v>5115</v>
      </c>
    </row>
    <row r="159" spans="1:10" ht="15" customHeight="1" x14ac:dyDescent="0.25">
      <c r="A159" t="s">
        <v>5116</v>
      </c>
      <c r="B159" t="s">
        <v>3803</v>
      </c>
      <c r="C159" t="s">
        <v>4685</v>
      </c>
      <c r="D159">
        <v>1</v>
      </c>
      <c r="E159" t="s">
        <v>5117</v>
      </c>
      <c r="F159" t="s">
        <v>2905</v>
      </c>
      <c r="G159" t="s">
        <v>2905</v>
      </c>
      <c r="H159" t="s">
        <v>5118</v>
      </c>
      <c r="I159" t="s">
        <v>351</v>
      </c>
      <c r="J159" t="s">
        <v>4688</v>
      </c>
    </row>
    <row r="160" spans="1:10" ht="15" customHeight="1" x14ac:dyDescent="0.25">
      <c r="A160" t="s">
        <v>5119</v>
      </c>
      <c r="B160" t="s">
        <v>2970</v>
      </c>
      <c r="C160" t="s">
        <v>4239</v>
      </c>
      <c r="D160" t="s">
        <v>3801</v>
      </c>
      <c r="E160" t="s">
        <v>5120</v>
      </c>
      <c r="F160" t="s">
        <v>5121</v>
      </c>
      <c r="G160" t="s">
        <v>3801</v>
      </c>
      <c r="H160" t="s">
        <v>5119</v>
      </c>
      <c r="I160" t="s">
        <v>1954</v>
      </c>
      <c r="J160" t="s">
        <v>4732</v>
      </c>
    </row>
    <row r="161" spans="1:10" ht="15" customHeight="1" x14ac:dyDescent="0.25">
      <c r="A161" t="s">
        <v>3982</v>
      </c>
      <c r="B161" t="s">
        <v>3803</v>
      </c>
      <c r="C161" t="s">
        <v>4764</v>
      </c>
      <c r="D161" t="s">
        <v>3801</v>
      </c>
      <c r="E161" t="s">
        <v>5122</v>
      </c>
      <c r="F161" t="s">
        <v>2905</v>
      </c>
      <c r="G161" t="s">
        <v>2905</v>
      </c>
      <c r="H161" t="s">
        <v>3982</v>
      </c>
      <c r="I161" t="s">
        <v>1954</v>
      </c>
      <c r="J161" t="s">
        <v>4766</v>
      </c>
    </row>
    <row r="162" spans="1:10" ht="15" customHeight="1" x14ac:dyDescent="0.25">
      <c r="A162" t="s">
        <v>5123</v>
      </c>
      <c r="B162" t="s">
        <v>2970</v>
      </c>
      <c r="C162" t="s">
        <v>4616</v>
      </c>
      <c r="D162">
        <v>2</v>
      </c>
      <c r="E162" t="s">
        <v>5124</v>
      </c>
      <c r="F162" t="s">
        <v>5125</v>
      </c>
      <c r="G162">
        <v>2</v>
      </c>
      <c r="H162" t="s">
        <v>5126</v>
      </c>
      <c r="I162" t="s">
        <v>1954</v>
      </c>
      <c r="J162" t="s">
        <v>4671</v>
      </c>
    </row>
    <row r="163" spans="1:10" ht="15" customHeight="1" x14ac:dyDescent="0.25">
      <c r="A163" t="s">
        <v>5127</v>
      </c>
      <c r="B163" t="s">
        <v>2970</v>
      </c>
      <c r="C163" t="s">
        <v>4700</v>
      </c>
      <c r="D163">
        <v>2</v>
      </c>
      <c r="E163" t="s">
        <v>5128</v>
      </c>
      <c r="F163" t="s">
        <v>5129</v>
      </c>
      <c r="G163">
        <v>2</v>
      </c>
      <c r="H163" t="s">
        <v>5130</v>
      </c>
      <c r="I163" t="s">
        <v>1377</v>
      </c>
    </row>
    <row r="164" spans="1:10" ht="15" customHeight="1" x14ac:dyDescent="0.25">
      <c r="A164" t="s">
        <v>5131</v>
      </c>
      <c r="B164" t="s">
        <v>2970</v>
      </c>
      <c r="C164" t="s">
        <v>3449</v>
      </c>
      <c r="D164">
        <v>1</v>
      </c>
      <c r="E164" t="s">
        <v>5132</v>
      </c>
      <c r="F164" t="s">
        <v>5133</v>
      </c>
      <c r="G164">
        <v>1</v>
      </c>
      <c r="H164" t="s">
        <v>5131</v>
      </c>
      <c r="I164" t="s">
        <v>1954</v>
      </c>
      <c r="J164" t="s">
        <v>4823</v>
      </c>
    </row>
    <row r="165" spans="1:10" ht="15" customHeight="1" x14ac:dyDescent="0.25">
      <c r="A165" t="s">
        <v>3675</v>
      </c>
      <c r="B165" t="s">
        <v>2970</v>
      </c>
      <c r="C165" t="s">
        <v>4239</v>
      </c>
      <c r="D165">
        <v>1</v>
      </c>
      <c r="E165" t="s">
        <v>5134</v>
      </c>
      <c r="F165" t="s">
        <v>5134</v>
      </c>
      <c r="G165">
        <v>1</v>
      </c>
      <c r="H165" t="s">
        <v>3678</v>
      </c>
      <c r="I165" t="s">
        <v>1358</v>
      </c>
      <c r="J165" t="s">
        <v>4649</v>
      </c>
    </row>
    <row r="166" spans="1:10" ht="15" customHeight="1" x14ac:dyDescent="0.25">
      <c r="A166" t="s">
        <v>5135</v>
      </c>
      <c r="B166" t="s">
        <v>2970</v>
      </c>
      <c r="C166" t="s">
        <v>4616</v>
      </c>
      <c r="D166">
        <v>2</v>
      </c>
      <c r="E166" t="s">
        <v>5136</v>
      </c>
      <c r="F166" t="s">
        <v>2905</v>
      </c>
      <c r="G166">
        <v>2</v>
      </c>
      <c r="H166" t="s">
        <v>5137</v>
      </c>
      <c r="I166" t="s">
        <v>1954</v>
      </c>
      <c r="J166" t="s">
        <v>4955</v>
      </c>
    </row>
    <row r="167" spans="1:10" ht="15" customHeight="1" x14ac:dyDescent="0.25">
      <c r="A167" t="s">
        <v>5138</v>
      </c>
      <c r="B167" t="s">
        <v>2970</v>
      </c>
      <c r="C167" t="s">
        <v>4239</v>
      </c>
      <c r="D167">
        <v>1</v>
      </c>
      <c r="E167" t="s">
        <v>5139</v>
      </c>
      <c r="F167" t="s">
        <v>5140</v>
      </c>
      <c r="G167">
        <v>1</v>
      </c>
      <c r="H167" t="s">
        <v>5141</v>
      </c>
      <c r="I167" t="s">
        <v>1954</v>
      </c>
      <c r="J167" t="s">
        <v>4895</v>
      </c>
    </row>
    <row r="168" spans="1:10" ht="15" customHeight="1" x14ac:dyDescent="0.25">
      <c r="A168" t="s">
        <v>5142</v>
      </c>
      <c r="B168" t="s">
        <v>2970</v>
      </c>
      <c r="C168" t="s">
        <v>4239</v>
      </c>
      <c r="D168">
        <v>1</v>
      </c>
      <c r="E168" t="s">
        <v>5143</v>
      </c>
      <c r="F168" t="s">
        <v>5143</v>
      </c>
      <c r="G168">
        <v>0</v>
      </c>
      <c r="H168" t="s">
        <v>5144</v>
      </c>
      <c r="I168" t="s">
        <v>1954</v>
      </c>
      <c r="J168" t="s">
        <v>5145</v>
      </c>
    </row>
    <row r="169" spans="1:10" ht="15" customHeight="1" x14ac:dyDescent="0.25">
      <c r="A169" t="s">
        <v>5146</v>
      </c>
      <c r="B169" t="s">
        <v>2951</v>
      </c>
      <c r="C169" t="s">
        <v>4239</v>
      </c>
      <c r="D169">
        <v>0</v>
      </c>
      <c r="E169" t="s">
        <v>5147</v>
      </c>
      <c r="F169" t="s">
        <v>5148</v>
      </c>
      <c r="G169">
        <v>0</v>
      </c>
      <c r="H169" t="s">
        <v>5146</v>
      </c>
      <c r="I169" t="s">
        <v>1954</v>
      </c>
      <c r="J169" t="s">
        <v>5149</v>
      </c>
    </row>
    <row r="170" spans="1:10" ht="15" customHeight="1" x14ac:dyDescent="0.25">
      <c r="A170" t="s">
        <v>5150</v>
      </c>
      <c r="B170" t="s">
        <v>2970</v>
      </c>
      <c r="C170" t="s">
        <v>4239</v>
      </c>
      <c r="D170">
        <v>1</v>
      </c>
      <c r="E170" t="s">
        <v>5151</v>
      </c>
      <c r="F170" t="s">
        <v>5152</v>
      </c>
      <c r="G170">
        <v>1</v>
      </c>
      <c r="H170" t="s">
        <v>5150</v>
      </c>
      <c r="I170" t="s">
        <v>1954</v>
      </c>
      <c r="J170" t="s">
        <v>4895</v>
      </c>
    </row>
    <row r="171" spans="1:10" ht="15" customHeight="1" x14ac:dyDescent="0.25">
      <c r="A171" t="s">
        <v>5153</v>
      </c>
      <c r="B171" t="s">
        <v>2970</v>
      </c>
      <c r="C171" t="s">
        <v>4239</v>
      </c>
      <c r="D171">
        <v>1</v>
      </c>
      <c r="E171" t="s">
        <v>5154</v>
      </c>
      <c r="F171" t="s">
        <v>5154</v>
      </c>
      <c r="G171">
        <v>0</v>
      </c>
      <c r="H171" t="s">
        <v>5153</v>
      </c>
      <c r="I171" t="s">
        <v>1954</v>
      </c>
      <c r="J171" t="s">
        <v>4718</v>
      </c>
    </row>
    <row r="172" spans="1:10" ht="15" customHeight="1" x14ac:dyDescent="0.25">
      <c r="A172" t="s">
        <v>5155</v>
      </c>
      <c r="B172" t="s">
        <v>2970</v>
      </c>
      <c r="C172" t="s">
        <v>4616</v>
      </c>
      <c r="D172">
        <v>2</v>
      </c>
      <c r="E172" t="s">
        <v>5156</v>
      </c>
      <c r="F172" t="s">
        <v>5157</v>
      </c>
      <c r="G172">
        <v>2</v>
      </c>
      <c r="H172" t="s">
        <v>5158</v>
      </c>
      <c r="I172" t="s">
        <v>1954</v>
      </c>
      <c r="J172" t="s">
        <v>4900</v>
      </c>
    </row>
    <row r="173" spans="1:10" ht="15" customHeight="1" x14ac:dyDescent="0.25">
      <c r="A173" t="s">
        <v>5159</v>
      </c>
      <c r="B173" t="s">
        <v>3803</v>
      </c>
      <c r="C173" t="s">
        <v>4764</v>
      </c>
      <c r="D173" t="s">
        <v>3801</v>
      </c>
      <c r="E173" t="s">
        <v>5160</v>
      </c>
      <c r="F173" t="s">
        <v>2905</v>
      </c>
      <c r="G173" t="s">
        <v>2905</v>
      </c>
      <c r="H173" t="s">
        <v>5159</v>
      </c>
      <c r="I173" t="s">
        <v>1954</v>
      </c>
      <c r="J173" t="s">
        <v>4766</v>
      </c>
    </row>
    <row r="174" spans="1:10" ht="15" customHeight="1" x14ac:dyDescent="0.25">
      <c r="A174" t="s">
        <v>5161</v>
      </c>
      <c r="B174" t="s">
        <v>3803</v>
      </c>
      <c r="C174" t="s">
        <v>4616</v>
      </c>
      <c r="D174">
        <v>0</v>
      </c>
      <c r="E174" t="s">
        <v>5162</v>
      </c>
      <c r="F174" t="s">
        <v>5163</v>
      </c>
      <c r="G174">
        <v>0</v>
      </c>
      <c r="H174" t="s">
        <v>5161</v>
      </c>
      <c r="I174" t="s">
        <v>1954</v>
      </c>
    </row>
    <row r="175" spans="1:10" ht="15" customHeight="1" x14ac:dyDescent="0.25">
      <c r="A175" t="s">
        <v>5164</v>
      </c>
      <c r="B175" t="s">
        <v>2970</v>
      </c>
      <c r="C175" t="s">
        <v>4239</v>
      </c>
      <c r="D175">
        <v>2</v>
      </c>
      <c r="E175" t="s">
        <v>5165</v>
      </c>
      <c r="F175" t="s">
        <v>5166</v>
      </c>
      <c r="G175">
        <v>2</v>
      </c>
      <c r="H175" t="s">
        <v>5164</v>
      </c>
      <c r="I175" t="s">
        <v>1954</v>
      </c>
      <c r="J175" t="s">
        <v>4833</v>
      </c>
    </row>
    <row r="176" spans="1:10" ht="15" customHeight="1" x14ac:dyDescent="0.25">
      <c r="A176" t="s">
        <v>5167</v>
      </c>
      <c r="B176" t="s">
        <v>2958</v>
      </c>
      <c r="C176" t="s">
        <v>4239</v>
      </c>
      <c r="D176">
        <v>1</v>
      </c>
      <c r="E176" t="s">
        <v>5168</v>
      </c>
      <c r="F176" t="s">
        <v>5169</v>
      </c>
      <c r="G176">
        <v>1</v>
      </c>
      <c r="H176" t="s">
        <v>5170</v>
      </c>
      <c r="I176" t="s">
        <v>1954</v>
      </c>
      <c r="J176" t="s">
        <v>5171</v>
      </c>
    </row>
    <row r="177" spans="1:10" ht="15" customHeight="1" x14ac:dyDescent="0.25">
      <c r="A177" t="s">
        <v>5172</v>
      </c>
      <c r="B177" t="s">
        <v>2970</v>
      </c>
      <c r="C177" t="s">
        <v>4616</v>
      </c>
      <c r="D177" t="s">
        <v>4842</v>
      </c>
      <c r="E177" t="s">
        <v>5173</v>
      </c>
      <c r="F177" t="s">
        <v>5174</v>
      </c>
      <c r="G177" t="s">
        <v>4842</v>
      </c>
      <c r="H177" t="s">
        <v>5172</v>
      </c>
      <c r="I177" t="s">
        <v>1954</v>
      </c>
      <c r="J177" t="s">
        <v>4671</v>
      </c>
    </row>
    <row r="178" spans="1:10" ht="15" customHeight="1" x14ac:dyDescent="0.25">
      <c r="A178" t="s">
        <v>5175</v>
      </c>
      <c r="B178" t="s">
        <v>2958</v>
      </c>
      <c r="C178" t="s">
        <v>4616</v>
      </c>
      <c r="D178">
        <v>0</v>
      </c>
      <c r="E178" t="s">
        <v>5176</v>
      </c>
      <c r="F178" t="s">
        <v>5177</v>
      </c>
      <c r="G178">
        <v>0</v>
      </c>
      <c r="H178" t="s">
        <v>5175</v>
      </c>
      <c r="I178" t="s">
        <v>1954</v>
      </c>
      <c r="J178" t="s">
        <v>4671</v>
      </c>
    </row>
    <row r="179" spans="1:10" ht="15" customHeight="1" x14ac:dyDescent="0.25">
      <c r="A179" t="s">
        <v>5178</v>
      </c>
      <c r="B179" t="s">
        <v>3803</v>
      </c>
      <c r="C179" t="s">
        <v>4685</v>
      </c>
      <c r="D179">
        <v>1</v>
      </c>
      <c r="E179" t="s">
        <v>5179</v>
      </c>
      <c r="F179" t="s">
        <v>2905</v>
      </c>
      <c r="G179" t="s">
        <v>2905</v>
      </c>
      <c r="H179" t="s">
        <v>5178</v>
      </c>
      <c r="I179" t="s">
        <v>1954</v>
      </c>
    </row>
    <row r="180" spans="1:10" ht="15" customHeight="1" x14ac:dyDescent="0.25">
      <c r="A180" t="s">
        <v>5180</v>
      </c>
      <c r="B180" t="s">
        <v>2958</v>
      </c>
      <c r="C180" t="s">
        <v>4616</v>
      </c>
      <c r="D180">
        <v>2</v>
      </c>
      <c r="E180" t="s">
        <v>5181</v>
      </c>
      <c r="F180" t="s">
        <v>5182</v>
      </c>
      <c r="G180">
        <v>2</v>
      </c>
      <c r="H180" t="s">
        <v>5183</v>
      </c>
      <c r="I180" t="s">
        <v>1954</v>
      </c>
      <c r="J180" t="s">
        <v>4921</v>
      </c>
    </row>
    <row r="181" spans="1:10" ht="15" customHeight="1" x14ac:dyDescent="0.25">
      <c r="A181" t="s">
        <v>5184</v>
      </c>
      <c r="B181" t="s">
        <v>2970</v>
      </c>
      <c r="C181" t="s">
        <v>4321</v>
      </c>
      <c r="D181">
        <v>1</v>
      </c>
      <c r="E181" t="s">
        <v>4767</v>
      </c>
      <c r="F181" t="s">
        <v>4768</v>
      </c>
      <c r="G181">
        <v>1</v>
      </c>
      <c r="H181" t="s">
        <v>5184</v>
      </c>
      <c r="I181" t="s">
        <v>1962</v>
      </c>
      <c r="J181" t="s">
        <v>4902</v>
      </c>
    </row>
    <row r="182" spans="1:10" ht="15" customHeight="1" x14ac:dyDescent="0.25">
      <c r="A182" t="s">
        <v>5185</v>
      </c>
      <c r="B182" t="s">
        <v>2970</v>
      </c>
      <c r="C182" t="s">
        <v>4239</v>
      </c>
      <c r="D182">
        <v>1</v>
      </c>
      <c r="E182" t="s">
        <v>5186</v>
      </c>
      <c r="F182" t="s">
        <v>5187</v>
      </c>
      <c r="G182">
        <v>1</v>
      </c>
      <c r="H182" t="s">
        <v>5188</v>
      </c>
      <c r="I182" t="s">
        <v>1954</v>
      </c>
      <c r="J182" t="s">
        <v>4823</v>
      </c>
    </row>
    <row r="183" spans="1:10" ht="15" customHeight="1" x14ac:dyDescent="0.25">
      <c r="A183" t="s">
        <v>5189</v>
      </c>
      <c r="B183" t="s">
        <v>2951</v>
      </c>
      <c r="C183" t="s">
        <v>4239</v>
      </c>
      <c r="D183">
        <v>1</v>
      </c>
      <c r="E183" t="s">
        <v>5190</v>
      </c>
      <c r="F183" t="s">
        <v>5191</v>
      </c>
      <c r="G183">
        <v>1</v>
      </c>
      <c r="H183" t="s">
        <v>5192</v>
      </c>
      <c r="I183" t="s">
        <v>1954</v>
      </c>
      <c r="J183" t="s">
        <v>5193</v>
      </c>
    </row>
    <row r="184" spans="1:10" ht="15" customHeight="1" x14ac:dyDescent="0.25">
      <c r="A184" t="s">
        <v>5194</v>
      </c>
      <c r="B184" t="s">
        <v>2982</v>
      </c>
      <c r="C184" t="s">
        <v>4616</v>
      </c>
      <c r="D184">
        <v>1</v>
      </c>
      <c r="E184" t="s">
        <v>5176</v>
      </c>
      <c r="F184" t="s">
        <v>5177</v>
      </c>
      <c r="G184">
        <v>1</v>
      </c>
      <c r="H184" t="s">
        <v>2905</v>
      </c>
      <c r="I184" t="s">
        <v>2905</v>
      </c>
    </row>
    <row r="185" spans="1:10" ht="15" customHeight="1" x14ac:dyDescent="0.25">
      <c r="A185" t="s">
        <v>5195</v>
      </c>
      <c r="B185" t="s">
        <v>2958</v>
      </c>
      <c r="C185" t="s">
        <v>4616</v>
      </c>
      <c r="D185">
        <v>1</v>
      </c>
      <c r="E185" t="s">
        <v>5196</v>
      </c>
      <c r="F185" t="s">
        <v>5197</v>
      </c>
      <c r="G185">
        <v>1</v>
      </c>
      <c r="H185" t="s">
        <v>5198</v>
      </c>
      <c r="I185" t="s">
        <v>1954</v>
      </c>
      <c r="J185" t="s">
        <v>4647</v>
      </c>
    </row>
    <row r="186" spans="1:10" ht="15" customHeight="1" x14ac:dyDescent="0.25">
      <c r="A186" t="s">
        <v>4590</v>
      </c>
      <c r="B186" t="s">
        <v>2982</v>
      </c>
      <c r="C186" t="s">
        <v>4239</v>
      </c>
      <c r="D186">
        <v>1</v>
      </c>
      <c r="E186" t="s">
        <v>5199</v>
      </c>
      <c r="F186" t="s">
        <v>5200</v>
      </c>
      <c r="G186">
        <v>1</v>
      </c>
      <c r="H186" t="s">
        <v>4590</v>
      </c>
      <c r="I186" t="s">
        <v>1954</v>
      </c>
      <c r="J186" t="s">
        <v>5201</v>
      </c>
    </row>
    <row r="187" spans="1:10" ht="15" customHeight="1" x14ac:dyDescent="0.25">
      <c r="A187" t="s">
        <v>5202</v>
      </c>
      <c r="B187" t="s">
        <v>2958</v>
      </c>
      <c r="C187" t="s">
        <v>4616</v>
      </c>
      <c r="D187">
        <v>1</v>
      </c>
      <c r="E187" t="s">
        <v>5203</v>
      </c>
      <c r="F187" t="s">
        <v>5204</v>
      </c>
      <c r="G187">
        <v>1</v>
      </c>
      <c r="H187" t="s">
        <v>5205</v>
      </c>
      <c r="I187" t="s">
        <v>1954</v>
      </c>
      <c r="J187" t="s">
        <v>5206</v>
      </c>
    </row>
    <row r="188" spans="1:10" ht="15" customHeight="1" x14ac:dyDescent="0.25">
      <c r="A188" t="s">
        <v>5207</v>
      </c>
      <c r="B188" t="s">
        <v>2958</v>
      </c>
      <c r="C188" t="s">
        <v>4616</v>
      </c>
      <c r="D188">
        <v>1</v>
      </c>
      <c r="E188" t="s">
        <v>5208</v>
      </c>
      <c r="F188" t="s">
        <v>5209</v>
      </c>
      <c r="G188">
        <v>1</v>
      </c>
      <c r="H188" t="s">
        <v>5210</v>
      </c>
      <c r="I188" t="s">
        <v>1954</v>
      </c>
      <c r="J188" t="s">
        <v>4629</v>
      </c>
    </row>
    <row r="189" spans="1:10" ht="15" customHeight="1" x14ac:dyDescent="0.25">
      <c r="A189" t="s">
        <v>5211</v>
      </c>
      <c r="B189" t="s">
        <v>2970</v>
      </c>
      <c r="C189" t="s">
        <v>4239</v>
      </c>
      <c r="D189" t="s">
        <v>3801</v>
      </c>
      <c r="E189" t="s">
        <v>5212</v>
      </c>
      <c r="F189" t="s">
        <v>5213</v>
      </c>
      <c r="G189" t="s">
        <v>3801</v>
      </c>
      <c r="H189" t="s">
        <v>5211</v>
      </c>
      <c r="I189" t="s">
        <v>1954</v>
      </c>
      <c r="J189" t="s">
        <v>5214</v>
      </c>
    </row>
    <row r="190" spans="1:10" ht="15" customHeight="1" x14ac:dyDescent="0.25">
      <c r="A190" t="s">
        <v>5215</v>
      </c>
      <c r="B190" t="s">
        <v>2970</v>
      </c>
      <c r="C190" t="s">
        <v>4700</v>
      </c>
      <c r="D190">
        <v>3</v>
      </c>
      <c r="E190" t="s">
        <v>5216</v>
      </c>
      <c r="F190" t="s">
        <v>5217</v>
      </c>
      <c r="G190">
        <v>3</v>
      </c>
      <c r="H190" t="s">
        <v>5218</v>
      </c>
      <c r="I190" t="s">
        <v>1377</v>
      </c>
    </row>
    <row r="191" spans="1:10" ht="15" customHeight="1" x14ac:dyDescent="0.25">
      <c r="A191" t="s">
        <v>5219</v>
      </c>
      <c r="B191" t="s">
        <v>2970</v>
      </c>
      <c r="C191" t="s">
        <v>4239</v>
      </c>
      <c r="D191">
        <v>1</v>
      </c>
      <c r="E191" t="s">
        <v>5220</v>
      </c>
      <c r="F191" t="s">
        <v>5220</v>
      </c>
      <c r="G191">
        <v>0</v>
      </c>
      <c r="H191" t="s">
        <v>5219</v>
      </c>
      <c r="I191" t="s">
        <v>1954</v>
      </c>
      <c r="J191" t="s">
        <v>5027</v>
      </c>
    </row>
    <row r="192" spans="1:10" ht="15" customHeight="1" x14ac:dyDescent="0.25">
      <c r="A192" t="s">
        <v>5221</v>
      </c>
      <c r="B192" t="s">
        <v>2958</v>
      </c>
      <c r="C192" t="s">
        <v>4616</v>
      </c>
      <c r="D192">
        <v>1</v>
      </c>
      <c r="E192" t="s">
        <v>5222</v>
      </c>
      <c r="F192" t="s">
        <v>5223</v>
      </c>
      <c r="G192">
        <v>1</v>
      </c>
      <c r="H192" t="s">
        <v>5221</v>
      </c>
      <c r="I192" t="s">
        <v>1954</v>
      </c>
      <c r="J192" t="s">
        <v>4762</v>
      </c>
    </row>
    <row r="193" spans="1:10" ht="15" customHeight="1" x14ac:dyDescent="0.25">
      <c r="A193" t="s">
        <v>5224</v>
      </c>
      <c r="B193" t="s">
        <v>2951</v>
      </c>
      <c r="C193" t="s">
        <v>3449</v>
      </c>
      <c r="D193">
        <v>1</v>
      </c>
      <c r="E193" t="s">
        <v>5225</v>
      </c>
      <c r="F193" t="s">
        <v>5225</v>
      </c>
      <c r="G193">
        <v>0</v>
      </c>
      <c r="H193" t="s">
        <v>5226</v>
      </c>
      <c r="I193" t="s">
        <v>1954</v>
      </c>
      <c r="J193" t="s">
        <v>4602</v>
      </c>
    </row>
    <row r="194" spans="1:10" ht="15" customHeight="1" x14ac:dyDescent="0.25">
      <c r="A194" t="s">
        <v>5227</v>
      </c>
      <c r="B194" t="s">
        <v>2958</v>
      </c>
      <c r="C194" t="s">
        <v>4239</v>
      </c>
      <c r="D194">
        <v>1</v>
      </c>
      <c r="E194" t="s">
        <v>5228</v>
      </c>
      <c r="F194" t="s">
        <v>5229</v>
      </c>
      <c r="G194">
        <v>1</v>
      </c>
      <c r="H194" t="s">
        <v>5230</v>
      </c>
      <c r="I194" t="s">
        <v>1954</v>
      </c>
      <c r="J194" t="s">
        <v>4895</v>
      </c>
    </row>
    <row r="195" spans="1:10" ht="15" customHeight="1" x14ac:dyDescent="0.25">
      <c r="A195" t="s">
        <v>5231</v>
      </c>
      <c r="B195" t="s">
        <v>2958</v>
      </c>
      <c r="C195" t="s">
        <v>4616</v>
      </c>
      <c r="D195">
        <v>1</v>
      </c>
      <c r="E195" t="s">
        <v>5232</v>
      </c>
      <c r="F195" t="s">
        <v>5233</v>
      </c>
      <c r="G195">
        <v>1</v>
      </c>
      <c r="H195" t="s">
        <v>5234</v>
      </c>
      <c r="I195" t="s">
        <v>1954</v>
      </c>
      <c r="J195" t="s">
        <v>4629</v>
      </c>
    </row>
    <row r="196" spans="1:10" ht="15" customHeight="1" x14ac:dyDescent="0.25">
      <c r="A196" t="s">
        <v>5235</v>
      </c>
      <c r="B196" t="s">
        <v>2951</v>
      </c>
      <c r="C196" t="s">
        <v>4616</v>
      </c>
      <c r="D196">
        <v>1</v>
      </c>
      <c r="E196" t="s">
        <v>5236</v>
      </c>
      <c r="F196" t="s">
        <v>5237</v>
      </c>
      <c r="G196">
        <v>1</v>
      </c>
      <c r="H196" t="s">
        <v>5235</v>
      </c>
      <c r="I196" t="s">
        <v>1954</v>
      </c>
      <c r="J196" t="s">
        <v>4878</v>
      </c>
    </row>
    <row r="197" spans="1:10" ht="15" customHeight="1" x14ac:dyDescent="0.25">
      <c r="A197" t="s">
        <v>5238</v>
      </c>
      <c r="B197" t="s">
        <v>2970</v>
      </c>
      <c r="C197" t="s">
        <v>4616</v>
      </c>
      <c r="D197">
        <v>2</v>
      </c>
      <c r="E197" t="s">
        <v>5239</v>
      </c>
      <c r="F197" t="s">
        <v>5240</v>
      </c>
      <c r="G197">
        <v>2</v>
      </c>
      <c r="H197" t="s">
        <v>5238</v>
      </c>
      <c r="I197" t="s">
        <v>1954</v>
      </c>
      <c r="J197" t="s">
        <v>4762</v>
      </c>
    </row>
    <row r="198" spans="1:10" ht="15" customHeight="1" x14ac:dyDescent="0.25">
      <c r="A198" t="s">
        <v>5241</v>
      </c>
      <c r="B198" t="s">
        <v>2951</v>
      </c>
      <c r="C198" t="s">
        <v>4321</v>
      </c>
      <c r="D198">
        <v>1</v>
      </c>
      <c r="E198" t="s">
        <v>4767</v>
      </c>
      <c r="F198" t="s">
        <v>4768</v>
      </c>
      <c r="G198">
        <v>1</v>
      </c>
      <c r="H198" t="s">
        <v>5241</v>
      </c>
      <c r="I198" t="s">
        <v>1962</v>
      </c>
      <c r="J198" t="s">
        <v>4902</v>
      </c>
    </row>
    <row r="199" spans="1:10" ht="15" customHeight="1" x14ac:dyDescent="0.25">
      <c r="A199" t="s">
        <v>5242</v>
      </c>
      <c r="B199" t="s">
        <v>2958</v>
      </c>
      <c r="C199" t="s">
        <v>4239</v>
      </c>
      <c r="D199">
        <v>0</v>
      </c>
      <c r="E199" t="s">
        <v>5243</v>
      </c>
      <c r="F199" t="s">
        <v>5244</v>
      </c>
      <c r="G199">
        <v>0</v>
      </c>
      <c r="H199" t="s">
        <v>5242</v>
      </c>
      <c r="I199" t="s">
        <v>1954</v>
      </c>
      <c r="J199" t="s">
        <v>4657</v>
      </c>
    </row>
    <row r="200" spans="1:10" ht="15" customHeight="1" x14ac:dyDescent="0.25">
      <c r="A200" t="s">
        <v>5245</v>
      </c>
      <c r="B200" t="s">
        <v>2970</v>
      </c>
      <c r="C200" t="s">
        <v>4321</v>
      </c>
      <c r="D200">
        <v>1</v>
      </c>
      <c r="E200" t="s">
        <v>4767</v>
      </c>
      <c r="F200" t="s">
        <v>4768</v>
      </c>
      <c r="G200">
        <v>1</v>
      </c>
      <c r="H200" t="s">
        <v>5245</v>
      </c>
      <c r="I200" t="s">
        <v>1962</v>
      </c>
      <c r="J200" t="s">
        <v>4815</v>
      </c>
    </row>
    <row r="201" spans="1:10" ht="15" customHeight="1" x14ac:dyDescent="0.25">
      <c r="A201" t="s">
        <v>4170</v>
      </c>
      <c r="B201" t="s">
        <v>2970</v>
      </c>
      <c r="C201" t="s">
        <v>3449</v>
      </c>
      <c r="D201">
        <v>1</v>
      </c>
      <c r="E201" t="s">
        <v>5246</v>
      </c>
      <c r="F201" t="s">
        <v>5247</v>
      </c>
      <c r="G201">
        <v>1</v>
      </c>
      <c r="H201" t="s">
        <v>4172</v>
      </c>
      <c r="I201" t="s">
        <v>1954</v>
      </c>
      <c r="J201" t="s">
        <v>4888</v>
      </c>
    </row>
    <row r="202" spans="1:10" ht="15" customHeight="1" x14ac:dyDescent="0.25">
      <c r="A202" t="s">
        <v>5248</v>
      </c>
      <c r="B202" t="s">
        <v>2970</v>
      </c>
      <c r="C202" t="s">
        <v>4616</v>
      </c>
      <c r="D202" t="s">
        <v>4842</v>
      </c>
      <c r="E202" t="s">
        <v>5249</v>
      </c>
      <c r="F202" t="s">
        <v>5250</v>
      </c>
      <c r="G202" t="s">
        <v>4842</v>
      </c>
      <c r="H202" t="s">
        <v>5248</v>
      </c>
      <c r="I202" t="s">
        <v>1954</v>
      </c>
      <c r="J202" t="s">
        <v>4629</v>
      </c>
    </row>
    <row r="203" spans="1:10" ht="15" customHeight="1" x14ac:dyDescent="0.25">
      <c r="A203" t="s">
        <v>5251</v>
      </c>
      <c r="B203" t="s">
        <v>2970</v>
      </c>
      <c r="C203" t="s">
        <v>4239</v>
      </c>
      <c r="D203">
        <v>1</v>
      </c>
      <c r="E203" t="s">
        <v>5252</v>
      </c>
      <c r="F203" t="s">
        <v>5252</v>
      </c>
      <c r="G203">
        <v>0</v>
      </c>
      <c r="H203" t="s">
        <v>5253</v>
      </c>
      <c r="I203" t="s">
        <v>1954</v>
      </c>
      <c r="J203" t="s">
        <v>5254</v>
      </c>
    </row>
    <row r="204" spans="1:10" ht="15" customHeight="1" x14ac:dyDescent="0.25">
      <c r="A204" t="s">
        <v>5255</v>
      </c>
      <c r="B204" t="s">
        <v>2958</v>
      </c>
      <c r="C204" t="s">
        <v>4616</v>
      </c>
      <c r="D204">
        <v>1</v>
      </c>
      <c r="E204" t="s">
        <v>5256</v>
      </c>
      <c r="F204" t="s">
        <v>5257</v>
      </c>
      <c r="G204">
        <v>1</v>
      </c>
      <c r="H204" t="s">
        <v>5258</v>
      </c>
      <c r="I204" t="s">
        <v>1954</v>
      </c>
      <c r="J204" t="s">
        <v>4881</v>
      </c>
    </row>
    <row r="205" spans="1:10" ht="15" customHeight="1" x14ac:dyDescent="0.25">
      <c r="A205" t="s">
        <v>5259</v>
      </c>
      <c r="B205" t="s">
        <v>3803</v>
      </c>
      <c r="C205" t="s">
        <v>4685</v>
      </c>
      <c r="D205" t="s">
        <v>3801</v>
      </c>
      <c r="E205" t="s">
        <v>4984</v>
      </c>
      <c r="F205" t="s">
        <v>2905</v>
      </c>
      <c r="G205" t="s">
        <v>3801</v>
      </c>
      <c r="H205" t="s">
        <v>5259</v>
      </c>
      <c r="I205" t="s">
        <v>1954</v>
      </c>
    </row>
    <row r="206" spans="1:10" ht="15" customHeight="1" x14ac:dyDescent="0.25">
      <c r="A206" t="s">
        <v>5260</v>
      </c>
      <c r="B206" t="s">
        <v>2951</v>
      </c>
      <c r="C206" t="s">
        <v>3449</v>
      </c>
      <c r="D206">
        <v>3</v>
      </c>
      <c r="E206" t="s">
        <v>5261</v>
      </c>
      <c r="F206" t="s">
        <v>5262</v>
      </c>
      <c r="G206">
        <v>3</v>
      </c>
      <c r="H206" t="s">
        <v>5263</v>
      </c>
      <c r="I206" t="s">
        <v>1954</v>
      </c>
      <c r="J206" t="s">
        <v>4611</v>
      </c>
    </row>
    <row r="207" spans="1:10" ht="15" customHeight="1" x14ac:dyDescent="0.25">
      <c r="A207" t="s">
        <v>5264</v>
      </c>
      <c r="B207" t="s">
        <v>3803</v>
      </c>
      <c r="C207" t="s">
        <v>4764</v>
      </c>
      <c r="D207" t="s">
        <v>3801</v>
      </c>
      <c r="E207" t="s">
        <v>5265</v>
      </c>
      <c r="F207" t="s">
        <v>2905</v>
      </c>
      <c r="G207" t="s">
        <v>2905</v>
      </c>
      <c r="H207" t="s">
        <v>5264</v>
      </c>
      <c r="I207" t="s">
        <v>1954</v>
      </c>
      <c r="J207" t="s">
        <v>4766</v>
      </c>
    </row>
    <row r="208" spans="1:10" ht="15" customHeight="1" x14ac:dyDescent="0.25">
      <c r="A208" t="s">
        <v>5266</v>
      </c>
      <c r="B208" t="s">
        <v>3803</v>
      </c>
      <c r="C208" t="s">
        <v>4685</v>
      </c>
      <c r="D208">
        <v>1</v>
      </c>
      <c r="E208" t="s">
        <v>5267</v>
      </c>
      <c r="F208" t="s">
        <v>2905</v>
      </c>
      <c r="G208" t="s">
        <v>2905</v>
      </c>
      <c r="H208" t="s">
        <v>5268</v>
      </c>
      <c r="I208" t="s">
        <v>351</v>
      </c>
      <c r="J208" t="s">
        <v>4688</v>
      </c>
    </row>
    <row r="209" spans="1:10" ht="15" customHeight="1" x14ac:dyDescent="0.25">
      <c r="A209" t="s">
        <v>3554</v>
      </c>
      <c r="B209" t="s">
        <v>2958</v>
      </c>
      <c r="C209" t="s">
        <v>4616</v>
      </c>
      <c r="D209">
        <v>1</v>
      </c>
      <c r="E209" t="s">
        <v>5011</v>
      </c>
      <c r="F209" t="s">
        <v>5011</v>
      </c>
      <c r="G209">
        <v>1</v>
      </c>
      <c r="H209" t="s">
        <v>3557</v>
      </c>
      <c r="I209" t="s">
        <v>828</v>
      </c>
      <c r="J209" t="s">
        <v>4649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3791</v>
      </c>
      <c r="C1" t="s">
        <v>53</v>
      </c>
      <c r="D1" t="s">
        <v>4592</v>
      </c>
      <c r="E1" t="s">
        <v>2899</v>
      </c>
      <c r="F1" t="s">
        <v>5269</v>
      </c>
      <c r="G1" t="s">
        <v>5270</v>
      </c>
      <c r="H1" t="s">
        <v>5271</v>
      </c>
      <c r="I1" t="s">
        <v>5272</v>
      </c>
      <c r="J1" t="s">
        <v>4616</v>
      </c>
      <c r="K1" t="s">
        <v>3795</v>
      </c>
      <c r="L1" t="s">
        <v>9</v>
      </c>
      <c r="M1" t="s">
        <v>5273</v>
      </c>
      <c r="N1" t="s">
        <v>5274</v>
      </c>
      <c r="O1" t="s">
        <v>56</v>
      </c>
    </row>
    <row r="2" spans="1:15" ht="15" customHeight="1" x14ac:dyDescent="0.25">
      <c r="A2" t="s">
        <v>4595</v>
      </c>
      <c r="B2" t="s">
        <v>2970</v>
      </c>
      <c r="C2" t="s">
        <v>3449</v>
      </c>
      <c r="D2">
        <v>1</v>
      </c>
      <c r="E2" t="s">
        <v>4596</v>
      </c>
      <c r="F2" t="s">
        <v>5275</v>
      </c>
      <c r="G2" t="s">
        <v>4597</v>
      </c>
      <c r="H2" t="s">
        <v>5276</v>
      </c>
      <c r="I2">
        <v>1</v>
      </c>
      <c r="J2" t="s">
        <v>2905</v>
      </c>
      <c r="K2" t="s">
        <v>4595</v>
      </c>
      <c r="L2" t="s">
        <v>1954</v>
      </c>
      <c r="M2" t="s">
        <v>2905</v>
      </c>
      <c r="N2" t="s">
        <v>2905</v>
      </c>
      <c r="O2" t="s">
        <v>4598</v>
      </c>
    </row>
    <row r="3" spans="1:15" ht="15" customHeight="1" x14ac:dyDescent="0.25">
      <c r="A3" t="s">
        <v>4599</v>
      </c>
      <c r="B3" t="s">
        <v>2958</v>
      </c>
      <c r="C3" t="s">
        <v>4239</v>
      </c>
      <c r="D3">
        <v>1</v>
      </c>
      <c r="E3" t="s">
        <v>4600</v>
      </c>
      <c r="F3" t="s">
        <v>5277</v>
      </c>
      <c r="G3" t="s">
        <v>4601</v>
      </c>
      <c r="H3" t="s">
        <v>5278</v>
      </c>
      <c r="I3">
        <v>1</v>
      </c>
      <c r="J3" t="s">
        <v>2905</v>
      </c>
      <c r="K3" t="s">
        <v>4599</v>
      </c>
      <c r="L3" t="s">
        <v>1954</v>
      </c>
      <c r="M3" t="s">
        <v>2905</v>
      </c>
      <c r="N3" t="s">
        <v>2905</v>
      </c>
      <c r="O3" t="s">
        <v>4602</v>
      </c>
    </row>
    <row r="4" spans="1:15" ht="15" customHeight="1" x14ac:dyDescent="0.25">
      <c r="A4" t="s">
        <v>4603</v>
      </c>
      <c r="B4" t="s">
        <v>2951</v>
      </c>
      <c r="C4" t="s">
        <v>4239</v>
      </c>
      <c r="D4">
        <v>0</v>
      </c>
      <c r="E4" t="s">
        <v>4604</v>
      </c>
      <c r="F4" t="s">
        <v>5279</v>
      </c>
      <c r="G4" t="s">
        <v>4605</v>
      </c>
      <c r="H4" t="s">
        <v>5280</v>
      </c>
      <c r="I4">
        <v>0</v>
      </c>
      <c r="J4" t="s">
        <v>2905</v>
      </c>
      <c r="K4" t="s">
        <v>4603</v>
      </c>
      <c r="L4" t="s">
        <v>1954</v>
      </c>
      <c r="M4" t="s">
        <v>4376</v>
      </c>
      <c r="N4" t="s">
        <v>2905</v>
      </c>
      <c r="O4" t="s">
        <v>4606</v>
      </c>
    </row>
    <row r="5" spans="1:15" ht="15" customHeight="1" x14ac:dyDescent="0.25">
      <c r="A5" t="s">
        <v>4607</v>
      </c>
      <c r="B5" t="s">
        <v>2951</v>
      </c>
      <c r="C5" t="s">
        <v>3449</v>
      </c>
      <c r="D5">
        <v>1</v>
      </c>
      <c r="E5" t="s">
        <v>4608</v>
      </c>
      <c r="F5" t="s">
        <v>5281</v>
      </c>
      <c r="G5" t="s">
        <v>4609</v>
      </c>
      <c r="H5" t="s">
        <v>5281</v>
      </c>
      <c r="I5">
        <v>1</v>
      </c>
      <c r="J5" t="s">
        <v>2905</v>
      </c>
      <c r="K5" t="s">
        <v>4610</v>
      </c>
      <c r="L5" t="s">
        <v>1954</v>
      </c>
      <c r="M5" t="s">
        <v>4315</v>
      </c>
      <c r="N5" t="s">
        <v>2905</v>
      </c>
      <c r="O5" t="s">
        <v>4611</v>
      </c>
    </row>
    <row r="6" spans="1:15" ht="15" customHeight="1" x14ac:dyDescent="0.25">
      <c r="A6" t="s">
        <v>4612</v>
      </c>
      <c r="B6" t="s">
        <v>2951</v>
      </c>
      <c r="C6" t="s">
        <v>4239</v>
      </c>
      <c r="D6">
        <v>1</v>
      </c>
      <c r="E6" t="s">
        <v>4613</v>
      </c>
      <c r="F6" t="s">
        <v>5282</v>
      </c>
      <c r="G6" t="s">
        <v>4613</v>
      </c>
      <c r="H6" t="s">
        <v>5282</v>
      </c>
      <c r="I6">
        <v>0</v>
      </c>
      <c r="J6" t="s">
        <v>2905</v>
      </c>
      <c r="K6" t="s">
        <v>4612</v>
      </c>
      <c r="L6" t="s">
        <v>1954</v>
      </c>
      <c r="M6" t="s">
        <v>4376</v>
      </c>
      <c r="N6" t="s">
        <v>2905</v>
      </c>
      <c r="O6" t="s">
        <v>5283</v>
      </c>
    </row>
    <row r="7" spans="1:15" ht="15" customHeight="1" x14ac:dyDescent="0.25">
      <c r="A7" t="s">
        <v>4615</v>
      </c>
      <c r="B7" t="s">
        <v>2951</v>
      </c>
      <c r="C7" t="s">
        <v>4616</v>
      </c>
      <c r="D7">
        <v>2</v>
      </c>
      <c r="E7" t="s">
        <v>5284</v>
      </c>
      <c r="F7" t="s">
        <v>5285</v>
      </c>
      <c r="G7" t="s">
        <v>5286</v>
      </c>
      <c r="H7" t="s">
        <v>5287</v>
      </c>
      <c r="I7">
        <v>2</v>
      </c>
      <c r="J7" t="s">
        <v>5288</v>
      </c>
      <c r="K7" t="s">
        <v>4619</v>
      </c>
      <c r="L7" t="s">
        <v>1954</v>
      </c>
      <c r="M7" t="s">
        <v>2905</v>
      </c>
      <c r="N7" t="s">
        <v>2905</v>
      </c>
      <c r="O7" t="s">
        <v>4620</v>
      </c>
    </row>
    <row r="8" spans="1:15" ht="15" customHeight="1" x14ac:dyDescent="0.25">
      <c r="A8" t="s">
        <v>4621</v>
      </c>
      <c r="B8" t="s">
        <v>2970</v>
      </c>
      <c r="C8" t="s">
        <v>4616</v>
      </c>
      <c r="D8">
        <v>1</v>
      </c>
      <c r="E8" t="s">
        <v>5289</v>
      </c>
      <c r="F8" t="s">
        <v>5290</v>
      </c>
      <c r="G8" t="s">
        <v>5291</v>
      </c>
      <c r="H8" t="s">
        <v>5292</v>
      </c>
      <c r="I8">
        <v>1</v>
      </c>
      <c r="J8" t="s">
        <v>5293</v>
      </c>
      <c r="K8" t="s">
        <v>4624</v>
      </c>
      <c r="L8" t="s">
        <v>1954</v>
      </c>
      <c r="M8" t="s">
        <v>2905</v>
      </c>
      <c r="N8" t="s">
        <v>2905</v>
      </c>
      <c r="O8" t="s">
        <v>4625</v>
      </c>
    </row>
    <row r="9" spans="1:15" ht="15" customHeight="1" x14ac:dyDescent="0.25">
      <c r="A9" t="s">
        <v>4626</v>
      </c>
      <c r="B9" t="s">
        <v>2958</v>
      </c>
      <c r="C9" t="s">
        <v>4616</v>
      </c>
      <c r="D9">
        <v>0</v>
      </c>
      <c r="E9" t="s">
        <v>4627</v>
      </c>
      <c r="F9" t="s">
        <v>5294</v>
      </c>
      <c r="G9" t="s">
        <v>4628</v>
      </c>
      <c r="H9" t="s">
        <v>5295</v>
      </c>
      <c r="I9">
        <v>0</v>
      </c>
      <c r="J9" t="s">
        <v>5296</v>
      </c>
      <c r="K9" t="s">
        <v>4626</v>
      </c>
      <c r="L9" t="s">
        <v>1954</v>
      </c>
      <c r="M9" t="s">
        <v>2905</v>
      </c>
      <c r="N9" t="s">
        <v>2905</v>
      </c>
      <c r="O9" t="s">
        <v>4629</v>
      </c>
    </row>
    <row r="10" spans="1:15" ht="15" customHeight="1" x14ac:dyDescent="0.25">
      <c r="A10" t="s">
        <v>4630</v>
      </c>
      <c r="B10" t="s">
        <v>2958</v>
      </c>
      <c r="C10" t="s">
        <v>4239</v>
      </c>
      <c r="D10">
        <v>1</v>
      </c>
      <c r="E10" t="s">
        <v>4631</v>
      </c>
      <c r="F10" t="s">
        <v>5297</v>
      </c>
      <c r="G10" t="s">
        <v>4632</v>
      </c>
      <c r="H10" t="s">
        <v>5298</v>
      </c>
      <c r="I10">
        <v>1</v>
      </c>
      <c r="J10" t="s">
        <v>2905</v>
      </c>
      <c r="K10" t="s">
        <v>4630</v>
      </c>
      <c r="L10" t="s">
        <v>1954</v>
      </c>
      <c r="M10" t="s">
        <v>2905</v>
      </c>
      <c r="N10" t="s">
        <v>2905</v>
      </c>
      <c r="O10" t="s">
        <v>4633</v>
      </c>
    </row>
    <row r="11" spans="1:15" ht="15" customHeight="1" x14ac:dyDescent="0.25">
      <c r="A11" t="s">
        <v>4634</v>
      </c>
      <c r="B11" t="s">
        <v>2958</v>
      </c>
      <c r="C11" t="s">
        <v>4239</v>
      </c>
      <c r="D11">
        <v>1</v>
      </c>
      <c r="E11" t="s">
        <v>4635</v>
      </c>
      <c r="F11" t="s">
        <v>5299</v>
      </c>
      <c r="G11" t="s">
        <v>4636</v>
      </c>
      <c r="H11" t="s">
        <v>5300</v>
      </c>
      <c r="I11">
        <v>1</v>
      </c>
      <c r="J11" t="s">
        <v>2905</v>
      </c>
      <c r="K11" t="s">
        <v>4634</v>
      </c>
      <c r="L11" t="s">
        <v>1954</v>
      </c>
      <c r="M11" t="s">
        <v>2905</v>
      </c>
      <c r="N11" t="s">
        <v>2905</v>
      </c>
      <c r="O11" t="s">
        <v>4637</v>
      </c>
    </row>
    <row r="12" spans="1:15" ht="15" customHeight="1" x14ac:dyDescent="0.25">
      <c r="A12" t="s">
        <v>4638</v>
      </c>
      <c r="B12" t="s">
        <v>2970</v>
      </c>
      <c r="C12" t="s">
        <v>4616</v>
      </c>
      <c r="D12">
        <v>0</v>
      </c>
      <c r="E12" t="s">
        <v>4639</v>
      </c>
      <c r="F12" t="s">
        <v>5301</v>
      </c>
      <c r="G12" t="s">
        <v>4640</v>
      </c>
      <c r="H12" t="s">
        <v>5302</v>
      </c>
      <c r="I12">
        <v>0</v>
      </c>
      <c r="J12" t="s">
        <v>5288</v>
      </c>
      <c r="K12" t="s">
        <v>4638</v>
      </c>
      <c r="L12" t="s">
        <v>1954</v>
      </c>
      <c r="M12" t="s">
        <v>5303</v>
      </c>
      <c r="N12" t="s">
        <v>2905</v>
      </c>
      <c r="O12" t="s">
        <v>4641</v>
      </c>
    </row>
    <row r="13" spans="1:15" ht="15" customHeight="1" x14ac:dyDescent="0.25">
      <c r="A13" t="s">
        <v>3273</v>
      </c>
      <c r="B13" t="s">
        <v>2970</v>
      </c>
      <c r="C13" t="s">
        <v>4239</v>
      </c>
      <c r="D13">
        <v>1</v>
      </c>
      <c r="E13" t="s">
        <v>4642</v>
      </c>
      <c r="F13" t="s">
        <v>5304</v>
      </c>
      <c r="G13" t="s">
        <v>4642</v>
      </c>
      <c r="H13" t="s">
        <v>5304</v>
      </c>
      <c r="I13">
        <v>1</v>
      </c>
      <c r="J13" t="s">
        <v>5305</v>
      </c>
      <c r="K13" t="s">
        <v>3278</v>
      </c>
      <c r="L13" t="s">
        <v>1358</v>
      </c>
      <c r="M13" t="s">
        <v>2905</v>
      </c>
      <c r="N13" t="s">
        <v>2905</v>
      </c>
      <c r="O13" t="s">
        <v>5306</v>
      </c>
    </row>
    <row r="14" spans="1:15" ht="15" customHeight="1" x14ac:dyDescent="0.25">
      <c r="A14" t="s">
        <v>4644</v>
      </c>
      <c r="B14" t="s">
        <v>2958</v>
      </c>
      <c r="C14" t="s">
        <v>4616</v>
      </c>
      <c r="D14">
        <v>1</v>
      </c>
      <c r="E14" t="s">
        <v>5307</v>
      </c>
      <c r="F14" t="s">
        <v>5308</v>
      </c>
      <c r="G14" t="s">
        <v>5309</v>
      </c>
      <c r="H14" t="s">
        <v>5310</v>
      </c>
      <c r="I14">
        <v>1</v>
      </c>
      <c r="J14" t="s">
        <v>5305</v>
      </c>
      <c r="K14" t="s">
        <v>4644</v>
      </c>
      <c r="L14" t="s">
        <v>1954</v>
      </c>
      <c r="M14" t="s">
        <v>2905</v>
      </c>
      <c r="N14" t="s">
        <v>2905</v>
      </c>
      <c r="O14" t="s">
        <v>5311</v>
      </c>
    </row>
    <row r="15" spans="1:15" ht="15" customHeight="1" x14ac:dyDescent="0.25">
      <c r="A15" t="s">
        <v>3285</v>
      </c>
      <c r="B15" t="s">
        <v>2970</v>
      </c>
      <c r="C15" t="s">
        <v>4616</v>
      </c>
      <c r="D15">
        <v>1</v>
      </c>
      <c r="E15" t="s">
        <v>4648</v>
      </c>
      <c r="F15" t="s">
        <v>5312</v>
      </c>
      <c r="G15" t="s">
        <v>4648</v>
      </c>
      <c r="H15" t="s">
        <v>5312</v>
      </c>
      <c r="I15">
        <v>1</v>
      </c>
      <c r="J15" t="s">
        <v>5313</v>
      </c>
      <c r="K15" t="s">
        <v>3285</v>
      </c>
      <c r="L15" t="s">
        <v>828</v>
      </c>
      <c r="M15" t="s">
        <v>4307</v>
      </c>
      <c r="N15" t="s">
        <v>2905</v>
      </c>
      <c r="O15" t="s">
        <v>4649</v>
      </c>
    </row>
    <row r="16" spans="1:15" ht="15" customHeight="1" x14ac:dyDescent="0.25">
      <c r="A16" t="s">
        <v>2964</v>
      </c>
      <c r="B16" t="s">
        <v>2951</v>
      </c>
      <c r="C16" t="s">
        <v>3449</v>
      </c>
      <c r="D16">
        <v>3</v>
      </c>
      <c r="E16" s="9" t="s">
        <v>5314</v>
      </c>
      <c r="F16" t="s">
        <v>5315</v>
      </c>
      <c r="G16" s="9" t="s">
        <v>5314</v>
      </c>
      <c r="H16" t="s">
        <v>5315</v>
      </c>
      <c r="I16">
        <v>2</v>
      </c>
      <c r="J16" t="s">
        <v>2905</v>
      </c>
      <c r="K16" t="s">
        <v>2964</v>
      </c>
      <c r="L16" t="s">
        <v>1954</v>
      </c>
      <c r="M16" t="s">
        <v>2905</v>
      </c>
      <c r="N16" t="s">
        <v>2905</v>
      </c>
      <c r="O16" t="s">
        <v>5316</v>
      </c>
    </row>
    <row r="17" spans="1:15" ht="15" customHeight="1" x14ac:dyDescent="0.25">
      <c r="A17" t="s">
        <v>2890</v>
      </c>
      <c r="B17" t="s">
        <v>2982</v>
      </c>
      <c r="C17" t="s">
        <v>4616</v>
      </c>
      <c r="D17">
        <v>2</v>
      </c>
      <c r="E17" t="s">
        <v>4651</v>
      </c>
      <c r="F17" t="s">
        <v>5317</v>
      </c>
      <c r="G17" t="s">
        <v>4652</v>
      </c>
      <c r="H17" t="s">
        <v>5318</v>
      </c>
      <c r="I17">
        <v>2</v>
      </c>
      <c r="J17" t="s">
        <v>5319</v>
      </c>
      <c r="K17" t="s">
        <v>2890</v>
      </c>
      <c r="L17" t="s">
        <v>1954</v>
      </c>
      <c r="M17" t="s">
        <v>2905</v>
      </c>
      <c r="N17" t="s">
        <v>2905</v>
      </c>
      <c r="O17" t="s">
        <v>4629</v>
      </c>
    </row>
    <row r="18" spans="1:15" ht="15" customHeight="1" x14ac:dyDescent="0.25">
      <c r="A18" t="s">
        <v>4653</v>
      </c>
      <c r="B18" t="s">
        <v>2970</v>
      </c>
      <c r="C18" t="s">
        <v>4239</v>
      </c>
      <c r="D18">
        <v>0</v>
      </c>
      <c r="E18" s="9" t="s">
        <v>5320</v>
      </c>
      <c r="F18" t="s">
        <v>5321</v>
      </c>
      <c r="G18" s="9" t="s">
        <v>5322</v>
      </c>
      <c r="H18" t="s">
        <v>5323</v>
      </c>
      <c r="I18" t="s">
        <v>2905</v>
      </c>
      <c r="J18" t="s">
        <v>2905</v>
      </c>
      <c r="K18" t="s">
        <v>4656</v>
      </c>
      <c r="L18" t="s">
        <v>1954</v>
      </c>
      <c r="M18" t="s">
        <v>2905</v>
      </c>
      <c r="N18" t="s">
        <v>2905</v>
      </c>
      <c r="O18" t="s">
        <v>4657</v>
      </c>
    </row>
    <row r="19" spans="1:15" ht="15" customHeight="1" x14ac:dyDescent="0.25">
      <c r="A19" t="s">
        <v>4658</v>
      </c>
      <c r="B19" t="s">
        <v>2958</v>
      </c>
      <c r="C19" t="s">
        <v>4616</v>
      </c>
      <c r="D19">
        <v>0</v>
      </c>
      <c r="E19" t="s">
        <v>4659</v>
      </c>
      <c r="F19" t="s">
        <v>5324</v>
      </c>
      <c r="G19" t="s">
        <v>4660</v>
      </c>
      <c r="H19" t="s">
        <v>5325</v>
      </c>
      <c r="I19">
        <v>0</v>
      </c>
      <c r="J19" t="s">
        <v>5326</v>
      </c>
      <c r="K19" t="s">
        <v>4661</v>
      </c>
      <c r="L19" t="s">
        <v>1954</v>
      </c>
      <c r="M19" t="s">
        <v>2905</v>
      </c>
      <c r="N19" t="s">
        <v>2905</v>
      </c>
      <c r="O19" t="s">
        <v>4662</v>
      </c>
    </row>
    <row r="20" spans="1:15" ht="15" customHeight="1" x14ac:dyDescent="0.25">
      <c r="A20" t="s">
        <v>4667</v>
      </c>
      <c r="B20" t="s">
        <v>2958</v>
      </c>
      <c r="C20" t="s">
        <v>4239</v>
      </c>
      <c r="D20">
        <v>1</v>
      </c>
      <c r="E20" t="s">
        <v>4668</v>
      </c>
      <c r="F20" t="s">
        <v>5327</v>
      </c>
      <c r="G20" t="s">
        <v>4669</v>
      </c>
      <c r="H20" t="s">
        <v>5328</v>
      </c>
      <c r="I20">
        <v>1</v>
      </c>
      <c r="J20" t="s">
        <v>2905</v>
      </c>
      <c r="K20" t="s">
        <v>4670</v>
      </c>
      <c r="L20" t="s">
        <v>1954</v>
      </c>
      <c r="M20" t="s">
        <v>2905</v>
      </c>
      <c r="N20" t="s">
        <v>2905</v>
      </c>
      <c r="O20" t="s">
        <v>4671</v>
      </c>
    </row>
    <row r="21" spans="1:15" ht="15" customHeight="1" x14ac:dyDescent="0.25">
      <c r="A21" t="s">
        <v>3312</v>
      </c>
      <c r="B21" t="s">
        <v>2958</v>
      </c>
      <c r="C21" t="s">
        <v>4616</v>
      </c>
      <c r="D21">
        <v>1</v>
      </c>
      <c r="E21" t="s">
        <v>4672</v>
      </c>
      <c r="F21" t="s">
        <v>5329</v>
      </c>
      <c r="G21" t="s">
        <v>4672</v>
      </c>
      <c r="H21" t="s">
        <v>5329</v>
      </c>
      <c r="I21">
        <v>1</v>
      </c>
      <c r="J21" t="s">
        <v>5313</v>
      </c>
      <c r="K21" t="s">
        <v>3315</v>
      </c>
      <c r="L21" t="s">
        <v>881</v>
      </c>
      <c r="M21" t="s">
        <v>4348</v>
      </c>
      <c r="N21" t="s">
        <v>2905</v>
      </c>
      <c r="O21" t="s">
        <v>4649</v>
      </c>
    </row>
    <row r="22" spans="1:15" ht="15" customHeight="1" x14ac:dyDescent="0.25">
      <c r="A22" t="s">
        <v>4673</v>
      </c>
      <c r="B22" t="s">
        <v>2970</v>
      </c>
      <c r="C22" t="s">
        <v>4616</v>
      </c>
      <c r="D22">
        <v>4</v>
      </c>
      <c r="E22" s="9" t="s">
        <v>4674</v>
      </c>
      <c r="F22" t="s">
        <v>5330</v>
      </c>
      <c r="G22" s="9" t="s">
        <v>4675</v>
      </c>
      <c r="H22" t="s">
        <v>5331</v>
      </c>
      <c r="I22">
        <v>3</v>
      </c>
      <c r="J22" t="s">
        <v>5296</v>
      </c>
      <c r="K22" t="s">
        <v>4676</v>
      </c>
      <c r="L22" t="s">
        <v>1954</v>
      </c>
      <c r="M22" t="s">
        <v>2905</v>
      </c>
      <c r="N22" t="s">
        <v>2905</v>
      </c>
      <c r="O22" t="s">
        <v>4657</v>
      </c>
    </row>
    <row r="23" spans="1:15" ht="15" customHeight="1" x14ac:dyDescent="0.25">
      <c r="A23" t="s">
        <v>3316</v>
      </c>
      <c r="B23" t="s">
        <v>2951</v>
      </c>
      <c r="C23" t="s">
        <v>4616</v>
      </c>
      <c r="D23">
        <v>1</v>
      </c>
      <c r="E23" t="s">
        <v>5332</v>
      </c>
      <c r="F23" t="s">
        <v>5333</v>
      </c>
      <c r="G23" t="s">
        <v>5332</v>
      </c>
      <c r="H23" t="s">
        <v>5333</v>
      </c>
      <c r="I23">
        <v>1</v>
      </c>
      <c r="J23" t="s">
        <v>5334</v>
      </c>
      <c r="K23" t="s">
        <v>3319</v>
      </c>
      <c r="L23" t="s">
        <v>1330</v>
      </c>
      <c r="M23" t="s">
        <v>4311</v>
      </c>
      <c r="N23" t="s">
        <v>4262</v>
      </c>
      <c r="O23" t="s">
        <v>4649</v>
      </c>
    </row>
    <row r="24" spans="1:15" ht="15" customHeight="1" x14ac:dyDescent="0.25">
      <c r="A24" t="s">
        <v>4678</v>
      </c>
      <c r="B24" t="s">
        <v>2958</v>
      </c>
      <c r="C24" t="s">
        <v>4239</v>
      </c>
      <c r="D24">
        <v>0</v>
      </c>
      <c r="E24" t="s">
        <v>4679</v>
      </c>
      <c r="F24" t="s">
        <v>5335</v>
      </c>
      <c r="G24" t="s">
        <v>4680</v>
      </c>
      <c r="H24" t="s">
        <v>5336</v>
      </c>
      <c r="I24">
        <v>0</v>
      </c>
      <c r="J24" t="s">
        <v>2905</v>
      </c>
      <c r="K24" t="s">
        <v>4678</v>
      </c>
      <c r="L24" t="s">
        <v>1954</v>
      </c>
      <c r="M24" t="s">
        <v>2905</v>
      </c>
      <c r="N24" t="s">
        <v>2905</v>
      </c>
      <c r="O24" t="s">
        <v>4666</v>
      </c>
    </row>
    <row r="25" spans="1:15" ht="15" customHeight="1" x14ac:dyDescent="0.25">
      <c r="A25" t="s">
        <v>4681</v>
      </c>
      <c r="B25" t="s">
        <v>2951</v>
      </c>
      <c r="C25" t="s">
        <v>4616</v>
      </c>
      <c r="D25">
        <v>3</v>
      </c>
      <c r="E25" t="s">
        <v>4682</v>
      </c>
      <c r="F25" t="s">
        <v>5337</v>
      </c>
      <c r="G25" t="s">
        <v>4683</v>
      </c>
      <c r="H25" t="s">
        <v>5338</v>
      </c>
      <c r="I25">
        <v>3</v>
      </c>
      <c r="J25" t="s">
        <v>5339</v>
      </c>
      <c r="K25" t="s">
        <v>4681</v>
      </c>
      <c r="L25" t="s">
        <v>1954</v>
      </c>
      <c r="M25" t="s">
        <v>2905</v>
      </c>
      <c r="N25" t="s">
        <v>2905</v>
      </c>
      <c r="O25" t="s">
        <v>4629</v>
      </c>
    </row>
    <row r="26" spans="1:15" ht="15" customHeight="1" x14ac:dyDescent="0.25">
      <c r="A26" t="s">
        <v>4038</v>
      </c>
      <c r="B26" t="s">
        <v>2970</v>
      </c>
      <c r="C26" t="s">
        <v>4239</v>
      </c>
      <c r="D26">
        <v>1</v>
      </c>
      <c r="E26" s="9" t="s">
        <v>5340</v>
      </c>
      <c r="F26" t="s">
        <v>5341</v>
      </c>
      <c r="G26" s="9" t="s">
        <v>5342</v>
      </c>
      <c r="H26" t="s">
        <v>5343</v>
      </c>
      <c r="I26">
        <v>1</v>
      </c>
      <c r="J26" t="s">
        <v>2905</v>
      </c>
      <c r="K26" t="s">
        <v>4038</v>
      </c>
      <c r="L26" t="s">
        <v>1954</v>
      </c>
      <c r="M26" t="s">
        <v>2905</v>
      </c>
      <c r="N26" t="s">
        <v>2905</v>
      </c>
      <c r="O26" t="s">
        <v>4611</v>
      </c>
    </row>
    <row r="27" spans="1:15" ht="15" customHeight="1" x14ac:dyDescent="0.25">
      <c r="A27" t="s">
        <v>4691</v>
      </c>
      <c r="B27" t="s">
        <v>2958</v>
      </c>
      <c r="C27" t="s">
        <v>4616</v>
      </c>
      <c r="D27">
        <v>1</v>
      </c>
      <c r="E27" t="s">
        <v>5344</v>
      </c>
      <c r="F27" t="s">
        <v>5345</v>
      </c>
      <c r="G27" t="s">
        <v>5344</v>
      </c>
      <c r="H27" t="s">
        <v>5345</v>
      </c>
      <c r="I27">
        <v>0</v>
      </c>
      <c r="J27" t="s">
        <v>5346</v>
      </c>
      <c r="K27" t="s">
        <v>4693</v>
      </c>
      <c r="L27" t="s">
        <v>1954</v>
      </c>
      <c r="M27" t="s">
        <v>2905</v>
      </c>
      <c r="N27" t="s">
        <v>2905</v>
      </c>
      <c r="O27" t="s">
        <v>4629</v>
      </c>
    </row>
    <row r="28" spans="1:15" ht="15" customHeight="1" x14ac:dyDescent="0.25">
      <c r="A28" t="s">
        <v>4694</v>
      </c>
      <c r="B28" t="s">
        <v>2970</v>
      </c>
      <c r="C28" t="s">
        <v>4239</v>
      </c>
      <c r="D28">
        <v>0</v>
      </c>
      <c r="E28" t="s">
        <v>4695</v>
      </c>
      <c r="F28" t="s">
        <v>5347</v>
      </c>
      <c r="G28" t="s">
        <v>4696</v>
      </c>
      <c r="H28" t="s">
        <v>5348</v>
      </c>
      <c r="I28">
        <v>0</v>
      </c>
      <c r="J28" t="s">
        <v>2905</v>
      </c>
      <c r="K28" t="s">
        <v>4697</v>
      </c>
      <c r="L28" t="s">
        <v>1954</v>
      </c>
      <c r="M28" t="s">
        <v>5303</v>
      </c>
      <c r="N28" t="s">
        <v>2905</v>
      </c>
      <c r="O28" t="s">
        <v>4698</v>
      </c>
    </row>
    <row r="29" spans="1:15" ht="15" customHeight="1" x14ac:dyDescent="0.25">
      <c r="A29" t="s">
        <v>4704</v>
      </c>
      <c r="B29" t="s">
        <v>2970</v>
      </c>
      <c r="C29" t="s">
        <v>4239</v>
      </c>
      <c r="D29">
        <v>2</v>
      </c>
      <c r="E29" t="s">
        <v>4705</v>
      </c>
      <c r="F29" t="s">
        <v>5349</v>
      </c>
      <c r="G29" t="s">
        <v>4706</v>
      </c>
      <c r="H29" t="s">
        <v>5350</v>
      </c>
      <c r="I29">
        <v>2</v>
      </c>
      <c r="J29" t="s">
        <v>5351</v>
      </c>
      <c r="K29" t="s">
        <v>4707</v>
      </c>
      <c r="L29" t="s">
        <v>1954</v>
      </c>
      <c r="M29" t="s">
        <v>4311</v>
      </c>
      <c r="N29" t="s">
        <v>4133</v>
      </c>
      <c r="O29" t="s">
        <v>5352</v>
      </c>
    </row>
    <row r="30" spans="1:15" ht="15" customHeight="1" x14ac:dyDescent="0.25">
      <c r="A30" t="s">
        <v>4715</v>
      </c>
      <c r="B30" t="s">
        <v>2951</v>
      </c>
      <c r="C30" t="s">
        <v>4239</v>
      </c>
      <c r="D30">
        <v>3</v>
      </c>
      <c r="E30" s="9" t="s">
        <v>4716</v>
      </c>
      <c r="F30" t="s">
        <v>5353</v>
      </c>
      <c r="G30" s="9" t="s">
        <v>4716</v>
      </c>
      <c r="H30" t="s">
        <v>5353</v>
      </c>
      <c r="I30">
        <v>2</v>
      </c>
      <c r="J30" t="s">
        <v>2905</v>
      </c>
      <c r="K30" t="s">
        <v>4717</v>
      </c>
      <c r="L30" t="s">
        <v>1954</v>
      </c>
      <c r="M30" t="s">
        <v>2905</v>
      </c>
      <c r="N30" t="s">
        <v>2905</v>
      </c>
      <c r="O30" t="s">
        <v>4718</v>
      </c>
    </row>
    <row r="31" spans="1:15" ht="15" customHeight="1" x14ac:dyDescent="0.25">
      <c r="A31" t="s">
        <v>4047</v>
      </c>
      <c r="B31" t="s">
        <v>3803</v>
      </c>
      <c r="C31" t="s">
        <v>4685</v>
      </c>
      <c r="D31" t="s">
        <v>3801</v>
      </c>
      <c r="E31" s="9" t="s">
        <v>4719</v>
      </c>
      <c r="F31" t="s">
        <v>5354</v>
      </c>
      <c r="G31" s="9" t="s">
        <v>2905</v>
      </c>
      <c r="H31" t="s">
        <v>2905</v>
      </c>
      <c r="I31" t="s">
        <v>2905</v>
      </c>
      <c r="J31" t="s">
        <v>2905</v>
      </c>
      <c r="K31" t="s">
        <v>4047</v>
      </c>
      <c r="L31" t="s">
        <v>1954</v>
      </c>
      <c r="M31" t="s">
        <v>4343</v>
      </c>
      <c r="N31" t="s">
        <v>2905</v>
      </c>
      <c r="O31" t="s">
        <v>5355</v>
      </c>
    </row>
    <row r="32" spans="1:15" ht="15" customHeight="1" x14ac:dyDescent="0.25">
      <c r="A32" t="s">
        <v>4721</v>
      </c>
      <c r="B32" t="s">
        <v>2970</v>
      </c>
      <c r="C32" t="s">
        <v>4239</v>
      </c>
      <c r="D32">
        <v>1</v>
      </c>
      <c r="E32" t="s">
        <v>4722</v>
      </c>
      <c r="F32" t="s">
        <v>5356</v>
      </c>
      <c r="G32" t="s">
        <v>4723</v>
      </c>
      <c r="H32" t="s">
        <v>5357</v>
      </c>
      <c r="I32">
        <v>1</v>
      </c>
      <c r="J32" t="s">
        <v>2905</v>
      </c>
      <c r="K32" t="s">
        <v>4724</v>
      </c>
      <c r="L32" t="s">
        <v>1954</v>
      </c>
      <c r="M32" t="s">
        <v>4376</v>
      </c>
      <c r="N32" t="s">
        <v>2905</v>
      </c>
      <c r="O32" t="s">
        <v>4725</v>
      </c>
    </row>
    <row r="33" spans="1:15" ht="15" customHeight="1" x14ac:dyDescent="0.25">
      <c r="A33" t="s">
        <v>4049</v>
      </c>
      <c r="B33" t="s">
        <v>2951</v>
      </c>
      <c r="C33" t="s">
        <v>4239</v>
      </c>
      <c r="D33">
        <v>1</v>
      </c>
      <c r="E33" s="9" t="s">
        <v>5358</v>
      </c>
      <c r="F33" t="s">
        <v>5359</v>
      </c>
      <c r="G33" s="9" t="s">
        <v>5360</v>
      </c>
      <c r="H33" t="s">
        <v>5361</v>
      </c>
      <c r="I33">
        <v>1</v>
      </c>
      <c r="J33" t="s">
        <v>2905</v>
      </c>
      <c r="K33" t="s">
        <v>4049</v>
      </c>
      <c r="L33" t="s">
        <v>1954</v>
      </c>
      <c r="M33" t="s">
        <v>2905</v>
      </c>
      <c r="N33" t="s">
        <v>2905</v>
      </c>
      <c r="O33" t="s">
        <v>4718</v>
      </c>
    </row>
    <row r="34" spans="1:15" ht="15" customHeight="1" x14ac:dyDescent="0.25">
      <c r="A34" t="s">
        <v>4728</v>
      </c>
      <c r="B34" t="s">
        <v>2970</v>
      </c>
      <c r="C34" t="s">
        <v>4239</v>
      </c>
      <c r="D34">
        <v>0</v>
      </c>
      <c r="E34" s="9" t="s">
        <v>5362</v>
      </c>
      <c r="F34" t="s">
        <v>5363</v>
      </c>
      <c r="G34" s="9" t="s">
        <v>5364</v>
      </c>
      <c r="H34" t="s">
        <v>5365</v>
      </c>
      <c r="I34">
        <v>0</v>
      </c>
      <c r="J34" t="s">
        <v>2905</v>
      </c>
      <c r="K34" t="s">
        <v>4731</v>
      </c>
      <c r="L34" t="s">
        <v>1954</v>
      </c>
      <c r="M34" t="s">
        <v>2905</v>
      </c>
      <c r="N34" t="s">
        <v>2905</v>
      </c>
      <c r="O34" t="s">
        <v>4732</v>
      </c>
    </row>
    <row r="35" spans="1:15" ht="15" customHeight="1" x14ac:dyDescent="0.25">
      <c r="A35" t="s">
        <v>4735</v>
      </c>
      <c r="B35" t="s">
        <v>2970</v>
      </c>
      <c r="C35" t="s">
        <v>4616</v>
      </c>
      <c r="D35">
        <v>2</v>
      </c>
      <c r="E35" t="s">
        <v>5366</v>
      </c>
      <c r="F35" t="s">
        <v>5367</v>
      </c>
      <c r="G35" t="s">
        <v>4737</v>
      </c>
      <c r="H35" t="s">
        <v>5368</v>
      </c>
      <c r="I35">
        <v>2</v>
      </c>
      <c r="J35" t="s">
        <v>5319</v>
      </c>
      <c r="K35" t="s">
        <v>4735</v>
      </c>
      <c r="L35" t="s">
        <v>1954</v>
      </c>
      <c r="M35" t="s">
        <v>4302</v>
      </c>
      <c r="N35" t="s">
        <v>2905</v>
      </c>
      <c r="O35" t="s">
        <v>4629</v>
      </c>
    </row>
    <row r="36" spans="1:15" ht="15" customHeight="1" x14ac:dyDescent="0.25">
      <c r="A36" t="s">
        <v>4738</v>
      </c>
      <c r="B36" t="s">
        <v>2970</v>
      </c>
      <c r="C36" t="s">
        <v>4239</v>
      </c>
      <c r="D36">
        <v>1</v>
      </c>
      <c r="E36" s="9" t="s">
        <v>5369</v>
      </c>
      <c r="F36" t="s">
        <v>5370</v>
      </c>
      <c r="G36" s="9" t="s">
        <v>5371</v>
      </c>
      <c r="H36" t="s">
        <v>5372</v>
      </c>
      <c r="I36">
        <v>1</v>
      </c>
      <c r="J36" t="s">
        <v>2905</v>
      </c>
      <c r="K36" t="s">
        <v>4738</v>
      </c>
      <c r="L36" t="s">
        <v>1954</v>
      </c>
      <c r="M36" t="s">
        <v>4376</v>
      </c>
      <c r="N36" t="s">
        <v>2905</v>
      </c>
      <c r="O36" t="s">
        <v>5373</v>
      </c>
    </row>
    <row r="37" spans="1:15" ht="15" customHeight="1" x14ac:dyDescent="0.25">
      <c r="A37" t="s">
        <v>4741</v>
      </c>
      <c r="B37" t="s">
        <v>2970</v>
      </c>
      <c r="C37" t="s">
        <v>4616</v>
      </c>
      <c r="D37">
        <v>2</v>
      </c>
      <c r="E37" s="9" t="s">
        <v>4742</v>
      </c>
      <c r="F37" t="s">
        <v>5374</v>
      </c>
      <c r="G37" s="9" t="s">
        <v>4743</v>
      </c>
      <c r="H37" t="s">
        <v>5375</v>
      </c>
      <c r="I37">
        <v>2</v>
      </c>
      <c r="J37" t="s">
        <v>5296</v>
      </c>
      <c r="K37" t="s">
        <v>4741</v>
      </c>
      <c r="L37" t="s">
        <v>1954</v>
      </c>
      <c r="M37" t="s">
        <v>2905</v>
      </c>
      <c r="N37" t="s">
        <v>2905</v>
      </c>
      <c r="O37" t="s">
        <v>4744</v>
      </c>
    </row>
    <row r="38" spans="1:15" ht="15" customHeight="1" x14ac:dyDescent="0.25">
      <c r="A38" t="s">
        <v>4745</v>
      </c>
      <c r="B38" t="s">
        <v>2958</v>
      </c>
      <c r="C38" t="s">
        <v>4616</v>
      </c>
      <c r="D38">
        <v>0</v>
      </c>
      <c r="E38" s="9" t="s">
        <v>5376</v>
      </c>
      <c r="F38" t="s">
        <v>5377</v>
      </c>
      <c r="G38" s="9" t="s">
        <v>5378</v>
      </c>
      <c r="H38" t="s">
        <v>5379</v>
      </c>
      <c r="I38">
        <v>0</v>
      </c>
      <c r="J38" t="s">
        <v>5380</v>
      </c>
      <c r="K38" t="s">
        <v>4745</v>
      </c>
      <c r="L38" t="s">
        <v>1954</v>
      </c>
      <c r="M38" t="s">
        <v>2905</v>
      </c>
      <c r="N38" t="s">
        <v>2905</v>
      </c>
      <c r="O38" t="s">
        <v>4629</v>
      </c>
    </row>
    <row r="39" spans="1:15" ht="15" customHeight="1" x14ac:dyDescent="0.25">
      <c r="A39" t="s">
        <v>4748</v>
      </c>
      <c r="B39" t="s">
        <v>2958</v>
      </c>
      <c r="C39" t="s">
        <v>4616</v>
      </c>
      <c r="D39">
        <v>0</v>
      </c>
      <c r="E39" t="s">
        <v>4749</v>
      </c>
      <c r="F39" t="s">
        <v>5381</v>
      </c>
      <c r="G39" t="s">
        <v>4750</v>
      </c>
      <c r="H39" t="s">
        <v>5382</v>
      </c>
      <c r="I39">
        <v>0</v>
      </c>
      <c r="J39" t="s">
        <v>5380</v>
      </c>
      <c r="K39" t="s">
        <v>4748</v>
      </c>
      <c r="L39" t="s">
        <v>1954</v>
      </c>
      <c r="M39" t="s">
        <v>2905</v>
      </c>
      <c r="N39" t="s">
        <v>2905</v>
      </c>
      <c r="O39" t="s">
        <v>4751</v>
      </c>
    </row>
    <row r="40" spans="1:15" ht="15" customHeight="1" x14ac:dyDescent="0.25">
      <c r="A40" t="s">
        <v>4290</v>
      </c>
      <c r="B40" t="s">
        <v>2958</v>
      </c>
      <c r="C40" t="s">
        <v>4616</v>
      </c>
      <c r="D40">
        <v>1</v>
      </c>
      <c r="E40" t="s">
        <v>4752</v>
      </c>
      <c r="F40" t="s">
        <v>5383</v>
      </c>
      <c r="G40" t="s">
        <v>4753</v>
      </c>
      <c r="H40" t="s">
        <v>5384</v>
      </c>
      <c r="I40">
        <v>1</v>
      </c>
      <c r="J40" t="s">
        <v>5385</v>
      </c>
      <c r="K40" t="s">
        <v>4290</v>
      </c>
      <c r="L40" t="s">
        <v>1954</v>
      </c>
      <c r="M40" t="s">
        <v>2905</v>
      </c>
      <c r="N40" t="s">
        <v>2905</v>
      </c>
      <c r="O40" t="s">
        <v>5386</v>
      </c>
    </row>
    <row r="41" spans="1:15" ht="15" customHeight="1" x14ac:dyDescent="0.25">
      <c r="A41" t="s">
        <v>4755</v>
      </c>
      <c r="B41" t="s">
        <v>2958</v>
      </c>
      <c r="C41" t="s">
        <v>4239</v>
      </c>
      <c r="D41">
        <v>1</v>
      </c>
      <c r="E41" t="s">
        <v>4756</v>
      </c>
      <c r="F41" t="s">
        <v>5387</v>
      </c>
      <c r="G41" t="s">
        <v>4757</v>
      </c>
      <c r="H41" t="s">
        <v>5388</v>
      </c>
      <c r="I41">
        <v>1</v>
      </c>
      <c r="J41" t="s">
        <v>2905</v>
      </c>
      <c r="K41" t="s">
        <v>4758</v>
      </c>
      <c r="L41" t="s">
        <v>1954</v>
      </c>
      <c r="M41" t="s">
        <v>2905</v>
      </c>
      <c r="N41" t="s">
        <v>2905</v>
      </c>
      <c r="O41" t="s">
        <v>4611</v>
      </c>
    </row>
    <row r="42" spans="1:15" ht="15" customHeight="1" x14ac:dyDescent="0.25">
      <c r="A42" t="s">
        <v>4759</v>
      </c>
      <c r="B42" t="s">
        <v>2958</v>
      </c>
      <c r="C42" t="s">
        <v>4616</v>
      </c>
      <c r="D42">
        <v>2</v>
      </c>
      <c r="E42" s="9" t="s">
        <v>5389</v>
      </c>
      <c r="F42" t="s">
        <v>5390</v>
      </c>
      <c r="G42" s="9" t="s">
        <v>5391</v>
      </c>
      <c r="H42" t="s">
        <v>5392</v>
      </c>
      <c r="I42" t="s">
        <v>2905</v>
      </c>
      <c r="J42" t="s">
        <v>5305</v>
      </c>
      <c r="K42" t="s">
        <v>4759</v>
      </c>
      <c r="L42" t="s">
        <v>1954</v>
      </c>
      <c r="M42" t="s">
        <v>2905</v>
      </c>
      <c r="N42" t="s">
        <v>2905</v>
      </c>
      <c r="O42" t="s">
        <v>4762</v>
      </c>
    </row>
    <row r="43" spans="1:15" ht="15" customHeight="1" x14ac:dyDescent="0.25">
      <c r="A43" t="s">
        <v>4763</v>
      </c>
      <c r="B43" t="s">
        <v>3803</v>
      </c>
      <c r="C43" t="s">
        <v>4764</v>
      </c>
      <c r="D43" t="s">
        <v>3801</v>
      </c>
      <c r="E43" t="s">
        <v>4765</v>
      </c>
      <c r="F43" t="s">
        <v>5393</v>
      </c>
      <c r="G43" t="s">
        <v>2905</v>
      </c>
      <c r="H43" t="s">
        <v>2905</v>
      </c>
      <c r="I43" t="s">
        <v>2905</v>
      </c>
      <c r="J43" t="s">
        <v>2905</v>
      </c>
      <c r="K43" t="s">
        <v>4763</v>
      </c>
      <c r="L43" t="s">
        <v>1954</v>
      </c>
      <c r="M43" t="s">
        <v>5394</v>
      </c>
      <c r="N43" t="s">
        <v>2905</v>
      </c>
      <c r="O43" t="s">
        <v>4766</v>
      </c>
    </row>
    <row r="44" spans="1:15" ht="15" customHeight="1" x14ac:dyDescent="0.25">
      <c r="A44" t="s">
        <v>4774</v>
      </c>
      <c r="B44" t="s">
        <v>2970</v>
      </c>
      <c r="C44" t="s">
        <v>4239</v>
      </c>
      <c r="D44">
        <v>0</v>
      </c>
      <c r="E44" s="9" t="s">
        <v>5395</v>
      </c>
      <c r="F44" t="s">
        <v>5396</v>
      </c>
      <c r="G44" s="9" t="s">
        <v>5397</v>
      </c>
      <c r="H44" t="s">
        <v>5398</v>
      </c>
      <c r="I44" t="s">
        <v>2905</v>
      </c>
      <c r="J44" t="s">
        <v>2905</v>
      </c>
      <c r="K44" t="s">
        <v>4774</v>
      </c>
      <c r="L44" t="s">
        <v>1954</v>
      </c>
      <c r="M44" t="s">
        <v>2905</v>
      </c>
      <c r="N44" t="s">
        <v>2905</v>
      </c>
      <c r="O44" t="s">
        <v>5399</v>
      </c>
    </row>
    <row r="45" spans="1:15" ht="15" customHeight="1" x14ac:dyDescent="0.25">
      <c r="A45" t="s">
        <v>4058</v>
      </c>
      <c r="B45" t="s">
        <v>2951</v>
      </c>
      <c r="C45" t="s">
        <v>4239</v>
      </c>
      <c r="D45">
        <v>2</v>
      </c>
      <c r="E45" s="9" t="s">
        <v>4778</v>
      </c>
      <c r="F45" t="s">
        <v>5400</v>
      </c>
      <c r="G45" s="9" t="s">
        <v>4779</v>
      </c>
      <c r="H45" t="s">
        <v>5401</v>
      </c>
      <c r="I45">
        <v>2</v>
      </c>
      <c r="J45" t="s">
        <v>5402</v>
      </c>
      <c r="K45" t="s">
        <v>4060</v>
      </c>
      <c r="L45" t="s">
        <v>1954</v>
      </c>
      <c r="M45" t="s">
        <v>2905</v>
      </c>
      <c r="N45" t="s">
        <v>2905</v>
      </c>
      <c r="O45" t="s">
        <v>5403</v>
      </c>
    </row>
    <row r="46" spans="1:15" ht="15" customHeight="1" x14ac:dyDescent="0.25">
      <c r="A46" t="s">
        <v>4783</v>
      </c>
      <c r="B46" t="s">
        <v>2970</v>
      </c>
      <c r="C46" t="s">
        <v>4239</v>
      </c>
      <c r="D46">
        <v>0</v>
      </c>
      <c r="E46" s="9" t="s">
        <v>5404</v>
      </c>
      <c r="F46" t="s">
        <v>5405</v>
      </c>
      <c r="G46" s="9" t="s">
        <v>5406</v>
      </c>
      <c r="H46" t="s">
        <v>5407</v>
      </c>
      <c r="I46" t="s">
        <v>2905</v>
      </c>
      <c r="J46" t="s">
        <v>5408</v>
      </c>
      <c r="K46" t="s">
        <v>4786</v>
      </c>
      <c r="L46" t="s">
        <v>1954</v>
      </c>
      <c r="M46" t="s">
        <v>4376</v>
      </c>
      <c r="N46" t="s">
        <v>2905</v>
      </c>
      <c r="O46" t="s">
        <v>5409</v>
      </c>
    </row>
    <row r="47" spans="1:15" ht="15" customHeight="1" x14ac:dyDescent="0.25">
      <c r="A47" t="s">
        <v>4788</v>
      </c>
      <c r="B47" t="s">
        <v>2958</v>
      </c>
      <c r="C47" t="s">
        <v>4616</v>
      </c>
      <c r="D47">
        <v>1</v>
      </c>
      <c r="E47" t="s">
        <v>4789</v>
      </c>
      <c r="F47" t="s">
        <v>5410</v>
      </c>
      <c r="G47" t="s">
        <v>4790</v>
      </c>
      <c r="H47" t="s">
        <v>5411</v>
      </c>
      <c r="I47">
        <v>1</v>
      </c>
      <c r="J47" t="s">
        <v>5412</v>
      </c>
      <c r="K47" t="s">
        <v>4791</v>
      </c>
      <c r="L47" t="s">
        <v>1954</v>
      </c>
      <c r="M47" t="s">
        <v>2905</v>
      </c>
      <c r="N47" t="s">
        <v>2905</v>
      </c>
      <c r="O47" t="s">
        <v>4792</v>
      </c>
    </row>
    <row r="48" spans="1:15" ht="15" customHeight="1" x14ac:dyDescent="0.25">
      <c r="A48" t="s">
        <v>4793</v>
      </c>
      <c r="B48" t="s">
        <v>2958</v>
      </c>
      <c r="C48" t="s">
        <v>4616</v>
      </c>
      <c r="D48">
        <v>1</v>
      </c>
      <c r="E48" t="s">
        <v>4794</v>
      </c>
      <c r="F48" t="s">
        <v>5413</v>
      </c>
      <c r="G48" t="s">
        <v>4795</v>
      </c>
      <c r="H48" t="s">
        <v>5414</v>
      </c>
      <c r="I48">
        <v>1</v>
      </c>
      <c r="J48" t="s">
        <v>5313</v>
      </c>
      <c r="K48" t="s">
        <v>4796</v>
      </c>
      <c r="L48" t="s">
        <v>1954</v>
      </c>
      <c r="M48" t="s">
        <v>2905</v>
      </c>
      <c r="N48" t="s">
        <v>2905</v>
      </c>
      <c r="O48" t="s">
        <v>4797</v>
      </c>
    </row>
    <row r="49" spans="1:15" ht="15" customHeight="1" x14ac:dyDescent="0.25">
      <c r="A49" t="s">
        <v>2891</v>
      </c>
      <c r="B49" t="s">
        <v>2970</v>
      </c>
      <c r="C49" t="s">
        <v>4616</v>
      </c>
      <c r="D49">
        <v>2</v>
      </c>
      <c r="E49" s="9" t="s">
        <v>4801</v>
      </c>
      <c r="F49" t="s">
        <v>5415</v>
      </c>
      <c r="G49" s="9" t="s">
        <v>4802</v>
      </c>
      <c r="H49" t="s">
        <v>5416</v>
      </c>
      <c r="I49">
        <v>2</v>
      </c>
      <c r="J49" t="s">
        <v>5288</v>
      </c>
      <c r="K49" t="s">
        <v>2891</v>
      </c>
      <c r="L49" t="s">
        <v>1954</v>
      </c>
      <c r="M49" t="s">
        <v>2905</v>
      </c>
      <c r="N49" t="s">
        <v>2905</v>
      </c>
      <c r="O49" t="s">
        <v>4803</v>
      </c>
    </row>
    <row r="50" spans="1:15" ht="15" customHeight="1" x14ac:dyDescent="0.25">
      <c r="A50" t="s">
        <v>4804</v>
      </c>
      <c r="B50" t="s">
        <v>3803</v>
      </c>
      <c r="C50" t="s">
        <v>4685</v>
      </c>
      <c r="D50" t="s">
        <v>3801</v>
      </c>
      <c r="E50" s="9" t="s">
        <v>5417</v>
      </c>
      <c r="F50" t="s">
        <v>5393</v>
      </c>
      <c r="G50" s="9" t="s">
        <v>2905</v>
      </c>
      <c r="H50" t="s">
        <v>2905</v>
      </c>
      <c r="I50" t="s">
        <v>2905</v>
      </c>
      <c r="J50" t="s">
        <v>2905</v>
      </c>
      <c r="K50" t="s">
        <v>4804</v>
      </c>
      <c r="L50" t="s">
        <v>1954</v>
      </c>
      <c r="M50" t="s">
        <v>4302</v>
      </c>
      <c r="N50" t="s">
        <v>2905</v>
      </c>
      <c r="O50" t="s">
        <v>5355</v>
      </c>
    </row>
    <row r="51" spans="1:15" ht="15" customHeight="1" x14ac:dyDescent="0.25">
      <c r="A51" t="s">
        <v>4806</v>
      </c>
      <c r="B51" t="s">
        <v>2958</v>
      </c>
      <c r="C51" t="s">
        <v>4239</v>
      </c>
      <c r="D51">
        <v>1</v>
      </c>
      <c r="E51" s="9" t="s">
        <v>4807</v>
      </c>
      <c r="F51" t="s">
        <v>5418</v>
      </c>
      <c r="G51" s="9" t="s">
        <v>4808</v>
      </c>
      <c r="H51" t="s">
        <v>5419</v>
      </c>
      <c r="I51">
        <v>1</v>
      </c>
      <c r="J51" t="s">
        <v>2905</v>
      </c>
      <c r="K51" t="s">
        <v>4809</v>
      </c>
      <c r="L51" t="s">
        <v>1954</v>
      </c>
      <c r="M51" t="s">
        <v>2905</v>
      </c>
      <c r="N51" t="s">
        <v>2905</v>
      </c>
      <c r="O51" t="s">
        <v>5352</v>
      </c>
    </row>
    <row r="52" spans="1:15" ht="15" customHeight="1" x14ac:dyDescent="0.25">
      <c r="A52" t="s">
        <v>4021</v>
      </c>
      <c r="B52" t="s">
        <v>3803</v>
      </c>
      <c r="C52" t="s">
        <v>4764</v>
      </c>
      <c r="D52" t="s">
        <v>3801</v>
      </c>
      <c r="E52" t="s">
        <v>4810</v>
      </c>
      <c r="F52" t="s">
        <v>5354</v>
      </c>
      <c r="G52" t="s">
        <v>2905</v>
      </c>
      <c r="H52" t="s">
        <v>2905</v>
      </c>
      <c r="I52" t="s">
        <v>2905</v>
      </c>
      <c r="J52" t="s">
        <v>2905</v>
      </c>
      <c r="K52" t="s">
        <v>4021</v>
      </c>
      <c r="L52" t="s">
        <v>1954</v>
      </c>
      <c r="M52" t="s">
        <v>4343</v>
      </c>
      <c r="N52" t="s">
        <v>2905</v>
      </c>
      <c r="O52" t="s">
        <v>4766</v>
      </c>
    </row>
    <row r="53" spans="1:15" ht="15" customHeight="1" x14ac:dyDescent="0.25">
      <c r="A53" t="s">
        <v>5420</v>
      </c>
      <c r="B53" t="s">
        <v>2982</v>
      </c>
      <c r="C53" t="s">
        <v>4239</v>
      </c>
      <c r="D53">
        <v>1</v>
      </c>
      <c r="E53" t="s">
        <v>4812</v>
      </c>
      <c r="F53" t="s">
        <v>5421</v>
      </c>
      <c r="G53" t="s">
        <v>4813</v>
      </c>
      <c r="H53" t="s">
        <v>5422</v>
      </c>
      <c r="I53">
        <v>1</v>
      </c>
      <c r="J53" t="s">
        <v>2905</v>
      </c>
      <c r="K53" t="s">
        <v>5423</v>
      </c>
      <c r="L53" t="s">
        <v>1954</v>
      </c>
      <c r="M53" t="s">
        <v>2905</v>
      </c>
      <c r="N53" t="s">
        <v>2905</v>
      </c>
      <c r="O53" t="s">
        <v>5424</v>
      </c>
    </row>
    <row r="54" spans="1:15" ht="15" customHeight="1" x14ac:dyDescent="0.25">
      <c r="A54" t="s">
        <v>5425</v>
      </c>
      <c r="B54" t="s">
        <v>2982</v>
      </c>
      <c r="C54" t="s">
        <v>4239</v>
      </c>
      <c r="D54">
        <v>1</v>
      </c>
      <c r="E54" t="s">
        <v>4812</v>
      </c>
      <c r="F54" t="s">
        <v>5421</v>
      </c>
      <c r="G54" t="s">
        <v>4813</v>
      </c>
      <c r="H54" t="s">
        <v>5422</v>
      </c>
      <c r="I54">
        <v>1</v>
      </c>
      <c r="J54" t="s">
        <v>2905</v>
      </c>
      <c r="K54" t="s">
        <v>5426</v>
      </c>
      <c r="L54" t="s">
        <v>1954</v>
      </c>
      <c r="M54" t="s">
        <v>2905</v>
      </c>
      <c r="N54" t="s">
        <v>2905</v>
      </c>
      <c r="O54" t="s">
        <v>5424</v>
      </c>
    </row>
    <row r="55" spans="1:15" ht="15" customHeight="1" x14ac:dyDescent="0.25">
      <c r="A55" t="s">
        <v>4816</v>
      </c>
      <c r="B55" t="s">
        <v>2958</v>
      </c>
      <c r="C55" t="s">
        <v>4239</v>
      </c>
      <c r="D55">
        <v>0</v>
      </c>
      <c r="E55" s="9" t="s">
        <v>4817</v>
      </c>
      <c r="F55" t="s">
        <v>5427</v>
      </c>
      <c r="G55" s="9" t="s">
        <v>5428</v>
      </c>
      <c r="H55" t="s">
        <v>5429</v>
      </c>
      <c r="I55">
        <v>0</v>
      </c>
      <c r="J55" t="s">
        <v>2905</v>
      </c>
      <c r="K55" t="s">
        <v>4816</v>
      </c>
      <c r="L55" t="s">
        <v>1954</v>
      </c>
      <c r="M55" t="s">
        <v>2905</v>
      </c>
      <c r="N55" t="s">
        <v>2905</v>
      </c>
      <c r="O55" t="s">
        <v>4611</v>
      </c>
    </row>
    <row r="56" spans="1:15" ht="15" customHeight="1" x14ac:dyDescent="0.25">
      <c r="A56" t="s">
        <v>3434</v>
      </c>
      <c r="B56" t="s">
        <v>2970</v>
      </c>
      <c r="C56" t="s">
        <v>4616</v>
      </c>
      <c r="D56">
        <v>1</v>
      </c>
      <c r="E56" t="s">
        <v>5430</v>
      </c>
      <c r="F56" t="s">
        <v>5431</v>
      </c>
      <c r="G56" t="s">
        <v>5430</v>
      </c>
      <c r="H56" t="s">
        <v>5431</v>
      </c>
      <c r="I56">
        <v>1</v>
      </c>
      <c r="J56" t="s">
        <v>5288</v>
      </c>
      <c r="K56" t="s">
        <v>3434</v>
      </c>
      <c r="L56" t="s">
        <v>1330</v>
      </c>
      <c r="M56" t="s">
        <v>4305</v>
      </c>
      <c r="N56" t="s">
        <v>2905</v>
      </c>
      <c r="O56" t="s">
        <v>4649</v>
      </c>
    </row>
    <row r="57" spans="1:15" ht="15" customHeight="1" x14ac:dyDescent="0.25">
      <c r="A57" t="s">
        <v>4825</v>
      </c>
      <c r="B57" t="s">
        <v>2951</v>
      </c>
      <c r="C57" t="s">
        <v>4616</v>
      </c>
      <c r="D57">
        <v>1</v>
      </c>
      <c r="E57" t="s">
        <v>4826</v>
      </c>
      <c r="F57" t="s">
        <v>5432</v>
      </c>
      <c r="G57" t="s">
        <v>4827</v>
      </c>
      <c r="H57" t="s">
        <v>5433</v>
      </c>
      <c r="I57">
        <v>1</v>
      </c>
      <c r="J57" t="s">
        <v>5434</v>
      </c>
      <c r="K57" t="s">
        <v>4828</v>
      </c>
      <c r="L57" t="s">
        <v>1954</v>
      </c>
      <c r="M57" t="s">
        <v>4376</v>
      </c>
      <c r="N57" t="s">
        <v>2905</v>
      </c>
      <c r="O57" t="s">
        <v>4829</v>
      </c>
    </row>
    <row r="58" spans="1:15" ht="15" customHeight="1" x14ac:dyDescent="0.25">
      <c r="A58" t="s">
        <v>4830</v>
      </c>
      <c r="B58" t="s">
        <v>2970</v>
      </c>
      <c r="C58" t="s">
        <v>4239</v>
      </c>
      <c r="D58">
        <v>1</v>
      </c>
      <c r="E58" s="9" t="s">
        <v>4831</v>
      </c>
      <c r="F58" t="s">
        <v>5435</v>
      </c>
      <c r="G58" s="9" t="s">
        <v>4832</v>
      </c>
      <c r="H58" t="s">
        <v>5436</v>
      </c>
      <c r="I58">
        <v>1</v>
      </c>
      <c r="J58" t="s">
        <v>2905</v>
      </c>
      <c r="K58" t="s">
        <v>4830</v>
      </c>
      <c r="L58" t="s">
        <v>1954</v>
      </c>
      <c r="M58" t="s">
        <v>4376</v>
      </c>
      <c r="N58" t="s">
        <v>2905</v>
      </c>
      <c r="O58" t="s">
        <v>4833</v>
      </c>
    </row>
    <row r="59" spans="1:15" ht="15" customHeight="1" x14ac:dyDescent="0.25">
      <c r="A59" t="s">
        <v>4834</v>
      </c>
      <c r="B59" t="s">
        <v>2970</v>
      </c>
      <c r="C59" t="s">
        <v>4239</v>
      </c>
      <c r="D59">
        <v>1</v>
      </c>
      <c r="E59" s="9" t="s">
        <v>4835</v>
      </c>
      <c r="F59" t="s">
        <v>5437</v>
      </c>
      <c r="G59" s="9" t="s">
        <v>4835</v>
      </c>
      <c r="H59" t="s">
        <v>5437</v>
      </c>
      <c r="I59">
        <v>0</v>
      </c>
      <c r="J59" t="s">
        <v>2905</v>
      </c>
      <c r="K59" t="s">
        <v>4834</v>
      </c>
      <c r="L59" t="s">
        <v>1954</v>
      </c>
      <c r="M59" t="s">
        <v>4376</v>
      </c>
      <c r="N59" t="s">
        <v>2905</v>
      </c>
      <c r="O59" t="s">
        <v>4836</v>
      </c>
    </row>
    <row r="60" spans="1:15" ht="15" customHeight="1" x14ac:dyDescent="0.25">
      <c r="A60" t="s">
        <v>4837</v>
      </c>
      <c r="B60" t="s">
        <v>2958</v>
      </c>
      <c r="C60" t="s">
        <v>4239</v>
      </c>
      <c r="D60">
        <v>1</v>
      </c>
      <c r="E60" s="9" t="s">
        <v>5438</v>
      </c>
      <c r="F60" t="s">
        <v>5439</v>
      </c>
      <c r="G60" s="9" t="s">
        <v>5440</v>
      </c>
      <c r="H60" t="s">
        <v>5441</v>
      </c>
      <c r="I60">
        <v>1</v>
      </c>
      <c r="J60" t="s">
        <v>2905</v>
      </c>
      <c r="K60" t="s">
        <v>4840</v>
      </c>
      <c r="L60" t="s">
        <v>1954</v>
      </c>
      <c r="M60" t="s">
        <v>2905</v>
      </c>
      <c r="N60" t="s">
        <v>2905</v>
      </c>
      <c r="O60" t="s">
        <v>4611</v>
      </c>
    </row>
    <row r="61" spans="1:15" ht="15" customHeight="1" x14ac:dyDescent="0.25">
      <c r="A61" t="s">
        <v>4841</v>
      </c>
      <c r="B61" t="s">
        <v>2951</v>
      </c>
      <c r="C61" t="s">
        <v>4239</v>
      </c>
      <c r="D61" t="s">
        <v>4842</v>
      </c>
      <c r="E61" s="9" t="s">
        <v>5442</v>
      </c>
      <c r="F61" t="s">
        <v>5443</v>
      </c>
      <c r="G61" s="9" t="s">
        <v>5444</v>
      </c>
      <c r="H61" t="s">
        <v>5445</v>
      </c>
      <c r="I61" t="s">
        <v>2905</v>
      </c>
      <c r="J61" t="s">
        <v>2905</v>
      </c>
      <c r="K61" t="s">
        <v>4841</v>
      </c>
      <c r="L61" t="s">
        <v>1954</v>
      </c>
      <c r="M61" t="s">
        <v>4376</v>
      </c>
      <c r="N61" t="s">
        <v>2905</v>
      </c>
      <c r="O61" t="s">
        <v>4845</v>
      </c>
    </row>
    <row r="62" spans="1:15" ht="15" customHeight="1" x14ac:dyDescent="0.25">
      <c r="A62" t="s">
        <v>4243</v>
      </c>
      <c r="B62" t="s">
        <v>2951</v>
      </c>
      <c r="C62" t="s">
        <v>4239</v>
      </c>
      <c r="D62">
        <v>1</v>
      </c>
      <c r="E62" s="9" t="s">
        <v>4846</v>
      </c>
      <c r="F62" t="s">
        <v>5446</v>
      </c>
      <c r="G62" s="9" t="s">
        <v>4847</v>
      </c>
      <c r="H62" t="s">
        <v>5447</v>
      </c>
      <c r="I62">
        <v>1</v>
      </c>
      <c r="J62" t="s">
        <v>2905</v>
      </c>
      <c r="K62" t="s">
        <v>4245</v>
      </c>
      <c r="L62" t="s">
        <v>1954</v>
      </c>
      <c r="M62" t="s">
        <v>2905</v>
      </c>
      <c r="N62" t="s">
        <v>2905</v>
      </c>
      <c r="O62" t="s">
        <v>4629</v>
      </c>
    </row>
    <row r="63" spans="1:15" ht="15" customHeight="1" x14ac:dyDescent="0.25">
      <c r="A63" t="s">
        <v>4849</v>
      </c>
      <c r="B63" t="s">
        <v>3803</v>
      </c>
      <c r="C63" t="s">
        <v>4764</v>
      </c>
      <c r="D63" t="s">
        <v>3801</v>
      </c>
      <c r="E63" t="s">
        <v>4850</v>
      </c>
      <c r="F63" t="s">
        <v>5448</v>
      </c>
      <c r="G63" t="s">
        <v>2905</v>
      </c>
      <c r="H63" t="s">
        <v>2905</v>
      </c>
      <c r="I63" t="s">
        <v>2905</v>
      </c>
      <c r="J63" t="s">
        <v>2905</v>
      </c>
      <c r="K63" t="s">
        <v>4849</v>
      </c>
      <c r="L63" t="s">
        <v>1954</v>
      </c>
      <c r="M63" t="s">
        <v>4343</v>
      </c>
      <c r="N63" t="s">
        <v>2905</v>
      </c>
      <c r="O63" t="s">
        <v>4766</v>
      </c>
    </row>
    <row r="64" spans="1:15" ht="15" customHeight="1" x14ac:dyDescent="0.25">
      <c r="A64" t="s">
        <v>4851</v>
      </c>
      <c r="B64" t="s">
        <v>2970</v>
      </c>
      <c r="C64" t="s">
        <v>4616</v>
      </c>
      <c r="D64">
        <v>1</v>
      </c>
      <c r="E64" s="9" t="s">
        <v>5449</v>
      </c>
      <c r="F64" t="s">
        <v>5450</v>
      </c>
      <c r="G64" s="9" t="s">
        <v>5451</v>
      </c>
      <c r="H64" t="s">
        <v>5452</v>
      </c>
      <c r="I64">
        <v>1</v>
      </c>
      <c r="J64" t="s">
        <v>5288</v>
      </c>
      <c r="K64" t="s">
        <v>4851</v>
      </c>
      <c r="L64" t="s">
        <v>1954</v>
      </c>
      <c r="M64" t="s">
        <v>2905</v>
      </c>
      <c r="N64" t="s">
        <v>2905</v>
      </c>
      <c r="O64" t="s">
        <v>4854</v>
      </c>
    </row>
    <row r="65" spans="1:15" ht="15" customHeight="1" x14ac:dyDescent="0.25">
      <c r="A65" t="s">
        <v>4859</v>
      </c>
      <c r="B65" t="s">
        <v>2970</v>
      </c>
      <c r="C65" t="s">
        <v>4239</v>
      </c>
      <c r="D65">
        <v>1</v>
      </c>
      <c r="E65" s="9" t="s">
        <v>4860</v>
      </c>
      <c r="F65" t="s">
        <v>5453</v>
      </c>
      <c r="G65" s="9" t="s">
        <v>4861</v>
      </c>
      <c r="H65" t="s">
        <v>5454</v>
      </c>
      <c r="I65">
        <v>1</v>
      </c>
      <c r="J65" t="s">
        <v>2905</v>
      </c>
      <c r="K65" t="s">
        <v>4862</v>
      </c>
      <c r="L65" t="s">
        <v>1954</v>
      </c>
      <c r="M65" t="s">
        <v>2905</v>
      </c>
      <c r="N65" t="s">
        <v>2905</v>
      </c>
      <c r="O65" t="s">
        <v>4657</v>
      </c>
    </row>
    <row r="66" spans="1:15" ht="15" customHeight="1" x14ac:dyDescent="0.25">
      <c r="A66" t="s">
        <v>4863</v>
      </c>
      <c r="B66" t="s">
        <v>2970</v>
      </c>
      <c r="C66" t="s">
        <v>4616</v>
      </c>
      <c r="D66">
        <v>0</v>
      </c>
      <c r="E66" s="9" t="s">
        <v>5455</v>
      </c>
      <c r="F66" t="s">
        <v>5456</v>
      </c>
      <c r="G66" s="9" t="s">
        <v>5457</v>
      </c>
      <c r="H66" t="s">
        <v>5458</v>
      </c>
      <c r="I66">
        <v>0</v>
      </c>
      <c r="J66" t="s">
        <v>5346</v>
      </c>
      <c r="K66" t="s">
        <v>4866</v>
      </c>
      <c r="L66" t="s">
        <v>1954</v>
      </c>
      <c r="M66" t="s">
        <v>4376</v>
      </c>
      <c r="N66" t="s">
        <v>2905</v>
      </c>
      <c r="O66" t="s">
        <v>4671</v>
      </c>
    </row>
    <row r="67" spans="1:15" x14ac:dyDescent="0.25">
      <c r="A67" t="s">
        <v>4867</v>
      </c>
      <c r="B67" t="s">
        <v>2970</v>
      </c>
      <c r="C67" t="s">
        <v>4239</v>
      </c>
      <c r="D67">
        <v>2</v>
      </c>
      <c r="E67" s="9" t="s">
        <v>4868</v>
      </c>
      <c r="F67" t="s">
        <v>5459</v>
      </c>
      <c r="G67" s="9" t="s">
        <v>4868</v>
      </c>
      <c r="H67" t="s">
        <v>5459</v>
      </c>
      <c r="I67">
        <v>1</v>
      </c>
      <c r="J67" t="s">
        <v>2905</v>
      </c>
      <c r="K67" t="s">
        <v>4867</v>
      </c>
      <c r="L67" t="s">
        <v>1954</v>
      </c>
      <c r="M67" t="s">
        <v>2905</v>
      </c>
      <c r="N67" t="s">
        <v>2905</v>
      </c>
      <c r="O67" t="s">
        <v>4633</v>
      </c>
    </row>
    <row r="68" spans="1:15" x14ac:dyDescent="0.25">
      <c r="A68" t="s">
        <v>4075</v>
      </c>
      <c r="B68" t="s">
        <v>2951</v>
      </c>
      <c r="C68" t="s">
        <v>3449</v>
      </c>
      <c r="D68">
        <v>2</v>
      </c>
      <c r="E68" s="9" t="s">
        <v>5460</v>
      </c>
      <c r="F68" t="s">
        <v>5461</v>
      </c>
      <c r="G68" s="9" t="s">
        <v>5460</v>
      </c>
      <c r="H68" t="s">
        <v>5461</v>
      </c>
      <c r="I68">
        <v>1</v>
      </c>
      <c r="J68" t="s">
        <v>2905</v>
      </c>
      <c r="K68" t="s">
        <v>4075</v>
      </c>
      <c r="L68" t="s">
        <v>1954</v>
      </c>
      <c r="M68" t="s">
        <v>2905</v>
      </c>
      <c r="N68" t="s">
        <v>2905</v>
      </c>
      <c r="O68" t="s">
        <v>5462</v>
      </c>
    </row>
    <row r="69" spans="1:15" x14ac:dyDescent="0.25">
      <c r="A69" t="s">
        <v>4870</v>
      </c>
      <c r="B69" t="s">
        <v>2970</v>
      </c>
      <c r="C69" t="s">
        <v>4239</v>
      </c>
      <c r="D69">
        <v>0</v>
      </c>
      <c r="E69" s="9" t="s">
        <v>4871</v>
      </c>
      <c r="F69" t="s">
        <v>5463</v>
      </c>
      <c r="G69" s="9" t="s">
        <v>4872</v>
      </c>
      <c r="H69" t="s">
        <v>5464</v>
      </c>
      <c r="I69">
        <v>0</v>
      </c>
      <c r="J69" t="s">
        <v>2905</v>
      </c>
      <c r="K69" t="s">
        <v>4873</v>
      </c>
      <c r="L69" t="s">
        <v>1954</v>
      </c>
      <c r="M69" t="s">
        <v>2905</v>
      </c>
      <c r="N69" t="s">
        <v>2905</v>
      </c>
      <c r="O69" t="s">
        <v>4874</v>
      </c>
    </row>
    <row r="70" spans="1:15" x14ac:dyDescent="0.25">
      <c r="A70" t="s">
        <v>4875</v>
      </c>
      <c r="B70" t="s">
        <v>2970</v>
      </c>
      <c r="C70" t="s">
        <v>4616</v>
      </c>
      <c r="D70">
        <v>3</v>
      </c>
      <c r="E70" s="9" t="s">
        <v>5465</v>
      </c>
      <c r="F70" t="s">
        <v>5466</v>
      </c>
      <c r="G70" s="9" t="s">
        <v>5467</v>
      </c>
      <c r="H70" t="s">
        <v>5468</v>
      </c>
      <c r="I70">
        <v>3</v>
      </c>
      <c r="J70" t="s">
        <v>5296</v>
      </c>
      <c r="K70" t="s">
        <v>4875</v>
      </c>
      <c r="L70" t="s">
        <v>1954</v>
      </c>
      <c r="M70" t="s">
        <v>2905</v>
      </c>
      <c r="N70" t="s">
        <v>2905</v>
      </c>
      <c r="O70" t="s">
        <v>4878</v>
      </c>
    </row>
    <row r="71" spans="1:15" x14ac:dyDescent="0.25">
      <c r="A71" t="s">
        <v>4077</v>
      </c>
      <c r="B71" t="s">
        <v>2970</v>
      </c>
      <c r="C71" t="s">
        <v>3449</v>
      </c>
      <c r="D71">
        <v>1</v>
      </c>
      <c r="E71" s="9" t="s">
        <v>5469</v>
      </c>
      <c r="F71" t="s">
        <v>5470</v>
      </c>
      <c r="G71" s="9" t="s">
        <v>5471</v>
      </c>
      <c r="H71" t="s">
        <v>5472</v>
      </c>
      <c r="I71">
        <v>1</v>
      </c>
      <c r="J71" t="s">
        <v>2905</v>
      </c>
      <c r="K71" t="s">
        <v>4077</v>
      </c>
      <c r="L71" t="s">
        <v>1954</v>
      </c>
      <c r="M71" t="s">
        <v>2905</v>
      </c>
      <c r="N71" t="s">
        <v>2905</v>
      </c>
      <c r="O71" t="s">
        <v>4881</v>
      </c>
    </row>
    <row r="72" spans="1:15" x14ac:dyDescent="0.25">
      <c r="A72" t="s">
        <v>4882</v>
      </c>
      <c r="B72" t="s">
        <v>2951</v>
      </c>
      <c r="C72" t="s">
        <v>4239</v>
      </c>
      <c r="D72">
        <v>1</v>
      </c>
      <c r="E72" s="9" t="s">
        <v>4883</v>
      </c>
      <c r="F72" t="s">
        <v>5473</v>
      </c>
      <c r="G72" s="9" t="s">
        <v>4883</v>
      </c>
      <c r="H72" t="s">
        <v>5473</v>
      </c>
      <c r="I72">
        <v>0</v>
      </c>
      <c r="J72" t="s">
        <v>2905</v>
      </c>
      <c r="K72" t="s">
        <v>4882</v>
      </c>
      <c r="L72" t="s">
        <v>1954</v>
      </c>
      <c r="M72" t="s">
        <v>4376</v>
      </c>
      <c r="N72" t="s">
        <v>2905</v>
      </c>
      <c r="O72" t="s">
        <v>4884</v>
      </c>
    </row>
    <row r="73" spans="1:15" x14ac:dyDescent="0.25">
      <c r="A73" t="s">
        <v>4885</v>
      </c>
      <c r="B73" t="s">
        <v>2970</v>
      </c>
      <c r="C73" t="s">
        <v>4239</v>
      </c>
      <c r="D73">
        <v>1</v>
      </c>
      <c r="E73" s="9" t="s">
        <v>5474</v>
      </c>
      <c r="F73" t="s">
        <v>5475</v>
      </c>
      <c r="G73" s="9" t="s">
        <v>5476</v>
      </c>
      <c r="H73" t="s">
        <v>5477</v>
      </c>
      <c r="I73">
        <v>1</v>
      </c>
      <c r="J73" t="s">
        <v>2905</v>
      </c>
      <c r="K73" t="s">
        <v>4885</v>
      </c>
      <c r="L73" t="s">
        <v>1954</v>
      </c>
      <c r="M73" t="s">
        <v>2905</v>
      </c>
      <c r="N73" t="s">
        <v>2905</v>
      </c>
      <c r="O73" t="s">
        <v>4888</v>
      </c>
    </row>
    <row r="74" spans="1:15" x14ac:dyDescent="0.25">
      <c r="A74" t="s">
        <v>4889</v>
      </c>
      <c r="B74" t="s">
        <v>2951</v>
      </c>
      <c r="C74" t="s">
        <v>4616</v>
      </c>
      <c r="D74">
        <v>1</v>
      </c>
      <c r="E74" s="9" t="s">
        <v>5478</v>
      </c>
      <c r="F74" t="s">
        <v>5479</v>
      </c>
      <c r="G74" s="9" t="s">
        <v>5480</v>
      </c>
      <c r="H74" t="s">
        <v>5481</v>
      </c>
      <c r="I74" t="s">
        <v>2905</v>
      </c>
      <c r="J74" t="s">
        <v>5296</v>
      </c>
      <c r="K74" t="s">
        <v>4889</v>
      </c>
      <c r="L74" t="s">
        <v>1954</v>
      </c>
      <c r="M74" t="s">
        <v>4376</v>
      </c>
      <c r="N74" t="s">
        <v>2905</v>
      </c>
      <c r="O74" t="s">
        <v>4892</v>
      </c>
    </row>
    <row r="75" spans="1:15" x14ac:dyDescent="0.25">
      <c r="A75" t="s">
        <v>4085</v>
      </c>
      <c r="B75" t="s">
        <v>2970</v>
      </c>
      <c r="C75" t="s">
        <v>3449</v>
      </c>
      <c r="D75">
        <v>1</v>
      </c>
      <c r="E75" s="9" t="s">
        <v>5482</v>
      </c>
      <c r="F75" t="s">
        <v>5483</v>
      </c>
      <c r="G75" s="9" t="s">
        <v>5484</v>
      </c>
      <c r="H75" t="s">
        <v>5485</v>
      </c>
      <c r="I75">
        <v>1</v>
      </c>
      <c r="J75" t="s">
        <v>2905</v>
      </c>
      <c r="K75" t="s">
        <v>4087</v>
      </c>
      <c r="L75" t="s">
        <v>1954</v>
      </c>
      <c r="M75" t="s">
        <v>2905</v>
      </c>
      <c r="N75" t="s">
        <v>2905</v>
      </c>
      <c r="O75" t="s">
        <v>4895</v>
      </c>
    </row>
    <row r="76" spans="1:15" x14ac:dyDescent="0.25">
      <c r="A76" t="s">
        <v>4896</v>
      </c>
      <c r="B76" t="s">
        <v>2951</v>
      </c>
      <c r="C76" t="s">
        <v>4616</v>
      </c>
      <c r="D76">
        <v>2</v>
      </c>
      <c r="E76" s="9" t="s">
        <v>5486</v>
      </c>
      <c r="F76" t="s">
        <v>5487</v>
      </c>
      <c r="G76" s="9" t="s">
        <v>5488</v>
      </c>
      <c r="H76" t="s">
        <v>5489</v>
      </c>
      <c r="I76">
        <v>2</v>
      </c>
      <c r="J76" t="s">
        <v>5313</v>
      </c>
      <c r="K76" t="s">
        <v>4899</v>
      </c>
      <c r="L76" t="s">
        <v>1954</v>
      </c>
      <c r="M76" t="s">
        <v>4376</v>
      </c>
      <c r="N76" t="s">
        <v>4273</v>
      </c>
      <c r="O76" t="s">
        <v>4900</v>
      </c>
    </row>
    <row r="77" spans="1:15" x14ac:dyDescent="0.25">
      <c r="A77" t="s">
        <v>4903</v>
      </c>
      <c r="B77" t="s">
        <v>2970</v>
      </c>
      <c r="C77" t="s">
        <v>4616</v>
      </c>
      <c r="D77">
        <v>1</v>
      </c>
      <c r="E77" s="9" t="s">
        <v>5490</v>
      </c>
      <c r="F77" t="s">
        <v>5491</v>
      </c>
      <c r="G77" s="9" t="s">
        <v>5492</v>
      </c>
      <c r="H77" t="s">
        <v>5493</v>
      </c>
      <c r="I77" t="s">
        <v>2905</v>
      </c>
      <c r="J77" t="s">
        <v>5288</v>
      </c>
      <c r="K77" t="s">
        <v>4903</v>
      </c>
      <c r="L77" t="s">
        <v>1954</v>
      </c>
      <c r="M77" t="s">
        <v>2905</v>
      </c>
      <c r="N77" t="s">
        <v>2905</v>
      </c>
      <c r="O77" t="s">
        <v>5494</v>
      </c>
    </row>
    <row r="78" spans="1:15" x14ac:dyDescent="0.25">
      <c r="A78" t="s">
        <v>4088</v>
      </c>
      <c r="B78" t="s">
        <v>2970</v>
      </c>
      <c r="C78" t="s">
        <v>3449</v>
      </c>
      <c r="D78">
        <v>1</v>
      </c>
      <c r="E78" s="9" t="s">
        <v>5495</v>
      </c>
      <c r="F78" t="s">
        <v>5496</v>
      </c>
      <c r="G78" s="9" t="s">
        <v>5497</v>
      </c>
      <c r="H78" t="s">
        <v>5498</v>
      </c>
      <c r="I78">
        <v>1</v>
      </c>
      <c r="J78" t="s">
        <v>2905</v>
      </c>
      <c r="K78" t="s">
        <v>4090</v>
      </c>
      <c r="L78" t="s">
        <v>1954</v>
      </c>
      <c r="M78" t="s">
        <v>2905</v>
      </c>
      <c r="N78" t="s">
        <v>2905</v>
      </c>
      <c r="O78" t="s">
        <v>4908</v>
      </c>
    </row>
    <row r="79" spans="1:15" x14ac:dyDescent="0.25">
      <c r="A79" t="s">
        <v>4091</v>
      </c>
      <c r="B79" t="s">
        <v>2970</v>
      </c>
      <c r="C79" t="s">
        <v>4239</v>
      </c>
      <c r="D79">
        <v>2</v>
      </c>
      <c r="E79" s="9" t="s">
        <v>5499</v>
      </c>
      <c r="F79" t="s">
        <v>5500</v>
      </c>
      <c r="G79" s="9" t="s">
        <v>5501</v>
      </c>
      <c r="H79" t="s">
        <v>5502</v>
      </c>
      <c r="I79">
        <v>2</v>
      </c>
      <c r="J79" t="s">
        <v>2905</v>
      </c>
      <c r="K79" t="s">
        <v>4093</v>
      </c>
      <c r="L79" t="s">
        <v>1954</v>
      </c>
      <c r="M79" t="s">
        <v>2905</v>
      </c>
      <c r="N79" t="s">
        <v>4273</v>
      </c>
      <c r="O79" t="s">
        <v>4633</v>
      </c>
    </row>
    <row r="80" spans="1:15" x14ac:dyDescent="0.25">
      <c r="A80" t="s">
        <v>4911</v>
      </c>
      <c r="B80" t="s">
        <v>2970</v>
      </c>
      <c r="C80" t="s">
        <v>4616</v>
      </c>
      <c r="D80">
        <v>1</v>
      </c>
      <c r="E80" s="9" t="s">
        <v>5503</v>
      </c>
      <c r="F80" t="s">
        <v>5504</v>
      </c>
      <c r="G80" s="9" t="s">
        <v>5505</v>
      </c>
      <c r="H80" t="s">
        <v>5506</v>
      </c>
      <c r="I80">
        <v>1</v>
      </c>
      <c r="J80" t="s">
        <v>5313</v>
      </c>
      <c r="K80" t="s">
        <v>4911</v>
      </c>
      <c r="L80" t="s">
        <v>1954</v>
      </c>
      <c r="M80" t="s">
        <v>2905</v>
      </c>
      <c r="N80" t="s">
        <v>2905</v>
      </c>
      <c r="O80" t="s">
        <v>5494</v>
      </c>
    </row>
    <row r="81" spans="1:15" x14ac:dyDescent="0.25">
      <c r="A81" t="s">
        <v>4914</v>
      </c>
      <c r="B81" t="s">
        <v>2958</v>
      </c>
      <c r="C81" t="s">
        <v>4239</v>
      </c>
      <c r="D81">
        <v>0</v>
      </c>
      <c r="E81" s="9" t="s">
        <v>5507</v>
      </c>
      <c r="F81" t="s">
        <v>5508</v>
      </c>
      <c r="G81" s="9" t="s">
        <v>5509</v>
      </c>
      <c r="H81" t="s">
        <v>5510</v>
      </c>
      <c r="I81" t="s">
        <v>2905</v>
      </c>
      <c r="J81" t="s">
        <v>2905</v>
      </c>
      <c r="K81" t="s">
        <v>4914</v>
      </c>
      <c r="L81" t="s">
        <v>1954</v>
      </c>
      <c r="M81" t="s">
        <v>2905</v>
      </c>
      <c r="N81" t="s">
        <v>2905</v>
      </c>
      <c r="O81" t="s">
        <v>4955</v>
      </c>
    </row>
    <row r="82" spans="1:15" x14ac:dyDescent="0.25">
      <c r="A82" t="s">
        <v>4917</v>
      </c>
      <c r="B82" t="s">
        <v>2958</v>
      </c>
      <c r="C82" t="s">
        <v>4616</v>
      </c>
      <c r="D82">
        <v>1</v>
      </c>
      <c r="E82" s="9" t="s">
        <v>5511</v>
      </c>
      <c r="F82" t="s">
        <v>5512</v>
      </c>
      <c r="G82" s="9" t="s">
        <v>5513</v>
      </c>
      <c r="H82" t="s">
        <v>5514</v>
      </c>
      <c r="I82" t="s">
        <v>2905</v>
      </c>
      <c r="J82" t="s">
        <v>5288</v>
      </c>
      <c r="K82" t="s">
        <v>4920</v>
      </c>
      <c r="L82" t="s">
        <v>1954</v>
      </c>
      <c r="M82" t="s">
        <v>2905</v>
      </c>
      <c r="N82" t="s">
        <v>2905</v>
      </c>
      <c r="O82" t="s">
        <v>4921</v>
      </c>
    </row>
    <row r="83" spans="1:15" x14ac:dyDescent="0.25">
      <c r="A83" t="s">
        <v>4925</v>
      </c>
      <c r="B83" t="s">
        <v>2970</v>
      </c>
      <c r="C83" t="s">
        <v>4239</v>
      </c>
      <c r="D83">
        <v>1</v>
      </c>
      <c r="E83" s="9" t="s">
        <v>5515</v>
      </c>
      <c r="F83" t="s">
        <v>5347</v>
      </c>
      <c r="G83" s="9" t="s">
        <v>5516</v>
      </c>
      <c r="H83" t="s">
        <v>5348</v>
      </c>
      <c r="I83" t="s">
        <v>2905</v>
      </c>
      <c r="J83" t="s">
        <v>2905</v>
      </c>
      <c r="K83" t="s">
        <v>4928</v>
      </c>
      <c r="L83" t="s">
        <v>1954</v>
      </c>
      <c r="M83" t="s">
        <v>4302</v>
      </c>
      <c r="N83" t="s">
        <v>2905</v>
      </c>
      <c r="O83" t="s">
        <v>4633</v>
      </c>
    </row>
    <row r="84" spans="1:15" x14ac:dyDescent="0.25">
      <c r="A84" t="s">
        <v>4930</v>
      </c>
      <c r="B84" t="s">
        <v>2951</v>
      </c>
      <c r="C84" t="s">
        <v>4616</v>
      </c>
      <c r="D84">
        <v>1</v>
      </c>
      <c r="E84" s="9" t="s">
        <v>5517</v>
      </c>
      <c r="F84" t="s">
        <v>5518</v>
      </c>
      <c r="G84" s="9" t="s">
        <v>5519</v>
      </c>
      <c r="H84" t="s">
        <v>5520</v>
      </c>
      <c r="I84" t="s">
        <v>2905</v>
      </c>
      <c r="J84" t="s">
        <v>5313</v>
      </c>
      <c r="K84" t="s">
        <v>4933</v>
      </c>
      <c r="L84" t="s">
        <v>1954</v>
      </c>
      <c r="M84" t="s">
        <v>2905</v>
      </c>
      <c r="N84" t="s">
        <v>2905</v>
      </c>
      <c r="O84" t="s">
        <v>4671</v>
      </c>
    </row>
    <row r="85" spans="1:15" x14ac:dyDescent="0.25">
      <c r="A85" t="s">
        <v>4934</v>
      </c>
      <c r="B85" t="s">
        <v>2958</v>
      </c>
      <c r="C85" t="s">
        <v>4616</v>
      </c>
      <c r="D85">
        <v>0</v>
      </c>
      <c r="E85" s="9" t="s">
        <v>5521</v>
      </c>
      <c r="F85" t="s">
        <v>5522</v>
      </c>
      <c r="G85" s="9" t="s">
        <v>5523</v>
      </c>
      <c r="H85" t="s">
        <v>5524</v>
      </c>
      <c r="I85">
        <v>0</v>
      </c>
      <c r="J85" t="s">
        <v>5380</v>
      </c>
      <c r="K85" t="s">
        <v>4937</v>
      </c>
      <c r="L85" t="s">
        <v>1954</v>
      </c>
      <c r="M85" t="s">
        <v>2905</v>
      </c>
      <c r="N85" t="s">
        <v>2905</v>
      </c>
      <c r="O85" t="s">
        <v>4662</v>
      </c>
    </row>
    <row r="86" spans="1:15" x14ac:dyDescent="0.25">
      <c r="A86" t="s">
        <v>4938</v>
      </c>
      <c r="B86" t="s">
        <v>2951</v>
      </c>
      <c r="C86" t="s">
        <v>4616</v>
      </c>
      <c r="D86">
        <v>0</v>
      </c>
      <c r="E86" s="9" t="s">
        <v>5525</v>
      </c>
      <c r="F86" t="s">
        <v>5526</v>
      </c>
      <c r="G86" s="9" t="s">
        <v>5527</v>
      </c>
      <c r="H86" t="s">
        <v>5528</v>
      </c>
      <c r="I86">
        <v>0</v>
      </c>
      <c r="J86" t="s">
        <v>5529</v>
      </c>
      <c r="K86" t="s">
        <v>4941</v>
      </c>
      <c r="L86" t="s">
        <v>1954</v>
      </c>
      <c r="M86" t="s">
        <v>2905</v>
      </c>
      <c r="N86" t="s">
        <v>2905</v>
      </c>
      <c r="O86" t="s">
        <v>4792</v>
      </c>
    </row>
    <row r="87" spans="1:15" x14ac:dyDescent="0.25">
      <c r="A87" t="s">
        <v>3989</v>
      </c>
      <c r="B87" t="s">
        <v>3803</v>
      </c>
      <c r="C87" t="s">
        <v>4764</v>
      </c>
      <c r="D87" t="s">
        <v>3801</v>
      </c>
      <c r="E87" t="s">
        <v>5530</v>
      </c>
      <c r="F87" t="s">
        <v>5393</v>
      </c>
      <c r="G87" t="s">
        <v>2905</v>
      </c>
      <c r="H87" t="s">
        <v>2905</v>
      </c>
      <c r="I87" t="s">
        <v>2905</v>
      </c>
      <c r="J87" t="s">
        <v>2905</v>
      </c>
      <c r="K87" t="s">
        <v>3989</v>
      </c>
      <c r="L87" t="s">
        <v>1958</v>
      </c>
      <c r="M87" t="s">
        <v>5531</v>
      </c>
      <c r="N87" t="s">
        <v>2905</v>
      </c>
    </row>
    <row r="88" spans="1:15" x14ac:dyDescent="0.25">
      <c r="A88" t="s">
        <v>4005</v>
      </c>
      <c r="B88" t="s">
        <v>3803</v>
      </c>
      <c r="C88" t="s">
        <v>4764</v>
      </c>
      <c r="D88" t="s">
        <v>3801</v>
      </c>
      <c r="E88" t="s">
        <v>5532</v>
      </c>
      <c r="F88" t="s">
        <v>5533</v>
      </c>
      <c r="G88" t="s">
        <v>2905</v>
      </c>
      <c r="H88" t="s">
        <v>2905</v>
      </c>
      <c r="I88" t="s">
        <v>2905</v>
      </c>
      <c r="J88" t="s">
        <v>2905</v>
      </c>
      <c r="K88" t="s">
        <v>4005</v>
      </c>
      <c r="L88" t="s">
        <v>1958</v>
      </c>
      <c r="M88" t="s">
        <v>4343</v>
      </c>
      <c r="N88" t="s">
        <v>2905</v>
      </c>
      <c r="O88" t="s">
        <v>4766</v>
      </c>
    </row>
    <row r="89" spans="1:15" x14ac:dyDescent="0.25">
      <c r="A89" t="s">
        <v>4943</v>
      </c>
      <c r="B89" t="s">
        <v>2958</v>
      </c>
      <c r="C89" t="s">
        <v>4239</v>
      </c>
      <c r="D89">
        <v>1</v>
      </c>
      <c r="E89" s="9" t="s">
        <v>4944</v>
      </c>
      <c r="F89" t="s">
        <v>5534</v>
      </c>
      <c r="G89" s="9" t="s">
        <v>4944</v>
      </c>
      <c r="H89" t="s">
        <v>5534</v>
      </c>
      <c r="I89">
        <v>0</v>
      </c>
      <c r="J89" t="s">
        <v>2905</v>
      </c>
      <c r="K89" t="s">
        <v>4943</v>
      </c>
      <c r="L89" t="s">
        <v>1954</v>
      </c>
      <c r="M89" t="s">
        <v>2905</v>
      </c>
      <c r="N89" t="s">
        <v>2905</v>
      </c>
      <c r="O89" t="s">
        <v>4900</v>
      </c>
    </row>
    <row r="90" spans="1:15" x14ac:dyDescent="0.25">
      <c r="A90" t="s">
        <v>4945</v>
      </c>
      <c r="B90" t="s">
        <v>2958</v>
      </c>
      <c r="C90" t="s">
        <v>4616</v>
      </c>
      <c r="D90">
        <v>1</v>
      </c>
      <c r="E90" s="9" t="s">
        <v>4946</v>
      </c>
      <c r="F90" t="s">
        <v>5535</v>
      </c>
      <c r="G90" s="9" t="s">
        <v>4947</v>
      </c>
      <c r="H90" t="s">
        <v>5536</v>
      </c>
      <c r="I90">
        <v>1</v>
      </c>
      <c r="J90" t="s">
        <v>5296</v>
      </c>
      <c r="K90" t="s">
        <v>4945</v>
      </c>
      <c r="L90" t="s">
        <v>1954</v>
      </c>
      <c r="M90" t="s">
        <v>2905</v>
      </c>
      <c r="N90" t="s">
        <v>2905</v>
      </c>
      <c r="O90" t="s">
        <v>4629</v>
      </c>
    </row>
    <row r="91" spans="1:15" x14ac:dyDescent="0.25">
      <c r="A91" t="s">
        <v>4951</v>
      </c>
      <c r="B91" t="s">
        <v>2958</v>
      </c>
      <c r="C91" t="s">
        <v>4616</v>
      </c>
      <c r="D91">
        <v>2</v>
      </c>
      <c r="E91" t="s">
        <v>4952</v>
      </c>
      <c r="F91" t="s">
        <v>5537</v>
      </c>
      <c r="G91" t="s">
        <v>4953</v>
      </c>
      <c r="H91" t="s">
        <v>5538</v>
      </c>
      <c r="I91">
        <v>2</v>
      </c>
      <c r="J91" t="s">
        <v>5319</v>
      </c>
      <c r="K91" t="s">
        <v>4954</v>
      </c>
      <c r="L91" t="s">
        <v>1954</v>
      </c>
      <c r="M91" t="s">
        <v>2905</v>
      </c>
      <c r="N91" t="s">
        <v>2905</v>
      </c>
      <c r="O91" t="s">
        <v>4955</v>
      </c>
    </row>
    <row r="92" spans="1:15" x14ac:dyDescent="0.25">
      <c r="A92" t="s">
        <v>4956</v>
      </c>
      <c r="B92" t="s">
        <v>2970</v>
      </c>
      <c r="C92" t="s">
        <v>4616</v>
      </c>
      <c r="D92">
        <v>1</v>
      </c>
      <c r="E92" s="9" t="s">
        <v>5539</v>
      </c>
      <c r="F92" t="s">
        <v>5540</v>
      </c>
      <c r="G92" s="9" t="s">
        <v>5541</v>
      </c>
      <c r="H92" t="s">
        <v>5542</v>
      </c>
      <c r="I92">
        <v>1</v>
      </c>
      <c r="J92" t="s">
        <v>5296</v>
      </c>
      <c r="K92" t="s">
        <v>4959</v>
      </c>
      <c r="L92" t="s">
        <v>1954</v>
      </c>
      <c r="M92" t="s">
        <v>2905</v>
      </c>
      <c r="N92" t="s">
        <v>2905</v>
      </c>
      <c r="O92" t="s">
        <v>5543</v>
      </c>
    </row>
    <row r="93" spans="1:15" x14ac:dyDescent="0.25">
      <c r="A93" t="s">
        <v>4960</v>
      </c>
      <c r="B93" t="s">
        <v>2970</v>
      </c>
      <c r="C93" t="s">
        <v>4616</v>
      </c>
      <c r="D93">
        <v>1</v>
      </c>
      <c r="E93" s="9" t="s">
        <v>4961</v>
      </c>
      <c r="F93" t="s">
        <v>5544</v>
      </c>
      <c r="G93" s="9" t="s">
        <v>4962</v>
      </c>
      <c r="H93" t="s">
        <v>5545</v>
      </c>
      <c r="I93">
        <v>1</v>
      </c>
      <c r="J93" t="s">
        <v>5313</v>
      </c>
      <c r="K93" t="s">
        <v>4960</v>
      </c>
      <c r="L93" t="s">
        <v>1954</v>
      </c>
      <c r="M93" t="s">
        <v>2905</v>
      </c>
      <c r="N93" t="s">
        <v>4262</v>
      </c>
      <c r="O93" t="s">
        <v>5546</v>
      </c>
    </row>
    <row r="94" spans="1:15" x14ac:dyDescent="0.25">
      <c r="A94" t="s">
        <v>4963</v>
      </c>
      <c r="B94" t="s">
        <v>2958</v>
      </c>
      <c r="C94" t="s">
        <v>4239</v>
      </c>
      <c r="D94">
        <v>1</v>
      </c>
      <c r="E94" s="9" t="s">
        <v>5547</v>
      </c>
      <c r="F94" t="s">
        <v>5548</v>
      </c>
      <c r="G94" s="9" t="s">
        <v>5549</v>
      </c>
      <c r="H94" t="s">
        <v>5550</v>
      </c>
      <c r="I94">
        <v>1</v>
      </c>
      <c r="J94" t="s">
        <v>2905</v>
      </c>
      <c r="K94" t="s">
        <v>4963</v>
      </c>
      <c r="L94" t="s">
        <v>1954</v>
      </c>
      <c r="M94" t="s">
        <v>2905</v>
      </c>
      <c r="N94" t="s">
        <v>2905</v>
      </c>
      <c r="O94" t="s">
        <v>4966</v>
      </c>
    </row>
    <row r="95" spans="1:15" x14ac:dyDescent="0.25">
      <c r="A95" t="s">
        <v>4967</v>
      </c>
      <c r="B95" t="s">
        <v>2951</v>
      </c>
      <c r="C95" t="s">
        <v>4616</v>
      </c>
      <c r="D95">
        <v>2</v>
      </c>
      <c r="E95" s="9" t="s">
        <v>4968</v>
      </c>
      <c r="F95" t="s">
        <v>5551</v>
      </c>
      <c r="G95" s="9" t="s">
        <v>4969</v>
      </c>
      <c r="H95" t="s">
        <v>5552</v>
      </c>
      <c r="I95">
        <v>2</v>
      </c>
      <c r="J95" t="s">
        <v>5553</v>
      </c>
      <c r="K95" t="s">
        <v>4967</v>
      </c>
      <c r="L95" t="s">
        <v>1954</v>
      </c>
      <c r="M95" t="s">
        <v>2905</v>
      </c>
      <c r="N95" t="s">
        <v>4273</v>
      </c>
      <c r="O95" t="s">
        <v>4754</v>
      </c>
    </row>
    <row r="96" spans="1:15" x14ac:dyDescent="0.25">
      <c r="A96" t="s">
        <v>4970</v>
      </c>
      <c r="B96" t="s">
        <v>2951</v>
      </c>
      <c r="C96" t="s">
        <v>4239</v>
      </c>
      <c r="D96">
        <v>2</v>
      </c>
      <c r="E96" s="9" t="s">
        <v>4971</v>
      </c>
      <c r="F96" t="s">
        <v>5554</v>
      </c>
      <c r="G96" s="9" t="s">
        <v>4972</v>
      </c>
      <c r="H96" t="s">
        <v>5555</v>
      </c>
      <c r="I96">
        <v>2</v>
      </c>
      <c r="J96" t="s">
        <v>2905</v>
      </c>
      <c r="K96" t="s">
        <v>4970</v>
      </c>
      <c r="L96" t="s">
        <v>1954</v>
      </c>
      <c r="M96" t="s">
        <v>4376</v>
      </c>
      <c r="N96" t="s">
        <v>2905</v>
      </c>
      <c r="O96" t="s">
        <v>4895</v>
      </c>
    </row>
    <row r="97" spans="1:15" x14ac:dyDescent="0.25">
      <c r="A97" t="s">
        <v>4973</v>
      </c>
      <c r="B97" t="s">
        <v>2970</v>
      </c>
      <c r="C97" t="s">
        <v>4239</v>
      </c>
      <c r="D97">
        <v>1</v>
      </c>
      <c r="E97" s="9" t="s">
        <v>4974</v>
      </c>
      <c r="F97" t="s">
        <v>5556</v>
      </c>
      <c r="G97" s="9" t="s">
        <v>4974</v>
      </c>
      <c r="H97" t="s">
        <v>5556</v>
      </c>
      <c r="I97">
        <v>0</v>
      </c>
      <c r="J97" t="s">
        <v>2905</v>
      </c>
      <c r="K97" t="s">
        <v>4975</v>
      </c>
      <c r="L97" t="s">
        <v>1954</v>
      </c>
      <c r="M97" t="s">
        <v>4376</v>
      </c>
      <c r="N97" t="s">
        <v>2905</v>
      </c>
      <c r="O97" t="s">
        <v>4976</v>
      </c>
    </row>
    <row r="98" spans="1:15" x14ac:dyDescent="0.25">
      <c r="A98" t="s">
        <v>4981</v>
      </c>
      <c r="B98" t="s">
        <v>2970</v>
      </c>
      <c r="C98" t="s">
        <v>3449</v>
      </c>
      <c r="D98">
        <v>1</v>
      </c>
      <c r="E98" t="s">
        <v>4982</v>
      </c>
      <c r="F98" t="s">
        <v>5557</v>
      </c>
      <c r="G98" t="s">
        <v>4983</v>
      </c>
      <c r="H98" t="s">
        <v>5558</v>
      </c>
      <c r="I98">
        <v>1</v>
      </c>
      <c r="J98" t="s">
        <v>2905</v>
      </c>
      <c r="K98" t="s">
        <v>4981</v>
      </c>
      <c r="L98" t="s">
        <v>1954</v>
      </c>
      <c r="M98" t="s">
        <v>2905</v>
      </c>
      <c r="N98" t="s">
        <v>2905</v>
      </c>
      <c r="O98" t="s">
        <v>4823</v>
      </c>
    </row>
    <row r="99" spans="1:15" x14ac:dyDescent="0.25">
      <c r="A99" t="s">
        <v>4010</v>
      </c>
      <c r="B99" t="s">
        <v>3803</v>
      </c>
      <c r="C99" t="s">
        <v>4764</v>
      </c>
      <c r="D99" t="s">
        <v>3801</v>
      </c>
      <c r="E99" t="s">
        <v>4984</v>
      </c>
      <c r="F99" t="s">
        <v>5393</v>
      </c>
      <c r="G99" t="s">
        <v>2905</v>
      </c>
      <c r="H99" t="s">
        <v>2905</v>
      </c>
      <c r="I99" t="s">
        <v>2905</v>
      </c>
      <c r="J99" t="s">
        <v>2905</v>
      </c>
      <c r="K99" t="s">
        <v>4010</v>
      </c>
      <c r="L99" t="s">
        <v>1954</v>
      </c>
      <c r="M99" t="s">
        <v>4343</v>
      </c>
      <c r="N99" t="s">
        <v>2905</v>
      </c>
      <c r="O99" t="s">
        <v>4766</v>
      </c>
    </row>
    <row r="100" spans="1:15" x14ac:dyDescent="0.25">
      <c r="A100" t="s">
        <v>4985</v>
      </c>
      <c r="B100" t="s">
        <v>2970</v>
      </c>
      <c r="C100" t="s">
        <v>4239</v>
      </c>
      <c r="D100">
        <v>0</v>
      </c>
      <c r="E100" s="9" t="s">
        <v>4986</v>
      </c>
      <c r="F100" t="s">
        <v>5559</v>
      </c>
      <c r="G100" s="9" t="s">
        <v>4987</v>
      </c>
      <c r="H100" t="s">
        <v>5560</v>
      </c>
      <c r="I100">
        <v>0</v>
      </c>
      <c r="J100" t="s">
        <v>2905</v>
      </c>
      <c r="K100" t="s">
        <v>4985</v>
      </c>
      <c r="L100" t="s">
        <v>1954</v>
      </c>
      <c r="M100" t="s">
        <v>4376</v>
      </c>
      <c r="N100" t="s">
        <v>2905</v>
      </c>
      <c r="O100" t="s">
        <v>4833</v>
      </c>
    </row>
    <row r="101" spans="1:15" x14ac:dyDescent="0.25">
      <c r="A101" t="s">
        <v>4988</v>
      </c>
      <c r="B101" t="s">
        <v>2958</v>
      </c>
      <c r="C101" t="s">
        <v>4616</v>
      </c>
      <c r="D101">
        <v>1</v>
      </c>
      <c r="E101" t="s">
        <v>4989</v>
      </c>
      <c r="F101" t="s">
        <v>5561</v>
      </c>
      <c r="G101" t="s">
        <v>4990</v>
      </c>
      <c r="H101" t="s">
        <v>5562</v>
      </c>
      <c r="I101">
        <v>1</v>
      </c>
      <c r="J101" t="s">
        <v>5563</v>
      </c>
      <c r="K101" t="s">
        <v>4991</v>
      </c>
      <c r="L101" t="s">
        <v>1954</v>
      </c>
      <c r="M101" t="s">
        <v>2905</v>
      </c>
      <c r="N101" t="s">
        <v>2905</v>
      </c>
      <c r="O101" t="s">
        <v>4992</v>
      </c>
    </row>
    <row r="102" spans="1:15" x14ac:dyDescent="0.25">
      <c r="A102" t="s">
        <v>5003</v>
      </c>
      <c r="B102" t="s">
        <v>2958</v>
      </c>
      <c r="C102" t="s">
        <v>4239</v>
      </c>
      <c r="D102">
        <v>1</v>
      </c>
      <c r="E102" t="s">
        <v>5004</v>
      </c>
      <c r="F102" t="s">
        <v>5564</v>
      </c>
      <c r="G102" t="s">
        <v>5005</v>
      </c>
      <c r="H102" t="s">
        <v>5565</v>
      </c>
      <c r="I102">
        <v>1</v>
      </c>
      <c r="J102" t="s">
        <v>2905</v>
      </c>
      <c r="K102" t="s">
        <v>5003</v>
      </c>
      <c r="L102" t="s">
        <v>1954</v>
      </c>
      <c r="M102" t="s">
        <v>2905</v>
      </c>
      <c r="N102" t="s">
        <v>2905</v>
      </c>
      <c r="O102" t="s">
        <v>4714</v>
      </c>
    </row>
    <row r="103" spans="1:15" x14ac:dyDescent="0.25">
      <c r="A103" t="s">
        <v>5006</v>
      </c>
      <c r="B103" t="s">
        <v>2970</v>
      </c>
      <c r="C103" t="s">
        <v>4239</v>
      </c>
      <c r="D103">
        <v>2</v>
      </c>
      <c r="E103" s="9" t="s">
        <v>5566</v>
      </c>
      <c r="F103" t="s">
        <v>5567</v>
      </c>
      <c r="G103" s="9" t="s">
        <v>5568</v>
      </c>
      <c r="H103" t="s">
        <v>5569</v>
      </c>
      <c r="I103">
        <v>2</v>
      </c>
      <c r="J103" t="s">
        <v>2905</v>
      </c>
      <c r="K103" t="s">
        <v>5009</v>
      </c>
      <c r="L103" t="s">
        <v>1954</v>
      </c>
      <c r="M103" t="s">
        <v>2905</v>
      </c>
      <c r="N103" t="s">
        <v>2905</v>
      </c>
      <c r="O103" t="s">
        <v>5010</v>
      </c>
    </row>
    <row r="104" spans="1:15" x14ac:dyDescent="0.25">
      <c r="A104" t="s">
        <v>3545</v>
      </c>
      <c r="B104" t="s">
        <v>2958</v>
      </c>
      <c r="C104" t="s">
        <v>4616</v>
      </c>
      <c r="D104">
        <v>2</v>
      </c>
      <c r="E104" t="s">
        <v>5570</v>
      </c>
      <c r="F104" t="s">
        <v>5571</v>
      </c>
      <c r="G104" t="s">
        <v>5570</v>
      </c>
      <c r="H104" t="s">
        <v>5571</v>
      </c>
      <c r="I104">
        <v>2</v>
      </c>
      <c r="J104" t="s">
        <v>5572</v>
      </c>
      <c r="K104" t="s">
        <v>3548</v>
      </c>
      <c r="L104" t="s">
        <v>828</v>
      </c>
      <c r="M104" t="s">
        <v>2905</v>
      </c>
      <c r="N104" t="s">
        <v>4273</v>
      </c>
      <c r="O104" t="s">
        <v>4649</v>
      </c>
    </row>
    <row r="105" spans="1:15" x14ac:dyDescent="0.25">
      <c r="A105" t="s">
        <v>5012</v>
      </c>
      <c r="B105" t="s">
        <v>2951</v>
      </c>
      <c r="C105" t="s">
        <v>4239</v>
      </c>
      <c r="D105">
        <v>1</v>
      </c>
      <c r="E105" s="9" t="s">
        <v>5013</v>
      </c>
      <c r="F105" t="s">
        <v>5573</v>
      </c>
      <c r="G105" s="9" t="s">
        <v>5014</v>
      </c>
      <c r="H105" t="s">
        <v>5574</v>
      </c>
      <c r="I105">
        <v>1</v>
      </c>
      <c r="J105" t="s">
        <v>2905</v>
      </c>
      <c r="K105" t="s">
        <v>5015</v>
      </c>
      <c r="L105" t="s">
        <v>1954</v>
      </c>
      <c r="M105" t="s">
        <v>2905</v>
      </c>
      <c r="N105" t="s">
        <v>2905</v>
      </c>
      <c r="O105" t="s">
        <v>4823</v>
      </c>
    </row>
    <row r="106" spans="1:15" x14ac:dyDescent="0.25">
      <c r="A106" t="s">
        <v>3554</v>
      </c>
      <c r="B106" t="s">
        <v>2958</v>
      </c>
      <c r="C106" t="s">
        <v>4616</v>
      </c>
      <c r="D106">
        <v>1</v>
      </c>
      <c r="E106" s="9" t="s">
        <v>5575</v>
      </c>
      <c r="F106" t="s">
        <v>5576</v>
      </c>
      <c r="G106" s="9" t="s">
        <v>5575</v>
      </c>
      <c r="H106" t="s">
        <v>5576</v>
      </c>
      <c r="I106">
        <v>1</v>
      </c>
      <c r="J106" t="s">
        <v>5313</v>
      </c>
      <c r="K106" t="s">
        <v>3557</v>
      </c>
      <c r="L106" t="s">
        <v>828</v>
      </c>
      <c r="M106" t="s">
        <v>2905</v>
      </c>
      <c r="N106" t="s">
        <v>2905</v>
      </c>
      <c r="O106" t="s">
        <v>4649</v>
      </c>
    </row>
    <row r="107" spans="1:15" x14ac:dyDescent="0.25">
      <c r="A107" t="s">
        <v>5024</v>
      </c>
      <c r="B107" t="s">
        <v>2951</v>
      </c>
      <c r="C107" t="s">
        <v>4239</v>
      </c>
      <c r="D107" t="s">
        <v>4842</v>
      </c>
      <c r="E107" s="9" t="s">
        <v>5577</v>
      </c>
      <c r="F107" t="s">
        <v>5578</v>
      </c>
      <c r="G107" s="9" t="s">
        <v>5579</v>
      </c>
      <c r="H107" t="s">
        <v>5580</v>
      </c>
      <c r="I107" t="s">
        <v>4842</v>
      </c>
      <c r="J107" t="s">
        <v>2905</v>
      </c>
      <c r="K107" t="s">
        <v>5024</v>
      </c>
      <c r="L107" t="s">
        <v>1954</v>
      </c>
      <c r="M107" t="s">
        <v>4376</v>
      </c>
      <c r="N107" t="s">
        <v>2905</v>
      </c>
      <c r="O107" t="s">
        <v>5027</v>
      </c>
    </row>
    <row r="108" spans="1:15" x14ac:dyDescent="0.25">
      <c r="A108" t="s">
        <v>5028</v>
      </c>
      <c r="B108" t="s">
        <v>2970</v>
      </c>
      <c r="C108" t="s">
        <v>4616</v>
      </c>
      <c r="D108">
        <v>0</v>
      </c>
      <c r="E108" s="9" t="s">
        <v>5029</v>
      </c>
      <c r="F108" t="s">
        <v>5581</v>
      </c>
      <c r="G108" s="9" t="s">
        <v>5030</v>
      </c>
      <c r="H108" t="s">
        <v>5582</v>
      </c>
      <c r="I108">
        <v>0</v>
      </c>
      <c r="J108" t="s">
        <v>5288</v>
      </c>
      <c r="K108" t="s">
        <v>5031</v>
      </c>
      <c r="L108" t="s">
        <v>1954</v>
      </c>
      <c r="M108" t="s">
        <v>2905</v>
      </c>
      <c r="N108" t="s">
        <v>2905</v>
      </c>
      <c r="O108" t="s">
        <v>4671</v>
      </c>
    </row>
    <row r="109" spans="1:15" x14ac:dyDescent="0.25">
      <c r="A109" t="s">
        <v>4591</v>
      </c>
      <c r="B109" t="s">
        <v>2982</v>
      </c>
      <c r="C109" t="s">
        <v>4616</v>
      </c>
      <c r="D109">
        <v>0</v>
      </c>
      <c r="E109" t="s">
        <v>5041</v>
      </c>
      <c r="F109" t="s">
        <v>5583</v>
      </c>
      <c r="G109" t="s">
        <v>5042</v>
      </c>
      <c r="H109" t="s">
        <v>5584</v>
      </c>
      <c r="I109">
        <v>0</v>
      </c>
      <c r="J109" t="s">
        <v>5296</v>
      </c>
      <c r="K109" t="s">
        <v>4591</v>
      </c>
      <c r="L109" t="s">
        <v>1954</v>
      </c>
      <c r="M109" t="s">
        <v>2905</v>
      </c>
      <c r="N109" t="s">
        <v>2905</v>
      </c>
      <c r="O109" t="s">
        <v>4647</v>
      </c>
    </row>
    <row r="110" spans="1:15" x14ac:dyDescent="0.25">
      <c r="A110" t="s">
        <v>5043</v>
      </c>
      <c r="B110" t="s">
        <v>2951</v>
      </c>
      <c r="C110" t="s">
        <v>4239</v>
      </c>
      <c r="D110">
        <v>3</v>
      </c>
      <c r="E110" s="9" t="s">
        <v>5585</v>
      </c>
      <c r="F110" t="s">
        <v>5586</v>
      </c>
      <c r="G110" s="9" t="s">
        <v>5585</v>
      </c>
      <c r="H110" t="s">
        <v>5586</v>
      </c>
      <c r="I110">
        <v>2</v>
      </c>
      <c r="J110" t="s">
        <v>2905</v>
      </c>
      <c r="K110" t="s">
        <v>5043</v>
      </c>
      <c r="L110" t="s">
        <v>1954</v>
      </c>
      <c r="M110" t="s">
        <v>2905</v>
      </c>
      <c r="N110" t="s">
        <v>2905</v>
      </c>
      <c r="O110" t="s">
        <v>4888</v>
      </c>
    </row>
    <row r="111" spans="1:15" x14ac:dyDescent="0.25">
      <c r="A111" t="s">
        <v>5049</v>
      </c>
      <c r="B111" t="s">
        <v>2951</v>
      </c>
      <c r="C111" t="s">
        <v>4239</v>
      </c>
      <c r="D111">
        <v>0</v>
      </c>
      <c r="E111" s="9" t="s">
        <v>5050</v>
      </c>
      <c r="F111" t="s">
        <v>5587</v>
      </c>
      <c r="G111" s="9" t="s">
        <v>5051</v>
      </c>
      <c r="H111" t="s">
        <v>5588</v>
      </c>
      <c r="I111">
        <v>0</v>
      </c>
      <c r="J111" t="s">
        <v>2905</v>
      </c>
      <c r="K111" t="s">
        <v>5049</v>
      </c>
      <c r="L111" t="s">
        <v>1954</v>
      </c>
      <c r="M111" t="s">
        <v>4376</v>
      </c>
      <c r="N111" t="s">
        <v>2905</v>
      </c>
      <c r="O111" t="s">
        <v>5052</v>
      </c>
    </row>
    <row r="112" spans="1:15" x14ac:dyDescent="0.25">
      <c r="A112" t="s">
        <v>5053</v>
      </c>
      <c r="B112" t="s">
        <v>2958</v>
      </c>
      <c r="C112" t="s">
        <v>4239</v>
      </c>
      <c r="D112">
        <v>1</v>
      </c>
      <c r="E112" s="9" t="s">
        <v>5054</v>
      </c>
      <c r="F112" t="s">
        <v>5589</v>
      </c>
      <c r="G112" s="9" t="s">
        <v>5055</v>
      </c>
      <c r="H112" t="s">
        <v>5590</v>
      </c>
      <c r="I112">
        <v>1</v>
      </c>
      <c r="J112" t="s">
        <v>2905</v>
      </c>
      <c r="K112" t="s">
        <v>5053</v>
      </c>
      <c r="L112" t="s">
        <v>1954</v>
      </c>
      <c r="M112" t="s">
        <v>2905</v>
      </c>
      <c r="N112" t="s">
        <v>2905</v>
      </c>
      <c r="O112" t="s">
        <v>4718</v>
      </c>
    </row>
    <row r="113" spans="1:15" x14ac:dyDescent="0.25">
      <c r="A113" t="s">
        <v>5056</v>
      </c>
      <c r="B113" t="s">
        <v>3803</v>
      </c>
      <c r="C113" t="s">
        <v>4764</v>
      </c>
      <c r="D113" t="s">
        <v>3801</v>
      </c>
      <c r="E113" t="s">
        <v>5057</v>
      </c>
      <c r="F113" t="s">
        <v>5591</v>
      </c>
      <c r="G113" t="s">
        <v>2905</v>
      </c>
      <c r="H113" t="s">
        <v>2905</v>
      </c>
      <c r="I113" t="s">
        <v>2905</v>
      </c>
      <c r="J113" t="s">
        <v>2905</v>
      </c>
      <c r="K113" t="s">
        <v>5056</v>
      </c>
      <c r="L113" t="s">
        <v>1954</v>
      </c>
      <c r="M113" t="s">
        <v>4343</v>
      </c>
      <c r="N113" t="s">
        <v>2905</v>
      </c>
      <c r="O113" t="s">
        <v>4766</v>
      </c>
    </row>
    <row r="114" spans="1:15" x14ac:dyDescent="0.25">
      <c r="A114" t="s">
        <v>5058</v>
      </c>
      <c r="B114" t="s">
        <v>2958</v>
      </c>
      <c r="C114" t="s">
        <v>4616</v>
      </c>
      <c r="D114">
        <v>2</v>
      </c>
      <c r="E114" s="9" t="s">
        <v>5059</v>
      </c>
      <c r="F114" t="s">
        <v>5592</v>
      </c>
      <c r="G114" s="9" t="s">
        <v>5060</v>
      </c>
      <c r="H114" t="s">
        <v>5593</v>
      </c>
      <c r="I114">
        <v>2</v>
      </c>
      <c r="J114" t="s">
        <v>5305</v>
      </c>
      <c r="K114" t="s">
        <v>5061</v>
      </c>
      <c r="L114" t="s">
        <v>1954</v>
      </c>
      <c r="M114" t="s">
        <v>2905</v>
      </c>
      <c r="N114" t="s">
        <v>2905</v>
      </c>
      <c r="O114" t="s">
        <v>4955</v>
      </c>
    </row>
    <row r="115" spans="1:15" x14ac:dyDescent="0.25">
      <c r="A115" t="s">
        <v>5062</v>
      </c>
      <c r="B115" t="s">
        <v>2951</v>
      </c>
      <c r="C115" t="s">
        <v>4239</v>
      </c>
      <c r="D115">
        <v>1</v>
      </c>
      <c r="E115" s="9" t="s">
        <v>5063</v>
      </c>
      <c r="F115" t="s">
        <v>5594</v>
      </c>
      <c r="G115" s="9" t="s">
        <v>5063</v>
      </c>
      <c r="H115" t="s">
        <v>5594</v>
      </c>
      <c r="I115">
        <v>0</v>
      </c>
      <c r="J115" t="s">
        <v>2905</v>
      </c>
      <c r="K115" t="s">
        <v>5064</v>
      </c>
      <c r="L115" t="s">
        <v>1954</v>
      </c>
      <c r="M115" t="s">
        <v>2905</v>
      </c>
      <c r="N115" t="s">
        <v>2905</v>
      </c>
      <c r="O115" t="s">
        <v>4671</v>
      </c>
    </row>
    <row r="116" spans="1:15" x14ac:dyDescent="0.25">
      <c r="A116" t="s">
        <v>5065</v>
      </c>
      <c r="B116" t="s">
        <v>2958</v>
      </c>
      <c r="C116" t="s">
        <v>4239</v>
      </c>
      <c r="D116">
        <v>1</v>
      </c>
      <c r="E116" s="9" t="s">
        <v>5595</v>
      </c>
      <c r="F116" t="s">
        <v>5596</v>
      </c>
      <c r="G116" s="9" t="s">
        <v>5597</v>
      </c>
      <c r="H116" t="s">
        <v>5598</v>
      </c>
      <c r="I116">
        <v>1</v>
      </c>
      <c r="J116" t="s">
        <v>2905</v>
      </c>
      <c r="K116" t="s">
        <v>5068</v>
      </c>
      <c r="L116" t="s">
        <v>1954</v>
      </c>
      <c r="M116" t="s">
        <v>4376</v>
      </c>
      <c r="N116" t="s">
        <v>2905</v>
      </c>
      <c r="O116" t="s">
        <v>5027</v>
      </c>
    </row>
    <row r="117" spans="1:15" x14ac:dyDescent="0.25">
      <c r="A117" t="s">
        <v>5069</v>
      </c>
      <c r="B117" t="s">
        <v>2958</v>
      </c>
      <c r="C117" t="s">
        <v>4616</v>
      </c>
      <c r="D117">
        <v>1</v>
      </c>
      <c r="E117" s="9" t="s">
        <v>5070</v>
      </c>
      <c r="F117" t="s">
        <v>5599</v>
      </c>
      <c r="G117" s="9" t="s">
        <v>5071</v>
      </c>
      <c r="H117" t="s">
        <v>5600</v>
      </c>
      <c r="I117">
        <v>1</v>
      </c>
      <c r="J117" t="s">
        <v>5296</v>
      </c>
      <c r="K117" t="s">
        <v>5072</v>
      </c>
      <c r="L117" t="s">
        <v>1954</v>
      </c>
      <c r="M117" t="s">
        <v>2905</v>
      </c>
      <c r="N117" t="s">
        <v>4133</v>
      </c>
      <c r="O117" t="s">
        <v>4647</v>
      </c>
    </row>
    <row r="118" spans="1:15" x14ac:dyDescent="0.25">
      <c r="A118" t="s">
        <v>5073</v>
      </c>
      <c r="B118" t="s">
        <v>2958</v>
      </c>
      <c r="C118" t="s">
        <v>4616</v>
      </c>
      <c r="D118">
        <v>1</v>
      </c>
      <c r="E118" t="s">
        <v>5074</v>
      </c>
      <c r="F118" t="s">
        <v>5601</v>
      </c>
      <c r="G118" t="s">
        <v>5075</v>
      </c>
      <c r="H118" t="s">
        <v>5602</v>
      </c>
      <c r="I118">
        <v>1</v>
      </c>
      <c r="J118" t="s">
        <v>5305</v>
      </c>
      <c r="K118" t="s">
        <v>5076</v>
      </c>
      <c r="L118" t="s">
        <v>1954</v>
      </c>
      <c r="M118" t="s">
        <v>2905</v>
      </c>
      <c r="N118" t="s">
        <v>2905</v>
      </c>
      <c r="O118" t="s">
        <v>5603</v>
      </c>
    </row>
    <row r="119" spans="1:15" x14ac:dyDescent="0.25">
      <c r="A119" t="s">
        <v>5078</v>
      </c>
      <c r="B119" t="s">
        <v>2970</v>
      </c>
      <c r="C119" t="s">
        <v>4239</v>
      </c>
      <c r="D119">
        <v>1</v>
      </c>
      <c r="E119" s="9" t="s">
        <v>5079</v>
      </c>
      <c r="F119" t="s">
        <v>5604</v>
      </c>
      <c r="G119" s="9" t="s">
        <v>5080</v>
      </c>
      <c r="H119" t="s">
        <v>5605</v>
      </c>
      <c r="I119">
        <v>1</v>
      </c>
      <c r="J119" t="s">
        <v>2905</v>
      </c>
      <c r="K119" t="s">
        <v>5081</v>
      </c>
      <c r="L119" t="s">
        <v>1954</v>
      </c>
      <c r="M119" t="s">
        <v>2905</v>
      </c>
      <c r="N119" t="s">
        <v>2905</v>
      </c>
      <c r="O119" t="s">
        <v>5082</v>
      </c>
    </row>
    <row r="120" spans="1:15" x14ac:dyDescent="0.25">
      <c r="A120" t="s">
        <v>5083</v>
      </c>
      <c r="B120" t="s">
        <v>2958</v>
      </c>
      <c r="C120" t="s">
        <v>4616</v>
      </c>
      <c r="D120">
        <v>2</v>
      </c>
      <c r="E120" s="9" t="s">
        <v>5606</v>
      </c>
      <c r="F120" t="s">
        <v>5607</v>
      </c>
      <c r="G120" s="9" t="s">
        <v>5608</v>
      </c>
      <c r="H120" t="s">
        <v>5609</v>
      </c>
      <c r="I120" t="s">
        <v>2905</v>
      </c>
      <c r="J120" t="s">
        <v>5288</v>
      </c>
      <c r="K120" t="s">
        <v>5083</v>
      </c>
      <c r="L120" t="s">
        <v>1954</v>
      </c>
      <c r="M120" t="s">
        <v>2905</v>
      </c>
      <c r="N120" t="s">
        <v>2905</v>
      </c>
      <c r="O120" t="s">
        <v>5101</v>
      </c>
    </row>
    <row r="121" spans="1:15" x14ac:dyDescent="0.25">
      <c r="A121" t="s">
        <v>5086</v>
      </c>
      <c r="B121" t="s">
        <v>2958</v>
      </c>
      <c r="C121" t="s">
        <v>4239</v>
      </c>
      <c r="D121">
        <v>0</v>
      </c>
      <c r="E121" s="9" t="s">
        <v>5087</v>
      </c>
      <c r="F121" t="s">
        <v>5610</v>
      </c>
      <c r="G121" s="9" t="s">
        <v>5088</v>
      </c>
      <c r="H121" t="s">
        <v>5611</v>
      </c>
      <c r="I121" t="s">
        <v>2905</v>
      </c>
      <c r="J121" t="s">
        <v>2905</v>
      </c>
      <c r="K121" t="s">
        <v>5086</v>
      </c>
      <c r="L121" t="s">
        <v>1954</v>
      </c>
      <c r="M121" t="s">
        <v>2905</v>
      </c>
      <c r="N121" t="s">
        <v>2905</v>
      </c>
      <c r="O121" t="s">
        <v>4602</v>
      </c>
    </row>
    <row r="122" spans="1:15" x14ac:dyDescent="0.25">
      <c r="A122" t="s">
        <v>3992</v>
      </c>
      <c r="B122" t="s">
        <v>3803</v>
      </c>
      <c r="C122" t="s">
        <v>4764</v>
      </c>
      <c r="D122">
        <v>1</v>
      </c>
      <c r="E122" s="4" t="s">
        <v>5612</v>
      </c>
      <c r="F122" t="s">
        <v>5613</v>
      </c>
      <c r="G122" t="s">
        <v>2905</v>
      </c>
      <c r="H122" t="s">
        <v>2905</v>
      </c>
      <c r="I122" t="s">
        <v>2905</v>
      </c>
      <c r="J122" t="s">
        <v>2905</v>
      </c>
      <c r="K122" t="s">
        <v>3992</v>
      </c>
      <c r="L122" t="s">
        <v>1954</v>
      </c>
      <c r="M122" t="s">
        <v>5303</v>
      </c>
      <c r="N122" t="s">
        <v>2905</v>
      </c>
      <c r="O122" t="s">
        <v>4766</v>
      </c>
    </row>
    <row r="123" spans="1:15" x14ac:dyDescent="0.25">
      <c r="A123" t="s">
        <v>5089</v>
      </c>
      <c r="B123" t="s">
        <v>2970</v>
      </c>
      <c r="C123" t="s">
        <v>4616</v>
      </c>
      <c r="D123">
        <v>1</v>
      </c>
      <c r="E123" s="9" t="s">
        <v>5090</v>
      </c>
      <c r="F123" t="s">
        <v>5614</v>
      </c>
      <c r="G123" s="9" t="s">
        <v>5091</v>
      </c>
      <c r="H123" t="s">
        <v>5615</v>
      </c>
      <c r="I123">
        <v>1</v>
      </c>
      <c r="J123" t="s">
        <v>5296</v>
      </c>
      <c r="K123" t="s">
        <v>5089</v>
      </c>
      <c r="L123" t="s">
        <v>1954</v>
      </c>
      <c r="M123" t="s">
        <v>4376</v>
      </c>
      <c r="N123" t="s">
        <v>2905</v>
      </c>
      <c r="O123" t="s">
        <v>4900</v>
      </c>
    </row>
    <row r="124" spans="1:15" x14ac:dyDescent="0.25">
      <c r="A124" t="s">
        <v>4018</v>
      </c>
      <c r="B124" t="s">
        <v>3803</v>
      </c>
      <c r="C124" t="s">
        <v>4764</v>
      </c>
      <c r="D124" t="s">
        <v>3801</v>
      </c>
      <c r="E124" t="s">
        <v>5092</v>
      </c>
      <c r="F124" t="s">
        <v>5616</v>
      </c>
      <c r="G124" t="s">
        <v>2905</v>
      </c>
      <c r="H124" t="s">
        <v>2905</v>
      </c>
      <c r="I124" t="s">
        <v>2905</v>
      </c>
      <c r="J124" t="s">
        <v>2905</v>
      </c>
      <c r="K124" t="s">
        <v>5093</v>
      </c>
      <c r="L124" t="s">
        <v>1358</v>
      </c>
      <c r="M124" t="s">
        <v>4343</v>
      </c>
      <c r="N124" t="s">
        <v>2905</v>
      </c>
    </row>
    <row r="125" spans="1:15" x14ac:dyDescent="0.25">
      <c r="A125" t="s">
        <v>5097</v>
      </c>
      <c r="B125" t="s">
        <v>2958</v>
      </c>
      <c r="C125" t="s">
        <v>4616</v>
      </c>
      <c r="D125">
        <v>1</v>
      </c>
      <c r="E125" s="9" t="s">
        <v>5098</v>
      </c>
      <c r="F125" t="s">
        <v>5617</v>
      </c>
      <c r="G125" s="9" t="s">
        <v>5099</v>
      </c>
      <c r="H125" t="s">
        <v>5618</v>
      </c>
      <c r="I125">
        <v>1</v>
      </c>
      <c r="J125" t="s">
        <v>5380</v>
      </c>
      <c r="K125" t="s">
        <v>5100</v>
      </c>
      <c r="L125" t="s">
        <v>1954</v>
      </c>
      <c r="M125" t="s">
        <v>2905</v>
      </c>
      <c r="N125" t="s">
        <v>2905</v>
      </c>
      <c r="O125" t="s">
        <v>5101</v>
      </c>
    </row>
    <row r="126" spans="1:15" x14ac:dyDescent="0.25">
      <c r="A126" t="s">
        <v>4241</v>
      </c>
      <c r="B126" t="s">
        <v>2970</v>
      </c>
      <c r="C126" t="s">
        <v>4239</v>
      </c>
      <c r="D126">
        <v>0</v>
      </c>
      <c r="E126" s="9" t="s">
        <v>5102</v>
      </c>
      <c r="F126" t="s">
        <v>5619</v>
      </c>
      <c r="G126" s="9" t="s">
        <v>5103</v>
      </c>
      <c r="H126" t="s">
        <v>5620</v>
      </c>
      <c r="I126">
        <v>0</v>
      </c>
      <c r="J126" t="s">
        <v>2905</v>
      </c>
      <c r="K126" t="s">
        <v>4241</v>
      </c>
      <c r="L126" t="s">
        <v>1954</v>
      </c>
      <c r="M126" t="s">
        <v>2905</v>
      </c>
      <c r="N126" t="s">
        <v>2905</v>
      </c>
      <c r="O126" t="s">
        <v>4633</v>
      </c>
    </row>
    <row r="127" spans="1:15" x14ac:dyDescent="0.25">
      <c r="A127" t="s">
        <v>5104</v>
      </c>
      <c r="B127" t="s">
        <v>2970</v>
      </c>
      <c r="C127" t="s">
        <v>4616</v>
      </c>
      <c r="D127">
        <v>1</v>
      </c>
      <c r="E127" s="9" t="s">
        <v>5105</v>
      </c>
      <c r="F127" t="s">
        <v>5621</v>
      </c>
      <c r="G127" s="9" t="s">
        <v>5106</v>
      </c>
      <c r="H127" t="s">
        <v>5622</v>
      </c>
      <c r="I127">
        <v>1</v>
      </c>
      <c r="J127" t="s">
        <v>5380</v>
      </c>
      <c r="K127" t="s">
        <v>5104</v>
      </c>
      <c r="L127" t="s">
        <v>1954</v>
      </c>
      <c r="M127" t="s">
        <v>2905</v>
      </c>
      <c r="N127" t="s">
        <v>2905</v>
      </c>
      <c r="O127" t="s">
        <v>4955</v>
      </c>
    </row>
    <row r="128" spans="1:15" x14ac:dyDescent="0.25">
      <c r="A128" t="s">
        <v>5108</v>
      </c>
      <c r="B128" t="s">
        <v>2951</v>
      </c>
      <c r="C128" t="s">
        <v>4616</v>
      </c>
      <c r="D128">
        <v>2</v>
      </c>
      <c r="E128" t="s">
        <v>5109</v>
      </c>
      <c r="F128" t="s">
        <v>5623</v>
      </c>
      <c r="G128" t="s">
        <v>5110</v>
      </c>
      <c r="H128" t="s">
        <v>5624</v>
      </c>
      <c r="I128">
        <v>2</v>
      </c>
      <c r="J128" t="s">
        <v>5385</v>
      </c>
      <c r="K128" t="s">
        <v>5108</v>
      </c>
      <c r="L128" t="s">
        <v>1954</v>
      </c>
      <c r="M128" t="s">
        <v>5625</v>
      </c>
      <c r="N128" t="s">
        <v>2905</v>
      </c>
      <c r="O128" t="s">
        <v>4892</v>
      </c>
    </row>
    <row r="129" spans="1:15" x14ac:dyDescent="0.25">
      <c r="A129" t="s">
        <v>5111</v>
      </c>
      <c r="B129" t="s">
        <v>2970</v>
      </c>
      <c r="C129" t="s">
        <v>4616</v>
      </c>
      <c r="D129">
        <v>0</v>
      </c>
      <c r="E129" s="9" t="s">
        <v>5626</v>
      </c>
      <c r="F129" t="s">
        <v>5627</v>
      </c>
      <c r="G129" s="9" t="s">
        <v>5628</v>
      </c>
      <c r="H129" t="s">
        <v>5629</v>
      </c>
      <c r="I129">
        <v>0</v>
      </c>
      <c r="J129" t="s">
        <v>5346</v>
      </c>
      <c r="K129" t="s">
        <v>5114</v>
      </c>
      <c r="L129" t="s">
        <v>1954</v>
      </c>
      <c r="M129" t="s">
        <v>2905</v>
      </c>
      <c r="N129" t="s">
        <v>2905</v>
      </c>
      <c r="O129" t="s">
        <v>5115</v>
      </c>
    </row>
    <row r="130" spans="1:15" x14ac:dyDescent="0.25">
      <c r="A130" t="s">
        <v>5119</v>
      </c>
      <c r="B130" t="s">
        <v>2970</v>
      </c>
      <c r="C130" t="s">
        <v>4239</v>
      </c>
      <c r="D130" t="s">
        <v>3801</v>
      </c>
      <c r="E130" t="s">
        <v>5120</v>
      </c>
      <c r="F130" t="s">
        <v>5630</v>
      </c>
      <c r="G130" t="s">
        <v>5121</v>
      </c>
      <c r="H130" t="s">
        <v>5631</v>
      </c>
      <c r="I130" t="s">
        <v>3801</v>
      </c>
      <c r="J130" t="s">
        <v>2905</v>
      </c>
      <c r="K130" t="s">
        <v>5119</v>
      </c>
      <c r="L130" t="s">
        <v>1954</v>
      </c>
      <c r="M130" t="s">
        <v>4341</v>
      </c>
      <c r="N130" t="s">
        <v>2905</v>
      </c>
      <c r="O130" t="s">
        <v>4732</v>
      </c>
    </row>
    <row r="131" spans="1:15" x14ac:dyDescent="0.25">
      <c r="A131" t="s">
        <v>3982</v>
      </c>
      <c r="B131" t="s">
        <v>3803</v>
      </c>
      <c r="C131" t="s">
        <v>4764</v>
      </c>
      <c r="D131" t="s">
        <v>3801</v>
      </c>
      <c r="E131" t="s">
        <v>5122</v>
      </c>
      <c r="F131" t="s">
        <v>5632</v>
      </c>
      <c r="G131" t="s">
        <v>2905</v>
      </c>
      <c r="H131" t="s">
        <v>2905</v>
      </c>
      <c r="I131" t="s">
        <v>2905</v>
      </c>
      <c r="J131" t="s">
        <v>2905</v>
      </c>
      <c r="K131" t="s">
        <v>3982</v>
      </c>
      <c r="L131" t="s">
        <v>1954</v>
      </c>
      <c r="M131" t="s">
        <v>4343</v>
      </c>
      <c r="N131" t="s">
        <v>2905</v>
      </c>
      <c r="O131" t="s">
        <v>4766</v>
      </c>
    </row>
    <row r="132" spans="1:15" x14ac:dyDescent="0.25">
      <c r="A132" t="s">
        <v>5123</v>
      </c>
      <c r="B132" t="s">
        <v>2970</v>
      </c>
      <c r="C132" t="s">
        <v>4616</v>
      </c>
      <c r="D132">
        <v>2</v>
      </c>
      <c r="E132" s="9" t="s">
        <v>5124</v>
      </c>
      <c r="F132" t="s">
        <v>5633</v>
      </c>
      <c r="G132" s="9" t="s">
        <v>5125</v>
      </c>
      <c r="H132" t="s">
        <v>5634</v>
      </c>
      <c r="I132" t="s">
        <v>2905</v>
      </c>
      <c r="J132" t="s">
        <v>5296</v>
      </c>
      <c r="K132" t="s">
        <v>5126</v>
      </c>
      <c r="L132" t="s">
        <v>1954</v>
      </c>
      <c r="M132" t="s">
        <v>2905</v>
      </c>
      <c r="N132" t="s">
        <v>2905</v>
      </c>
      <c r="O132" t="s">
        <v>4671</v>
      </c>
    </row>
    <row r="133" spans="1:15" x14ac:dyDescent="0.25">
      <c r="A133" t="s">
        <v>3675</v>
      </c>
      <c r="B133" t="s">
        <v>2970</v>
      </c>
      <c r="C133" t="s">
        <v>4239</v>
      </c>
      <c r="D133">
        <v>1</v>
      </c>
      <c r="E133" s="9" t="s">
        <v>5134</v>
      </c>
      <c r="F133" t="s">
        <v>5635</v>
      </c>
      <c r="G133" s="9" t="s">
        <v>5134</v>
      </c>
      <c r="H133" t="s">
        <v>5635</v>
      </c>
      <c r="I133">
        <v>1</v>
      </c>
      <c r="J133" t="s">
        <v>5380</v>
      </c>
      <c r="K133" t="s">
        <v>3678</v>
      </c>
      <c r="L133" t="s">
        <v>1358</v>
      </c>
      <c r="M133" t="s">
        <v>2905</v>
      </c>
      <c r="N133" t="s">
        <v>2905</v>
      </c>
      <c r="O133" t="s">
        <v>5636</v>
      </c>
    </row>
    <row r="134" spans="1:15" x14ac:dyDescent="0.25">
      <c r="A134" t="s">
        <v>5135</v>
      </c>
      <c r="B134" t="s">
        <v>2970</v>
      </c>
      <c r="C134" t="s">
        <v>4616</v>
      </c>
      <c r="D134">
        <v>2</v>
      </c>
      <c r="E134" s="9" t="s">
        <v>5637</v>
      </c>
      <c r="F134" t="s">
        <v>5638</v>
      </c>
      <c r="G134" s="9" t="s">
        <v>2905</v>
      </c>
      <c r="H134" t="s">
        <v>2905</v>
      </c>
      <c r="I134" t="s">
        <v>2905</v>
      </c>
      <c r="J134" t="s">
        <v>5305</v>
      </c>
      <c r="K134" t="s">
        <v>5137</v>
      </c>
      <c r="L134" t="s">
        <v>1954</v>
      </c>
      <c r="M134" t="s">
        <v>2905</v>
      </c>
      <c r="N134" t="s">
        <v>4273</v>
      </c>
      <c r="O134" t="s">
        <v>4955</v>
      </c>
    </row>
    <row r="135" spans="1:15" x14ac:dyDescent="0.25">
      <c r="A135" t="s">
        <v>5138</v>
      </c>
      <c r="B135" t="s">
        <v>2970</v>
      </c>
      <c r="C135" t="s">
        <v>4239</v>
      </c>
      <c r="D135">
        <v>1</v>
      </c>
      <c r="E135" s="9" t="s">
        <v>5139</v>
      </c>
      <c r="F135" t="s">
        <v>5639</v>
      </c>
      <c r="G135" s="9" t="s">
        <v>5140</v>
      </c>
      <c r="H135" t="s">
        <v>5640</v>
      </c>
      <c r="I135">
        <v>1</v>
      </c>
      <c r="J135" t="s">
        <v>2905</v>
      </c>
      <c r="K135" t="s">
        <v>5141</v>
      </c>
      <c r="L135" t="s">
        <v>1954</v>
      </c>
      <c r="M135" t="s">
        <v>2905</v>
      </c>
      <c r="N135" t="s">
        <v>2905</v>
      </c>
      <c r="O135" t="s">
        <v>4895</v>
      </c>
    </row>
    <row r="136" spans="1:15" x14ac:dyDescent="0.25">
      <c r="A136" t="s">
        <v>5142</v>
      </c>
      <c r="B136" t="s">
        <v>2970</v>
      </c>
      <c r="C136" t="s">
        <v>4239</v>
      </c>
      <c r="D136">
        <v>1</v>
      </c>
      <c r="E136" s="9" t="s">
        <v>5143</v>
      </c>
      <c r="F136" t="s">
        <v>5641</v>
      </c>
      <c r="G136" s="9" t="s">
        <v>5143</v>
      </c>
      <c r="H136" t="s">
        <v>5641</v>
      </c>
      <c r="I136">
        <v>0</v>
      </c>
      <c r="J136" t="s">
        <v>2905</v>
      </c>
      <c r="K136" t="s">
        <v>5144</v>
      </c>
      <c r="L136" t="s">
        <v>1954</v>
      </c>
      <c r="M136" t="s">
        <v>4376</v>
      </c>
      <c r="N136" t="s">
        <v>2905</v>
      </c>
      <c r="O136" t="s">
        <v>5145</v>
      </c>
    </row>
    <row r="137" spans="1:15" x14ac:dyDescent="0.25">
      <c r="A137" t="s">
        <v>5146</v>
      </c>
      <c r="B137" t="s">
        <v>2951</v>
      </c>
      <c r="C137" t="s">
        <v>4239</v>
      </c>
      <c r="D137">
        <v>0</v>
      </c>
      <c r="E137" s="9" t="s">
        <v>5642</v>
      </c>
      <c r="F137" t="s">
        <v>5643</v>
      </c>
      <c r="G137" s="9" t="s">
        <v>5644</v>
      </c>
      <c r="H137" t="s">
        <v>5645</v>
      </c>
      <c r="I137">
        <v>0</v>
      </c>
      <c r="J137" t="s">
        <v>2905</v>
      </c>
      <c r="K137" t="s">
        <v>5146</v>
      </c>
      <c r="L137" t="s">
        <v>1954</v>
      </c>
      <c r="M137" t="s">
        <v>4376</v>
      </c>
      <c r="N137" t="s">
        <v>2905</v>
      </c>
      <c r="O137" t="s">
        <v>5149</v>
      </c>
    </row>
    <row r="138" spans="1:15" x14ac:dyDescent="0.25">
      <c r="A138" t="s">
        <v>5150</v>
      </c>
      <c r="B138" t="s">
        <v>2970</v>
      </c>
      <c r="C138" t="s">
        <v>4239</v>
      </c>
      <c r="D138">
        <v>1</v>
      </c>
      <c r="E138" s="9" t="s">
        <v>5151</v>
      </c>
      <c r="F138" t="s">
        <v>5646</v>
      </c>
      <c r="G138" s="9" t="s">
        <v>5152</v>
      </c>
      <c r="H138" t="s">
        <v>5647</v>
      </c>
      <c r="I138">
        <v>1</v>
      </c>
      <c r="J138" t="s">
        <v>2905</v>
      </c>
      <c r="K138" t="s">
        <v>5150</v>
      </c>
      <c r="L138" t="s">
        <v>1954</v>
      </c>
      <c r="M138" t="s">
        <v>2905</v>
      </c>
      <c r="N138" t="s">
        <v>2905</v>
      </c>
      <c r="O138" t="s">
        <v>4895</v>
      </c>
    </row>
    <row r="139" spans="1:15" x14ac:dyDescent="0.25">
      <c r="A139" t="s">
        <v>5153</v>
      </c>
      <c r="B139" t="s">
        <v>2970</v>
      </c>
      <c r="C139" t="s">
        <v>4239</v>
      </c>
      <c r="D139">
        <v>1</v>
      </c>
      <c r="E139" s="9" t="s">
        <v>5648</v>
      </c>
      <c r="F139" t="s">
        <v>5649</v>
      </c>
      <c r="G139" s="9" t="s">
        <v>5648</v>
      </c>
      <c r="H139" t="s">
        <v>5649</v>
      </c>
      <c r="I139">
        <v>0</v>
      </c>
      <c r="J139" t="s">
        <v>2905</v>
      </c>
      <c r="K139" t="s">
        <v>5153</v>
      </c>
      <c r="L139" t="s">
        <v>1954</v>
      </c>
      <c r="M139" t="s">
        <v>2905</v>
      </c>
      <c r="N139" t="s">
        <v>2905</v>
      </c>
      <c r="O139" t="s">
        <v>4718</v>
      </c>
    </row>
    <row r="140" spans="1:15" x14ac:dyDescent="0.25">
      <c r="A140" t="s">
        <v>5155</v>
      </c>
      <c r="B140" t="s">
        <v>2970</v>
      </c>
      <c r="C140" t="s">
        <v>4616</v>
      </c>
      <c r="D140">
        <v>2</v>
      </c>
      <c r="E140" s="9" t="s">
        <v>5650</v>
      </c>
      <c r="F140" t="s">
        <v>5651</v>
      </c>
      <c r="G140" s="9" t="s">
        <v>5652</v>
      </c>
      <c r="H140" t="s">
        <v>5653</v>
      </c>
      <c r="I140">
        <v>2</v>
      </c>
      <c r="J140" t="s">
        <v>5380</v>
      </c>
      <c r="K140" t="s">
        <v>5158</v>
      </c>
      <c r="L140" t="s">
        <v>1954</v>
      </c>
      <c r="M140" t="s">
        <v>2905</v>
      </c>
      <c r="N140" t="s">
        <v>2905</v>
      </c>
      <c r="O140" t="s">
        <v>4900</v>
      </c>
    </row>
    <row r="141" spans="1:15" x14ac:dyDescent="0.25">
      <c r="A141" t="s">
        <v>5159</v>
      </c>
      <c r="B141" t="s">
        <v>3803</v>
      </c>
      <c r="C141" t="s">
        <v>4764</v>
      </c>
      <c r="D141" t="s">
        <v>3801</v>
      </c>
      <c r="E141" t="s">
        <v>5160</v>
      </c>
      <c r="F141" t="s">
        <v>5654</v>
      </c>
      <c r="G141" t="s">
        <v>2905</v>
      </c>
      <c r="H141" t="s">
        <v>2905</v>
      </c>
      <c r="I141" t="s">
        <v>2905</v>
      </c>
      <c r="J141" t="s">
        <v>2905</v>
      </c>
      <c r="K141" t="s">
        <v>5159</v>
      </c>
      <c r="L141" t="s">
        <v>1954</v>
      </c>
      <c r="M141" t="s">
        <v>4343</v>
      </c>
      <c r="N141" t="s">
        <v>2905</v>
      </c>
      <c r="O141" t="s">
        <v>4766</v>
      </c>
    </row>
    <row r="142" spans="1:15" x14ac:dyDescent="0.25">
      <c r="A142" t="s">
        <v>5161</v>
      </c>
      <c r="B142" t="s">
        <v>3803</v>
      </c>
      <c r="C142" t="s">
        <v>4616</v>
      </c>
      <c r="D142">
        <v>0</v>
      </c>
      <c r="E142" t="s">
        <v>5162</v>
      </c>
      <c r="F142" t="s">
        <v>5655</v>
      </c>
      <c r="G142" t="s">
        <v>5163</v>
      </c>
      <c r="H142" t="s">
        <v>5312</v>
      </c>
      <c r="I142">
        <v>0</v>
      </c>
      <c r="J142" t="s">
        <v>5313</v>
      </c>
      <c r="K142" t="s">
        <v>5161</v>
      </c>
      <c r="L142" t="s">
        <v>1954</v>
      </c>
      <c r="M142" t="s">
        <v>4376</v>
      </c>
      <c r="N142" t="s">
        <v>2905</v>
      </c>
      <c r="O142" t="s">
        <v>5656</v>
      </c>
    </row>
    <row r="143" spans="1:15" x14ac:dyDescent="0.25">
      <c r="A143" t="s">
        <v>5164</v>
      </c>
      <c r="B143" t="s">
        <v>2970</v>
      </c>
      <c r="C143" t="s">
        <v>4239</v>
      </c>
      <c r="D143">
        <v>2</v>
      </c>
      <c r="E143" s="9" t="s">
        <v>5165</v>
      </c>
      <c r="F143" t="s">
        <v>5657</v>
      </c>
      <c r="G143" s="9" t="s">
        <v>5166</v>
      </c>
      <c r="H143" t="s">
        <v>5658</v>
      </c>
      <c r="I143">
        <v>2</v>
      </c>
      <c r="J143" t="s">
        <v>2905</v>
      </c>
      <c r="K143" t="s">
        <v>5164</v>
      </c>
      <c r="L143" t="s">
        <v>1954</v>
      </c>
      <c r="M143" t="s">
        <v>4376</v>
      </c>
      <c r="N143" t="s">
        <v>2905</v>
      </c>
      <c r="O143" t="s">
        <v>4833</v>
      </c>
    </row>
    <row r="144" spans="1:15" x14ac:dyDescent="0.25">
      <c r="A144" t="s">
        <v>5167</v>
      </c>
      <c r="B144" t="s">
        <v>2958</v>
      </c>
      <c r="C144" t="s">
        <v>4239</v>
      </c>
      <c r="D144">
        <v>1</v>
      </c>
      <c r="E144" t="s">
        <v>5168</v>
      </c>
      <c r="F144" t="s">
        <v>5659</v>
      </c>
      <c r="G144" t="s">
        <v>5169</v>
      </c>
      <c r="H144" t="s">
        <v>5660</v>
      </c>
      <c r="I144">
        <v>1</v>
      </c>
      <c r="J144" t="s">
        <v>2905</v>
      </c>
      <c r="K144" t="s">
        <v>5170</v>
      </c>
      <c r="L144" t="s">
        <v>1954</v>
      </c>
      <c r="M144" t="s">
        <v>2905</v>
      </c>
      <c r="N144" t="s">
        <v>2905</v>
      </c>
      <c r="O144" t="s">
        <v>5171</v>
      </c>
    </row>
    <row r="145" spans="1:15" x14ac:dyDescent="0.25">
      <c r="A145" t="s">
        <v>5172</v>
      </c>
      <c r="B145" t="s">
        <v>2970</v>
      </c>
      <c r="C145" t="s">
        <v>4616</v>
      </c>
      <c r="D145" t="s">
        <v>4842</v>
      </c>
      <c r="E145" t="s">
        <v>5173</v>
      </c>
      <c r="F145" t="s">
        <v>5661</v>
      </c>
      <c r="G145" t="s">
        <v>5174</v>
      </c>
      <c r="H145" t="s">
        <v>5662</v>
      </c>
      <c r="I145" t="s">
        <v>4842</v>
      </c>
      <c r="J145" t="s">
        <v>5663</v>
      </c>
      <c r="K145" t="s">
        <v>5172</v>
      </c>
      <c r="L145" t="s">
        <v>1954</v>
      </c>
      <c r="M145" t="s">
        <v>2905</v>
      </c>
      <c r="N145" t="s">
        <v>2905</v>
      </c>
      <c r="O145" t="s">
        <v>4671</v>
      </c>
    </row>
    <row r="146" spans="1:15" x14ac:dyDescent="0.25">
      <c r="A146" t="s">
        <v>5175</v>
      </c>
      <c r="B146" t="s">
        <v>2958</v>
      </c>
      <c r="C146" t="s">
        <v>4616</v>
      </c>
      <c r="D146">
        <v>0</v>
      </c>
      <c r="E146" s="9" t="s">
        <v>5176</v>
      </c>
      <c r="F146" t="s">
        <v>5664</v>
      </c>
      <c r="G146" s="9" t="s">
        <v>5177</v>
      </c>
      <c r="H146" t="s">
        <v>5665</v>
      </c>
      <c r="I146">
        <v>0</v>
      </c>
      <c r="J146" t="s">
        <v>5380</v>
      </c>
      <c r="K146" t="s">
        <v>5175</v>
      </c>
      <c r="L146" t="s">
        <v>1954</v>
      </c>
      <c r="M146" t="s">
        <v>2905</v>
      </c>
      <c r="N146" t="s">
        <v>2905</v>
      </c>
      <c r="O146" t="s">
        <v>4671</v>
      </c>
    </row>
    <row r="147" spans="1:15" x14ac:dyDescent="0.25">
      <c r="A147" t="s">
        <v>5178</v>
      </c>
      <c r="B147" t="s">
        <v>3803</v>
      </c>
      <c r="C147" t="s">
        <v>4685</v>
      </c>
      <c r="D147">
        <v>1</v>
      </c>
      <c r="E147" t="s">
        <v>5179</v>
      </c>
      <c r="F147" t="s">
        <v>5666</v>
      </c>
      <c r="G147" t="s">
        <v>2905</v>
      </c>
      <c r="H147" t="s">
        <v>2905</v>
      </c>
      <c r="I147" t="s">
        <v>2905</v>
      </c>
      <c r="J147" t="s">
        <v>2905</v>
      </c>
      <c r="K147" t="s">
        <v>5178</v>
      </c>
      <c r="L147" t="s">
        <v>1954</v>
      </c>
      <c r="M147" t="s">
        <v>4376</v>
      </c>
      <c r="N147" t="s">
        <v>2905</v>
      </c>
      <c r="O147" t="s">
        <v>5355</v>
      </c>
    </row>
    <row r="148" spans="1:15" x14ac:dyDescent="0.25">
      <c r="A148" t="s">
        <v>5180</v>
      </c>
      <c r="B148" t="s">
        <v>2958</v>
      </c>
      <c r="C148" t="s">
        <v>4616</v>
      </c>
      <c r="D148">
        <v>2</v>
      </c>
      <c r="E148" s="9" t="s">
        <v>5181</v>
      </c>
      <c r="F148" t="s">
        <v>5667</v>
      </c>
      <c r="G148" s="9" t="s">
        <v>5182</v>
      </c>
      <c r="H148" t="s">
        <v>5668</v>
      </c>
      <c r="I148">
        <v>2</v>
      </c>
      <c r="J148" t="s">
        <v>5296</v>
      </c>
      <c r="K148" t="s">
        <v>5183</v>
      </c>
      <c r="L148" t="s">
        <v>1954</v>
      </c>
      <c r="M148" t="s">
        <v>2905</v>
      </c>
      <c r="N148" t="s">
        <v>2905</v>
      </c>
      <c r="O148" t="s">
        <v>4921</v>
      </c>
    </row>
    <row r="149" spans="1:15" x14ac:dyDescent="0.25">
      <c r="A149" t="s">
        <v>5185</v>
      </c>
      <c r="B149" t="s">
        <v>2970</v>
      </c>
      <c r="C149" t="s">
        <v>4239</v>
      </c>
      <c r="D149">
        <v>1</v>
      </c>
      <c r="E149" s="9" t="s">
        <v>5186</v>
      </c>
      <c r="F149" t="s">
        <v>5669</v>
      </c>
      <c r="G149" s="9" t="s">
        <v>5187</v>
      </c>
      <c r="H149" t="s">
        <v>5670</v>
      </c>
      <c r="I149">
        <v>1</v>
      </c>
      <c r="J149" t="s">
        <v>2905</v>
      </c>
      <c r="K149" t="s">
        <v>5188</v>
      </c>
      <c r="L149" t="s">
        <v>1954</v>
      </c>
      <c r="M149" t="s">
        <v>2905</v>
      </c>
      <c r="N149" t="s">
        <v>2905</v>
      </c>
      <c r="O149" t="s">
        <v>4823</v>
      </c>
    </row>
    <row r="150" spans="1:15" x14ac:dyDescent="0.25">
      <c r="A150" t="s">
        <v>5189</v>
      </c>
      <c r="B150" t="s">
        <v>2951</v>
      </c>
      <c r="C150" t="s">
        <v>4239</v>
      </c>
      <c r="D150">
        <v>1</v>
      </c>
      <c r="E150" t="s">
        <v>5190</v>
      </c>
      <c r="F150" t="s">
        <v>5671</v>
      </c>
      <c r="G150" t="s">
        <v>5191</v>
      </c>
      <c r="H150" t="s">
        <v>5672</v>
      </c>
      <c r="I150">
        <v>1</v>
      </c>
      <c r="J150" t="s">
        <v>2905</v>
      </c>
      <c r="K150" t="s">
        <v>5192</v>
      </c>
      <c r="L150" t="s">
        <v>1954</v>
      </c>
      <c r="M150" t="s">
        <v>2905</v>
      </c>
      <c r="N150" t="s">
        <v>2905</v>
      </c>
      <c r="O150" t="s">
        <v>5193</v>
      </c>
    </row>
    <row r="151" spans="1:15" x14ac:dyDescent="0.25">
      <c r="A151" t="s">
        <v>5673</v>
      </c>
      <c r="B151" t="s">
        <v>2982</v>
      </c>
      <c r="C151" t="s">
        <v>4616</v>
      </c>
      <c r="D151">
        <v>1</v>
      </c>
      <c r="E151" t="s">
        <v>5176</v>
      </c>
      <c r="F151" t="s">
        <v>5664</v>
      </c>
      <c r="G151" t="s">
        <v>5177</v>
      </c>
      <c r="H151" t="s">
        <v>5665</v>
      </c>
      <c r="I151">
        <v>1</v>
      </c>
      <c r="J151" t="s">
        <v>5305</v>
      </c>
      <c r="K151" t="s">
        <v>5674</v>
      </c>
      <c r="L151" t="s">
        <v>1954</v>
      </c>
      <c r="M151" t="s">
        <v>2905</v>
      </c>
      <c r="N151" t="s">
        <v>2905</v>
      </c>
      <c r="O151" t="s">
        <v>5675</v>
      </c>
    </row>
    <row r="152" spans="1:15" x14ac:dyDescent="0.25">
      <c r="A152" t="s">
        <v>5676</v>
      </c>
      <c r="B152" t="s">
        <v>2982</v>
      </c>
      <c r="C152" t="s">
        <v>4616</v>
      </c>
      <c r="D152">
        <v>1</v>
      </c>
      <c r="E152" t="s">
        <v>5176</v>
      </c>
      <c r="F152" t="s">
        <v>5664</v>
      </c>
      <c r="G152" t="s">
        <v>5177</v>
      </c>
      <c r="H152" t="s">
        <v>5665</v>
      </c>
      <c r="I152">
        <v>1</v>
      </c>
      <c r="J152" t="s">
        <v>5288</v>
      </c>
      <c r="K152" t="s">
        <v>5677</v>
      </c>
      <c r="L152" t="s">
        <v>1954</v>
      </c>
      <c r="M152" t="s">
        <v>2905</v>
      </c>
      <c r="N152" t="s">
        <v>2905</v>
      </c>
      <c r="O152" t="s">
        <v>5675</v>
      </c>
    </row>
    <row r="153" spans="1:15" x14ac:dyDescent="0.25">
      <c r="A153" t="s">
        <v>5195</v>
      </c>
      <c r="B153" t="s">
        <v>2958</v>
      </c>
      <c r="C153" t="s">
        <v>4616</v>
      </c>
      <c r="D153">
        <v>1</v>
      </c>
      <c r="E153" t="s">
        <v>5196</v>
      </c>
      <c r="F153" t="s">
        <v>5678</v>
      </c>
      <c r="G153" t="s">
        <v>5197</v>
      </c>
      <c r="H153" t="s">
        <v>5679</v>
      </c>
      <c r="I153">
        <v>1</v>
      </c>
      <c r="J153" t="s">
        <v>5288</v>
      </c>
      <c r="K153" t="s">
        <v>5198</v>
      </c>
      <c r="L153" t="s">
        <v>1954</v>
      </c>
      <c r="M153" t="s">
        <v>2905</v>
      </c>
      <c r="N153" t="s">
        <v>2905</v>
      </c>
      <c r="O153" t="s">
        <v>4647</v>
      </c>
    </row>
    <row r="154" spans="1:15" x14ac:dyDescent="0.25">
      <c r="A154" t="s">
        <v>4590</v>
      </c>
      <c r="B154" t="s">
        <v>2982</v>
      </c>
      <c r="C154" t="s">
        <v>4239</v>
      </c>
      <c r="D154">
        <v>1</v>
      </c>
      <c r="E154" t="s">
        <v>5199</v>
      </c>
      <c r="F154" t="s">
        <v>5680</v>
      </c>
      <c r="G154" t="s">
        <v>5200</v>
      </c>
      <c r="H154" t="s">
        <v>5681</v>
      </c>
      <c r="I154">
        <v>1</v>
      </c>
      <c r="J154" t="s">
        <v>2905</v>
      </c>
      <c r="K154" t="s">
        <v>4590</v>
      </c>
      <c r="L154" t="s">
        <v>1954</v>
      </c>
      <c r="M154" t="s">
        <v>2905</v>
      </c>
      <c r="N154" t="s">
        <v>2905</v>
      </c>
      <c r="O154" t="s">
        <v>5201</v>
      </c>
    </row>
    <row r="155" spans="1:15" x14ac:dyDescent="0.25">
      <c r="A155" t="s">
        <v>5202</v>
      </c>
      <c r="B155" t="s">
        <v>2958</v>
      </c>
      <c r="C155" t="s">
        <v>4616</v>
      </c>
      <c r="D155">
        <v>1</v>
      </c>
      <c r="E155" t="s">
        <v>5203</v>
      </c>
      <c r="F155" t="s">
        <v>5682</v>
      </c>
      <c r="G155" t="s">
        <v>5204</v>
      </c>
      <c r="H155" t="s">
        <v>5683</v>
      </c>
      <c r="I155">
        <v>1</v>
      </c>
      <c r="J155" t="s">
        <v>5684</v>
      </c>
      <c r="K155" t="s">
        <v>5205</v>
      </c>
      <c r="L155" t="s">
        <v>1954</v>
      </c>
      <c r="M155" t="s">
        <v>2905</v>
      </c>
      <c r="N155" t="s">
        <v>2905</v>
      </c>
      <c r="O155" t="s">
        <v>5206</v>
      </c>
    </row>
    <row r="156" spans="1:15" x14ac:dyDescent="0.25">
      <c r="A156" t="s">
        <v>5207</v>
      </c>
      <c r="B156" t="s">
        <v>2958</v>
      </c>
      <c r="C156" t="s">
        <v>4616</v>
      </c>
      <c r="D156">
        <v>1</v>
      </c>
      <c r="E156" t="s">
        <v>5685</v>
      </c>
      <c r="F156" t="s">
        <v>5686</v>
      </c>
      <c r="G156" t="s">
        <v>5687</v>
      </c>
      <c r="H156" t="s">
        <v>5688</v>
      </c>
      <c r="I156">
        <v>1</v>
      </c>
      <c r="J156" t="s">
        <v>5689</v>
      </c>
      <c r="K156" t="s">
        <v>5210</v>
      </c>
      <c r="L156" t="s">
        <v>1954</v>
      </c>
      <c r="M156" t="s">
        <v>4311</v>
      </c>
      <c r="N156" t="s">
        <v>2905</v>
      </c>
      <c r="O156" t="s">
        <v>4629</v>
      </c>
    </row>
    <row r="157" spans="1:15" x14ac:dyDescent="0.25">
      <c r="A157" t="s">
        <v>5211</v>
      </c>
      <c r="B157" t="s">
        <v>2970</v>
      </c>
      <c r="C157" t="s">
        <v>4239</v>
      </c>
      <c r="D157" t="s">
        <v>3801</v>
      </c>
      <c r="E157" t="s">
        <v>5212</v>
      </c>
      <c r="F157" t="s">
        <v>5690</v>
      </c>
      <c r="G157" t="s">
        <v>5213</v>
      </c>
      <c r="H157" t="s">
        <v>5641</v>
      </c>
      <c r="I157" t="s">
        <v>3801</v>
      </c>
      <c r="J157" t="s">
        <v>2905</v>
      </c>
      <c r="K157" t="s">
        <v>5211</v>
      </c>
      <c r="L157" t="s">
        <v>1954</v>
      </c>
      <c r="M157" t="s">
        <v>4341</v>
      </c>
      <c r="N157" t="s">
        <v>2905</v>
      </c>
      <c r="O157" t="s">
        <v>5214</v>
      </c>
    </row>
    <row r="158" spans="1:15" x14ac:dyDescent="0.25">
      <c r="A158" t="s">
        <v>5219</v>
      </c>
      <c r="B158" t="s">
        <v>2970</v>
      </c>
      <c r="C158" t="s">
        <v>4239</v>
      </c>
      <c r="D158">
        <v>1</v>
      </c>
      <c r="E158" t="s">
        <v>5220</v>
      </c>
      <c r="F158" t="s">
        <v>5691</v>
      </c>
      <c r="G158" t="s">
        <v>5220</v>
      </c>
      <c r="H158" t="s">
        <v>5691</v>
      </c>
      <c r="I158">
        <v>0</v>
      </c>
      <c r="J158" t="s">
        <v>5346</v>
      </c>
      <c r="K158" t="s">
        <v>5219</v>
      </c>
      <c r="L158" t="s">
        <v>1954</v>
      </c>
      <c r="M158" t="s">
        <v>4376</v>
      </c>
      <c r="N158" t="s">
        <v>2905</v>
      </c>
      <c r="O158" t="s">
        <v>5027</v>
      </c>
    </row>
    <row r="159" spans="1:15" x14ac:dyDescent="0.25">
      <c r="A159" t="s">
        <v>5221</v>
      </c>
      <c r="B159" t="s">
        <v>2958</v>
      </c>
      <c r="C159" t="s">
        <v>4616</v>
      </c>
      <c r="D159">
        <v>1</v>
      </c>
      <c r="E159" t="s">
        <v>5692</v>
      </c>
      <c r="F159" t="s">
        <v>5693</v>
      </c>
      <c r="G159" t="s">
        <v>5694</v>
      </c>
      <c r="H159" t="s">
        <v>5695</v>
      </c>
      <c r="I159">
        <v>1</v>
      </c>
      <c r="J159" t="s">
        <v>5696</v>
      </c>
      <c r="K159" t="s">
        <v>5221</v>
      </c>
      <c r="L159" t="s">
        <v>1954</v>
      </c>
      <c r="M159" t="s">
        <v>2905</v>
      </c>
      <c r="N159" t="s">
        <v>4270</v>
      </c>
      <c r="O159" t="s">
        <v>5697</v>
      </c>
    </row>
    <row r="160" spans="1:15" x14ac:dyDescent="0.25">
      <c r="A160" t="s">
        <v>5227</v>
      </c>
      <c r="B160" t="s">
        <v>2958</v>
      </c>
      <c r="C160" t="s">
        <v>4239</v>
      </c>
      <c r="D160">
        <v>1</v>
      </c>
      <c r="E160" s="9" t="s">
        <v>5228</v>
      </c>
      <c r="F160" t="s">
        <v>5698</v>
      </c>
      <c r="G160" s="9" t="s">
        <v>5229</v>
      </c>
      <c r="H160" t="s">
        <v>5699</v>
      </c>
      <c r="I160">
        <v>1</v>
      </c>
      <c r="J160" t="s">
        <v>2905</v>
      </c>
      <c r="K160" t="s">
        <v>5230</v>
      </c>
      <c r="L160" t="s">
        <v>1954</v>
      </c>
      <c r="M160" t="s">
        <v>2905</v>
      </c>
      <c r="N160" t="s">
        <v>2905</v>
      </c>
      <c r="O160" t="s">
        <v>4895</v>
      </c>
    </row>
    <row r="161" spans="1:15" x14ac:dyDescent="0.25">
      <c r="A161" t="s">
        <v>5231</v>
      </c>
      <c r="B161" t="s">
        <v>2958</v>
      </c>
      <c r="C161" t="s">
        <v>4616</v>
      </c>
      <c r="D161">
        <v>1</v>
      </c>
      <c r="E161" t="s">
        <v>5232</v>
      </c>
      <c r="F161" t="s">
        <v>5700</v>
      </c>
      <c r="G161" t="s">
        <v>5233</v>
      </c>
      <c r="H161" t="s">
        <v>5701</v>
      </c>
      <c r="I161">
        <v>1</v>
      </c>
      <c r="J161" t="s">
        <v>5305</v>
      </c>
      <c r="K161" t="s">
        <v>5234</v>
      </c>
      <c r="L161" t="s">
        <v>1954</v>
      </c>
      <c r="M161" t="s">
        <v>2905</v>
      </c>
      <c r="N161" t="s">
        <v>2905</v>
      </c>
      <c r="O161" t="s">
        <v>5702</v>
      </c>
    </row>
    <row r="162" spans="1:15" x14ac:dyDescent="0.25">
      <c r="A162" t="s">
        <v>5235</v>
      </c>
      <c r="B162" t="s">
        <v>2951</v>
      </c>
      <c r="C162" t="s">
        <v>4616</v>
      </c>
      <c r="D162">
        <v>1</v>
      </c>
      <c r="E162" s="9" t="s">
        <v>5236</v>
      </c>
      <c r="F162" t="s">
        <v>5703</v>
      </c>
      <c r="G162" s="9" t="s">
        <v>5237</v>
      </c>
      <c r="H162" t="s">
        <v>5704</v>
      </c>
      <c r="I162">
        <v>1</v>
      </c>
      <c r="J162" t="s">
        <v>5412</v>
      </c>
      <c r="K162" t="s">
        <v>5235</v>
      </c>
      <c r="L162" t="s">
        <v>1954</v>
      </c>
      <c r="M162" t="s">
        <v>2905</v>
      </c>
      <c r="N162" t="s">
        <v>2905</v>
      </c>
      <c r="O162" t="s">
        <v>4878</v>
      </c>
    </row>
    <row r="163" spans="1:15" x14ac:dyDescent="0.25">
      <c r="A163" t="s">
        <v>5238</v>
      </c>
      <c r="B163" t="s">
        <v>2970</v>
      </c>
      <c r="C163" t="s">
        <v>4616</v>
      </c>
      <c r="D163">
        <v>2</v>
      </c>
      <c r="E163" t="s">
        <v>5239</v>
      </c>
      <c r="F163" t="s">
        <v>5705</v>
      </c>
      <c r="G163" t="s">
        <v>5240</v>
      </c>
      <c r="H163" t="s">
        <v>5706</v>
      </c>
      <c r="I163">
        <v>2</v>
      </c>
      <c r="J163" t="s">
        <v>5288</v>
      </c>
      <c r="K163" t="s">
        <v>5238</v>
      </c>
      <c r="L163" t="s">
        <v>1954</v>
      </c>
      <c r="M163" t="s">
        <v>2905</v>
      </c>
      <c r="N163" t="s">
        <v>2905</v>
      </c>
      <c r="O163" t="s">
        <v>4762</v>
      </c>
    </row>
    <row r="164" spans="1:15" x14ac:dyDescent="0.25">
      <c r="A164" t="s">
        <v>5242</v>
      </c>
      <c r="B164" t="s">
        <v>2958</v>
      </c>
      <c r="C164" t="s">
        <v>4239</v>
      </c>
      <c r="D164">
        <v>0</v>
      </c>
      <c r="E164" t="s">
        <v>5243</v>
      </c>
      <c r="F164" t="s">
        <v>5707</v>
      </c>
      <c r="G164" t="s">
        <v>5244</v>
      </c>
      <c r="H164" t="s">
        <v>5708</v>
      </c>
      <c r="I164">
        <v>0</v>
      </c>
      <c r="J164" t="s">
        <v>2905</v>
      </c>
      <c r="K164" t="s">
        <v>5242</v>
      </c>
      <c r="L164" t="s">
        <v>1954</v>
      </c>
      <c r="M164" t="s">
        <v>4376</v>
      </c>
      <c r="N164" t="s">
        <v>2905</v>
      </c>
      <c r="O164" t="s">
        <v>4657</v>
      </c>
    </row>
    <row r="165" spans="1:15" x14ac:dyDescent="0.25">
      <c r="A165" t="s">
        <v>4170</v>
      </c>
      <c r="B165" t="s">
        <v>2970</v>
      </c>
      <c r="C165" t="s">
        <v>3449</v>
      </c>
      <c r="D165">
        <v>1</v>
      </c>
      <c r="E165" s="9" t="s">
        <v>5709</v>
      </c>
      <c r="F165" t="s">
        <v>5710</v>
      </c>
      <c r="G165" s="9" t="s">
        <v>5711</v>
      </c>
      <c r="H165" t="s">
        <v>5712</v>
      </c>
      <c r="I165">
        <v>1</v>
      </c>
      <c r="J165" t="s">
        <v>2905</v>
      </c>
      <c r="K165" t="s">
        <v>4172</v>
      </c>
      <c r="L165" t="s">
        <v>1954</v>
      </c>
      <c r="M165" t="s">
        <v>2905</v>
      </c>
      <c r="N165" t="s">
        <v>2905</v>
      </c>
      <c r="O165" t="s">
        <v>5713</v>
      </c>
    </row>
    <row r="166" spans="1:15" x14ac:dyDescent="0.25">
      <c r="A166" t="s">
        <v>5248</v>
      </c>
      <c r="B166" t="s">
        <v>2970</v>
      </c>
      <c r="C166" t="s">
        <v>4616</v>
      </c>
      <c r="D166" t="s">
        <v>4842</v>
      </c>
      <c r="E166" t="s">
        <v>5714</v>
      </c>
      <c r="F166" t="s">
        <v>5715</v>
      </c>
      <c r="G166" t="s">
        <v>5716</v>
      </c>
      <c r="H166" t="s">
        <v>5717</v>
      </c>
      <c r="I166" t="s">
        <v>4842</v>
      </c>
      <c r="J166" t="s">
        <v>5385</v>
      </c>
      <c r="K166" t="s">
        <v>5248</v>
      </c>
      <c r="L166" t="s">
        <v>1954</v>
      </c>
      <c r="M166" t="s">
        <v>2905</v>
      </c>
      <c r="N166" t="s">
        <v>2905</v>
      </c>
      <c r="O166" t="s">
        <v>4754</v>
      </c>
    </row>
    <row r="167" spans="1:15" x14ac:dyDescent="0.25">
      <c r="A167" t="s">
        <v>5251</v>
      </c>
      <c r="B167" t="s">
        <v>2970</v>
      </c>
      <c r="C167" t="s">
        <v>4239</v>
      </c>
      <c r="D167">
        <v>1</v>
      </c>
      <c r="E167" s="9" t="s">
        <v>5252</v>
      </c>
      <c r="F167" t="s">
        <v>5718</v>
      </c>
      <c r="G167" s="9" t="s">
        <v>5252</v>
      </c>
      <c r="H167" t="s">
        <v>5718</v>
      </c>
      <c r="I167">
        <v>0</v>
      </c>
      <c r="J167" t="s">
        <v>2905</v>
      </c>
      <c r="K167" t="s">
        <v>5253</v>
      </c>
      <c r="L167" t="s">
        <v>1954</v>
      </c>
      <c r="M167" t="s">
        <v>4376</v>
      </c>
      <c r="N167" t="s">
        <v>2905</v>
      </c>
      <c r="O167" t="s">
        <v>5719</v>
      </c>
    </row>
    <row r="168" spans="1:15" x14ac:dyDescent="0.25">
      <c r="A168" t="s">
        <v>5255</v>
      </c>
      <c r="B168" t="s">
        <v>2958</v>
      </c>
      <c r="C168" t="s">
        <v>4616</v>
      </c>
      <c r="D168">
        <v>1</v>
      </c>
      <c r="E168" s="9" t="s">
        <v>5256</v>
      </c>
      <c r="F168" t="s">
        <v>5720</v>
      </c>
      <c r="G168" s="9" t="s">
        <v>5257</v>
      </c>
      <c r="H168" t="s">
        <v>5721</v>
      </c>
      <c r="I168">
        <v>1</v>
      </c>
      <c r="J168" t="s">
        <v>5346</v>
      </c>
      <c r="K168" t="s">
        <v>5258</v>
      </c>
      <c r="L168" t="s">
        <v>1954</v>
      </c>
      <c r="M168" t="s">
        <v>2905</v>
      </c>
      <c r="N168" t="s">
        <v>2905</v>
      </c>
      <c r="O168" t="s">
        <v>5115</v>
      </c>
    </row>
    <row r="169" spans="1:15" x14ac:dyDescent="0.25">
      <c r="A169" t="s">
        <v>5259</v>
      </c>
      <c r="B169" t="s">
        <v>3803</v>
      </c>
      <c r="C169" t="s">
        <v>4685</v>
      </c>
      <c r="D169" t="s">
        <v>3801</v>
      </c>
      <c r="E169" s="9" t="s">
        <v>4984</v>
      </c>
      <c r="F169" t="s">
        <v>5393</v>
      </c>
      <c r="G169" s="9" t="s">
        <v>2905</v>
      </c>
      <c r="H169" t="s">
        <v>2905</v>
      </c>
      <c r="I169" t="s">
        <v>2905</v>
      </c>
      <c r="J169" t="s">
        <v>2905</v>
      </c>
      <c r="K169" t="s">
        <v>5259</v>
      </c>
      <c r="L169" t="s">
        <v>1954</v>
      </c>
      <c r="M169" t="s">
        <v>2905</v>
      </c>
      <c r="N169" t="s">
        <v>2905</v>
      </c>
      <c r="O169" t="s">
        <v>5355</v>
      </c>
    </row>
    <row r="170" spans="1:15" x14ac:dyDescent="0.25">
      <c r="A170" t="s">
        <v>5260</v>
      </c>
      <c r="B170" t="s">
        <v>2951</v>
      </c>
      <c r="C170" t="s">
        <v>3449</v>
      </c>
      <c r="D170">
        <v>3</v>
      </c>
      <c r="E170" s="9" t="s">
        <v>5722</v>
      </c>
      <c r="F170" t="s">
        <v>5723</v>
      </c>
      <c r="G170" s="9" t="s">
        <v>5724</v>
      </c>
      <c r="H170" t="s">
        <v>5725</v>
      </c>
      <c r="I170" t="s">
        <v>2905</v>
      </c>
      <c r="J170" t="s">
        <v>2905</v>
      </c>
      <c r="K170" t="s">
        <v>5263</v>
      </c>
      <c r="L170" t="s">
        <v>1954</v>
      </c>
      <c r="M170" t="s">
        <v>2905</v>
      </c>
      <c r="N170" t="s">
        <v>2905</v>
      </c>
      <c r="O170" t="s">
        <v>4611</v>
      </c>
    </row>
    <row r="171" spans="1:15" x14ac:dyDescent="0.25">
      <c r="A171" t="s">
        <v>5264</v>
      </c>
      <c r="B171" t="s">
        <v>3803</v>
      </c>
      <c r="C171" t="s">
        <v>4764</v>
      </c>
      <c r="D171" t="s">
        <v>3801</v>
      </c>
      <c r="E171" t="s">
        <v>5265</v>
      </c>
      <c r="F171" t="s">
        <v>5393</v>
      </c>
      <c r="G171" t="s">
        <v>2905</v>
      </c>
      <c r="H171" t="s">
        <v>2905</v>
      </c>
      <c r="I171" t="s">
        <v>2905</v>
      </c>
      <c r="J171" t="s">
        <v>2905</v>
      </c>
      <c r="K171" t="s">
        <v>5264</v>
      </c>
      <c r="L171" t="s">
        <v>1954</v>
      </c>
      <c r="M171" t="s">
        <v>4343</v>
      </c>
      <c r="N171" t="s">
        <v>2905</v>
      </c>
      <c r="O171" t="s">
        <v>4766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5726</v>
      </c>
      <c r="C1" t="s">
        <v>5727</v>
      </c>
      <c r="D1" t="s">
        <v>2899</v>
      </c>
      <c r="E1" t="s">
        <v>2946</v>
      </c>
      <c r="F1" t="s">
        <v>5728</v>
      </c>
    </row>
    <row r="2" spans="1:6" ht="15" customHeight="1" x14ac:dyDescent="0.25">
      <c r="A2" t="s">
        <v>5729</v>
      </c>
      <c r="B2" t="s">
        <v>3545</v>
      </c>
      <c r="C2" t="s">
        <v>5730</v>
      </c>
      <c r="D2" t="s">
        <v>5731</v>
      </c>
      <c r="E2" t="s">
        <v>5732</v>
      </c>
      <c r="F2" t="s">
        <v>5733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5734</v>
      </c>
      <c r="D1" t="s">
        <v>57</v>
      </c>
      <c r="E1" t="s">
        <v>3296</v>
      </c>
      <c r="F1" t="s">
        <v>3791</v>
      </c>
    </row>
    <row r="2" spans="1:6" ht="15" customHeight="1" x14ac:dyDescent="0.25">
      <c r="A2" t="s">
        <v>5735</v>
      </c>
      <c r="B2" t="s">
        <v>5736</v>
      </c>
      <c r="C2" t="s">
        <v>4052</v>
      </c>
      <c r="D2" t="s">
        <v>4685</v>
      </c>
      <c r="E2" t="s">
        <v>2905</v>
      </c>
      <c r="F2" t="s">
        <v>2905</v>
      </c>
    </row>
    <row r="3" spans="1:6" ht="15" customHeight="1" x14ac:dyDescent="0.25">
      <c r="A3" t="s">
        <v>5737</v>
      </c>
      <c r="B3" t="s">
        <v>5738</v>
      </c>
      <c r="C3" t="s">
        <v>5739</v>
      </c>
      <c r="D3" t="s">
        <v>4685</v>
      </c>
      <c r="E3" t="s">
        <v>2905</v>
      </c>
      <c r="F3" t="s">
        <v>2905</v>
      </c>
    </row>
    <row r="4" spans="1:6" ht="15" customHeight="1" x14ac:dyDescent="0.25">
      <c r="A4" t="s">
        <v>5740</v>
      </c>
      <c r="B4" t="s">
        <v>5741</v>
      </c>
      <c r="C4" t="s">
        <v>4055</v>
      </c>
      <c r="D4" t="s">
        <v>5740</v>
      </c>
      <c r="E4" t="s">
        <v>5742</v>
      </c>
      <c r="F4" t="s">
        <v>2951</v>
      </c>
    </row>
    <row r="5" spans="1:6" ht="15" customHeight="1" x14ac:dyDescent="0.25">
      <c r="A5" t="s">
        <v>5743</v>
      </c>
      <c r="B5" t="s">
        <v>5744</v>
      </c>
      <c r="C5" t="s">
        <v>5745</v>
      </c>
      <c r="D5" t="s">
        <v>2963</v>
      </c>
      <c r="E5" t="s">
        <v>5746</v>
      </c>
      <c r="F5" t="s">
        <v>2958</v>
      </c>
    </row>
    <row r="6" spans="1:6" ht="15" customHeight="1" x14ac:dyDescent="0.25">
      <c r="A6" t="s">
        <v>5747</v>
      </c>
      <c r="B6" t="s">
        <v>5748</v>
      </c>
      <c r="C6" t="s">
        <v>5745</v>
      </c>
      <c r="D6" t="s">
        <v>4685</v>
      </c>
      <c r="E6" t="s">
        <v>2905</v>
      </c>
      <c r="F6" t="s">
        <v>2970</v>
      </c>
    </row>
    <row r="7" spans="1:6" ht="15" customHeight="1" x14ac:dyDescent="0.25">
      <c r="A7" t="s">
        <v>5749</v>
      </c>
      <c r="B7" t="s">
        <v>5750</v>
      </c>
      <c r="C7" t="s">
        <v>5739</v>
      </c>
      <c r="D7" t="s">
        <v>4685</v>
      </c>
      <c r="E7" t="s">
        <v>2905</v>
      </c>
    </row>
    <row r="8" spans="1:6" ht="15" customHeight="1" x14ac:dyDescent="0.25">
      <c r="A8" t="s">
        <v>5751</v>
      </c>
      <c r="B8" t="s">
        <v>5752</v>
      </c>
      <c r="C8" t="s">
        <v>4052</v>
      </c>
      <c r="D8" t="s">
        <v>4685</v>
      </c>
      <c r="E8" t="s">
        <v>2905</v>
      </c>
      <c r="F8" t="s">
        <v>2905</v>
      </c>
    </row>
    <row r="9" spans="1:6" ht="15" customHeight="1" x14ac:dyDescent="0.25">
      <c r="A9" t="s">
        <v>5753</v>
      </c>
      <c r="B9" t="s">
        <v>5754</v>
      </c>
      <c r="C9" t="s">
        <v>4055</v>
      </c>
      <c r="D9" t="s">
        <v>4616</v>
      </c>
      <c r="E9" t="s">
        <v>5742</v>
      </c>
      <c r="F9" t="s">
        <v>2958</v>
      </c>
    </row>
    <row r="10" spans="1:6" ht="15" customHeight="1" x14ac:dyDescent="0.25">
      <c r="A10" t="s">
        <v>5755</v>
      </c>
      <c r="B10" t="s">
        <v>5756</v>
      </c>
      <c r="C10" t="s">
        <v>5739</v>
      </c>
      <c r="D10" t="s">
        <v>4685</v>
      </c>
      <c r="E10" t="s">
        <v>3892</v>
      </c>
      <c r="F10" t="s">
        <v>2958</v>
      </c>
    </row>
    <row r="11" spans="1:6" ht="15" customHeight="1" x14ac:dyDescent="0.25">
      <c r="A11" t="s">
        <v>5757</v>
      </c>
      <c r="B11" t="s">
        <v>5758</v>
      </c>
      <c r="C11" t="s">
        <v>5745</v>
      </c>
      <c r="D11" t="s">
        <v>2889</v>
      </c>
      <c r="E11" t="s">
        <v>2905</v>
      </c>
      <c r="F11" t="s">
        <v>2970</v>
      </c>
    </row>
    <row r="12" spans="1:6" ht="15" customHeight="1" x14ac:dyDescent="0.25">
      <c r="A12" t="s">
        <v>5759</v>
      </c>
      <c r="B12" t="s">
        <v>5760</v>
      </c>
      <c r="C12" t="s">
        <v>4055</v>
      </c>
      <c r="D12" t="s">
        <v>4685</v>
      </c>
      <c r="E12" t="s">
        <v>3892</v>
      </c>
      <c r="F12" t="s">
        <v>2958</v>
      </c>
    </row>
    <row r="13" spans="1:6" ht="15" customHeight="1" x14ac:dyDescent="0.25">
      <c r="A13" t="s">
        <v>5761</v>
      </c>
      <c r="B13" t="s">
        <v>5762</v>
      </c>
      <c r="C13" t="s">
        <v>5739</v>
      </c>
      <c r="D13" t="s">
        <v>4685</v>
      </c>
      <c r="E13" t="s">
        <v>2905</v>
      </c>
      <c r="F13" t="s">
        <v>2905</v>
      </c>
    </row>
    <row r="14" spans="1:6" ht="15" customHeight="1" x14ac:dyDescent="0.25">
      <c r="A14" t="s">
        <v>5763</v>
      </c>
      <c r="B14" t="s">
        <v>5764</v>
      </c>
      <c r="C14" t="s">
        <v>5739</v>
      </c>
      <c r="D14" t="s">
        <v>4685</v>
      </c>
      <c r="E14" t="s">
        <v>2905</v>
      </c>
      <c r="F14" t="s">
        <v>2905</v>
      </c>
    </row>
    <row r="15" spans="1:6" ht="15" customHeight="1" x14ac:dyDescent="0.25">
      <c r="A15" t="s">
        <v>5765</v>
      </c>
      <c r="B15" t="s">
        <v>5766</v>
      </c>
      <c r="C15" t="s">
        <v>4055</v>
      </c>
      <c r="D15" t="s">
        <v>4616</v>
      </c>
      <c r="E15" t="s">
        <v>5767</v>
      </c>
      <c r="F15" t="s">
        <v>2951</v>
      </c>
    </row>
    <row r="16" spans="1:6" ht="15" customHeight="1" x14ac:dyDescent="0.25">
      <c r="A16" t="s">
        <v>5768</v>
      </c>
      <c r="B16" t="s">
        <v>5769</v>
      </c>
      <c r="C16" t="s">
        <v>5739</v>
      </c>
      <c r="D16" t="s">
        <v>5768</v>
      </c>
      <c r="E16" t="s">
        <v>2905</v>
      </c>
      <c r="F16" t="s">
        <v>2958</v>
      </c>
    </row>
    <row r="17" spans="1:6" ht="15" customHeight="1" x14ac:dyDescent="0.25">
      <c r="A17" t="s">
        <v>5056</v>
      </c>
      <c r="B17" t="s">
        <v>5770</v>
      </c>
      <c r="C17" t="s">
        <v>5739</v>
      </c>
      <c r="D17" t="s">
        <v>4685</v>
      </c>
      <c r="E17" t="s">
        <v>5742</v>
      </c>
      <c r="F17" t="s">
        <v>2905</v>
      </c>
    </row>
    <row r="18" spans="1:6" ht="15" customHeight="1" x14ac:dyDescent="0.25">
      <c r="A18" t="s">
        <v>4571</v>
      </c>
      <c r="B18" t="s">
        <v>5771</v>
      </c>
      <c r="C18" t="s">
        <v>5739</v>
      </c>
      <c r="D18" t="s">
        <v>4685</v>
      </c>
      <c r="E18" t="s">
        <v>3892</v>
      </c>
      <c r="F18" t="s">
        <v>2951</v>
      </c>
    </row>
    <row r="19" spans="1:6" ht="15" customHeight="1" x14ac:dyDescent="0.25">
      <c r="A19" t="s">
        <v>5772</v>
      </c>
      <c r="B19" t="s">
        <v>5773</v>
      </c>
      <c r="C19" t="s">
        <v>5739</v>
      </c>
      <c r="D19" t="s">
        <v>4685</v>
      </c>
      <c r="E19" t="s">
        <v>2905</v>
      </c>
      <c r="F19" t="s">
        <v>2905</v>
      </c>
    </row>
    <row r="20" spans="1:6" ht="15" customHeight="1" x14ac:dyDescent="0.25">
      <c r="A20" t="s">
        <v>5774</v>
      </c>
      <c r="B20" t="s">
        <v>5775</v>
      </c>
      <c r="C20" t="s">
        <v>4052</v>
      </c>
      <c r="D20" t="s">
        <v>4685</v>
      </c>
      <c r="E20" t="s">
        <v>2905</v>
      </c>
      <c r="F20" t="s">
        <v>2905</v>
      </c>
    </row>
    <row r="21" spans="1:6" ht="15" customHeight="1" x14ac:dyDescent="0.25">
      <c r="A21" t="s">
        <v>5776</v>
      </c>
      <c r="B21" t="s">
        <v>5777</v>
      </c>
      <c r="C21" t="s">
        <v>5745</v>
      </c>
      <c r="D21" t="s">
        <v>5776</v>
      </c>
      <c r="E21" t="s">
        <v>5767</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4592</v>
      </c>
      <c r="C1" t="s">
        <v>3791</v>
      </c>
      <c r="D1" t="s">
        <v>2899</v>
      </c>
      <c r="E1" t="s">
        <v>5273</v>
      </c>
      <c r="F1" t="s">
        <v>5778</v>
      </c>
      <c r="G1" t="s">
        <v>9</v>
      </c>
      <c r="H1" t="s">
        <v>5274</v>
      </c>
      <c r="I1" t="s">
        <v>57</v>
      </c>
    </row>
    <row r="2" spans="1:9" ht="15" customHeight="1" x14ac:dyDescent="0.25">
      <c r="A2" t="s">
        <v>5779</v>
      </c>
      <c r="B2">
        <v>6</v>
      </c>
      <c r="C2" t="s">
        <v>2951</v>
      </c>
      <c r="D2" t="s">
        <v>5780</v>
      </c>
      <c r="E2" t="s">
        <v>2905</v>
      </c>
      <c r="F2" t="s">
        <v>3801</v>
      </c>
      <c r="G2" t="s">
        <v>1962</v>
      </c>
      <c r="H2" t="s">
        <v>4265</v>
      </c>
      <c r="I2" t="s">
        <v>5779</v>
      </c>
    </row>
    <row r="3" spans="1:9" ht="15" customHeight="1" x14ac:dyDescent="0.25">
      <c r="A3" t="s">
        <v>5781</v>
      </c>
      <c r="B3">
        <v>3</v>
      </c>
      <c r="C3" t="s">
        <v>2970</v>
      </c>
      <c r="D3" t="s">
        <v>5782</v>
      </c>
      <c r="E3" t="s">
        <v>2905</v>
      </c>
      <c r="F3" t="s">
        <v>70</v>
      </c>
      <c r="G3" t="s">
        <v>1962</v>
      </c>
      <c r="H3" t="s">
        <v>2905</v>
      </c>
      <c r="I3" t="s">
        <v>5781</v>
      </c>
    </row>
    <row r="4" spans="1:9" ht="15" customHeight="1" x14ac:dyDescent="0.25">
      <c r="A4" t="s">
        <v>5783</v>
      </c>
      <c r="B4">
        <v>3</v>
      </c>
      <c r="C4" t="s">
        <v>2951</v>
      </c>
      <c r="D4" t="s">
        <v>5784</v>
      </c>
      <c r="E4" t="s">
        <v>4294</v>
      </c>
      <c r="F4" t="s">
        <v>70</v>
      </c>
      <c r="G4" t="s">
        <v>1962</v>
      </c>
      <c r="H4" t="s">
        <v>2905</v>
      </c>
      <c r="I4" t="s">
        <v>5783</v>
      </c>
    </row>
    <row r="5" spans="1:9" ht="15" customHeight="1" x14ac:dyDescent="0.25">
      <c r="A5" t="s">
        <v>5785</v>
      </c>
      <c r="B5">
        <v>6</v>
      </c>
      <c r="C5" t="s">
        <v>2951</v>
      </c>
      <c r="D5" t="s">
        <v>5786</v>
      </c>
      <c r="E5" t="s">
        <v>2905</v>
      </c>
      <c r="F5" t="s">
        <v>70</v>
      </c>
      <c r="G5" t="s">
        <v>1962</v>
      </c>
      <c r="H5" t="s">
        <v>4273</v>
      </c>
      <c r="I5" t="s">
        <v>5785</v>
      </c>
    </row>
    <row r="6" spans="1:9" ht="15" customHeight="1" x14ac:dyDescent="0.25">
      <c r="A6" t="s">
        <v>4047</v>
      </c>
      <c r="B6">
        <v>1</v>
      </c>
      <c r="C6" t="s">
        <v>2970</v>
      </c>
      <c r="D6" t="s">
        <v>5787</v>
      </c>
      <c r="E6" t="s">
        <v>2905</v>
      </c>
      <c r="F6" t="s">
        <v>70</v>
      </c>
      <c r="G6" t="s">
        <v>1962</v>
      </c>
      <c r="H6" t="s">
        <v>4273</v>
      </c>
      <c r="I6" t="s">
        <v>4047</v>
      </c>
    </row>
    <row r="7" spans="1:9" ht="15" customHeight="1" x14ac:dyDescent="0.25">
      <c r="A7" t="s">
        <v>5788</v>
      </c>
      <c r="B7">
        <v>3</v>
      </c>
      <c r="C7" t="s">
        <v>2951</v>
      </c>
      <c r="D7" t="s">
        <v>5789</v>
      </c>
      <c r="E7" t="s">
        <v>2905</v>
      </c>
      <c r="F7" t="s">
        <v>70</v>
      </c>
      <c r="G7" t="s">
        <v>1962</v>
      </c>
      <c r="H7" t="s">
        <v>2905</v>
      </c>
      <c r="I7" t="s">
        <v>5788</v>
      </c>
    </row>
    <row r="8" spans="1:9" ht="15" customHeight="1" x14ac:dyDescent="0.25">
      <c r="A8" t="s">
        <v>5790</v>
      </c>
      <c r="B8">
        <v>1</v>
      </c>
      <c r="C8" t="s">
        <v>2970</v>
      </c>
      <c r="D8" t="s">
        <v>5791</v>
      </c>
      <c r="E8" t="s">
        <v>4292</v>
      </c>
      <c r="F8" t="s">
        <v>70</v>
      </c>
      <c r="G8" t="s">
        <v>1962</v>
      </c>
      <c r="H8" t="s">
        <v>2905</v>
      </c>
      <c r="I8" t="s">
        <v>5790</v>
      </c>
    </row>
    <row r="9" spans="1:9" ht="15" customHeight="1" x14ac:dyDescent="0.25">
      <c r="A9" t="s">
        <v>5792</v>
      </c>
      <c r="B9">
        <v>2</v>
      </c>
      <c r="C9" t="s">
        <v>2958</v>
      </c>
      <c r="D9" t="s">
        <v>3409</v>
      </c>
      <c r="E9" t="s">
        <v>4309</v>
      </c>
      <c r="F9" t="s">
        <v>3801</v>
      </c>
      <c r="G9" t="s">
        <v>1962</v>
      </c>
      <c r="H9" t="s">
        <v>2905</v>
      </c>
      <c r="I9" t="s">
        <v>5792</v>
      </c>
    </row>
    <row r="10" spans="1:9" ht="15" customHeight="1" x14ac:dyDescent="0.25">
      <c r="A10" t="s">
        <v>5793</v>
      </c>
      <c r="B10">
        <v>1</v>
      </c>
      <c r="C10" t="s">
        <v>2951</v>
      </c>
      <c r="D10" t="s">
        <v>5794</v>
      </c>
      <c r="E10" t="s">
        <v>4292</v>
      </c>
      <c r="F10" t="s">
        <v>3801</v>
      </c>
      <c r="G10" t="s">
        <v>1962</v>
      </c>
      <c r="H10" t="s">
        <v>4262</v>
      </c>
      <c r="I10" t="s">
        <v>5793</v>
      </c>
    </row>
    <row r="11" spans="1:9" ht="15" customHeight="1" x14ac:dyDescent="0.25">
      <c r="A11" t="s">
        <v>5795</v>
      </c>
      <c r="B11">
        <v>15</v>
      </c>
      <c r="C11" t="s">
        <v>2951</v>
      </c>
      <c r="D11" t="s">
        <v>5796</v>
      </c>
      <c r="E11" t="s">
        <v>2905</v>
      </c>
      <c r="F11" t="s">
        <v>3801</v>
      </c>
      <c r="G11" t="s">
        <v>1962</v>
      </c>
      <c r="H11" t="s">
        <v>4265</v>
      </c>
      <c r="I11" t="s">
        <v>5795</v>
      </c>
    </row>
    <row r="12" spans="1:9" ht="15" customHeight="1" x14ac:dyDescent="0.25">
      <c r="A12" t="s">
        <v>5797</v>
      </c>
      <c r="B12">
        <v>2</v>
      </c>
      <c r="C12" t="s">
        <v>2958</v>
      </c>
      <c r="D12" t="s">
        <v>5798</v>
      </c>
      <c r="E12" t="s">
        <v>2905</v>
      </c>
      <c r="F12" t="s">
        <v>3801</v>
      </c>
      <c r="G12" t="s">
        <v>1962</v>
      </c>
      <c r="H12" t="s">
        <v>4262</v>
      </c>
      <c r="I12" t="s">
        <v>5797</v>
      </c>
    </row>
    <row r="13" spans="1:9" ht="15" customHeight="1" x14ac:dyDescent="0.25">
      <c r="A13" t="s">
        <v>5799</v>
      </c>
      <c r="B13">
        <v>3</v>
      </c>
      <c r="C13" t="s">
        <v>2951</v>
      </c>
      <c r="D13" t="s">
        <v>5800</v>
      </c>
      <c r="E13" t="s">
        <v>2905</v>
      </c>
      <c r="F13" t="s">
        <v>70</v>
      </c>
      <c r="G13" t="s">
        <v>1962</v>
      </c>
      <c r="H13" t="s">
        <v>4133</v>
      </c>
      <c r="I13" t="s">
        <v>5799</v>
      </c>
    </row>
    <row r="14" spans="1:9" ht="15" customHeight="1" x14ac:dyDescent="0.25">
      <c r="A14" t="s">
        <v>5801</v>
      </c>
      <c r="B14">
        <v>1</v>
      </c>
      <c r="C14" t="s">
        <v>2958</v>
      </c>
      <c r="D14" t="s">
        <v>5802</v>
      </c>
      <c r="E14" t="s">
        <v>4292</v>
      </c>
      <c r="F14" t="s">
        <v>70</v>
      </c>
      <c r="G14" t="s">
        <v>1962</v>
      </c>
      <c r="H14" t="s">
        <v>2905</v>
      </c>
      <c r="I14" t="s">
        <v>5801</v>
      </c>
    </row>
    <row r="15" spans="1:9" ht="15" customHeight="1" x14ac:dyDescent="0.25">
      <c r="A15" t="s">
        <v>5803</v>
      </c>
      <c r="B15">
        <v>2</v>
      </c>
      <c r="C15" t="s">
        <v>2958</v>
      </c>
      <c r="D15" t="s">
        <v>5804</v>
      </c>
      <c r="E15" t="s">
        <v>4339</v>
      </c>
      <c r="F15" t="s">
        <v>70</v>
      </c>
      <c r="G15" t="s">
        <v>1962</v>
      </c>
      <c r="H15" t="s">
        <v>4268</v>
      </c>
      <c r="I15" t="s">
        <v>5803</v>
      </c>
    </row>
    <row r="16" spans="1:9" ht="15" customHeight="1" x14ac:dyDescent="0.25">
      <c r="A16" t="s">
        <v>5805</v>
      </c>
      <c r="B16">
        <v>2</v>
      </c>
      <c r="C16" t="s">
        <v>2958</v>
      </c>
      <c r="D16" t="s">
        <v>5806</v>
      </c>
      <c r="E16" t="s">
        <v>4339</v>
      </c>
      <c r="F16" t="s">
        <v>70</v>
      </c>
      <c r="G16" t="s">
        <v>1962</v>
      </c>
      <c r="H16" t="s">
        <v>4268</v>
      </c>
      <c r="I16" t="s">
        <v>5805</v>
      </c>
    </row>
    <row r="17" spans="1:9" ht="15" customHeight="1" x14ac:dyDescent="0.25">
      <c r="A17" t="s">
        <v>5807</v>
      </c>
      <c r="B17">
        <v>3</v>
      </c>
      <c r="C17" t="s">
        <v>2970</v>
      </c>
      <c r="D17" t="s">
        <v>5808</v>
      </c>
      <c r="E17" t="s">
        <v>2905</v>
      </c>
      <c r="F17" t="s">
        <v>70</v>
      </c>
      <c r="G17" t="s">
        <v>1962</v>
      </c>
      <c r="H17" t="s">
        <v>4278</v>
      </c>
      <c r="I17" t="s">
        <v>5807</v>
      </c>
    </row>
    <row r="18" spans="1:9" ht="15" customHeight="1" x14ac:dyDescent="0.25">
      <c r="A18" t="s">
        <v>5809</v>
      </c>
      <c r="B18">
        <v>3</v>
      </c>
      <c r="C18" t="s">
        <v>2958</v>
      </c>
      <c r="D18" t="s">
        <v>5810</v>
      </c>
      <c r="E18" t="s">
        <v>4339</v>
      </c>
      <c r="F18" t="s">
        <v>70</v>
      </c>
      <c r="G18" t="s">
        <v>1962</v>
      </c>
      <c r="H18" t="s">
        <v>4273</v>
      </c>
      <c r="I18" t="s">
        <v>5809</v>
      </c>
    </row>
    <row r="19" spans="1:9" ht="15" customHeight="1" x14ac:dyDescent="0.25">
      <c r="A19" t="s">
        <v>5811</v>
      </c>
      <c r="B19">
        <v>4</v>
      </c>
      <c r="C19" t="s">
        <v>2958</v>
      </c>
      <c r="D19" t="s">
        <v>5812</v>
      </c>
      <c r="E19" t="s">
        <v>4287</v>
      </c>
      <c r="F19" t="s">
        <v>70</v>
      </c>
      <c r="G19" t="s">
        <v>1962</v>
      </c>
      <c r="H19" t="s">
        <v>4268</v>
      </c>
      <c r="I19" t="s">
        <v>5811</v>
      </c>
    </row>
    <row r="20" spans="1:9" ht="15" customHeight="1" x14ac:dyDescent="0.25">
      <c r="A20" t="s">
        <v>5813</v>
      </c>
      <c r="B20">
        <v>2</v>
      </c>
      <c r="C20" t="s">
        <v>2970</v>
      </c>
      <c r="D20" t="s">
        <v>5814</v>
      </c>
      <c r="E20" t="s">
        <v>4292</v>
      </c>
      <c r="F20" t="s">
        <v>3801</v>
      </c>
      <c r="G20" t="s">
        <v>1962</v>
      </c>
      <c r="H20" t="s">
        <v>4270</v>
      </c>
      <c r="I20" t="s">
        <v>5813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3791</v>
      </c>
      <c r="C1" t="s">
        <v>5815</v>
      </c>
      <c r="D1" t="s">
        <v>9</v>
      </c>
      <c r="E1" t="s">
        <v>5816</v>
      </c>
    </row>
    <row r="2" spans="1:5" ht="15" customHeight="1" x14ac:dyDescent="0.25">
      <c r="A2" t="s">
        <v>5817</v>
      </c>
      <c r="B2" t="s">
        <v>2958</v>
      </c>
      <c r="C2" t="s">
        <v>5818</v>
      </c>
      <c r="D2" t="s">
        <v>1044</v>
      </c>
      <c r="E2" t="s">
        <v>5819</v>
      </c>
    </row>
    <row r="3" spans="1:5" ht="15" customHeight="1" x14ac:dyDescent="0.25">
      <c r="A3" t="s">
        <v>5820</v>
      </c>
      <c r="B3" t="s">
        <v>2970</v>
      </c>
      <c r="C3" t="s">
        <v>5818</v>
      </c>
      <c r="D3" t="s">
        <v>1044</v>
      </c>
      <c r="E3" t="s">
        <v>5821</v>
      </c>
    </row>
    <row r="4" spans="1:5" ht="15" customHeight="1" x14ac:dyDescent="0.25">
      <c r="A4" t="s">
        <v>5822</v>
      </c>
      <c r="B4" t="s">
        <v>2951</v>
      </c>
      <c r="C4" t="s">
        <v>5818</v>
      </c>
      <c r="D4" t="s">
        <v>1044</v>
      </c>
      <c r="E4" t="s">
        <v>5823</v>
      </c>
    </row>
    <row r="5" spans="1:5" ht="15" customHeight="1" x14ac:dyDescent="0.25">
      <c r="A5" t="s">
        <v>5824</v>
      </c>
      <c r="B5" t="s">
        <v>2958</v>
      </c>
      <c r="C5" t="s">
        <v>5825</v>
      </c>
      <c r="D5" t="s">
        <v>1044</v>
      </c>
      <c r="E5" t="s">
        <v>5826</v>
      </c>
    </row>
    <row r="6" spans="1:5" ht="15" customHeight="1" x14ac:dyDescent="0.25">
      <c r="A6" t="s">
        <v>5827</v>
      </c>
      <c r="B6" t="s">
        <v>2970</v>
      </c>
      <c r="C6" t="s">
        <v>5825</v>
      </c>
      <c r="D6" t="s">
        <v>1044</v>
      </c>
      <c r="E6" t="s">
        <v>5828</v>
      </c>
    </row>
    <row r="7" spans="1:5" ht="15" customHeight="1" x14ac:dyDescent="0.25">
      <c r="A7" t="s">
        <v>5829</v>
      </c>
      <c r="B7" t="s">
        <v>2951</v>
      </c>
      <c r="C7" t="s">
        <v>5825</v>
      </c>
      <c r="D7" t="s">
        <v>1044</v>
      </c>
      <c r="E7" t="s">
        <v>5830</v>
      </c>
    </row>
    <row r="8" spans="1:5" ht="15" customHeight="1" x14ac:dyDescent="0.25">
      <c r="A8" t="s">
        <v>5831</v>
      </c>
      <c r="B8" t="s">
        <v>2958</v>
      </c>
      <c r="C8" t="s">
        <v>5832</v>
      </c>
      <c r="D8" t="s">
        <v>1044</v>
      </c>
      <c r="E8" t="s">
        <v>5833</v>
      </c>
    </row>
    <row r="9" spans="1:5" ht="15" customHeight="1" x14ac:dyDescent="0.25">
      <c r="A9" t="s">
        <v>5834</v>
      </c>
      <c r="B9" t="s">
        <v>2970</v>
      </c>
      <c r="C9" t="s">
        <v>5832</v>
      </c>
      <c r="D9" t="s">
        <v>1044</v>
      </c>
      <c r="E9" t="s">
        <v>5835</v>
      </c>
    </row>
    <row r="10" spans="1:5" ht="15" customHeight="1" x14ac:dyDescent="0.25">
      <c r="A10" t="s">
        <v>5836</v>
      </c>
      <c r="B10" t="s">
        <v>2951</v>
      </c>
      <c r="C10" t="s">
        <v>5832</v>
      </c>
      <c r="D10" t="s">
        <v>1044</v>
      </c>
      <c r="E10" t="s">
        <v>5837</v>
      </c>
    </row>
    <row r="11" spans="1:5" ht="15" customHeight="1" x14ac:dyDescent="0.25">
      <c r="A11" t="s">
        <v>5838</v>
      </c>
      <c r="B11" t="s">
        <v>2958</v>
      </c>
      <c r="C11" t="s">
        <v>5839</v>
      </c>
      <c r="D11" t="s">
        <v>1044</v>
      </c>
      <c r="E11" t="s">
        <v>5840</v>
      </c>
    </row>
    <row r="12" spans="1:5" ht="15" customHeight="1" x14ac:dyDescent="0.25">
      <c r="A12" t="s">
        <v>5841</v>
      </c>
      <c r="B12" t="s">
        <v>2970</v>
      </c>
      <c r="C12" t="s">
        <v>5839</v>
      </c>
      <c r="D12" t="s">
        <v>1044</v>
      </c>
      <c r="E12" t="s">
        <v>5842</v>
      </c>
    </row>
    <row r="13" spans="1:5" ht="15" customHeight="1" x14ac:dyDescent="0.25">
      <c r="A13" t="s">
        <v>5843</v>
      </c>
      <c r="B13" t="s">
        <v>2951</v>
      </c>
      <c r="C13" t="s">
        <v>5839</v>
      </c>
      <c r="D13" t="s">
        <v>1044</v>
      </c>
      <c r="E13" t="s">
        <v>5844</v>
      </c>
    </row>
    <row r="14" spans="1:5" ht="15" customHeight="1" x14ac:dyDescent="0.25">
      <c r="A14" t="s">
        <v>5845</v>
      </c>
      <c r="B14" t="s">
        <v>2958</v>
      </c>
      <c r="C14" t="s">
        <v>5846</v>
      </c>
      <c r="D14" t="s">
        <v>1044</v>
      </c>
      <c r="E14" t="s">
        <v>5847</v>
      </c>
    </row>
    <row r="15" spans="1:5" ht="15" customHeight="1" x14ac:dyDescent="0.25">
      <c r="A15" t="s">
        <v>5848</v>
      </c>
      <c r="B15" t="s">
        <v>2970</v>
      </c>
      <c r="C15" t="s">
        <v>5846</v>
      </c>
      <c r="D15" t="s">
        <v>1044</v>
      </c>
      <c r="E15" t="s">
        <v>5849</v>
      </c>
    </row>
    <row r="16" spans="1:5" ht="15" customHeight="1" x14ac:dyDescent="0.25">
      <c r="A16" t="s">
        <v>5850</v>
      </c>
      <c r="B16" t="s">
        <v>2951</v>
      </c>
      <c r="C16" t="s">
        <v>5846</v>
      </c>
      <c r="D16" t="s">
        <v>1044</v>
      </c>
      <c r="E16" t="s">
        <v>5851</v>
      </c>
    </row>
    <row r="17" spans="1:5" ht="15" customHeight="1" x14ac:dyDescent="0.25">
      <c r="A17" t="s">
        <v>5852</v>
      </c>
      <c r="B17" t="s">
        <v>2958</v>
      </c>
      <c r="C17" t="s">
        <v>3894</v>
      </c>
      <c r="D17" t="s">
        <v>1044</v>
      </c>
      <c r="E17" t="s">
        <v>5853</v>
      </c>
    </row>
    <row r="18" spans="1:5" ht="15" customHeight="1" x14ac:dyDescent="0.25">
      <c r="A18" t="s">
        <v>5854</v>
      </c>
      <c r="B18" t="s">
        <v>2970</v>
      </c>
      <c r="C18" t="s">
        <v>3894</v>
      </c>
      <c r="D18" t="s">
        <v>1044</v>
      </c>
      <c r="E18" t="s">
        <v>5855</v>
      </c>
    </row>
    <row r="19" spans="1:5" ht="15" customHeight="1" x14ac:dyDescent="0.25">
      <c r="A19" t="s">
        <v>5856</v>
      </c>
      <c r="B19" t="s">
        <v>2951</v>
      </c>
      <c r="C19" t="s">
        <v>3894</v>
      </c>
      <c r="D19" t="s">
        <v>1044</v>
      </c>
      <c r="E19" t="s">
        <v>5857</v>
      </c>
    </row>
    <row r="20" spans="1:5" ht="15" customHeight="1" x14ac:dyDescent="0.25">
      <c r="A20" t="s">
        <v>5858</v>
      </c>
      <c r="B20" t="s">
        <v>2958</v>
      </c>
      <c r="C20" t="s">
        <v>3894</v>
      </c>
      <c r="D20" t="s">
        <v>533</v>
      </c>
      <c r="E20" t="s">
        <v>5859</v>
      </c>
    </row>
    <row r="21" spans="1:5" ht="15" customHeight="1" x14ac:dyDescent="0.25">
      <c r="A21" t="s">
        <v>5860</v>
      </c>
      <c r="B21" t="s">
        <v>2958</v>
      </c>
      <c r="C21" t="s">
        <v>3894</v>
      </c>
      <c r="D21" t="s">
        <v>533</v>
      </c>
      <c r="E21" t="s">
        <v>5861</v>
      </c>
    </row>
    <row r="22" spans="1:5" ht="15" customHeight="1" x14ac:dyDescent="0.25">
      <c r="A22" t="s">
        <v>5862</v>
      </c>
      <c r="B22" t="s">
        <v>2970</v>
      </c>
      <c r="C22" t="s">
        <v>3894</v>
      </c>
      <c r="D22" t="s">
        <v>533</v>
      </c>
      <c r="E22" t="s">
        <v>5863</v>
      </c>
    </row>
    <row r="23" spans="1:5" ht="15" customHeight="1" x14ac:dyDescent="0.25">
      <c r="A23" t="s">
        <v>5864</v>
      </c>
      <c r="B23" t="s">
        <v>2970</v>
      </c>
      <c r="C23" t="s">
        <v>3894</v>
      </c>
      <c r="D23" t="s">
        <v>533</v>
      </c>
      <c r="E23" t="s">
        <v>5865</v>
      </c>
    </row>
    <row r="24" spans="1:5" ht="15" customHeight="1" x14ac:dyDescent="0.25">
      <c r="A24" t="s">
        <v>5866</v>
      </c>
      <c r="B24" t="s">
        <v>2951</v>
      </c>
      <c r="C24" t="s">
        <v>3894</v>
      </c>
      <c r="D24" t="s">
        <v>533</v>
      </c>
      <c r="E24" t="s">
        <v>5867</v>
      </c>
    </row>
    <row r="25" spans="1:5" ht="15" customHeight="1" x14ac:dyDescent="0.25">
      <c r="A25" t="s">
        <v>5868</v>
      </c>
      <c r="B25" t="s">
        <v>2951</v>
      </c>
      <c r="C25" t="s">
        <v>3894</v>
      </c>
      <c r="D25" t="s">
        <v>533</v>
      </c>
      <c r="E25" t="s">
        <v>5869</v>
      </c>
    </row>
    <row r="26" spans="1:5" ht="15" customHeight="1" x14ac:dyDescent="0.25">
      <c r="A26" t="s">
        <v>5870</v>
      </c>
      <c r="B26" t="s">
        <v>2951</v>
      </c>
      <c r="C26" t="s">
        <v>3894</v>
      </c>
      <c r="D26" t="s">
        <v>533</v>
      </c>
      <c r="E26" t="s">
        <v>5871</v>
      </c>
    </row>
    <row r="27" spans="1:5" ht="15" customHeight="1" x14ac:dyDescent="0.25">
      <c r="A27" t="s">
        <v>5872</v>
      </c>
      <c r="B27" t="s">
        <v>2951</v>
      </c>
      <c r="C27" t="s">
        <v>3894</v>
      </c>
      <c r="D27" t="s">
        <v>533</v>
      </c>
      <c r="E27" t="s">
        <v>5873</v>
      </c>
    </row>
    <row r="28" spans="1:5" ht="15" customHeight="1" x14ac:dyDescent="0.25">
      <c r="A28" t="s">
        <v>5874</v>
      </c>
      <c r="B28" t="s">
        <v>2951</v>
      </c>
      <c r="C28" t="s">
        <v>3894</v>
      </c>
      <c r="D28" t="s">
        <v>533</v>
      </c>
      <c r="E28" t="s">
        <v>5875</v>
      </c>
    </row>
    <row r="29" spans="1:5" ht="15" customHeight="1" x14ac:dyDescent="0.25">
      <c r="A29" t="s">
        <v>5876</v>
      </c>
      <c r="B29" t="s">
        <v>2970</v>
      </c>
      <c r="C29" t="s">
        <v>5825</v>
      </c>
      <c r="D29" t="s">
        <v>720</v>
      </c>
      <c r="E29" t="s">
        <v>5877</v>
      </c>
    </row>
    <row r="30" spans="1:5" ht="15" customHeight="1" x14ac:dyDescent="0.25">
      <c r="A30" t="s">
        <v>5878</v>
      </c>
      <c r="B30" t="s">
        <v>2970</v>
      </c>
      <c r="C30" t="s">
        <v>5879</v>
      </c>
      <c r="D30" t="s">
        <v>720</v>
      </c>
      <c r="E30" t="s">
        <v>5880</v>
      </c>
    </row>
    <row r="31" spans="1:5" ht="15" customHeight="1" x14ac:dyDescent="0.25">
      <c r="A31" t="s">
        <v>5881</v>
      </c>
      <c r="B31" t="s">
        <v>2958</v>
      </c>
      <c r="C31" t="s">
        <v>5882</v>
      </c>
      <c r="D31" t="s">
        <v>720</v>
      </c>
      <c r="E31" t="s">
        <v>5883</v>
      </c>
    </row>
    <row r="32" spans="1:5" ht="15" customHeight="1" x14ac:dyDescent="0.25">
      <c r="A32" t="s">
        <v>5884</v>
      </c>
      <c r="B32" t="s">
        <v>2951</v>
      </c>
      <c r="C32" t="s">
        <v>3894</v>
      </c>
      <c r="D32" t="s">
        <v>720</v>
      </c>
      <c r="E32" t="s">
        <v>5885</v>
      </c>
    </row>
    <row r="33" spans="1:5" ht="15" customHeight="1" x14ac:dyDescent="0.25">
      <c r="A33" t="s">
        <v>5886</v>
      </c>
      <c r="B33" t="s">
        <v>2958</v>
      </c>
      <c r="C33" t="s">
        <v>5882</v>
      </c>
      <c r="D33" t="s">
        <v>720</v>
      </c>
      <c r="E33" t="s">
        <v>5887</v>
      </c>
    </row>
    <row r="34" spans="1:5" ht="15" customHeight="1" x14ac:dyDescent="0.25">
      <c r="A34" t="s">
        <v>5888</v>
      </c>
      <c r="B34" t="s">
        <v>2970</v>
      </c>
      <c r="C34" t="s">
        <v>3894</v>
      </c>
      <c r="D34" t="s">
        <v>720</v>
      </c>
      <c r="E34" t="s">
        <v>5889</v>
      </c>
    </row>
    <row r="35" spans="1:5" ht="15" customHeight="1" x14ac:dyDescent="0.25">
      <c r="A35" t="s">
        <v>5890</v>
      </c>
      <c r="B35" t="s">
        <v>2958</v>
      </c>
      <c r="C35" t="s">
        <v>3894</v>
      </c>
      <c r="D35" t="s">
        <v>720</v>
      </c>
      <c r="E35" t="s">
        <v>5891</v>
      </c>
    </row>
    <row r="36" spans="1:5" ht="15" customHeight="1" x14ac:dyDescent="0.25">
      <c r="A36" t="s">
        <v>5892</v>
      </c>
      <c r="B36" t="s">
        <v>2958</v>
      </c>
      <c r="C36" t="s">
        <v>3894</v>
      </c>
      <c r="D36" t="s">
        <v>720</v>
      </c>
      <c r="E36" t="s">
        <v>5893</v>
      </c>
    </row>
    <row r="37" spans="1:5" ht="15" customHeight="1" x14ac:dyDescent="0.25">
      <c r="A37" t="s">
        <v>5894</v>
      </c>
      <c r="B37" t="s">
        <v>2958</v>
      </c>
      <c r="C37" t="s">
        <v>5818</v>
      </c>
      <c r="D37" t="s">
        <v>1048</v>
      </c>
      <c r="E37" t="s">
        <v>5895</v>
      </c>
    </row>
    <row r="38" spans="1:5" ht="15" customHeight="1" x14ac:dyDescent="0.25">
      <c r="A38" t="s">
        <v>5896</v>
      </c>
      <c r="B38" t="s">
        <v>2970</v>
      </c>
      <c r="C38" t="s">
        <v>5818</v>
      </c>
      <c r="D38" t="s">
        <v>1048</v>
      </c>
      <c r="E38" t="s">
        <v>5897</v>
      </c>
    </row>
    <row r="39" spans="1:5" ht="15" customHeight="1" x14ac:dyDescent="0.25">
      <c r="A39" t="s">
        <v>5898</v>
      </c>
      <c r="B39" t="s">
        <v>2951</v>
      </c>
      <c r="C39" t="s">
        <v>5818</v>
      </c>
      <c r="D39" t="s">
        <v>1048</v>
      </c>
      <c r="E39" t="s">
        <v>5899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3886</v>
      </c>
      <c r="E1" s="10" t="s">
        <v>3887</v>
      </c>
      <c r="F1" s="10" t="s">
        <v>3888</v>
      </c>
      <c r="G1" t="s">
        <v>3041</v>
      </c>
      <c r="H1" t="s">
        <v>9</v>
      </c>
      <c r="I1" t="s">
        <v>3889</v>
      </c>
      <c r="J1" t="s">
        <v>5900</v>
      </c>
      <c r="K1" t="s">
        <v>57</v>
      </c>
      <c r="L1" t="s">
        <v>3891</v>
      </c>
      <c r="M1" t="s">
        <v>3042</v>
      </c>
    </row>
    <row r="2" spans="1:13" ht="15" customHeight="1" x14ac:dyDescent="0.25">
      <c r="A2" t="s">
        <v>5901</v>
      </c>
      <c r="B2" t="s">
        <v>5742</v>
      </c>
      <c r="C2" t="s">
        <v>3893</v>
      </c>
      <c r="D2">
        <v>2</v>
      </c>
      <c r="E2" s="10">
        <v>30</v>
      </c>
      <c r="F2" s="10">
        <v>34</v>
      </c>
      <c r="G2" t="s">
        <v>5902</v>
      </c>
      <c r="H2" t="s">
        <v>1772</v>
      </c>
      <c r="I2" t="s">
        <v>3894</v>
      </c>
      <c r="J2" t="s">
        <v>5903</v>
      </c>
      <c r="K2" t="s">
        <v>5901</v>
      </c>
      <c r="L2" t="s">
        <v>2905</v>
      </c>
    </row>
    <row r="3" spans="1:13" ht="15" customHeight="1" x14ac:dyDescent="0.25">
      <c r="A3" t="s">
        <v>5904</v>
      </c>
      <c r="B3" t="s">
        <v>5742</v>
      </c>
      <c r="C3" t="s">
        <v>3896</v>
      </c>
      <c r="D3">
        <v>2</v>
      </c>
      <c r="E3" s="10">
        <v>64</v>
      </c>
      <c r="F3" s="10">
        <v>70</v>
      </c>
      <c r="G3" t="s">
        <v>5902</v>
      </c>
      <c r="H3" t="s">
        <v>1772</v>
      </c>
      <c r="I3" t="s">
        <v>3894</v>
      </c>
      <c r="J3" t="s">
        <v>5905</v>
      </c>
      <c r="K3" t="s">
        <v>5906</v>
      </c>
      <c r="L3" t="s">
        <v>2905</v>
      </c>
    </row>
    <row r="4" spans="1:13" ht="15" customHeight="1" x14ac:dyDescent="0.25">
      <c r="A4" t="s">
        <v>5907</v>
      </c>
      <c r="B4" t="s">
        <v>5742</v>
      </c>
      <c r="C4" t="s">
        <v>3898</v>
      </c>
      <c r="D4">
        <v>7</v>
      </c>
      <c r="E4" s="10">
        <v>150</v>
      </c>
      <c r="F4" s="10">
        <v>160</v>
      </c>
      <c r="G4" t="s">
        <v>5902</v>
      </c>
      <c r="H4" t="s">
        <v>1772</v>
      </c>
      <c r="I4" t="s">
        <v>3894</v>
      </c>
      <c r="J4" t="s">
        <v>5908</v>
      </c>
      <c r="K4" t="s">
        <v>5909</v>
      </c>
      <c r="L4" t="s">
        <v>2905</v>
      </c>
    </row>
    <row r="5" spans="1:13" ht="15" customHeight="1" x14ac:dyDescent="0.25">
      <c r="A5" t="s">
        <v>3955</v>
      </c>
      <c r="B5" t="s">
        <v>5742</v>
      </c>
      <c r="C5" t="s">
        <v>3893</v>
      </c>
      <c r="D5" t="s">
        <v>2905</v>
      </c>
      <c r="E5" s="10">
        <v>20</v>
      </c>
      <c r="F5" s="10">
        <v>24</v>
      </c>
      <c r="G5" t="s">
        <v>2905</v>
      </c>
      <c r="H5" t="s">
        <v>2199</v>
      </c>
      <c r="I5" t="s">
        <v>3894</v>
      </c>
      <c r="J5" t="s">
        <v>5910</v>
      </c>
      <c r="K5" t="s">
        <v>3955</v>
      </c>
      <c r="L5" t="s">
        <v>2905</v>
      </c>
    </row>
    <row r="6" spans="1:13" ht="15" customHeight="1" x14ac:dyDescent="0.25">
      <c r="A6" t="s">
        <v>3946</v>
      </c>
      <c r="B6" t="s">
        <v>5742</v>
      </c>
      <c r="C6" t="s">
        <v>3893</v>
      </c>
      <c r="D6">
        <v>2</v>
      </c>
      <c r="E6" s="10">
        <v>20</v>
      </c>
      <c r="F6" s="10">
        <v>24</v>
      </c>
      <c r="G6" t="s">
        <v>5911</v>
      </c>
      <c r="H6" t="s">
        <v>2199</v>
      </c>
      <c r="I6" t="s">
        <v>3894</v>
      </c>
      <c r="J6" t="s">
        <v>5912</v>
      </c>
      <c r="K6" t="s">
        <v>3946</v>
      </c>
      <c r="L6" t="s">
        <v>2905</v>
      </c>
    </row>
    <row r="7" spans="1:13" ht="15" customHeight="1" x14ac:dyDescent="0.25">
      <c r="A7" t="s">
        <v>3953</v>
      </c>
      <c r="B7" t="s">
        <v>5742</v>
      </c>
      <c r="C7" t="s">
        <v>3893</v>
      </c>
      <c r="D7" t="s">
        <v>2905</v>
      </c>
      <c r="E7" s="10">
        <v>20</v>
      </c>
      <c r="F7" s="10">
        <v>24</v>
      </c>
      <c r="G7" t="s">
        <v>2905</v>
      </c>
      <c r="H7" t="s">
        <v>2199</v>
      </c>
      <c r="I7" t="s">
        <v>3894</v>
      </c>
      <c r="J7" t="s">
        <v>5913</v>
      </c>
      <c r="K7" t="s">
        <v>3953</v>
      </c>
      <c r="L7" t="s">
        <v>2905</v>
      </c>
    </row>
    <row r="8" spans="1:13" ht="15" customHeight="1" x14ac:dyDescent="0.25">
      <c r="A8" t="s">
        <v>5914</v>
      </c>
      <c r="B8" t="s">
        <v>5742</v>
      </c>
      <c r="C8" t="s">
        <v>3896</v>
      </c>
      <c r="D8">
        <v>3</v>
      </c>
      <c r="E8" s="10">
        <v>48</v>
      </c>
      <c r="F8" s="10">
        <v>54</v>
      </c>
      <c r="G8" t="s">
        <v>2905</v>
      </c>
      <c r="H8" t="s">
        <v>2199</v>
      </c>
      <c r="I8" t="s">
        <v>3894</v>
      </c>
      <c r="J8" t="s">
        <v>5915</v>
      </c>
      <c r="K8" t="s">
        <v>5916</v>
      </c>
      <c r="L8" t="s">
        <v>2905</v>
      </c>
    </row>
    <row r="9" spans="1:13" ht="15" customHeight="1" x14ac:dyDescent="0.25">
      <c r="A9" t="s">
        <v>5917</v>
      </c>
      <c r="B9" t="s">
        <v>5742</v>
      </c>
      <c r="C9" t="s">
        <v>3898</v>
      </c>
      <c r="D9">
        <v>7</v>
      </c>
      <c r="E9" s="10">
        <v>130</v>
      </c>
      <c r="F9" s="10">
        <v>140</v>
      </c>
      <c r="G9" t="s">
        <v>5918</v>
      </c>
      <c r="H9" t="s">
        <v>2199</v>
      </c>
      <c r="I9" t="s">
        <v>3894</v>
      </c>
      <c r="J9" t="s">
        <v>5919</v>
      </c>
      <c r="K9" t="s">
        <v>5920</v>
      </c>
      <c r="L9" t="s">
        <v>2905</v>
      </c>
      <c r="M9" t="s">
        <v>3485</v>
      </c>
    </row>
    <row r="10" spans="1:13" ht="15" customHeight="1" x14ac:dyDescent="0.25">
      <c r="A10" t="s">
        <v>3123</v>
      </c>
      <c r="B10" t="s">
        <v>5767</v>
      </c>
      <c r="C10" t="s">
        <v>3893</v>
      </c>
      <c r="D10">
        <v>1</v>
      </c>
      <c r="E10" s="10">
        <v>20</v>
      </c>
      <c r="F10" s="10">
        <v>24</v>
      </c>
      <c r="G10" t="s">
        <v>4126</v>
      </c>
      <c r="H10" t="s">
        <v>351</v>
      </c>
      <c r="I10" t="s">
        <v>5921</v>
      </c>
      <c r="J10" t="s">
        <v>5922</v>
      </c>
      <c r="K10" t="s">
        <v>3123</v>
      </c>
      <c r="L10" t="s">
        <v>2905</v>
      </c>
    </row>
    <row r="11" spans="1:13" ht="15" customHeight="1" x14ac:dyDescent="0.25">
      <c r="A11" t="s">
        <v>5923</v>
      </c>
      <c r="B11" t="s">
        <v>5767</v>
      </c>
      <c r="C11" t="s">
        <v>3893</v>
      </c>
      <c r="D11">
        <v>2</v>
      </c>
      <c r="E11" s="10">
        <v>30</v>
      </c>
      <c r="F11" s="10">
        <v>34</v>
      </c>
      <c r="G11" t="s">
        <v>4126</v>
      </c>
      <c r="H11" t="s">
        <v>351</v>
      </c>
      <c r="I11" t="s">
        <v>5921</v>
      </c>
      <c r="J11" t="s">
        <v>5924</v>
      </c>
      <c r="K11" t="s">
        <v>5925</v>
      </c>
      <c r="L11" t="s">
        <v>2905</v>
      </c>
    </row>
    <row r="12" spans="1:13" ht="15" customHeight="1" x14ac:dyDescent="0.25">
      <c r="A12" t="s">
        <v>5926</v>
      </c>
      <c r="B12" t="s">
        <v>5767</v>
      </c>
      <c r="C12" t="s">
        <v>3893</v>
      </c>
      <c r="D12">
        <v>3</v>
      </c>
      <c r="E12" s="10">
        <v>40</v>
      </c>
      <c r="F12" s="10">
        <v>44</v>
      </c>
      <c r="G12" t="s">
        <v>5927</v>
      </c>
      <c r="H12" t="s">
        <v>351</v>
      </c>
      <c r="I12" t="s">
        <v>5921</v>
      </c>
      <c r="J12" t="s">
        <v>5928</v>
      </c>
      <c r="K12" t="s">
        <v>5929</v>
      </c>
      <c r="L12" t="s">
        <v>2905</v>
      </c>
    </row>
    <row r="13" spans="1:13" ht="15" customHeight="1" x14ac:dyDescent="0.25">
      <c r="A13" t="s">
        <v>5930</v>
      </c>
      <c r="B13" t="s">
        <v>5767</v>
      </c>
      <c r="C13" t="s">
        <v>3893</v>
      </c>
      <c r="D13" t="s">
        <v>2905</v>
      </c>
      <c r="E13" s="10">
        <v>12</v>
      </c>
      <c r="F13" s="10">
        <v>14</v>
      </c>
      <c r="G13" t="s">
        <v>4126</v>
      </c>
      <c r="H13" t="s">
        <v>351</v>
      </c>
      <c r="I13" t="s">
        <v>5921</v>
      </c>
      <c r="J13" t="s">
        <v>5931</v>
      </c>
      <c r="K13" t="s">
        <v>5930</v>
      </c>
      <c r="L13" t="s">
        <v>2905</v>
      </c>
    </row>
    <row r="14" spans="1:13" ht="15" customHeight="1" x14ac:dyDescent="0.25">
      <c r="A14" t="s">
        <v>3128</v>
      </c>
      <c r="B14" t="s">
        <v>5767</v>
      </c>
      <c r="C14" t="s">
        <v>3896</v>
      </c>
      <c r="D14">
        <v>3</v>
      </c>
      <c r="E14" s="10">
        <v>130</v>
      </c>
      <c r="F14" s="10">
        <v>140</v>
      </c>
      <c r="G14" t="s">
        <v>5932</v>
      </c>
      <c r="H14" t="s">
        <v>351</v>
      </c>
      <c r="I14" t="s">
        <v>5832</v>
      </c>
      <c r="J14" t="s">
        <v>5933</v>
      </c>
      <c r="K14" t="s">
        <v>3128</v>
      </c>
      <c r="L14" t="s">
        <v>2905</v>
      </c>
    </row>
    <row r="15" spans="1:13" ht="15" customHeight="1" x14ac:dyDescent="0.25">
      <c r="A15" t="s">
        <v>5934</v>
      </c>
      <c r="B15" t="s">
        <v>5767</v>
      </c>
      <c r="C15" t="s">
        <v>3896</v>
      </c>
      <c r="D15" t="s">
        <v>2905</v>
      </c>
      <c r="E15" s="10">
        <v>130</v>
      </c>
      <c r="F15" s="10">
        <v>140</v>
      </c>
      <c r="G15" t="s">
        <v>5932</v>
      </c>
      <c r="H15" t="s">
        <v>351</v>
      </c>
      <c r="I15" t="s">
        <v>5832</v>
      </c>
      <c r="J15" t="s">
        <v>5935</v>
      </c>
      <c r="K15" t="s">
        <v>5936</v>
      </c>
      <c r="L15" t="s">
        <v>3128</v>
      </c>
    </row>
    <row r="16" spans="1:13" ht="15" customHeight="1" x14ac:dyDescent="0.25">
      <c r="A16" t="s">
        <v>5937</v>
      </c>
      <c r="B16" t="s">
        <v>5767</v>
      </c>
      <c r="C16" t="s">
        <v>3898</v>
      </c>
      <c r="D16">
        <v>5</v>
      </c>
      <c r="E16" s="10">
        <v>100</v>
      </c>
      <c r="F16" s="10">
        <v>110</v>
      </c>
      <c r="G16" t="s">
        <v>5938</v>
      </c>
      <c r="H16" t="s">
        <v>351</v>
      </c>
      <c r="I16" t="s">
        <v>5846</v>
      </c>
      <c r="J16" t="s">
        <v>5939</v>
      </c>
      <c r="K16" t="s">
        <v>5940</v>
      </c>
      <c r="L16" t="s">
        <v>2905</v>
      </c>
    </row>
    <row r="17" spans="1:13" ht="15" customHeight="1" x14ac:dyDescent="0.25">
      <c r="A17" t="s">
        <v>5941</v>
      </c>
      <c r="B17" t="s">
        <v>5746</v>
      </c>
      <c r="C17" t="s">
        <v>3893</v>
      </c>
      <c r="D17">
        <v>1</v>
      </c>
      <c r="E17" s="10">
        <v>30</v>
      </c>
      <c r="F17" s="10">
        <v>34</v>
      </c>
      <c r="G17" t="s">
        <v>4139</v>
      </c>
      <c r="H17" t="s">
        <v>1794</v>
      </c>
      <c r="I17" t="s">
        <v>3894</v>
      </c>
      <c r="J17" t="s">
        <v>5942</v>
      </c>
      <c r="K17" t="s">
        <v>5941</v>
      </c>
      <c r="L17" t="s">
        <v>2905</v>
      </c>
      <c r="M17" t="s">
        <v>3122</v>
      </c>
    </row>
    <row r="18" spans="1:13" ht="15" customHeight="1" x14ac:dyDescent="0.25">
      <c r="A18" t="s">
        <v>5943</v>
      </c>
      <c r="B18" t="s">
        <v>5746</v>
      </c>
      <c r="C18" t="s">
        <v>3896</v>
      </c>
      <c r="D18">
        <v>3</v>
      </c>
      <c r="E18" s="10">
        <v>40</v>
      </c>
      <c r="F18" s="10">
        <v>46</v>
      </c>
      <c r="G18" t="s">
        <v>5944</v>
      </c>
      <c r="H18" t="s">
        <v>1794</v>
      </c>
      <c r="I18" t="s">
        <v>3894</v>
      </c>
      <c r="J18" t="s">
        <v>5945</v>
      </c>
      <c r="K18" t="s">
        <v>5943</v>
      </c>
      <c r="L18" t="s">
        <v>2905</v>
      </c>
    </row>
    <row r="19" spans="1:13" ht="15" customHeight="1" x14ac:dyDescent="0.25">
      <c r="A19" t="s">
        <v>5946</v>
      </c>
      <c r="B19" t="s">
        <v>5746</v>
      </c>
      <c r="C19" t="s">
        <v>3896</v>
      </c>
      <c r="D19">
        <v>4</v>
      </c>
      <c r="E19" s="10">
        <v>60</v>
      </c>
      <c r="F19" s="10">
        <v>66</v>
      </c>
      <c r="G19" t="s">
        <v>4139</v>
      </c>
      <c r="H19" t="s">
        <v>1794</v>
      </c>
      <c r="I19" t="s">
        <v>3894</v>
      </c>
      <c r="J19" t="s">
        <v>5947</v>
      </c>
      <c r="K19" t="s">
        <v>5946</v>
      </c>
      <c r="L19" t="s">
        <v>2905</v>
      </c>
    </row>
    <row r="20" spans="1:13" ht="15" customHeight="1" x14ac:dyDescent="0.25">
      <c r="A20" t="s">
        <v>3237</v>
      </c>
      <c r="B20" t="s">
        <v>5746</v>
      </c>
      <c r="C20" t="s">
        <v>3898</v>
      </c>
      <c r="D20">
        <v>9</v>
      </c>
      <c r="E20" s="10">
        <v>250</v>
      </c>
      <c r="F20" s="10">
        <v>270</v>
      </c>
      <c r="G20" t="s">
        <v>5948</v>
      </c>
      <c r="H20" t="s">
        <v>1794</v>
      </c>
      <c r="I20" t="s">
        <v>3894</v>
      </c>
      <c r="J20" t="s">
        <v>5949</v>
      </c>
      <c r="K20" t="s">
        <v>3237</v>
      </c>
      <c r="L20" t="s">
        <v>2905</v>
      </c>
      <c r="M20" t="s">
        <v>5950</v>
      </c>
    </row>
    <row r="21" spans="1:13" ht="15" customHeight="1" x14ac:dyDescent="0.25">
      <c r="A21" t="s">
        <v>3085</v>
      </c>
      <c r="B21" t="s">
        <v>3892</v>
      </c>
      <c r="C21" t="s">
        <v>3893</v>
      </c>
      <c r="D21">
        <v>2</v>
      </c>
      <c r="E21" s="10">
        <v>48</v>
      </c>
      <c r="F21" s="10">
        <v>54</v>
      </c>
      <c r="G21" t="s">
        <v>2905</v>
      </c>
      <c r="H21" t="s">
        <v>1954</v>
      </c>
      <c r="I21" t="s">
        <v>3894</v>
      </c>
      <c r="J21" t="s">
        <v>5951</v>
      </c>
      <c r="K21" t="s">
        <v>3085</v>
      </c>
      <c r="L21" t="s">
        <v>2905</v>
      </c>
    </row>
    <row r="22" spans="1:13" ht="15" customHeight="1" x14ac:dyDescent="0.25">
      <c r="A22" t="s">
        <v>3106</v>
      </c>
      <c r="B22" t="s">
        <v>3892</v>
      </c>
      <c r="C22" t="s">
        <v>3896</v>
      </c>
      <c r="D22">
        <v>6</v>
      </c>
      <c r="E22" s="10">
        <v>114</v>
      </c>
      <c r="F22" s="10">
        <v>120</v>
      </c>
      <c r="G22" t="s">
        <v>2905</v>
      </c>
      <c r="H22" t="s">
        <v>1954</v>
      </c>
      <c r="I22" t="s">
        <v>3894</v>
      </c>
      <c r="J22" t="s">
        <v>5952</v>
      </c>
      <c r="K22" t="s">
        <v>3106</v>
      </c>
      <c r="L22" t="s">
        <v>2905</v>
      </c>
    </row>
    <row r="23" spans="1:13" ht="15" customHeight="1" x14ac:dyDescent="0.25">
      <c r="A23" t="s">
        <v>3114</v>
      </c>
      <c r="B23" t="s">
        <v>3892</v>
      </c>
      <c r="C23" t="s">
        <v>3898</v>
      </c>
      <c r="D23">
        <v>9</v>
      </c>
      <c r="E23" s="10">
        <v>999</v>
      </c>
      <c r="F23" s="10">
        <v>999</v>
      </c>
      <c r="G23" t="s">
        <v>3899</v>
      </c>
      <c r="H23" t="s">
        <v>1954</v>
      </c>
      <c r="I23" t="s">
        <v>3894</v>
      </c>
      <c r="J23" t="s">
        <v>5953</v>
      </c>
      <c r="K23" t="s">
        <v>3114</v>
      </c>
      <c r="L23" t="s">
        <v>2905</v>
      </c>
    </row>
    <row r="24" spans="1:13" ht="15" customHeight="1" x14ac:dyDescent="0.25">
      <c r="A24" t="s">
        <v>5954</v>
      </c>
      <c r="B24" t="s">
        <v>5767</v>
      </c>
      <c r="C24" t="s">
        <v>3893</v>
      </c>
      <c r="D24">
        <v>1</v>
      </c>
      <c r="E24" s="10">
        <v>20</v>
      </c>
      <c r="F24" s="10">
        <v>24</v>
      </c>
      <c r="G24" t="s">
        <v>5955</v>
      </c>
      <c r="H24" t="s">
        <v>1962</v>
      </c>
      <c r="I24" t="s">
        <v>5818</v>
      </c>
      <c r="J24" t="s">
        <v>5956</v>
      </c>
      <c r="K24" t="s">
        <v>5954</v>
      </c>
      <c r="L24" t="s">
        <v>2905</v>
      </c>
      <c r="M24" t="s">
        <v>3067</v>
      </c>
    </row>
    <row r="25" spans="1:13" ht="15" customHeight="1" x14ac:dyDescent="0.25">
      <c r="A25" t="s">
        <v>5957</v>
      </c>
      <c r="B25" t="s">
        <v>5767</v>
      </c>
      <c r="C25" t="s">
        <v>3896</v>
      </c>
      <c r="D25">
        <v>3</v>
      </c>
      <c r="E25" s="10">
        <v>48</v>
      </c>
      <c r="F25" s="10">
        <v>54</v>
      </c>
      <c r="G25" t="s">
        <v>2905</v>
      </c>
      <c r="H25" t="s">
        <v>1962</v>
      </c>
      <c r="I25" t="s">
        <v>3894</v>
      </c>
      <c r="J25" t="s">
        <v>5958</v>
      </c>
      <c r="K25" t="s">
        <v>5957</v>
      </c>
      <c r="L25" t="s">
        <v>2905</v>
      </c>
    </row>
    <row r="26" spans="1:13" ht="15" customHeight="1" x14ac:dyDescent="0.25">
      <c r="A26" t="s">
        <v>5959</v>
      </c>
      <c r="B26" t="s">
        <v>5767</v>
      </c>
      <c r="C26" t="s">
        <v>3898</v>
      </c>
      <c r="D26">
        <v>3</v>
      </c>
      <c r="E26" s="10">
        <v>60</v>
      </c>
      <c r="F26" s="10">
        <v>66</v>
      </c>
      <c r="G26" t="s">
        <v>5960</v>
      </c>
      <c r="H26" t="s">
        <v>1962</v>
      </c>
      <c r="I26" t="s">
        <v>3894</v>
      </c>
      <c r="J26" t="s">
        <v>5961</v>
      </c>
      <c r="K26" t="s">
        <v>5959</v>
      </c>
      <c r="L26" t="s">
        <v>2905</v>
      </c>
    </row>
    <row r="27" spans="1:13" ht="15" customHeight="1" x14ac:dyDescent="0.25">
      <c r="A27" t="s">
        <v>3901</v>
      </c>
      <c r="B27" t="s">
        <v>3892</v>
      </c>
      <c r="C27" t="s">
        <v>3893</v>
      </c>
      <c r="D27">
        <v>3</v>
      </c>
      <c r="E27" s="10">
        <v>40</v>
      </c>
      <c r="F27" s="10">
        <v>44</v>
      </c>
      <c r="G27" t="s">
        <v>2905</v>
      </c>
      <c r="H27" t="s">
        <v>1954</v>
      </c>
      <c r="I27" t="s">
        <v>3894</v>
      </c>
      <c r="J27" t="s">
        <v>5962</v>
      </c>
      <c r="K27" t="s">
        <v>3903</v>
      </c>
      <c r="L27" t="s">
        <v>2905</v>
      </c>
    </row>
    <row r="28" spans="1:13" ht="15" customHeight="1" x14ac:dyDescent="0.25">
      <c r="A28" t="s">
        <v>3904</v>
      </c>
      <c r="B28" t="s">
        <v>3892</v>
      </c>
      <c r="C28" t="s">
        <v>3893</v>
      </c>
      <c r="D28">
        <v>1</v>
      </c>
      <c r="E28" s="10">
        <v>10</v>
      </c>
      <c r="F28" s="10">
        <v>15</v>
      </c>
      <c r="G28" t="s">
        <v>3905</v>
      </c>
      <c r="H28" t="s">
        <v>1954</v>
      </c>
      <c r="I28" t="s">
        <v>3894</v>
      </c>
      <c r="J28" t="s">
        <v>5963</v>
      </c>
      <c r="K28" t="s">
        <v>3907</v>
      </c>
      <c r="L28" t="s">
        <v>2905</v>
      </c>
      <c r="M28" t="s">
        <v>3485</v>
      </c>
    </row>
    <row r="29" spans="1:13" ht="15" customHeight="1" x14ac:dyDescent="0.25">
      <c r="A29" t="s">
        <v>3908</v>
      </c>
      <c r="B29" t="s">
        <v>3892</v>
      </c>
      <c r="C29" t="s">
        <v>3893</v>
      </c>
      <c r="D29">
        <v>1</v>
      </c>
      <c r="E29" s="10">
        <v>11</v>
      </c>
      <c r="F29" s="10">
        <v>17</v>
      </c>
      <c r="G29" t="s">
        <v>3905</v>
      </c>
      <c r="H29" t="s">
        <v>1954</v>
      </c>
      <c r="I29" t="s">
        <v>3894</v>
      </c>
      <c r="J29" t="s">
        <v>5964</v>
      </c>
      <c r="K29" t="s">
        <v>3910</v>
      </c>
      <c r="L29" t="s">
        <v>2905</v>
      </c>
      <c r="M29" t="s">
        <v>3485</v>
      </c>
    </row>
    <row r="30" spans="1:13" ht="15" customHeight="1" x14ac:dyDescent="0.25">
      <c r="A30" t="s">
        <v>3911</v>
      </c>
      <c r="B30" t="s">
        <v>3892</v>
      </c>
      <c r="C30" t="s">
        <v>3893</v>
      </c>
      <c r="D30">
        <v>4</v>
      </c>
      <c r="E30" s="10">
        <v>65</v>
      </c>
      <c r="F30" s="10">
        <v>69</v>
      </c>
      <c r="G30" t="s">
        <v>3912</v>
      </c>
      <c r="H30" t="s">
        <v>1954</v>
      </c>
      <c r="I30" t="s">
        <v>3894</v>
      </c>
      <c r="J30" t="s">
        <v>5965</v>
      </c>
      <c r="K30" t="s">
        <v>3914</v>
      </c>
      <c r="L30" t="s">
        <v>2905</v>
      </c>
      <c r="M30" t="s">
        <v>3102</v>
      </c>
    </row>
    <row r="31" spans="1:13" ht="15" customHeight="1" x14ac:dyDescent="0.25">
      <c r="A31" t="s">
        <v>3915</v>
      </c>
      <c r="B31" t="s">
        <v>3892</v>
      </c>
      <c r="C31" t="s">
        <v>3893</v>
      </c>
      <c r="D31">
        <v>2</v>
      </c>
      <c r="E31" s="10">
        <v>28</v>
      </c>
      <c r="F31" s="10">
        <v>32</v>
      </c>
      <c r="G31" t="s">
        <v>2905</v>
      </c>
      <c r="H31" t="s">
        <v>1954</v>
      </c>
      <c r="I31" t="s">
        <v>3894</v>
      </c>
      <c r="J31" t="s">
        <v>5966</v>
      </c>
      <c r="K31" t="s">
        <v>3917</v>
      </c>
      <c r="L31" t="s">
        <v>2905</v>
      </c>
      <c r="M31" t="s">
        <v>3102</v>
      </c>
    </row>
    <row r="32" spans="1:13" ht="15" customHeight="1" x14ac:dyDescent="0.25">
      <c r="A32" t="s">
        <v>3918</v>
      </c>
      <c r="B32" t="s">
        <v>3892</v>
      </c>
      <c r="C32" t="s">
        <v>3893</v>
      </c>
      <c r="D32">
        <v>1</v>
      </c>
      <c r="E32" s="10">
        <v>8</v>
      </c>
      <c r="F32" s="10">
        <v>12</v>
      </c>
      <c r="G32" t="s">
        <v>2905</v>
      </c>
      <c r="H32" t="s">
        <v>1954</v>
      </c>
      <c r="I32" t="s">
        <v>3894</v>
      </c>
      <c r="J32" t="s">
        <v>5967</v>
      </c>
      <c r="K32" t="s">
        <v>3920</v>
      </c>
      <c r="L32" t="s">
        <v>2905</v>
      </c>
      <c r="M32" t="s">
        <v>3102</v>
      </c>
    </row>
    <row r="33" spans="1:13" ht="15" customHeight="1" x14ac:dyDescent="0.25">
      <c r="A33" t="s">
        <v>3099</v>
      </c>
      <c r="B33" t="s">
        <v>3892</v>
      </c>
      <c r="C33" t="s">
        <v>3893</v>
      </c>
      <c r="D33">
        <v>4</v>
      </c>
      <c r="E33" s="10">
        <v>64</v>
      </c>
      <c r="F33" s="10">
        <v>70</v>
      </c>
      <c r="G33" t="s">
        <v>3921</v>
      </c>
      <c r="H33" t="s">
        <v>1954</v>
      </c>
      <c r="I33" t="s">
        <v>3894</v>
      </c>
      <c r="J33" t="s">
        <v>5968</v>
      </c>
      <c r="K33" t="s">
        <v>3101</v>
      </c>
      <c r="L33" t="s">
        <v>2905</v>
      </c>
      <c r="M33" t="s">
        <v>3102</v>
      </c>
    </row>
    <row r="34" spans="1:13" ht="15" customHeight="1" x14ac:dyDescent="0.25">
      <c r="A34" t="s">
        <v>3923</v>
      </c>
      <c r="B34" t="s">
        <v>3892</v>
      </c>
      <c r="C34" t="s">
        <v>3893</v>
      </c>
      <c r="D34">
        <v>2</v>
      </c>
      <c r="E34" s="10">
        <v>28</v>
      </c>
      <c r="F34" s="10">
        <v>32</v>
      </c>
      <c r="G34" t="s">
        <v>2905</v>
      </c>
      <c r="H34" t="s">
        <v>1954</v>
      </c>
      <c r="I34" t="s">
        <v>3894</v>
      </c>
      <c r="J34" t="s">
        <v>5969</v>
      </c>
      <c r="K34" t="s">
        <v>3925</v>
      </c>
      <c r="L34" t="s">
        <v>2905</v>
      </c>
      <c r="M34" t="s">
        <v>3102</v>
      </c>
    </row>
    <row r="35" spans="1:13" ht="15" customHeight="1" x14ac:dyDescent="0.25">
      <c r="A35" t="s">
        <v>3926</v>
      </c>
      <c r="B35" t="s">
        <v>3892</v>
      </c>
      <c r="C35" t="s">
        <v>3893</v>
      </c>
      <c r="D35">
        <v>1</v>
      </c>
      <c r="E35" s="10">
        <v>10</v>
      </c>
      <c r="F35" s="10">
        <v>14</v>
      </c>
      <c r="G35" t="s">
        <v>2905</v>
      </c>
      <c r="H35" t="s">
        <v>1954</v>
      </c>
      <c r="I35" t="s">
        <v>3894</v>
      </c>
      <c r="J35" t="s">
        <v>5970</v>
      </c>
      <c r="K35" t="s">
        <v>3928</v>
      </c>
      <c r="L35" t="s">
        <v>2905</v>
      </c>
      <c r="M35" t="s">
        <v>3102</v>
      </c>
    </row>
    <row r="36" spans="1:13" ht="15" customHeight="1" x14ac:dyDescent="0.25">
      <c r="A36" t="s">
        <v>5971</v>
      </c>
      <c r="B36" t="s">
        <v>5767</v>
      </c>
      <c r="C36" t="s">
        <v>3898</v>
      </c>
      <c r="D36">
        <v>1</v>
      </c>
      <c r="E36" s="10">
        <v>20</v>
      </c>
      <c r="F36" s="10">
        <v>24</v>
      </c>
      <c r="G36" t="s">
        <v>2905</v>
      </c>
      <c r="H36" t="s">
        <v>1358</v>
      </c>
      <c r="I36" t="s">
        <v>5818</v>
      </c>
      <c r="J36" t="s">
        <v>5972</v>
      </c>
      <c r="K36" t="s">
        <v>5971</v>
      </c>
      <c r="L36" t="s">
        <v>2905</v>
      </c>
      <c r="M36" t="s">
        <v>5973</v>
      </c>
    </row>
    <row r="37" spans="1:13" ht="15" customHeight="1" x14ac:dyDescent="0.25">
      <c r="A37" t="s">
        <v>5974</v>
      </c>
      <c r="B37" t="s">
        <v>5767</v>
      </c>
      <c r="C37" t="s">
        <v>3893</v>
      </c>
      <c r="D37">
        <v>0.5</v>
      </c>
      <c r="E37" s="10">
        <v>4</v>
      </c>
      <c r="F37" s="10">
        <v>6</v>
      </c>
      <c r="G37" t="s">
        <v>2905</v>
      </c>
      <c r="H37" t="s">
        <v>1358</v>
      </c>
      <c r="I37" t="s">
        <v>2905</v>
      </c>
      <c r="J37" t="s">
        <v>5975</v>
      </c>
      <c r="K37" t="s">
        <v>5974</v>
      </c>
      <c r="L37" t="s">
        <v>2905</v>
      </c>
      <c r="M37" t="s">
        <v>3485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3929</v>
      </c>
      <c r="C1" t="s">
        <v>3036</v>
      </c>
      <c r="D1" t="s">
        <v>3886</v>
      </c>
      <c r="E1" t="s">
        <v>9</v>
      </c>
      <c r="F1" t="s">
        <v>3042</v>
      </c>
      <c r="G1" t="s">
        <v>3887</v>
      </c>
      <c r="H1" t="s">
        <v>3888</v>
      </c>
      <c r="I1" t="s">
        <v>3930</v>
      </c>
      <c r="J1" t="s">
        <v>5976</v>
      </c>
      <c r="K1" t="s">
        <v>3934</v>
      </c>
      <c r="L1" t="s">
        <v>57</v>
      </c>
      <c r="M1" t="s">
        <v>5977</v>
      </c>
      <c r="N1" t="s">
        <v>5978</v>
      </c>
      <c r="O1" t="s">
        <v>5979</v>
      </c>
      <c r="P1" t="s">
        <v>5980</v>
      </c>
      <c r="Q1" t="s">
        <v>3041</v>
      </c>
    </row>
    <row r="2" spans="1:17" ht="15" customHeight="1" x14ac:dyDescent="0.25">
      <c r="A2" t="s">
        <v>5941</v>
      </c>
      <c r="B2" t="s">
        <v>5981</v>
      </c>
      <c r="C2" t="s">
        <v>3893</v>
      </c>
      <c r="D2">
        <v>2</v>
      </c>
      <c r="E2" t="s">
        <v>1794</v>
      </c>
      <c r="G2">
        <v>20</v>
      </c>
      <c r="H2">
        <v>24</v>
      </c>
      <c r="I2">
        <v>0</v>
      </c>
      <c r="J2" t="s">
        <v>5982</v>
      </c>
      <c r="K2" t="s">
        <v>5983</v>
      </c>
      <c r="M2">
        <v>1</v>
      </c>
      <c r="N2">
        <v>3</v>
      </c>
      <c r="O2" t="s">
        <v>5984</v>
      </c>
      <c r="P2" t="s">
        <v>5985</v>
      </c>
    </row>
    <row r="3" spans="1:17" ht="15" customHeight="1" x14ac:dyDescent="0.25">
      <c r="A3" t="s">
        <v>5986</v>
      </c>
      <c r="B3" t="s">
        <v>5987</v>
      </c>
      <c r="C3" t="s">
        <v>3896</v>
      </c>
      <c r="D3">
        <v>2</v>
      </c>
      <c r="E3" t="s">
        <v>1794</v>
      </c>
      <c r="F3" t="s">
        <v>3816</v>
      </c>
      <c r="G3">
        <v>12</v>
      </c>
      <c r="H3">
        <v>18</v>
      </c>
      <c r="I3">
        <v>4</v>
      </c>
      <c r="J3" t="s">
        <v>5988</v>
      </c>
      <c r="K3" t="s">
        <v>5989</v>
      </c>
      <c r="M3">
        <v>2</v>
      </c>
      <c r="N3">
        <v>3</v>
      </c>
      <c r="O3" t="s">
        <v>5990</v>
      </c>
      <c r="P3" t="s">
        <v>5991</v>
      </c>
    </row>
    <row r="4" spans="1:17" ht="15" customHeight="1" x14ac:dyDescent="0.25">
      <c r="A4" t="s">
        <v>5992</v>
      </c>
      <c r="B4" t="s">
        <v>5993</v>
      </c>
      <c r="C4" t="s">
        <v>3893</v>
      </c>
      <c r="D4">
        <v>1</v>
      </c>
      <c r="E4" t="s">
        <v>1482</v>
      </c>
      <c r="F4" t="s">
        <v>5994</v>
      </c>
      <c r="G4">
        <v>5</v>
      </c>
      <c r="H4">
        <v>5</v>
      </c>
      <c r="I4">
        <v>4</v>
      </c>
      <c r="J4" t="s">
        <v>5988</v>
      </c>
      <c r="K4" t="s">
        <v>5995</v>
      </c>
      <c r="L4" t="s">
        <v>5992</v>
      </c>
      <c r="M4">
        <v>1</v>
      </c>
      <c r="N4">
        <v>4</v>
      </c>
      <c r="O4" t="s">
        <v>5996</v>
      </c>
      <c r="P4" t="s">
        <v>5997</v>
      </c>
    </row>
    <row r="5" spans="1:17" ht="15" customHeight="1" x14ac:dyDescent="0.25">
      <c r="A5" t="s">
        <v>5998</v>
      </c>
      <c r="B5" t="s">
        <v>3816</v>
      </c>
      <c r="C5" t="s">
        <v>3893</v>
      </c>
      <c r="D5">
        <v>1</v>
      </c>
      <c r="E5" t="s">
        <v>1794</v>
      </c>
      <c r="F5" t="s">
        <v>3816</v>
      </c>
      <c r="G5">
        <v>8</v>
      </c>
      <c r="H5">
        <v>11</v>
      </c>
      <c r="I5">
        <v>4</v>
      </c>
      <c r="J5" t="s">
        <v>5999</v>
      </c>
      <c r="K5" t="s">
        <v>6000</v>
      </c>
      <c r="M5">
        <v>1</v>
      </c>
      <c r="N5">
        <v>4</v>
      </c>
      <c r="O5" t="s">
        <v>6001</v>
      </c>
      <c r="P5" t="s">
        <v>6002</v>
      </c>
    </row>
    <row r="6" spans="1:17" ht="15" customHeight="1" x14ac:dyDescent="0.25">
      <c r="A6" t="s">
        <v>5946</v>
      </c>
      <c r="B6" t="s">
        <v>6003</v>
      </c>
      <c r="C6" t="s">
        <v>3896</v>
      </c>
      <c r="D6">
        <v>5</v>
      </c>
      <c r="E6" t="s">
        <v>1794</v>
      </c>
      <c r="G6">
        <v>60</v>
      </c>
      <c r="H6">
        <v>66</v>
      </c>
      <c r="I6">
        <v>-4</v>
      </c>
      <c r="J6" t="s">
        <v>6004</v>
      </c>
      <c r="K6" t="s">
        <v>6005</v>
      </c>
      <c r="M6">
        <v>4</v>
      </c>
      <c r="N6">
        <v>1</v>
      </c>
      <c r="O6" t="s">
        <v>6006</v>
      </c>
      <c r="P6" t="s">
        <v>6007</v>
      </c>
      <c r="Q6" t="s">
        <v>6008</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6009</v>
      </c>
      <c r="C1" t="s">
        <v>6010</v>
      </c>
      <c r="D1" t="s">
        <v>6011</v>
      </c>
      <c r="E1" t="s">
        <v>6012</v>
      </c>
      <c r="F1" t="s">
        <v>6013</v>
      </c>
      <c r="G1" t="s">
        <v>6014</v>
      </c>
      <c r="H1" t="s">
        <v>6015</v>
      </c>
      <c r="I1" t="s">
        <v>9</v>
      </c>
    </row>
    <row r="2" spans="1:9" ht="15" customHeight="1" x14ac:dyDescent="0.25">
      <c r="A2" t="s">
        <v>4763</v>
      </c>
      <c r="B2">
        <v>6</v>
      </c>
      <c r="C2" t="s">
        <v>6016</v>
      </c>
      <c r="D2" t="s">
        <v>6017</v>
      </c>
      <c r="E2" t="s">
        <v>6018</v>
      </c>
      <c r="F2" t="s">
        <v>6018</v>
      </c>
      <c r="G2" t="s">
        <v>6016</v>
      </c>
      <c r="H2" t="s">
        <v>6017</v>
      </c>
      <c r="I2" t="s">
        <v>1962</v>
      </c>
    </row>
    <row r="3" spans="1:9" ht="15" customHeight="1" x14ac:dyDescent="0.25">
      <c r="A3" t="s">
        <v>4787</v>
      </c>
      <c r="B3">
        <v>6</v>
      </c>
      <c r="C3" t="s">
        <v>6019</v>
      </c>
      <c r="D3" t="s">
        <v>6020</v>
      </c>
      <c r="E3" t="s">
        <v>6021</v>
      </c>
      <c r="F3" t="s">
        <v>6021</v>
      </c>
      <c r="G3" t="s">
        <v>6022</v>
      </c>
      <c r="H3" t="s">
        <v>6023</v>
      </c>
      <c r="I3" t="s">
        <v>1962</v>
      </c>
    </row>
    <row r="4" spans="1:9" ht="15" customHeight="1" x14ac:dyDescent="0.25">
      <c r="A4" t="s">
        <v>4814</v>
      </c>
      <c r="B4">
        <v>6</v>
      </c>
      <c r="C4" t="s">
        <v>6024</v>
      </c>
      <c r="D4" t="s">
        <v>6025</v>
      </c>
      <c r="E4" t="s">
        <v>6026</v>
      </c>
      <c r="F4" t="s">
        <v>6026</v>
      </c>
      <c r="G4" t="s">
        <v>6027</v>
      </c>
      <c r="H4" t="s">
        <v>4842</v>
      </c>
      <c r="I4" t="s">
        <v>1962</v>
      </c>
    </row>
    <row r="5" spans="1:9" ht="15" customHeight="1" x14ac:dyDescent="0.25">
      <c r="A5" t="s">
        <v>4855</v>
      </c>
      <c r="B5">
        <v>6</v>
      </c>
      <c r="C5" t="s">
        <v>6028</v>
      </c>
      <c r="D5" t="s">
        <v>6029</v>
      </c>
      <c r="E5" t="s">
        <v>6030</v>
      </c>
      <c r="F5" t="s">
        <v>6030</v>
      </c>
      <c r="G5" t="s">
        <v>6031</v>
      </c>
      <c r="H5" t="s">
        <v>4842</v>
      </c>
      <c r="I5" t="s">
        <v>1962</v>
      </c>
    </row>
    <row r="6" spans="1:9" ht="15" customHeight="1" x14ac:dyDescent="0.25">
      <c r="A6" t="s">
        <v>4901</v>
      </c>
      <c r="B6">
        <v>6</v>
      </c>
      <c r="C6" t="s">
        <v>6032</v>
      </c>
      <c r="D6" t="s">
        <v>6032</v>
      </c>
      <c r="E6" t="s">
        <v>6026</v>
      </c>
      <c r="F6" t="s">
        <v>6026</v>
      </c>
      <c r="G6" t="s">
        <v>6027</v>
      </c>
      <c r="H6" t="s">
        <v>6027</v>
      </c>
      <c r="I6" t="s">
        <v>1962</v>
      </c>
    </row>
    <row r="7" spans="1:9" ht="15" customHeight="1" x14ac:dyDescent="0.25">
      <c r="A7" t="s">
        <v>4924</v>
      </c>
      <c r="B7">
        <v>6</v>
      </c>
      <c r="C7" t="s">
        <v>6033</v>
      </c>
      <c r="D7" t="s">
        <v>6020</v>
      </c>
      <c r="E7" t="s">
        <v>4842</v>
      </c>
      <c r="F7" t="s">
        <v>4842</v>
      </c>
      <c r="G7" t="s">
        <v>6034</v>
      </c>
      <c r="H7" t="s">
        <v>4842</v>
      </c>
      <c r="I7" t="s">
        <v>1962</v>
      </c>
    </row>
    <row r="8" spans="1:9" ht="15" customHeight="1" x14ac:dyDescent="0.25">
      <c r="A8" t="s">
        <v>4929</v>
      </c>
      <c r="B8">
        <v>6</v>
      </c>
      <c r="C8" t="s">
        <v>6035</v>
      </c>
      <c r="D8" t="s">
        <v>6036</v>
      </c>
      <c r="E8" t="s">
        <v>6037</v>
      </c>
      <c r="F8" t="s">
        <v>6037</v>
      </c>
      <c r="G8" t="s">
        <v>6025</v>
      </c>
      <c r="H8" t="s">
        <v>4842</v>
      </c>
      <c r="I8" t="s">
        <v>1962</v>
      </c>
    </row>
    <row r="9" spans="1:9" ht="15" customHeight="1" x14ac:dyDescent="0.25">
      <c r="A9" t="s">
        <v>4948</v>
      </c>
      <c r="B9">
        <v>6</v>
      </c>
      <c r="C9" t="s">
        <v>6030</v>
      </c>
      <c r="D9" t="s">
        <v>6038</v>
      </c>
      <c r="E9" t="s">
        <v>6039</v>
      </c>
      <c r="F9" t="s">
        <v>6039</v>
      </c>
      <c r="G9" t="s">
        <v>6038</v>
      </c>
      <c r="H9" t="s">
        <v>4842</v>
      </c>
      <c r="I9" t="s">
        <v>1962</v>
      </c>
    </row>
    <row r="10" spans="1:9" ht="15" customHeight="1" x14ac:dyDescent="0.25">
      <c r="A10" t="s">
        <v>4582</v>
      </c>
      <c r="B10">
        <v>6</v>
      </c>
      <c r="C10" t="s">
        <v>6040</v>
      </c>
      <c r="D10" t="s">
        <v>6041</v>
      </c>
      <c r="E10" t="s">
        <v>6042</v>
      </c>
      <c r="F10" t="s">
        <v>6043</v>
      </c>
      <c r="G10" t="s">
        <v>6044</v>
      </c>
      <c r="H10" t="s">
        <v>6045</v>
      </c>
      <c r="I10" t="s">
        <v>2199</v>
      </c>
    </row>
    <row r="11" spans="1:9" ht="15" customHeight="1" x14ac:dyDescent="0.25">
      <c r="A11" t="s">
        <v>4994</v>
      </c>
      <c r="B11">
        <v>6</v>
      </c>
      <c r="C11" t="s">
        <v>6019</v>
      </c>
      <c r="D11" t="s">
        <v>6046</v>
      </c>
      <c r="E11" t="s">
        <v>6047</v>
      </c>
      <c r="F11" t="s">
        <v>6047</v>
      </c>
      <c r="G11" t="s">
        <v>6048</v>
      </c>
      <c r="H11" t="s">
        <v>4842</v>
      </c>
      <c r="I11" t="s">
        <v>1962</v>
      </c>
    </row>
    <row r="12" spans="1:9" ht="15" customHeight="1" x14ac:dyDescent="0.25">
      <c r="A12" t="s">
        <v>5001</v>
      </c>
      <c r="B12">
        <v>6</v>
      </c>
      <c r="C12" t="s">
        <v>6049</v>
      </c>
      <c r="D12" t="s">
        <v>6049</v>
      </c>
      <c r="E12" t="s">
        <v>6016</v>
      </c>
      <c r="F12" t="s">
        <v>6016</v>
      </c>
      <c r="G12" t="s">
        <v>6017</v>
      </c>
      <c r="H12" t="s">
        <v>4842</v>
      </c>
      <c r="I12" t="s">
        <v>1962</v>
      </c>
    </row>
    <row r="13" spans="1:9" ht="15" customHeight="1" x14ac:dyDescent="0.25">
      <c r="A13" t="s">
        <v>5002</v>
      </c>
      <c r="B13">
        <v>6</v>
      </c>
      <c r="C13" t="s">
        <v>6020</v>
      </c>
      <c r="D13" t="s">
        <v>4535</v>
      </c>
      <c r="E13" t="s">
        <v>4842</v>
      </c>
      <c r="F13" t="s">
        <v>4842</v>
      </c>
      <c r="G13" t="s">
        <v>4842</v>
      </c>
      <c r="H13" t="s">
        <v>4842</v>
      </c>
      <c r="I13" t="s">
        <v>1962</v>
      </c>
    </row>
    <row r="14" spans="1:9" ht="15" customHeight="1" x14ac:dyDescent="0.25">
      <c r="A14" t="s">
        <v>5021</v>
      </c>
      <c r="B14">
        <v>6</v>
      </c>
      <c r="C14" t="s">
        <v>6030</v>
      </c>
      <c r="D14" t="s">
        <v>6030</v>
      </c>
      <c r="E14" t="s">
        <v>6038</v>
      </c>
      <c r="F14" t="s">
        <v>6038</v>
      </c>
      <c r="G14" t="s">
        <v>4842</v>
      </c>
      <c r="H14" t="s">
        <v>4842</v>
      </c>
      <c r="I14" t="s">
        <v>1962</v>
      </c>
    </row>
    <row r="15" spans="1:9" ht="15" customHeight="1" x14ac:dyDescent="0.25">
      <c r="A15" t="s">
        <v>5038</v>
      </c>
      <c r="B15">
        <v>6</v>
      </c>
      <c r="C15" t="s">
        <v>6050</v>
      </c>
      <c r="D15" t="s">
        <v>6051</v>
      </c>
      <c r="E15" t="s">
        <v>6051</v>
      </c>
      <c r="F15" t="s">
        <v>6051</v>
      </c>
      <c r="G15" t="s">
        <v>6038</v>
      </c>
      <c r="H15" t="s">
        <v>4842</v>
      </c>
      <c r="I15" t="s">
        <v>1962</v>
      </c>
    </row>
    <row r="16" spans="1:9" ht="15" customHeight="1" x14ac:dyDescent="0.25">
      <c r="A16" t="s">
        <v>5107</v>
      </c>
      <c r="B16">
        <v>6</v>
      </c>
      <c r="C16" t="s">
        <v>6052</v>
      </c>
      <c r="D16" t="s">
        <v>6053</v>
      </c>
      <c r="E16" t="s">
        <v>6053</v>
      </c>
      <c r="F16" t="s">
        <v>6053</v>
      </c>
      <c r="G16" t="s">
        <v>6054</v>
      </c>
      <c r="H16" t="s">
        <v>4842</v>
      </c>
      <c r="I16" t="s">
        <v>1962</v>
      </c>
    </row>
    <row r="17" spans="1:9" ht="15" customHeight="1" x14ac:dyDescent="0.25">
      <c r="A17" t="s">
        <v>5184</v>
      </c>
      <c r="B17">
        <v>6</v>
      </c>
      <c r="C17" t="s">
        <v>6021</v>
      </c>
      <c r="D17" t="s">
        <v>6021</v>
      </c>
      <c r="E17" t="s">
        <v>6032</v>
      </c>
      <c r="F17" t="s">
        <v>6032</v>
      </c>
      <c r="G17" t="s">
        <v>6025</v>
      </c>
      <c r="H17" t="s">
        <v>6025</v>
      </c>
      <c r="I17" t="s">
        <v>1962</v>
      </c>
    </row>
    <row r="18" spans="1:9" ht="15" customHeight="1" x14ac:dyDescent="0.25">
      <c r="A18" t="s">
        <v>5241</v>
      </c>
      <c r="B18">
        <v>6</v>
      </c>
      <c r="C18" t="s">
        <v>6020</v>
      </c>
      <c r="D18" t="s">
        <v>6020</v>
      </c>
      <c r="E18" t="s">
        <v>6021</v>
      </c>
      <c r="F18" t="s">
        <v>6021</v>
      </c>
      <c r="G18" t="s">
        <v>6024</v>
      </c>
      <c r="H18" t="s">
        <v>6024</v>
      </c>
      <c r="I18" t="s">
        <v>1962</v>
      </c>
    </row>
    <row r="19" spans="1:9" ht="15" customHeight="1" x14ac:dyDescent="0.25">
      <c r="A19" t="s">
        <v>5245</v>
      </c>
      <c r="B19">
        <v>6</v>
      </c>
      <c r="C19" t="s">
        <v>4535</v>
      </c>
      <c r="D19" t="s">
        <v>6024</v>
      </c>
      <c r="E19" t="s">
        <v>6032</v>
      </c>
      <c r="F19" t="s">
        <v>6032</v>
      </c>
      <c r="G19" t="s">
        <v>6025</v>
      </c>
      <c r="H19" t="s">
        <v>6027</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6055</v>
      </c>
      <c r="D1" t="s">
        <v>57</v>
      </c>
      <c r="E1" t="s">
        <v>6589</v>
      </c>
    </row>
    <row r="2" spans="1:5" ht="15" customHeight="1" x14ac:dyDescent="0.25">
      <c r="A2" t="s">
        <v>6056</v>
      </c>
      <c r="B2">
        <v>2022</v>
      </c>
      <c r="C2" t="s">
        <v>2203</v>
      </c>
      <c r="D2" t="s">
        <v>6057</v>
      </c>
    </row>
    <row r="3" spans="1:5" ht="15" customHeight="1" x14ac:dyDescent="0.25">
      <c r="A3" t="s">
        <v>6058</v>
      </c>
      <c r="B3">
        <v>2022</v>
      </c>
      <c r="C3" t="s">
        <v>1954</v>
      </c>
      <c r="D3" t="s">
        <v>6059</v>
      </c>
    </row>
    <row r="4" spans="1:5" ht="15" customHeight="1" x14ac:dyDescent="0.25">
      <c r="A4" t="s">
        <v>6060</v>
      </c>
      <c r="B4">
        <v>2024</v>
      </c>
      <c r="C4" t="s">
        <v>213</v>
      </c>
      <c r="D4" t="s">
        <v>6061</v>
      </c>
    </row>
    <row r="5" spans="1:5" ht="15" customHeight="1" x14ac:dyDescent="0.25">
      <c r="A5" t="s">
        <v>6062</v>
      </c>
      <c r="B5">
        <v>2020</v>
      </c>
      <c r="C5" t="s">
        <v>1772</v>
      </c>
      <c r="D5" t="s">
        <v>6063</v>
      </c>
    </row>
    <row r="6" spans="1:5" ht="15" customHeight="1" x14ac:dyDescent="0.25">
      <c r="A6" t="s">
        <v>6064</v>
      </c>
      <c r="B6">
        <v>2021</v>
      </c>
      <c r="C6" t="s">
        <v>1776</v>
      </c>
      <c r="D6" t="s">
        <v>6065</v>
      </c>
    </row>
    <row r="7" spans="1:5" ht="15" customHeight="1" x14ac:dyDescent="0.25">
      <c r="A7" t="s">
        <v>6066</v>
      </c>
      <c r="B7">
        <v>2024</v>
      </c>
      <c r="C7" t="s">
        <v>213</v>
      </c>
      <c r="D7" t="s">
        <v>6067</v>
      </c>
    </row>
    <row r="8" spans="1:5" x14ac:dyDescent="0.25">
      <c r="A8" t="s">
        <v>6587</v>
      </c>
      <c r="B8">
        <v>2024</v>
      </c>
      <c r="C8" t="s">
        <v>213</v>
      </c>
      <c r="E8" s="11" t="s">
        <v>6588</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6068</v>
      </c>
      <c r="B2" t="s">
        <v>6069</v>
      </c>
      <c r="C2" t="s">
        <v>3245</v>
      </c>
    </row>
    <row r="3" spans="1:3" ht="15" customHeight="1" x14ac:dyDescent="0.25">
      <c r="A3" t="s">
        <v>6070</v>
      </c>
      <c r="B3" t="s">
        <v>6071</v>
      </c>
      <c r="C3" t="s">
        <v>3245</v>
      </c>
    </row>
    <row r="4" spans="1:3" ht="15" customHeight="1" x14ac:dyDescent="0.25">
      <c r="A4" t="s">
        <v>6072</v>
      </c>
      <c r="B4" t="s">
        <v>6073</v>
      </c>
      <c r="C4" t="s">
        <v>3256</v>
      </c>
    </row>
    <row r="5" spans="1:3" ht="15" customHeight="1" x14ac:dyDescent="0.25">
      <c r="A5" t="s">
        <v>6074</v>
      </c>
      <c r="B5" t="s">
        <v>6075</v>
      </c>
      <c r="C5" t="s">
        <v>3245</v>
      </c>
    </row>
    <row r="6" spans="1:3" ht="15" customHeight="1" x14ac:dyDescent="0.25">
      <c r="A6" t="s">
        <v>6076</v>
      </c>
      <c r="B6" t="s">
        <v>6077</v>
      </c>
      <c r="C6" t="s">
        <v>3256</v>
      </c>
    </row>
    <row r="7" spans="1:3" ht="15" customHeight="1" x14ac:dyDescent="0.25">
      <c r="A7" t="s">
        <v>6078</v>
      </c>
      <c r="B7" t="s">
        <v>6079</v>
      </c>
      <c r="C7" t="s">
        <v>3245</v>
      </c>
    </row>
    <row r="8" spans="1:3" ht="15" customHeight="1" x14ac:dyDescent="0.25">
      <c r="A8" t="s">
        <v>6080</v>
      </c>
      <c r="B8" t="s">
        <v>6081</v>
      </c>
      <c r="C8" t="s">
        <v>3245</v>
      </c>
    </row>
    <row r="9" spans="1:3" ht="15" customHeight="1" x14ac:dyDescent="0.25">
      <c r="A9" t="s">
        <v>6082</v>
      </c>
      <c r="B9" t="s">
        <v>6083</v>
      </c>
      <c r="C9" t="s">
        <v>3245</v>
      </c>
    </row>
    <row r="10" spans="1:3" ht="15" customHeight="1" x14ac:dyDescent="0.25">
      <c r="A10" t="s">
        <v>6084</v>
      </c>
      <c r="B10" t="s">
        <v>6085</v>
      </c>
      <c r="C10" t="s">
        <v>3264</v>
      </c>
    </row>
    <row r="11" spans="1:3" ht="15" customHeight="1" x14ac:dyDescent="0.25">
      <c r="A11" t="s">
        <v>6086</v>
      </c>
      <c r="B11" t="s">
        <v>6087</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6140</v>
      </c>
      <c r="C1" t="s">
        <v>3449</v>
      </c>
      <c r="D1" t="s">
        <v>6141</v>
      </c>
      <c r="E1" t="s">
        <v>2899</v>
      </c>
      <c r="F1" t="s">
        <v>53</v>
      </c>
    </row>
    <row r="2" spans="1:6" ht="15" customHeight="1" x14ac:dyDescent="0.25">
      <c r="A2" t="s">
        <v>6142</v>
      </c>
      <c r="B2" t="s">
        <v>3892</v>
      </c>
      <c r="C2" t="s">
        <v>3893</v>
      </c>
      <c r="D2" t="s">
        <v>6143</v>
      </c>
      <c r="E2" t="s">
        <v>6144</v>
      </c>
      <c r="F2" t="s">
        <v>6145</v>
      </c>
    </row>
    <row r="3" spans="1:6" ht="15" customHeight="1" x14ac:dyDescent="0.25">
      <c r="A3" t="s">
        <v>6146</v>
      </c>
      <c r="B3" t="s">
        <v>3892</v>
      </c>
      <c r="C3" t="s">
        <v>3896</v>
      </c>
      <c r="D3" t="s">
        <v>6143</v>
      </c>
      <c r="E3" t="s">
        <v>6147</v>
      </c>
      <c r="F3" t="s">
        <v>6145</v>
      </c>
    </row>
    <row r="4" spans="1:6" ht="15" customHeight="1" x14ac:dyDescent="0.25">
      <c r="A4" t="s">
        <v>6148</v>
      </c>
      <c r="B4" t="s">
        <v>3892</v>
      </c>
      <c r="C4" t="s">
        <v>3898</v>
      </c>
      <c r="D4" t="s">
        <v>6143</v>
      </c>
      <c r="E4" t="s">
        <v>6149</v>
      </c>
      <c r="F4" t="s">
        <v>6145</v>
      </c>
    </row>
    <row r="5" spans="1:6" ht="15" customHeight="1" x14ac:dyDescent="0.25">
      <c r="A5" t="s">
        <v>6150</v>
      </c>
      <c r="B5" t="s">
        <v>3892</v>
      </c>
      <c r="C5" t="s">
        <v>3893</v>
      </c>
      <c r="D5" t="s">
        <v>6143</v>
      </c>
      <c r="E5" t="s">
        <v>6151</v>
      </c>
      <c r="F5" t="s">
        <v>6145</v>
      </c>
    </row>
    <row r="6" spans="1:6" ht="15" customHeight="1" x14ac:dyDescent="0.25">
      <c r="A6" t="s">
        <v>6152</v>
      </c>
      <c r="B6" t="s">
        <v>3892</v>
      </c>
      <c r="C6" t="s">
        <v>3896</v>
      </c>
      <c r="D6" t="s">
        <v>6143</v>
      </c>
      <c r="E6" t="s">
        <v>6153</v>
      </c>
      <c r="F6" t="s">
        <v>6145</v>
      </c>
    </row>
    <row r="7" spans="1:6" ht="15" customHeight="1" x14ac:dyDescent="0.25">
      <c r="A7" t="s">
        <v>6154</v>
      </c>
      <c r="B7" t="s">
        <v>3892</v>
      </c>
      <c r="C7" t="s">
        <v>3898</v>
      </c>
      <c r="D7" t="s">
        <v>6143</v>
      </c>
      <c r="E7" t="s">
        <v>6155</v>
      </c>
      <c r="F7" t="s">
        <v>6145</v>
      </c>
    </row>
    <row r="8" spans="1:6" ht="15" customHeight="1" x14ac:dyDescent="0.25">
      <c r="A8" t="s">
        <v>6156</v>
      </c>
      <c r="B8" t="s">
        <v>3892</v>
      </c>
      <c r="C8" t="s">
        <v>3893</v>
      </c>
      <c r="D8" t="s">
        <v>6157</v>
      </c>
      <c r="E8" t="s">
        <v>6158</v>
      </c>
      <c r="F8" t="s">
        <v>6145</v>
      </c>
    </row>
    <row r="9" spans="1:6" ht="15" customHeight="1" x14ac:dyDescent="0.25">
      <c r="A9" t="s">
        <v>6159</v>
      </c>
      <c r="B9" t="s">
        <v>3892</v>
      </c>
      <c r="C9" t="s">
        <v>3896</v>
      </c>
      <c r="D9" t="s">
        <v>6143</v>
      </c>
      <c r="E9" t="s">
        <v>6158</v>
      </c>
      <c r="F9" t="s">
        <v>6145</v>
      </c>
    </row>
    <row r="10" spans="1:6" ht="15" customHeight="1" x14ac:dyDescent="0.25">
      <c r="A10" t="s">
        <v>6160</v>
      </c>
      <c r="B10" t="s">
        <v>3892</v>
      </c>
      <c r="C10" t="s">
        <v>3898</v>
      </c>
      <c r="D10" t="s">
        <v>6161</v>
      </c>
      <c r="E10" t="s">
        <v>6158</v>
      </c>
      <c r="F10" t="s">
        <v>6145</v>
      </c>
    </row>
    <row r="11" spans="1:6" ht="15" customHeight="1" x14ac:dyDescent="0.25">
      <c r="A11" t="s">
        <v>6162</v>
      </c>
      <c r="B11" t="s">
        <v>5746</v>
      </c>
      <c r="C11" t="s">
        <v>3893</v>
      </c>
      <c r="D11" t="s">
        <v>6157</v>
      </c>
      <c r="E11" t="s">
        <v>6163</v>
      </c>
      <c r="F11" t="s">
        <v>6145</v>
      </c>
    </row>
    <row r="12" spans="1:6" ht="15" customHeight="1" x14ac:dyDescent="0.25">
      <c r="A12" t="s">
        <v>6164</v>
      </c>
      <c r="B12" t="s">
        <v>5746</v>
      </c>
      <c r="C12" t="s">
        <v>3896</v>
      </c>
      <c r="D12" t="s">
        <v>6157</v>
      </c>
      <c r="E12" t="s">
        <v>6165</v>
      </c>
      <c r="F12" t="s">
        <v>6145</v>
      </c>
    </row>
    <row r="13" spans="1:6" ht="15" customHeight="1" x14ac:dyDescent="0.25">
      <c r="A13" t="s">
        <v>6166</v>
      </c>
      <c r="B13" t="s">
        <v>5746</v>
      </c>
      <c r="C13" t="s">
        <v>3898</v>
      </c>
      <c r="D13" t="s">
        <v>6157</v>
      </c>
      <c r="E13" t="s">
        <v>6167</v>
      </c>
      <c r="F13" t="s">
        <v>6145</v>
      </c>
    </row>
    <row r="14" spans="1:6" ht="15" customHeight="1" x14ac:dyDescent="0.25">
      <c r="A14" t="s">
        <v>6168</v>
      </c>
      <c r="B14" t="s">
        <v>5767</v>
      </c>
      <c r="C14" t="s">
        <v>3893</v>
      </c>
      <c r="D14" t="s">
        <v>6169</v>
      </c>
      <c r="E14" t="s">
        <v>6170</v>
      </c>
      <c r="F14" t="s">
        <v>3107</v>
      </c>
    </row>
    <row r="15" spans="1:6" ht="15" customHeight="1" x14ac:dyDescent="0.25">
      <c r="A15" t="s">
        <v>6171</v>
      </c>
      <c r="B15" t="s">
        <v>5767</v>
      </c>
      <c r="C15" t="s">
        <v>3896</v>
      </c>
      <c r="D15" t="s">
        <v>6172</v>
      </c>
      <c r="E15" t="s">
        <v>6170</v>
      </c>
      <c r="F15" t="s">
        <v>3107</v>
      </c>
    </row>
    <row r="16" spans="1:6" ht="15" customHeight="1" x14ac:dyDescent="0.25">
      <c r="A16" t="s">
        <v>6173</v>
      </c>
      <c r="B16" t="s">
        <v>5767</v>
      </c>
      <c r="C16" t="s">
        <v>3898</v>
      </c>
      <c r="D16" t="s">
        <v>6174</v>
      </c>
      <c r="E16" t="s">
        <v>6170</v>
      </c>
      <c r="F16" t="s">
        <v>3107</v>
      </c>
    </row>
    <row r="17" spans="1:6" ht="15" customHeight="1" x14ac:dyDescent="0.25">
      <c r="A17" t="s">
        <v>6175</v>
      </c>
      <c r="B17" t="s">
        <v>5767</v>
      </c>
      <c r="C17" t="s">
        <v>3893</v>
      </c>
      <c r="D17" t="s">
        <v>6176</v>
      </c>
      <c r="E17" t="s">
        <v>6177</v>
      </c>
      <c r="F17" t="s">
        <v>6178</v>
      </c>
    </row>
    <row r="18" spans="1:6" ht="15" customHeight="1" x14ac:dyDescent="0.25">
      <c r="A18" t="s">
        <v>6179</v>
      </c>
      <c r="B18" t="s">
        <v>5767</v>
      </c>
      <c r="C18" t="s">
        <v>3896</v>
      </c>
      <c r="D18" t="s">
        <v>6176</v>
      </c>
      <c r="E18" t="s">
        <v>6180</v>
      </c>
      <c r="F18" t="s">
        <v>6178</v>
      </c>
    </row>
    <row r="19" spans="1:6" ht="15" customHeight="1" x14ac:dyDescent="0.25">
      <c r="A19" t="s">
        <v>6181</v>
      </c>
      <c r="B19" t="s">
        <v>5767</v>
      </c>
      <c r="C19" t="s">
        <v>3898</v>
      </c>
      <c r="D19" t="s">
        <v>6176</v>
      </c>
      <c r="E19" t="s">
        <v>6182</v>
      </c>
      <c r="F19" t="s">
        <v>6178</v>
      </c>
    </row>
    <row r="20" spans="1:6" ht="15" customHeight="1" x14ac:dyDescent="0.25">
      <c r="A20" t="s">
        <v>6183</v>
      </c>
      <c r="B20" t="s">
        <v>5767</v>
      </c>
      <c r="C20" t="s">
        <v>3893</v>
      </c>
      <c r="D20" t="s">
        <v>6184</v>
      </c>
      <c r="E20" t="s">
        <v>6185</v>
      </c>
      <c r="F20" t="s">
        <v>6178</v>
      </c>
    </row>
    <row r="21" spans="1:6" ht="15" customHeight="1" x14ac:dyDescent="0.25">
      <c r="A21" t="s">
        <v>6186</v>
      </c>
      <c r="B21" t="s">
        <v>5767</v>
      </c>
      <c r="C21" t="s">
        <v>3896</v>
      </c>
      <c r="D21" t="s">
        <v>6187</v>
      </c>
      <c r="E21" t="s">
        <v>6185</v>
      </c>
      <c r="F21" t="s">
        <v>6178</v>
      </c>
    </row>
    <row r="22" spans="1:6" ht="15" customHeight="1" x14ac:dyDescent="0.25">
      <c r="A22" t="s">
        <v>6188</v>
      </c>
      <c r="B22" t="s">
        <v>5767</v>
      </c>
      <c r="C22" t="s">
        <v>3898</v>
      </c>
      <c r="D22" t="s">
        <v>6189</v>
      </c>
      <c r="E22" t="s">
        <v>6185</v>
      </c>
      <c r="F22" t="s">
        <v>6178</v>
      </c>
    </row>
    <row r="23" spans="1:6" ht="15" customHeight="1" x14ac:dyDescent="0.25">
      <c r="A23" t="s">
        <v>6190</v>
      </c>
      <c r="B23" t="s">
        <v>5742</v>
      </c>
      <c r="C23" t="s">
        <v>3893</v>
      </c>
      <c r="D23" t="s">
        <v>6169</v>
      </c>
      <c r="E23" t="s">
        <v>6191</v>
      </c>
      <c r="F23" t="s">
        <v>3107</v>
      </c>
    </row>
    <row r="24" spans="1:6" ht="15" customHeight="1" x14ac:dyDescent="0.25">
      <c r="A24" t="s">
        <v>6192</v>
      </c>
      <c r="B24" t="s">
        <v>5742</v>
      </c>
      <c r="C24" t="s">
        <v>3896</v>
      </c>
      <c r="D24" t="s">
        <v>6169</v>
      </c>
      <c r="E24" t="s">
        <v>6193</v>
      </c>
      <c r="F24" t="s">
        <v>3107</v>
      </c>
    </row>
    <row r="25" spans="1:6" ht="15" customHeight="1" x14ac:dyDescent="0.25">
      <c r="A25" t="s">
        <v>6194</v>
      </c>
      <c r="B25" t="s">
        <v>5742</v>
      </c>
      <c r="C25" t="s">
        <v>3898</v>
      </c>
      <c r="D25" t="s">
        <v>6169</v>
      </c>
      <c r="E25" t="s">
        <v>6195</v>
      </c>
      <c r="F25" t="s">
        <v>3107</v>
      </c>
    </row>
    <row r="26" spans="1:6" ht="15" customHeight="1" x14ac:dyDescent="0.25">
      <c r="A26" t="s">
        <v>6196</v>
      </c>
      <c r="B26" t="s">
        <v>5742</v>
      </c>
      <c r="C26" t="s">
        <v>3893</v>
      </c>
      <c r="D26" t="s">
        <v>6197</v>
      </c>
      <c r="E26" t="s">
        <v>6198</v>
      </c>
      <c r="F26" t="s">
        <v>6178</v>
      </c>
    </row>
    <row r="27" spans="1:6" ht="15" customHeight="1" x14ac:dyDescent="0.25">
      <c r="A27" t="s">
        <v>6199</v>
      </c>
      <c r="B27" t="s">
        <v>5742</v>
      </c>
      <c r="C27" t="s">
        <v>3896</v>
      </c>
      <c r="D27" t="s">
        <v>6200</v>
      </c>
      <c r="E27" t="s">
        <v>6198</v>
      </c>
      <c r="F27" t="s">
        <v>6178</v>
      </c>
    </row>
    <row r="28" spans="1:6" ht="15" customHeight="1" x14ac:dyDescent="0.25">
      <c r="A28" t="s">
        <v>6201</v>
      </c>
      <c r="B28" t="s">
        <v>5742</v>
      </c>
      <c r="C28" t="s">
        <v>3898</v>
      </c>
      <c r="D28" t="s">
        <v>6202</v>
      </c>
      <c r="E28" t="s">
        <v>6198</v>
      </c>
      <c r="F28" t="s">
        <v>6178</v>
      </c>
    </row>
    <row r="29" spans="1:6" ht="15" customHeight="1" x14ac:dyDescent="0.25">
      <c r="A29" t="s">
        <v>6203</v>
      </c>
      <c r="B29" t="s">
        <v>5742</v>
      </c>
      <c r="C29" t="s">
        <v>3893</v>
      </c>
      <c r="D29" t="s">
        <v>6204</v>
      </c>
      <c r="E29" t="s">
        <v>6205</v>
      </c>
      <c r="F29" t="s">
        <v>6178</v>
      </c>
    </row>
    <row r="30" spans="1:6" ht="15" customHeight="1" x14ac:dyDescent="0.25">
      <c r="A30" t="s">
        <v>6206</v>
      </c>
      <c r="B30" t="s">
        <v>5742</v>
      </c>
      <c r="C30" t="s">
        <v>3896</v>
      </c>
      <c r="D30" t="s">
        <v>6207</v>
      </c>
      <c r="E30" t="s">
        <v>6205</v>
      </c>
      <c r="F30" t="s">
        <v>6178</v>
      </c>
    </row>
    <row r="31" spans="1:6" ht="15" customHeight="1" x14ac:dyDescent="0.25">
      <c r="A31" t="s">
        <v>6208</v>
      </c>
      <c r="B31" t="s">
        <v>5742</v>
      </c>
      <c r="C31" t="s">
        <v>3898</v>
      </c>
      <c r="D31" t="s">
        <v>6209</v>
      </c>
      <c r="E31" t="s">
        <v>6205</v>
      </c>
      <c r="F31" t="s">
        <v>6178</v>
      </c>
    </row>
    <row r="32" spans="1:6" ht="15" customHeight="1" x14ac:dyDescent="0.25">
      <c r="A32" t="s">
        <v>6210</v>
      </c>
      <c r="B32" t="s">
        <v>5746</v>
      </c>
      <c r="C32" t="s">
        <v>3893</v>
      </c>
      <c r="D32" t="s">
        <v>6211</v>
      </c>
      <c r="E32" t="s">
        <v>6212</v>
      </c>
      <c r="F32" t="s">
        <v>6178</v>
      </c>
    </row>
    <row r="33" spans="1:6" ht="15" customHeight="1" x14ac:dyDescent="0.25">
      <c r="A33" t="s">
        <v>6213</v>
      </c>
      <c r="B33" t="s">
        <v>5746</v>
      </c>
      <c r="C33" t="s">
        <v>3896</v>
      </c>
      <c r="D33" t="s">
        <v>6211</v>
      </c>
      <c r="E33" t="s">
        <v>6212</v>
      </c>
      <c r="F33" t="s">
        <v>6178</v>
      </c>
    </row>
    <row r="34" spans="1:6" ht="15" customHeight="1" x14ac:dyDescent="0.25">
      <c r="A34" t="s">
        <v>6214</v>
      </c>
      <c r="B34" t="s">
        <v>5746</v>
      </c>
      <c r="C34" t="s">
        <v>3898</v>
      </c>
      <c r="D34" t="s">
        <v>6211</v>
      </c>
      <c r="E34" t="s">
        <v>6212</v>
      </c>
      <c r="F34" t="s">
        <v>6178</v>
      </c>
    </row>
    <row r="35" spans="1:6" ht="15" customHeight="1" x14ac:dyDescent="0.25">
      <c r="A35" t="s">
        <v>6215</v>
      </c>
      <c r="B35" t="s">
        <v>3892</v>
      </c>
      <c r="C35" t="s">
        <v>3893</v>
      </c>
      <c r="D35" t="s">
        <v>6157</v>
      </c>
      <c r="E35" t="s">
        <v>6216</v>
      </c>
      <c r="F35" t="s">
        <v>6145</v>
      </c>
    </row>
    <row r="36" spans="1:6" ht="15" customHeight="1" x14ac:dyDescent="0.25">
      <c r="A36" t="s">
        <v>6217</v>
      </c>
      <c r="B36" t="s">
        <v>3892</v>
      </c>
      <c r="C36" t="s">
        <v>3896</v>
      </c>
      <c r="D36" t="s">
        <v>6143</v>
      </c>
      <c r="E36" t="s">
        <v>6216</v>
      </c>
      <c r="F36" t="s">
        <v>6145</v>
      </c>
    </row>
    <row r="37" spans="1:6" ht="15" customHeight="1" x14ac:dyDescent="0.25">
      <c r="A37" t="s">
        <v>6218</v>
      </c>
      <c r="B37" t="s">
        <v>3892</v>
      </c>
      <c r="C37" t="s">
        <v>3898</v>
      </c>
      <c r="D37" t="s">
        <v>6161</v>
      </c>
      <c r="E37" t="s">
        <v>6216</v>
      </c>
      <c r="F37" t="s">
        <v>6145</v>
      </c>
    </row>
    <row r="38" spans="1:6" ht="15" customHeight="1" x14ac:dyDescent="0.25">
      <c r="A38" t="s">
        <v>6219</v>
      </c>
      <c r="B38" t="s">
        <v>5746</v>
      </c>
      <c r="C38" t="s">
        <v>3893</v>
      </c>
      <c r="D38" t="s">
        <v>6157</v>
      </c>
      <c r="E38" t="s">
        <v>6220</v>
      </c>
      <c r="F38" t="s">
        <v>6145</v>
      </c>
    </row>
    <row r="39" spans="1:6" ht="15" customHeight="1" x14ac:dyDescent="0.25">
      <c r="A39" t="s">
        <v>6221</v>
      </c>
      <c r="B39" t="s">
        <v>5746</v>
      </c>
      <c r="C39" t="s">
        <v>3896</v>
      </c>
      <c r="D39" t="s">
        <v>6143</v>
      </c>
      <c r="E39" t="s">
        <v>6220</v>
      </c>
      <c r="F39" t="s">
        <v>6145</v>
      </c>
    </row>
    <row r="40" spans="1:6" ht="15" customHeight="1" x14ac:dyDescent="0.25">
      <c r="A40" t="s">
        <v>6222</v>
      </c>
      <c r="B40" t="s">
        <v>5746</v>
      </c>
      <c r="C40" t="s">
        <v>3898</v>
      </c>
      <c r="D40" t="s">
        <v>6161</v>
      </c>
      <c r="E40" t="s">
        <v>6220</v>
      </c>
      <c r="F40" t="s">
        <v>6145</v>
      </c>
    </row>
    <row r="41" spans="1:6" ht="15" customHeight="1" x14ac:dyDescent="0.25">
      <c r="A41" t="s">
        <v>6223</v>
      </c>
      <c r="B41" t="s">
        <v>3892</v>
      </c>
      <c r="C41" t="s">
        <v>3893</v>
      </c>
      <c r="D41" t="s">
        <v>6161</v>
      </c>
      <c r="E41" t="s">
        <v>6224</v>
      </c>
      <c r="F41" t="s">
        <v>6145</v>
      </c>
    </row>
    <row r="42" spans="1:6" ht="15" customHeight="1" x14ac:dyDescent="0.25">
      <c r="A42" t="s">
        <v>6225</v>
      </c>
      <c r="B42" t="s">
        <v>3892</v>
      </c>
      <c r="C42" t="s">
        <v>3896</v>
      </c>
      <c r="D42" t="s">
        <v>6161</v>
      </c>
      <c r="E42" t="s">
        <v>6226</v>
      </c>
      <c r="F42" t="s">
        <v>6145</v>
      </c>
    </row>
    <row r="43" spans="1:6" ht="15" customHeight="1" x14ac:dyDescent="0.25">
      <c r="A43" t="s">
        <v>6227</v>
      </c>
      <c r="B43" t="s">
        <v>3892</v>
      </c>
      <c r="C43" t="s">
        <v>3898</v>
      </c>
      <c r="D43" t="s">
        <v>6161</v>
      </c>
      <c r="E43" t="s">
        <v>6228</v>
      </c>
      <c r="F43" t="s">
        <v>6145</v>
      </c>
    </row>
    <row r="44" spans="1:6" ht="15" customHeight="1" x14ac:dyDescent="0.25">
      <c r="A44" t="s">
        <v>6229</v>
      </c>
      <c r="B44" t="s">
        <v>5767</v>
      </c>
      <c r="C44" t="s">
        <v>3893</v>
      </c>
      <c r="D44" t="s">
        <v>6157</v>
      </c>
      <c r="E44" t="s">
        <v>6230</v>
      </c>
      <c r="F44" t="s">
        <v>6145</v>
      </c>
    </row>
    <row r="45" spans="1:6" ht="15" customHeight="1" x14ac:dyDescent="0.25">
      <c r="A45" t="s">
        <v>6231</v>
      </c>
      <c r="B45" t="s">
        <v>5767</v>
      </c>
      <c r="C45" t="s">
        <v>3896</v>
      </c>
      <c r="D45" t="s">
        <v>6143</v>
      </c>
      <c r="E45" t="s">
        <v>6230</v>
      </c>
      <c r="F45" t="s">
        <v>6145</v>
      </c>
    </row>
    <row r="46" spans="1:6" ht="15" customHeight="1" x14ac:dyDescent="0.25">
      <c r="A46" t="s">
        <v>6232</v>
      </c>
      <c r="B46" t="s">
        <v>5767</v>
      </c>
      <c r="C46" t="s">
        <v>3898</v>
      </c>
      <c r="D46" t="s">
        <v>6161</v>
      </c>
      <c r="E46" t="s">
        <v>6230</v>
      </c>
      <c r="F46" t="s">
        <v>6145</v>
      </c>
    </row>
    <row r="47" spans="1:6" ht="15" customHeight="1" x14ac:dyDescent="0.25">
      <c r="A47" t="s">
        <v>6233</v>
      </c>
      <c r="B47" t="s">
        <v>5742</v>
      </c>
      <c r="C47" t="s">
        <v>3893</v>
      </c>
      <c r="D47" t="s">
        <v>6204</v>
      </c>
      <c r="E47" t="s">
        <v>6234</v>
      </c>
      <c r="F47" t="s">
        <v>6178</v>
      </c>
    </row>
    <row r="48" spans="1:6" ht="15" customHeight="1" x14ac:dyDescent="0.25">
      <c r="A48" t="s">
        <v>6235</v>
      </c>
      <c r="B48" t="s">
        <v>5742</v>
      </c>
      <c r="C48" t="s">
        <v>3896</v>
      </c>
      <c r="D48" t="s">
        <v>6207</v>
      </c>
      <c r="E48" t="s">
        <v>6236</v>
      </c>
      <c r="F48" t="s">
        <v>6178</v>
      </c>
    </row>
    <row r="49" spans="1:6" ht="15" customHeight="1" x14ac:dyDescent="0.25">
      <c r="A49" t="s">
        <v>6237</v>
      </c>
      <c r="B49" t="s">
        <v>5742</v>
      </c>
      <c r="C49" t="s">
        <v>3898</v>
      </c>
      <c r="D49" t="s">
        <v>6209</v>
      </c>
      <c r="E49" t="s">
        <v>6238</v>
      </c>
      <c r="F49" t="s">
        <v>6178</v>
      </c>
    </row>
    <row r="50" spans="1:6" ht="15" customHeight="1" x14ac:dyDescent="0.25">
      <c r="A50" t="s">
        <v>6239</v>
      </c>
      <c r="B50" t="s">
        <v>5746</v>
      </c>
      <c r="C50" t="s">
        <v>3893</v>
      </c>
      <c r="D50" t="s">
        <v>6157</v>
      </c>
      <c r="E50" t="s">
        <v>6240</v>
      </c>
      <c r="F50" t="s">
        <v>6145</v>
      </c>
    </row>
    <row r="51" spans="1:6" ht="15" customHeight="1" x14ac:dyDescent="0.25">
      <c r="A51" t="s">
        <v>6241</v>
      </c>
      <c r="B51" t="s">
        <v>5746</v>
      </c>
      <c r="C51" t="s">
        <v>3896</v>
      </c>
      <c r="D51" t="s">
        <v>6143</v>
      </c>
      <c r="E51" t="s">
        <v>6240</v>
      </c>
      <c r="F51" t="s">
        <v>6145</v>
      </c>
    </row>
    <row r="52" spans="1:6" ht="15" customHeight="1" x14ac:dyDescent="0.25">
      <c r="A52" t="s">
        <v>6242</v>
      </c>
      <c r="B52" t="s">
        <v>5746</v>
      </c>
      <c r="C52" t="s">
        <v>3898</v>
      </c>
      <c r="D52" t="s">
        <v>6161</v>
      </c>
      <c r="E52" t="s">
        <v>6240</v>
      </c>
      <c r="F52" t="s">
        <v>6145</v>
      </c>
    </row>
    <row r="53" spans="1:6" ht="15" customHeight="1" x14ac:dyDescent="0.25">
      <c r="A53" t="s">
        <v>6243</v>
      </c>
      <c r="B53" t="s">
        <v>5742</v>
      </c>
      <c r="C53" t="s">
        <v>3893</v>
      </c>
      <c r="D53" t="s">
        <v>6244</v>
      </c>
      <c r="E53" t="s">
        <v>6245</v>
      </c>
      <c r="F53" t="s">
        <v>6178</v>
      </c>
    </row>
    <row r="54" spans="1:6" ht="15" customHeight="1" x14ac:dyDescent="0.25">
      <c r="A54" t="s">
        <v>6246</v>
      </c>
      <c r="B54" t="s">
        <v>5742</v>
      </c>
      <c r="C54" t="s">
        <v>3896</v>
      </c>
      <c r="D54" t="s">
        <v>6247</v>
      </c>
      <c r="E54" t="s">
        <v>6245</v>
      </c>
      <c r="F54" t="s">
        <v>6178</v>
      </c>
    </row>
    <row r="55" spans="1:6" ht="15" customHeight="1" x14ac:dyDescent="0.25">
      <c r="A55" t="s">
        <v>6248</v>
      </c>
      <c r="B55" t="s">
        <v>5742</v>
      </c>
      <c r="C55" t="s">
        <v>3898</v>
      </c>
      <c r="D55" t="s">
        <v>6249</v>
      </c>
      <c r="E55" t="s">
        <v>6245</v>
      </c>
      <c r="F55" t="s">
        <v>6178</v>
      </c>
    </row>
    <row r="56" spans="1:6" ht="15" customHeight="1" x14ac:dyDescent="0.25">
      <c r="A56" t="s">
        <v>6250</v>
      </c>
      <c r="B56" t="s">
        <v>3892</v>
      </c>
      <c r="C56" t="s">
        <v>3893</v>
      </c>
      <c r="D56" t="s">
        <v>6251</v>
      </c>
      <c r="E56" t="s">
        <v>6252</v>
      </c>
      <c r="F56" t="s">
        <v>6178</v>
      </c>
    </row>
    <row r="57" spans="1:6" ht="15" customHeight="1" x14ac:dyDescent="0.25">
      <c r="A57" t="s">
        <v>6253</v>
      </c>
      <c r="B57" t="s">
        <v>3892</v>
      </c>
      <c r="C57" t="s">
        <v>3896</v>
      </c>
      <c r="D57" t="s">
        <v>6254</v>
      </c>
      <c r="E57" t="s">
        <v>6252</v>
      </c>
      <c r="F57" t="s">
        <v>6178</v>
      </c>
    </row>
    <row r="58" spans="1:6" ht="15" customHeight="1" x14ac:dyDescent="0.25">
      <c r="A58" t="s">
        <v>6255</v>
      </c>
      <c r="B58" t="s">
        <v>3892</v>
      </c>
      <c r="C58" t="s">
        <v>3898</v>
      </c>
      <c r="D58" t="s">
        <v>6256</v>
      </c>
      <c r="E58" t="s">
        <v>6252</v>
      </c>
      <c r="F58" t="s">
        <v>6178</v>
      </c>
    </row>
    <row r="59" spans="1:6" ht="15" customHeight="1" x14ac:dyDescent="0.25">
      <c r="A59" t="s">
        <v>6257</v>
      </c>
      <c r="B59" t="s">
        <v>3892</v>
      </c>
      <c r="C59" t="s">
        <v>3893</v>
      </c>
      <c r="D59" t="s">
        <v>6157</v>
      </c>
      <c r="E59" t="s">
        <v>6258</v>
      </c>
      <c r="F59" t="s">
        <v>3107</v>
      </c>
    </row>
    <row r="60" spans="1:6" ht="15" customHeight="1" x14ac:dyDescent="0.25">
      <c r="A60" t="s">
        <v>6259</v>
      </c>
      <c r="B60" t="s">
        <v>3892</v>
      </c>
      <c r="C60" t="s">
        <v>3896</v>
      </c>
      <c r="D60" t="s">
        <v>6143</v>
      </c>
      <c r="E60" t="s">
        <v>6258</v>
      </c>
      <c r="F60" t="s">
        <v>3107</v>
      </c>
    </row>
    <row r="61" spans="1:6" ht="15" customHeight="1" x14ac:dyDescent="0.25">
      <c r="A61" t="s">
        <v>6260</v>
      </c>
      <c r="B61" t="s">
        <v>3892</v>
      </c>
      <c r="C61" t="s">
        <v>3898</v>
      </c>
      <c r="D61" t="s">
        <v>6161</v>
      </c>
      <c r="E61" t="s">
        <v>6258</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6261</v>
      </c>
      <c r="B2" t="s">
        <v>3813</v>
      </c>
    </row>
    <row r="3" spans="1:2" ht="15" customHeight="1" x14ac:dyDescent="0.25">
      <c r="A3" t="s">
        <v>6262</v>
      </c>
      <c r="B3" t="s">
        <v>3813</v>
      </c>
    </row>
    <row r="4" spans="1:2" ht="15" customHeight="1" x14ac:dyDescent="0.25">
      <c r="A4" t="s">
        <v>6263</v>
      </c>
      <c r="B4" t="s">
        <v>3813</v>
      </c>
    </row>
    <row r="5" spans="1:2" ht="15" customHeight="1" x14ac:dyDescent="0.25">
      <c r="A5" t="s">
        <v>6264</v>
      </c>
      <c r="B5" t="s">
        <v>3813</v>
      </c>
    </row>
    <row r="6" spans="1:2" ht="15" customHeight="1" x14ac:dyDescent="0.25">
      <c r="A6" t="s">
        <v>3222</v>
      </c>
      <c r="B6" t="s">
        <v>3813</v>
      </c>
    </row>
    <row r="7" spans="1:2" ht="15" customHeight="1" x14ac:dyDescent="0.25">
      <c r="A7" t="s">
        <v>6265</v>
      </c>
      <c r="B7" t="s">
        <v>3813</v>
      </c>
    </row>
    <row r="8" spans="1:2" ht="15" customHeight="1" x14ac:dyDescent="0.25">
      <c r="A8" t="s">
        <v>6266</v>
      </c>
      <c r="B8" t="s">
        <v>3813</v>
      </c>
    </row>
    <row r="9" spans="1:2" ht="15" customHeight="1" x14ac:dyDescent="0.25">
      <c r="A9" t="s">
        <v>6267</v>
      </c>
      <c r="B9" t="s">
        <v>3813</v>
      </c>
    </row>
    <row r="10" spans="1:2" ht="15" customHeight="1" x14ac:dyDescent="0.25">
      <c r="A10" t="s">
        <v>6268</v>
      </c>
      <c r="B10" t="s">
        <v>3813</v>
      </c>
    </row>
    <row r="11" spans="1:2" ht="15" customHeight="1" x14ac:dyDescent="0.25">
      <c r="A11" t="s">
        <v>6269</v>
      </c>
      <c r="B11" t="s">
        <v>3813</v>
      </c>
    </row>
    <row r="12" spans="1:2" ht="15" customHeight="1" x14ac:dyDescent="0.25">
      <c r="A12" t="s">
        <v>6270</v>
      </c>
      <c r="B12" t="s">
        <v>6095</v>
      </c>
    </row>
    <row r="13" spans="1:2" ht="15" customHeight="1" x14ac:dyDescent="0.25">
      <c r="A13" t="s">
        <v>6271</v>
      </c>
      <c r="B13" t="s">
        <v>6095</v>
      </c>
    </row>
    <row r="14" spans="1:2" ht="15" customHeight="1" x14ac:dyDescent="0.25">
      <c r="A14" t="s">
        <v>6272</v>
      </c>
      <c r="B14" t="s">
        <v>6095</v>
      </c>
    </row>
    <row r="15" spans="1:2" ht="15" customHeight="1" x14ac:dyDescent="0.25">
      <c r="A15" t="s">
        <v>6273</v>
      </c>
      <c r="B15" t="s">
        <v>6095</v>
      </c>
    </row>
    <row r="16" spans="1:2" ht="15" customHeight="1" x14ac:dyDescent="0.25">
      <c r="A16" t="s">
        <v>6274</v>
      </c>
      <c r="B16" t="s">
        <v>6095</v>
      </c>
    </row>
    <row r="17" spans="1:2" ht="15" customHeight="1" x14ac:dyDescent="0.25">
      <c r="A17" t="s">
        <v>6275</v>
      </c>
      <c r="B17" t="s">
        <v>6095</v>
      </c>
    </row>
    <row r="18" spans="1:2" ht="15" customHeight="1" x14ac:dyDescent="0.25">
      <c r="A18" t="s">
        <v>6276</v>
      </c>
      <c r="B18" t="s">
        <v>6277</v>
      </c>
    </row>
    <row r="19" spans="1:2" ht="15" customHeight="1" x14ac:dyDescent="0.25">
      <c r="A19" t="s">
        <v>6278</v>
      </c>
      <c r="B19" t="s">
        <v>6277</v>
      </c>
    </row>
    <row r="20" spans="1:2" ht="15" customHeight="1" x14ac:dyDescent="0.25">
      <c r="A20" t="s">
        <v>6279</v>
      </c>
      <c r="B20" t="s">
        <v>6277</v>
      </c>
    </row>
    <row r="21" spans="1:2" ht="15" customHeight="1" x14ac:dyDescent="0.25">
      <c r="A21" t="s">
        <v>6280</v>
      </c>
      <c r="B21" t="s">
        <v>6277</v>
      </c>
    </row>
    <row r="22" spans="1:2" ht="15" customHeight="1" x14ac:dyDescent="0.25">
      <c r="A22" t="s">
        <v>6281</v>
      </c>
      <c r="B22" t="s">
        <v>6277</v>
      </c>
    </row>
    <row r="23" spans="1:2" ht="15" customHeight="1" x14ac:dyDescent="0.25">
      <c r="A23" t="s">
        <v>3219</v>
      </c>
      <c r="B23" t="s">
        <v>6277</v>
      </c>
    </row>
    <row r="24" spans="1:2" ht="15" customHeight="1" x14ac:dyDescent="0.25">
      <c r="A24" t="s">
        <v>6282</v>
      </c>
      <c r="B24" t="s">
        <v>6277</v>
      </c>
    </row>
    <row r="25" spans="1:2" ht="15" customHeight="1" x14ac:dyDescent="0.25">
      <c r="A25" t="s">
        <v>6283</v>
      </c>
      <c r="B25" t="s">
        <v>6277</v>
      </c>
    </row>
    <row r="26" spans="1:2" ht="15" customHeight="1" x14ac:dyDescent="0.25">
      <c r="A26" t="s">
        <v>6284</v>
      </c>
      <c r="B26" t="s">
        <v>6277</v>
      </c>
    </row>
    <row r="27" spans="1:2" ht="15" customHeight="1" x14ac:dyDescent="0.25">
      <c r="A27" t="s">
        <v>6285</v>
      </c>
      <c r="B27" t="s">
        <v>6277</v>
      </c>
    </row>
    <row r="28" spans="1:2" ht="15" customHeight="1" x14ac:dyDescent="0.25">
      <c r="A28" t="s">
        <v>6286</v>
      </c>
      <c r="B28" t="s">
        <v>6277</v>
      </c>
    </row>
    <row r="29" spans="1:2" ht="15" customHeight="1" x14ac:dyDescent="0.25">
      <c r="A29" t="s">
        <v>6287</v>
      </c>
      <c r="B29" t="s">
        <v>6277</v>
      </c>
    </row>
    <row r="30" spans="1:2" ht="15" customHeight="1" x14ac:dyDescent="0.25">
      <c r="A30" t="s">
        <v>6288</v>
      </c>
      <c r="B30" t="s">
        <v>6277</v>
      </c>
    </row>
    <row r="31" spans="1:2" ht="15" customHeight="1" x14ac:dyDescent="0.25">
      <c r="A31" t="s">
        <v>6289</v>
      </c>
      <c r="B31" t="s">
        <v>6277</v>
      </c>
    </row>
    <row r="32" spans="1:2" ht="15" customHeight="1" x14ac:dyDescent="0.25">
      <c r="A32" t="s">
        <v>6290</v>
      </c>
      <c r="B32" t="s">
        <v>6277</v>
      </c>
    </row>
    <row r="33" spans="1:2" ht="15" customHeight="1" x14ac:dyDescent="0.25">
      <c r="A33" t="s">
        <v>6291</v>
      </c>
      <c r="B33" t="s">
        <v>6277</v>
      </c>
    </row>
    <row r="34" spans="1:2" ht="15" customHeight="1" x14ac:dyDescent="0.25">
      <c r="A34" t="s">
        <v>6292</v>
      </c>
      <c r="B34" t="s">
        <v>6277</v>
      </c>
    </row>
    <row r="35" spans="1:2" ht="15" customHeight="1" x14ac:dyDescent="0.25">
      <c r="A35" t="s">
        <v>6293</v>
      </c>
      <c r="B35" t="s">
        <v>6277</v>
      </c>
    </row>
    <row r="36" spans="1:2" ht="15" customHeight="1" x14ac:dyDescent="0.25">
      <c r="A36" t="s">
        <v>6294</v>
      </c>
      <c r="B36" t="s">
        <v>6277</v>
      </c>
    </row>
    <row r="37" spans="1:2" ht="15" customHeight="1" x14ac:dyDescent="0.25">
      <c r="A37" t="s">
        <v>6295</v>
      </c>
      <c r="B37" t="s">
        <v>6277</v>
      </c>
    </row>
    <row r="38" spans="1:2" ht="15" customHeight="1" x14ac:dyDescent="0.25">
      <c r="A38" t="s">
        <v>6296</v>
      </c>
      <c r="B38" t="s">
        <v>6277</v>
      </c>
    </row>
    <row r="39" spans="1:2" ht="15" customHeight="1" x14ac:dyDescent="0.25">
      <c r="A39" t="s">
        <v>6297</v>
      </c>
      <c r="B39" t="s">
        <v>6095</v>
      </c>
    </row>
    <row r="40" spans="1:2" ht="15" customHeight="1" x14ac:dyDescent="0.25">
      <c r="A40" t="s">
        <v>6298</v>
      </c>
      <c r="B40" t="s">
        <v>6277</v>
      </c>
    </row>
    <row r="41" spans="1:2" ht="15" customHeight="1" x14ac:dyDescent="0.25">
      <c r="A41" t="s">
        <v>6299</v>
      </c>
      <c r="B41" t="s">
        <v>6277</v>
      </c>
    </row>
    <row r="42" spans="1:2" ht="15" customHeight="1" x14ac:dyDescent="0.25">
      <c r="A42" t="s">
        <v>6300</v>
      </c>
      <c r="B42" t="s">
        <v>6277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6301</v>
      </c>
      <c r="F1" s="14" t="s">
        <v>6302</v>
      </c>
      <c r="G1" s="14" t="s">
        <v>6303</v>
      </c>
      <c r="H1" s="14" t="s">
        <v>6304</v>
      </c>
      <c r="I1" s="14" t="s">
        <v>6305</v>
      </c>
      <c r="J1" s="14" t="s">
        <v>6306</v>
      </c>
      <c r="K1" s="14" t="s">
        <v>6307</v>
      </c>
      <c r="L1" s="14" t="s">
        <v>6308</v>
      </c>
      <c r="M1" s="14" t="s">
        <v>6309</v>
      </c>
      <c r="N1" s="14" t="s">
        <v>6310</v>
      </c>
      <c r="O1" s="14" t="s">
        <v>6311</v>
      </c>
      <c r="R1" s="14" t="s">
        <v>7</v>
      </c>
      <c r="T1" s="14" t="s">
        <v>6312</v>
      </c>
      <c r="U1" s="14" t="s">
        <v>6313</v>
      </c>
      <c r="V1" s="14" t="s">
        <v>6314</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2021</v>
      </c>
      <c r="U8">
        <f>IF(connections!$A8="","",IFERROR(INDEX(games!$B$2:$B$847,MATCH(connections!$B8,games!$A$2:$A$847,0)),""))</f>
        <v>2025</v>
      </c>
      <c r="V8">
        <f t="shared" si="11"/>
        <v>4</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1994</v>
      </c>
      <c r="U9">
        <f>IF(connections!$A9="","",IFERROR(INDEX(games!$B$2:$B$847,MATCH(connections!$B9,games!$A$2:$A$847,0)),""))</f>
        <v>2010</v>
      </c>
      <c r="V9">
        <f t="shared" si="11"/>
        <v>16</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1994</v>
      </c>
      <c r="U10">
        <f>IF(connections!$A10="","",IFERROR(INDEX(games!$B$2:$B$847,MATCH(connections!$B10,games!$A$2:$A$847,0)),""))</f>
        <v>2025</v>
      </c>
      <c r="V10">
        <f t="shared" si="11"/>
        <v>31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2008</v>
      </c>
      <c r="V12">
        <f t="shared" si="11"/>
        <v>14</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2006</v>
      </c>
      <c r="V13">
        <f t="shared" si="11"/>
        <v>12</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2022</v>
      </c>
      <c r="V14">
        <f t="shared" si="11"/>
        <v>28</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2012</v>
      </c>
      <c r="V15">
        <f t="shared" si="11"/>
        <v>18</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2007</v>
      </c>
      <c r="V16">
        <f t="shared" si="11"/>
        <v>13</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2015</v>
      </c>
      <c r="V17">
        <f t="shared" si="11"/>
        <v>21</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2006</v>
      </c>
      <c r="V18">
        <f t="shared" si="11"/>
        <v>12</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2023</v>
      </c>
      <c r="V19">
        <f t="shared" si="11"/>
        <v>29</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2003</v>
      </c>
      <c r="V20">
        <f t="shared" si="11"/>
        <v>9</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2019</v>
      </c>
      <c r="V21">
        <f t="shared" si="11"/>
        <v>25</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2015</v>
      </c>
      <c r="V22">
        <f t="shared" si="11"/>
        <v>21</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2022</v>
      </c>
      <c r="V23">
        <f t="shared" si="11"/>
        <v>28</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2014</v>
      </c>
      <c r="V24">
        <f t="shared" si="11"/>
        <v>20</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2020</v>
      </c>
      <c r="V25">
        <f t="shared" si="11"/>
        <v>26</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2021</v>
      </c>
      <c r="V26">
        <f t="shared" si="11"/>
        <v>27</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1990</v>
      </c>
      <c r="U27">
        <f>IF(connections!$A27="","",IFERROR(INDEX(games!$B$2:$B$847,MATCH(connections!$B27,games!$A$2:$A$847,0)),""))</f>
        <v>2010</v>
      </c>
      <c r="V27">
        <f t="shared" si="11"/>
        <v>20</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1990</v>
      </c>
      <c r="U28">
        <f>IF(connections!$A28="","",IFERROR(INDEX(games!$B$2:$B$847,MATCH(connections!$B28,games!$A$2:$A$847,0)),""))</f>
        <v>2025</v>
      </c>
      <c r="V28">
        <f t="shared" si="11"/>
        <v>35</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1996</v>
      </c>
      <c r="V29">
        <f t="shared" si="11"/>
        <v>6</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2010</v>
      </c>
      <c r="V30">
        <f t="shared" si="11"/>
        <v>20</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2008</v>
      </c>
      <c r="V31">
        <f t="shared" si="11"/>
        <v>18</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2007</v>
      </c>
      <c r="V32">
        <f t="shared" si="11"/>
        <v>17</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2011</v>
      </c>
      <c r="V33">
        <f t="shared" si="11"/>
        <v>21</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2006</v>
      </c>
      <c r="V34">
        <f t="shared" si="11"/>
        <v>16</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2003</v>
      </c>
      <c r="V35">
        <f t="shared" si="11"/>
        <v>13</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2012</v>
      </c>
      <c r="V36">
        <f t="shared" si="11"/>
        <v>22</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2014</v>
      </c>
      <c r="V37">
        <f t="shared" si="11"/>
        <v>24</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1994</v>
      </c>
      <c r="V38">
        <f t="shared" si="11"/>
        <v>4</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2025</v>
      </c>
      <c r="V39">
        <f t="shared" si="11"/>
        <v>35</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2022</v>
      </c>
      <c r="V40">
        <f t="shared" si="11"/>
        <v>32</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2022</v>
      </c>
      <c r="U41">
        <f>IF(connections!$A41="","",IFERROR(INDEX(games!$B$2:$B$847,MATCH(connections!$B41,games!$A$2:$A$847,0)),""))</f>
        <v>2025</v>
      </c>
      <c r="V41">
        <f t="shared" si="11"/>
        <v>3</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2020</v>
      </c>
      <c r="U42">
        <f>IF(connections!$A42="","",IFERROR(INDEX(games!$B$2:$B$847,MATCH(connections!$B42,games!$A$2:$A$847,0)),""))</f>
        <v>2024</v>
      </c>
      <c r="V42">
        <f t="shared" si="11"/>
        <v>4</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2020</v>
      </c>
      <c r="U43">
        <f>IF(connections!$A43="","",IFERROR(INDEX(games!$B$2:$B$847,MATCH(connections!$B43,games!$A$2:$A$847,0)),""))</f>
        <v>2024</v>
      </c>
      <c r="V43">
        <f t="shared" si="11"/>
        <v>4</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2014</v>
      </c>
      <c r="U44">
        <f>IF(connections!$A44="","",IFERROR(INDEX(games!$B$2:$B$847,MATCH(connections!$B44,games!$A$2:$A$847,0)),""))</f>
        <v>2024</v>
      </c>
      <c r="V44">
        <f t="shared" si="11"/>
        <v>10</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1997</v>
      </c>
      <c r="U45">
        <f>IF(connections!$A45="","",IFERROR(INDEX(games!$B$2:$B$847,MATCH(connections!$B45,games!$A$2:$A$847,0)),""))</f>
        <v>2017</v>
      </c>
      <c r="V45">
        <f t="shared" si="11"/>
        <v>20</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1997</v>
      </c>
      <c r="U46">
        <f>IF(connections!$A46="","",IFERROR(INDEX(games!$B$2:$B$847,MATCH(connections!$B46,games!$A$2:$A$847,0)),""))</f>
        <v>2006</v>
      </c>
      <c r="V46">
        <f t="shared" si="11"/>
        <v>9</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2023</v>
      </c>
      <c r="U47">
        <f>IF(connections!$A47="","",IFERROR(INDEX(games!$B$2:$B$847,MATCH(connections!$B47,games!$A$2:$A$847,0)),""))</f>
        <v>2025</v>
      </c>
      <c r="V47">
        <f t="shared" si="11"/>
        <v>2</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2023</v>
      </c>
      <c r="U48">
        <f>IF(connections!$A48="","",IFERROR(INDEX(games!$B$2:$B$847,MATCH(connections!$B48,games!$A$2:$A$847,0)),""))</f>
        <v>2025</v>
      </c>
      <c r="V48">
        <f t="shared" si="11"/>
        <v>2</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2023</v>
      </c>
      <c r="U49">
        <f>IF(connections!$A49="","",IFERROR(INDEX(games!$B$2:$B$847,MATCH(connections!$B49,games!$A$2:$A$847,0)),""))</f>
        <v>2025</v>
      </c>
      <c r="V49">
        <f t="shared" si="11"/>
        <v>2</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2026</v>
      </c>
      <c r="V50">
        <f t="shared" si="11"/>
        <v>3</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2026</v>
      </c>
      <c r="V52">
        <f t="shared" si="11"/>
        <v>3</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2022</v>
      </c>
      <c r="U53">
        <f>IF(connections!$A53="","",IFERROR(INDEX(games!$B$2:$B$847,MATCH(connections!$B53,games!$A$2:$A$847,0)),""))</f>
        <v>2023</v>
      </c>
      <c r="V53">
        <f t="shared" si="11"/>
        <v>1</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2022</v>
      </c>
      <c r="U54">
        <f>IF(connections!$A54="","",IFERROR(INDEX(games!$B$2:$B$847,MATCH(connections!$B54,games!$A$2:$A$847,0)),""))</f>
        <v>2024</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2022</v>
      </c>
      <c r="U55">
        <f>IF(connections!$A55="","",IFERROR(INDEX(games!$B$2:$B$847,MATCH(connections!$B55,games!$A$2:$A$847,0)),""))</f>
        <v>2024</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2022</v>
      </c>
      <c r="U56">
        <f>IF(connections!$A56="","",IFERROR(INDEX(games!$B$2:$B$847,MATCH(connections!$B56,games!$A$2:$A$847,0)),""))</f>
        <v>2024</v>
      </c>
      <c r="V56">
        <f t="shared" si="11"/>
        <v>2</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2018</v>
      </c>
      <c r="U57">
        <f>IF(connections!$A57="","",IFERROR(INDEX(games!$B$2:$B$847,MATCH(connections!$B57,games!$A$2:$A$847,0)),""))</f>
        <v>2026</v>
      </c>
      <c r="V57">
        <f t="shared" si="11"/>
        <v>8</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2023</v>
      </c>
      <c r="U58">
        <f>IF(connections!$A58="","",IFERROR(INDEX(games!$B$2:$B$847,MATCH(connections!$B58,games!$A$2:$A$847,0)),""))</f>
        <v>2024</v>
      </c>
      <c r="V58">
        <f t="shared" si="11"/>
        <v>1</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2023</v>
      </c>
      <c r="U59">
        <f>IF(connections!$A59="","",IFERROR(INDEX(games!$B$2:$B$847,MATCH(connections!$B59,games!$A$2:$A$847,0)),""))</f>
        <v>2025</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2023</v>
      </c>
      <c r="U60">
        <f>IF(connections!$A60="","",IFERROR(INDEX(games!$B$2:$B$847,MATCH(connections!$B60,games!$A$2:$A$847,0)),""))</f>
        <v>2026</v>
      </c>
      <c r="V60">
        <f t="shared" si="11"/>
        <v>3</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2023</v>
      </c>
      <c r="U61">
        <f>IF(connections!$A61="","",IFERROR(INDEX(games!$B$2:$B$847,MATCH(connections!$B61,games!$A$2:$A$847,0)),""))</f>
        <v>2024</v>
      </c>
      <c r="V61">
        <f t="shared" si="11"/>
        <v>1</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2023</v>
      </c>
      <c r="U62">
        <f>IF(connections!$A62="","",IFERROR(INDEX(games!$B$2:$B$847,MATCH(connections!$B62,games!$A$2:$A$847,0)),""))</f>
        <v>2026</v>
      </c>
      <c r="V62">
        <f t="shared" si="11"/>
        <v>3</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2025</v>
      </c>
      <c r="V63">
        <f t="shared" si="11"/>
        <v>2</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2025</v>
      </c>
      <c r="V65">
        <f t="shared" si="11"/>
        <v>2</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2026</v>
      </c>
      <c r="V66">
        <f t="shared" ref="V66:V129" si="23">IF(OR($T66="",$U66=""),"",$U66-$T66)</f>
        <v>3</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2026</v>
      </c>
      <c r="V69">
        <f t="shared" si="23"/>
        <v>3</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2025</v>
      </c>
      <c r="V71">
        <f t="shared" si="23"/>
        <v>2</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2025</v>
      </c>
      <c r="V72">
        <f t="shared" si="23"/>
        <v>2</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2025</v>
      </c>
      <c r="V73">
        <f t="shared" si="23"/>
        <v>2</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2026</v>
      </c>
      <c r="V74">
        <f t="shared" si="23"/>
        <v>3</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2026</v>
      </c>
      <c r="V76">
        <f t="shared" si="23"/>
        <v>3</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2026</v>
      </c>
      <c r="V78">
        <f t="shared" si="23"/>
        <v>3</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2025</v>
      </c>
      <c r="V80">
        <f t="shared" si="23"/>
        <v>2</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2025</v>
      </c>
      <c r="V81">
        <f t="shared" si="23"/>
        <v>2</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2026</v>
      </c>
      <c r="V83">
        <f t="shared" si="23"/>
        <v>3</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2026</v>
      </c>
      <c r="V85">
        <f t="shared" si="23"/>
        <v>3</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2024</v>
      </c>
      <c r="V86">
        <f t="shared" si="23"/>
        <v>1</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2023</v>
      </c>
      <c r="V89">
        <f t="shared" si="23"/>
        <v>0</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2024</v>
      </c>
      <c r="V90">
        <f t="shared" si="23"/>
        <v>1</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2025</v>
      </c>
      <c r="V92">
        <f t="shared" si="23"/>
        <v>2</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2025</v>
      </c>
      <c r="V93">
        <f t="shared" si="23"/>
        <v>2</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2025</v>
      </c>
      <c r="V96">
        <f t="shared" si="23"/>
        <v>2</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2025</v>
      </c>
      <c r="V97">
        <f t="shared" si="23"/>
        <v>2</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2025</v>
      </c>
      <c r="V98">
        <f t="shared" si="23"/>
        <v>2</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2025</v>
      </c>
      <c r="V99">
        <f t="shared" si="23"/>
        <v>2</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2026</v>
      </c>
      <c r="V100">
        <f t="shared" si="23"/>
        <v>3</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2024</v>
      </c>
      <c r="U101">
        <f>IF(connections!$A101="","",IFERROR(INDEX(games!$B$2:$B$847,MATCH(connections!$B101,games!$A$2:$A$847,0)),""))</f>
        <v>2026</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2024</v>
      </c>
      <c r="U102">
        <f>IF(connections!$A102="","",IFERROR(INDEX(games!$B$2:$B$847,MATCH(connections!$B102,games!$A$2:$A$847,0)),""))</f>
        <v>2025</v>
      </c>
      <c r="V102">
        <f t="shared" si="23"/>
        <v>1</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1998</v>
      </c>
      <c r="U103">
        <f>IF(connections!$A103="","",IFERROR(INDEX(games!$B$2:$B$847,MATCH(connections!$B103,games!$A$2:$A$847,0)),""))</f>
        <v>2007</v>
      </c>
      <c r="V103">
        <f t="shared" si="23"/>
        <v>9</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2017</v>
      </c>
      <c r="U104">
        <f>IF(connections!$A104="","",IFERROR(INDEX(games!$B$2:$B$847,MATCH(connections!$B104,games!$A$2:$A$847,0)),""))</f>
        <v>2019</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2017</v>
      </c>
      <c r="U105">
        <f>IF(connections!$A105="","",IFERROR(INDEX(games!$B$2:$B$847,MATCH(connections!$B105,games!$A$2:$A$847,0)),""))</f>
        <v>2021</v>
      </c>
      <c r="V105">
        <f t="shared" si="23"/>
        <v>4</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2019</v>
      </c>
      <c r="U106">
        <f>IF(connections!$A106="","",IFERROR(INDEX(games!$B$2:$B$847,MATCH(connections!$B106,games!$A$2:$A$847,0)),""))</f>
        <v>2020</v>
      </c>
      <c r="V106">
        <f t="shared" si="23"/>
        <v>1</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2024</v>
      </c>
      <c r="V107">
        <f t="shared" si="23"/>
        <v>1</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2022</v>
      </c>
      <c r="U108">
        <f>IF(connections!$A108="","",IFERROR(INDEX(games!$B$2:$B$847,MATCH(connections!$B108,games!$A$2:$A$847,0)),""))</f>
        <v>2024</v>
      </c>
      <c r="V108">
        <f t="shared" si="23"/>
        <v>2</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2022</v>
      </c>
      <c r="U109">
        <f>IF(connections!$A109="","",IFERROR(INDEX(games!$B$2:$B$847,MATCH(connections!$B109,games!$A$2:$A$847,0)),""))</f>
        <v>2024</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2018</v>
      </c>
      <c r="U110">
        <f>IF(connections!$A110="","",IFERROR(INDEX(games!$B$2:$B$847,MATCH(connections!$B110,games!$A$2:$A$847,0)),""))</f>
        <v>2023</v>
      </c>
      <c r="V110">
        <f t="shared" si="23"/>
        <v>5</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2022</v>
      </c>
      <c r="U111">
        <f>IF(connections!$A111="","",IFERROR(INDEX(games!$B$2:$B$847,MATCH(connections!$B111,games!$A$2:$A$847,0)),""))</f>
        <v>2026</v>
      </c>
      <c r="V111">
        <f t="shared" si="23"/>
        <v>4</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2009</v>
      </c>
      <c r="U112">
        <f>IF(connections!$A112="","",IFERROR(INDEX(games!$B$2:$B$847,MATCH(connections!$B112,games!$A$2:$A$847,0)),""))</f>
        <v>2025</v>
      </c>
      <c r="V112">
        <f t="shared" si="23"/>
        <v>16</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2009</v>
      </c>
      <c r="U113">
        <f>IF(connections!$A113="","",IFERROR(INDEX(games!$B$2:$B$847,MATCH(connections!$B113,games!$A$2:$A$847,0)),""))</f>
        <v>2020</v>
      </c>
      <c r="V113">
        <f t="shared" si="23"/>
        <v>11</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2009</v>
      </c>
      <c r="U114">
        <f>IF(connections!$A114="","",IFERROR(INDEX(games!$B$2:$B$847,MATCH(connections!$B114,games!$A$2:$A$847,0)),""))</f>
        <v>2023</v>
      </c>
      <c r="V114">
        <f t="shared" si="23"/>
        <v>14</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2009</v>
      </c>
      <c r="U115">
        <f>IF(connections!$A115="","",IFERROR(INDEX(games!$B$2:$B$847,MATCH(connections!$B115,games!$A$2:$A$847,0)),""))</f>
        <v>2012</v>
      </c>
      <c r="V115">
        <f t="shared" si="23"/>
        <v>3</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2009</v>
      </c>
      <c r="U116">
        <f>IF(connections!$A116="","",IFERROR(INDEX(games!$B$2:$B$847,MATCH(connections!$B116,games!$A$2:$A$847,0)),""))</f>
        <v>2023</v>
      </c>
      <c r="V116">
        <f t="shared" si="23"/>
        <v>14</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2009</v>
      </c>
      <c r="U117">
        <f>IF(connections!$A117="","",IFERROR(INDEX(games!$B$2:$B$847,MATCH(connections!$B117,games!$A$2:$A$847,0)),""))</f>
        <v>2016</v>
      </c>
      <c r="V117">
        <f t="shared" si="23"/>
        <v>7</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2009</v>
      </c>
      <c r="U118">
        <f>IF(connections!$A118="","",IFERROR(INDEX(games!$B$2:$B$847,MATCH(connections!$B118,games!$A$2:$A$847,0)),""))</f>
        <v>2017</v>
      </c>
      <c r="V118">
        <f t="shared" si="23"/>
        <v>8</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2009</v>
      </c>
      <c r="U119">
        <f>IF(connections!$A119="","",IFERROR(INDEX(games!$B$2:$B$847,MATCH(connections!$B119,games!$A$2:$A$847,0)),""))</f>
        <v>2023</v>
      </c>
      <c r="V119">
        <f t="shared" si="23"/>
        <v>14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2022</v>
      </c>
      <c r="U120">
        <f>IF(connections!$A120="","",IFERROR(INDEX(games!$B$2:$B$847,MATCH(connections!$B120,games!$A$2:$A$847,0)),""))</f>
        <v>2025</v>
      </c>
      <c r="V120">
        <f t="shared" si="23"/>
        <v>3</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2022</v>
      </c>
      <c r="U121">
        <f>IF(connections!$A121="","",IFERROR(INDEX(games!$B$2:$B$847,MATCH(connections!$B121,games!$A$2:$A$847,0)),""))</f>
        <v>2024</v>
      </c>
      <c r="V121">
        <f t="shared" si="23"/>
        <v>2</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2022</v>
      </c>
      <c r="U122">
        <f>IF(connections!$A122="","",IFERROR(INDEX(games!$B$2:$B$847,MATCH(connections!$B122,games!$A$2:$A$847,0)),""))</f>
        <v>2026</v>
      </c>
      <c r="V122">
        <f t="shared" si="23"/>
        <v>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2022</v>
      </c>
      <c r="U123">
        <f>IF(connections!$A123="","",IFERROR(INDEX(games!$B$2:$B$847,MATCH(connections!$B123,games!$A$2:$A$847,0)),""))</f>
        <v>2025</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2022</v>
      </c>
      <c r="U124">
        <f>IF(connections!$A124="","",IFERROR(INDEX(games!$B$2:$B$847,MATCH(connections!$B124,games!$A$2:$A$847,0)),""))</f>
        <v>2025</v>
      </c>
      <c r="V124">
        <f t="shared" si="23"/>
        <v>3</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2022</v>
      </c>
      <c r="U125">
        <f>IF(connections!$A125="","",IFERROR(INDEX(games!$B$2:$B$847,MATCH(connections!$B125,games!$A$2:$A$847,0)),""))</f>
        <v>2025</v>
      </c>
      <c r="V125">
        <f t="shared" si="23"/>
        <v>3</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2022</v>
      </c>
      <c r="U126">
        <f>IF(connections!$A126="","",IFERROR(INDEX(games!$B$2:$B$847,MATCH(connections!$B126,games!$A$2:$A$847,0)),""))</f>
        <v>2024</v>
      </c>
      <c r="V126">
        <f t="shared" si="23"/>
        <v>2</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2022</v>
      </c>
      <c r="U127">
        <f>IF(connections!$A127="","",IFERROR(INDEX(games!$B$2:$B$847,MATCH(connections!$B127,games!$A$2:$A$847,0)),""))</f>
        <v>2024</v>
      </c>
      <c r="V127">
        <f t="shared" si="23"/>
        <v>2</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2023</v>
      </c>
      <c r="V128">
        <f t="shared" si="23"/>
        <v>1</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2023</v>
      </c>
      <c r="U130">
        <f>IF(connections!$A130="","",IFERROR(INDEX(games!$B$2:$B$847,MATCH(connections!$B130,games!$A$2:$A$847,0)),""))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2018</v>
      </c>
      <c r="U131">
        <f>IF(connections!$A131="","",IFERROR(INDEX(games!$B$2:$B$847,MATCH(connections!$B131,games!$A$2:$A$847,0)),""))</f>
        <v>2023</v>
      </c>
      <c r="V131">
        <f t="shared" si="35"/>
        <v>5</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2010</v>
      </c>
      <c r="U132">
        <f>IF(connections!$A132="","",IFERROR(INDEX(games!$B$2:$B$847,MATCH(connections!$B132,games!$A$2:$A$847,0)),""))</f>
        <v>2014</v>
      </c>
      <c r="V132">
        <f t="shared" si="35"/>
        <v>4</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1994</v>
      </c>
      <c r="U133">
        <f>IF(connections!$A133="","",IFERROR(INDEX(games!$B$2:$B$847,MATCH(connections!$B133,games!$A$2:$A$847,0)),""))</f>
        <v>2010</v>
      </c>
      <c r="V133">
        <f t="shared" si="35"/>
        <v>16</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2005</v>
      </c>
      <c r="U134">
        <f>IF(connections!$A134="","",IFERROR(INDEX(games!$B$2:$B$847,MATCH(connections!$B134,games!$A$2:$A$847,0)),""))</f>
        <v>2025</v>
      </c>
      <c r="V134">
        <f t="shared" si="35"/>
        <v>20</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2010</v>
      </c>
      <c r="U135">
        <f>IF(connections!$A135="","",IFERROR(INDEX(games!$B$2:$B$847,MATCH(connections!$B135,games!$A$2:$A$847,0)),""))</f>
        <v>2020</v>
      </c>
      <c r="V135">
        <f t="shared" si="35"/>
        <v>10</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2010</v>
      </c>
      <c r="U136">
        <f>IF(connections!$A136="","",IFERROR(INDEX(games!$B$2:$B$847,MATCH(connections!$B136,games!$A$2:$A$847,0)),""))</f>
        <v>2013</v>
      </c>
      <c r="V136">
        <f t="shared" si="35"/>
        <v>3</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2013</v>
      </c>
      <c r="U137">
        <f>IF(connections!$A137="","",IFERROR(INDEX(games!$B$2:$B$847,MATCH(connections!$B137,games!$A$2:$A$847,0)),""))</f>
        <v>2025</v>
      </c>
      <c r="V137">
        <f t="shared" si="35"/>
        <v>12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2015</v>
      </c>
      <c r="U138">
        <f>IF(connections!$A138="","",IFERROR(INDEX(games!$B$2:$B$847,MATCH(connections!$B138,games!$A$2:$A$847,0)),""))</f>
        <v>2012</v>
      </c>
      <c r="V138">
        <f t="shared" si="35"/>
        <v>-3</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2017</v>
      </c>
      <c r="U139">
        <f>IF(connections!$A139="","",IFERROR(INDEX(games!$B$2:$B$847,MATCH(connections!$B139,games!$A$2:$A$847,0)),""))</f>
        <v>2023</v>
      </c>
      <c r="V139">
        <f t="shared" si="35"/>
        <v>6</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2020</v>
      </c>
      <c r="V140">
        <f t="shared" si="35"/>
        <v>10</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2010</v>
      </c>
      <c r="U141">
        <f>IF(connections!$A141="","",IFERROR(INDEX(games!$B$2:$B$847,MATCH(connections!$B141,games!$A$2:$A$847,0)),""))</f>
        <v>2014</v>
      </c>
      <c r="V141">
        <f t="shared" si="35"/>
        <v>4</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2022</v>
      </c>
      <c r="U142">
        <f>IF(connections!$A142="","",IFERROR(INDEX(games!$B$2:$B$847,MATCH(connections!$B142,games!$A$2:$A$847,0)),""))</f>
        <v>2025</v>
      </c>
      <c r="V142">
        <f t="shared" si="35"/>
        <v>3</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2019</v>
      </c>
      <c r="U143">
        <f>IF(connections!$A143="","",IFERROR(INDEX(games!$B$2:$B$847,MATCH(connections!$B143,games!$A$2:$A$847,0)),""))</f>
        <v>2022</v>
      </c>
      <c r="V143">
        <f t="shared" si="35"/>
        <v>3</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1998</v>
      </c>
      <c r="U144">
        <f>IF(connections!$A144="","",IFERROR(INDEX(games!$B$2:$B$847,MATCH(connections!$B144,games!$A$2:$A$847,0)),""))</f>
        <v>2007</v>
      </c>
      <c r="V144">
        <f t="shared" si="35"/>
        <v>9</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1997</v>
      </c>
      <c r="U145">
        <f>IF(connections!$A145="","",IFERROR(INDEX(games!$B$2:$B$847,MATCH(connections!$B145,games!$A$2:$A$847,0)),""))</f>
        <v>1998</v>
      </c>
      <c r="V145">
        <f t="shared" si="35"/>
        <v>1</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2023</v>
      </c>
      <c r="U146">
        <f>IF(connections!$A146="","",IFERROR(INDEX(games!$B$2:$B$847,MATCH(connections!$B146,games!$A$2:$A$847,0)),""))</f>
        <v>2025</v>
      </c>
      <c r="V146">
        <f t="shared" si="35"/>
        <v>2</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2020</v>
      </c>
      <c r="V147">
        <f t="shared" si="35"/>
        <v>3</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2017</v>
      </c>
      <c r="U148">
        <f>IF(connections!$A148="","",IFERROR(INDEX(games!$B$2:$B$847,MATCH(connections!$B148,games!$A$2:$A$847,0)),""))</f>
        <v>2021</v>
      </c>
      <c r="V148">
        <f t="shared" si="35"/>
        <v>4</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2020</v>
      </c>
      <c r="U149">
        <f>IF(connections!$A149="","",IFERROR(INDEX(games!$B$2:$B$847,MATCH(connections!$B149,games!$A$2:$A$847,0)),""))</f>
        <v>2024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2023</v>
      </c>
      <c r="U150">
        <f>IF(connections!$A150="","",IFERROR(INDEX(games!$B$2:$B$847,MATCH(connections!$B150,games!$A$2:$A$847,0)),""))</f>
        <v>2026</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2023</v>
      </c>
      <c r="U151">
        <f>IF(connections!$A151="","",IFERROR(INDEX(games!$B$2:$B$847,MATCH(connections!$B151,games!$A$2:$A$847,0)),""))</f>
        <v>2024</v>
      </c>
      <c r="V151">
        <f t="shared" si="35"/>
        <v>1</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2015</v>
      </c>
      <c r="U152">
        <f>IF(connections!$A152="","",IFERROR(INDEX(games!$B$2:$B$847,MATCH(connections!$B152,games!$A$2:$A$847,0)),""))</f>
        <v>2017</v>
      </c>
      <c r="V152">
        <f t="shared" si="35"/>
        <v>2</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2015</v>
      </c>
      <c r="U153">
        <f>IF(connections!$A153="","",IFERROR(INDEX(games!$B$2:$B$847,MATCH(connections!$B153,games!$A$2:$A$847,0)),""))</f>
        <v>2020</v>
      </c>
      <c r="V153">
        <f t="shared" si="35"/>
        <v>5</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2015</v>
      </c>
      <c r="U154">
        <f>IF(connections!$A154="","",IFERROR(INDEX(games!$B$2:$B$847,MATCH(connections!$B154,games!$A$2:$A$847,0)),""))</f>
        <v>2022</v>
      </c>
      <c r="V154">
        <f t="shared" si="35"/>
        <v>7</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2015</v>
      </c>
      <c r="U155">
        <f>IF(connections!$A155="","",IFERROR(INDEX(games!$B$2:$B$847,MATCH(connections!$B155,games!$A$2:$A$847,0)),""))</f>
        <v>2026</v>
      </c>
      <c r="V155">
        <f t="shared" si="35"/>
        <v>11</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2015</v>
      </c>
      <c r="U156">
        <f>IF(connections!$A156="","",IFERROR(INDEX(games!$B$2:$B$847,MATCH(connections!$B156,games!$A$2:$A$847,0)),""))</f>
        <v>2021</v>
      </c>
      <c r="V156">
        <f t="shared" si="35"/>
        <v>6</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2015</v>
      </c>
      <c r="U157">
        <f>IF(connections!$A157="","",IFERROR(INDEX(games!$B$2:$B$847,MATCH(connections!$B157,games!$A$2:$A$847,0)),""))</f>
        <v>2012</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2015</v>
      </c>
      <c r="U158">
        <f>IF(connections!$A158="","",IFERROR(INDEX(games!$B$2:$B$847,MATCH(connections!$B158,games!$A$2:$A$847,0)),""))</f>
        <v>2025</v>
      </c>
      <c r="V158">
        <f t="shared" si="35"/>
        <v>10</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2015</v>
      </c>
      <c r="U159">
        <f>IF(connections!$A159="","",IFERROR(INDEX(games!$B$2:$B$847,MATCH(connections!$B159,games!$A$2:$A$847,0)),""))</f>
        <v>2023</v>
      </c>
      <c r="V159">
        <f t="shared" si="35"/>
        <v>8</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2022</v>
      </c>
      <c r="U160">
        <f>IF(connections!$A160="","",IFERROR(INDEX(games!$B$2:$B$847,MATCH(connections!$B160,games!$A$2:$A$847,0)),""))</f>
        <v>2026</v>
      </c>
      <c r="V160">
        <f t="shared" si="35"/>
        <v>4</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2022</v>
      </c>
      <c r="U161">
        <f>IF(connections!$A161="","",IFERROR(INDEX(games!$B$2:$B$847,MATCH(connections!$B161,games!$A$2:$A$847,0)),""))</f>
        <v>2025</v>
      </c>
      <c r="V161">
        <f t="shared" si="35"/>
        <v>3</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2024</v>
      </c>
      <c r="U162">
        <f>IF(connections!$A162="","",IFERROR(INDEX(games!$B$2:$B$847,MATCH(connections!$B162,games!$A$2:$A$847,0)),""))</f>
        <v>2026</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2016</v>
      </c>
      <c r="U163">
        <f>IF(connections!$A163="","",IFERROR(INDEX(games!$B$2:$B$847,MATCH(connections!$B163,games!$A$2:$A$847,0)),""))</f>
        <v>2020</v>
      </c>
      <c r="V163">
        <f t="shared" si="35"/>
        <v>4</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2016</v>
      </c>
      <c r="U164">
        <f>IF(connections!$A164="","",IFERROR(INDEX(games!$B$2:$B$847,MATCH(connections!$B164,games!$A$2:$A$847,0)),""))</f>
        <v>2021</v>
      </c>
      <c r="V164">
        <f t="shared" si="35"/>
        <v>5</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2020</v>
      </c>
      <c r="U165">
        <f>IF(connections!$A165="","",IFERROR(INDEX(games!$B$2:$B$847,MATCH(connections!$B165,games!$A$2:$A$847,0)),""))</f>
        <v>2023</v>
      </c>
      <c r="V165">
        <f t="shared" si="35"/>
        <v>3</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2019</v>
      </c>
      <c r="U166">
        <f>IF(connections!$A166="","",IFERROR(INDEX(games!$B$2:$B$847,MATCH(connections!$B166,games!$A$2:$A$847,0)),""))</f>
        <v>2022</v>
      </c>
      <c r="V166">
        <f t="shared" si="35"/>
        <v>3</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2021</v>
      </c>
      <c r="V167">
        <f t="shared" si="35"/>
        <v>6</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2019</v>
      </c>
      <c r="V169">
        <f t="shared" si="35"/>
        <v>4</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2015</v>
      </c>
      <c r="U170">
        <f>IF(connections!$A170="","",IFERROR(INDEX(games!$B$2:$B$847,MATCH(connections!$B170,games!$A$2:$A$847,0)),""))</f>
        <v>2023</v>
      </c>
      <c r="V170">
        <f t="shared" si="35"/>
        <v>8</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2015</v>
      </c>
      <c r="U171">
        <f>IF(connections!$A171="","",IFERROR(INDEX(games!$B$2:$B$847,MATCH(connections!$B171,games!$A$2:$A$847,0)),""))</f>
        <v>2020</v>
      </c>
      <c r="V171">
        <f t="shared" si="35"/>
        <v>5</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2015</v>
      </c>
      <c r="U172">
        <f>IF(connections!$A172="","",IFERROR(INDEX(games!$B$2:$B$847,MATCH(connections!$B172,games!$A$2:$A$847,0)),""))</f>
        <v>2019</v>
      </c>
      <c r="V172">
        <f t="shared" si="35"/>
        <v>4</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2015</v>
      </c>
      <c r="U173">
        <f>IF(connections!$A173="","",IFERROR(INDEX(games!$B$2:$B$847,MATCH(connections!$B173,games!$A$2:$A$847,0)),""))</f>
        <v>2023</v>
      </c>
      <c r="V173">
        <f t="shared" si="35"/>
        <v>8</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2015</v>
      </c>
      <c r="U174">
        <f>IF(connections!$A174="","",IFERROR(INDEX(games!$B$2:$B$847,MATCH(connections!$B174,games!$A$2:$A$847,0)),""))</f>
        <v>2019</v>
      </c>
      <c r="V174">
        <f t="shared" si="35"/>
        <v>4</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2015</v>
      </c>
      <c r="U175">
        <f>IF(connections!$A175="","",IFERROR(INDEX(games!$B$2:$B$847,MATCH(connections!$B175,games!$A$2:$A$847,0)),""))</f>
        <v>2018</v>
      </c>
      <c r="V175">
        <f t="shared" si="35"/>
        <v>3</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2015</v>
      </c>
      <c r="U176">
        <f>IF(connections!$A176="","",IFERROR(INDEX(games!$B$2:$B$847,MATCH(connections!$B176,games!$A$2:$A$847,0)),""))</f>
        <v>2025</v>
      </c>
      <c r="V176">
        <f t="shared" si="35"/>
        <v>10</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2015</v>
      </c>
      <c r="U177">
        <f>IF(connections!$A177="","",IFERROR(INDEX(games!$B$2:$B$847,MATCH(connections!$B177,games!$A$2:$A$847,0)),""))</f>
        <v>2016</v>
      </c>
      <c r="V177">
        <f t="shared" si="35"/>
        <v>1</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2025</v>
      </c>
      <c r="V178">
        <f t="shared" si="35"/>
        <v>10</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2019</v>
      </c>
      <c r="V181">
        <f t="shared" si="35"/>
        <v>4</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2024</v>
      </c>
      <c r="V182">
        <f t="shared" si="35"/>
        <v>9</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2025</v>
      </c>
      <c r="V183">
        <f t="shared" si="35"/>
        <v>10</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2017</v>
      </c>
      <c r="V185">
        <f t="shared" si="35"/>
        <v>2</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2020</v>
      </c>
      <c r="V186">
        <f t="shared" si="35"/>
        <v>5</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2022</v>
      </c>
      <c r="V187">
        <f t="shared" si="35"/>
        <v>7</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2026</v>
      </c>
      <c r="V188">
        <f t="shared" si="35"/>
        <v>11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2022</v>
      </c>
      <c r="U189">
        <f>IF(connections!$A189="","",IFERROR(INDEX(games!$B$2:$B$847,MATCH(connections!$B189,games!$A$2:$A$847,0)),""))</f>
        <v>2026</v>
      </c>
      <c r="V189">
        <f t="shared" si="35"/>
        <v>4</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2018</v>
      </c>
      <c r="U190">
        <f>IF(connections!$A190="","",IFERROR(INDEX(games!$B$2:$B$847,MATCH(connections!$B190,games!$A$2:$A$847,0)),""))</f>
        <v>2025</v>
      </c>
      <c r="V190">
        <f t="shared" si="35"/>
        <v>7</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2018</v>
      </c>
      <c r="U191">
        <f>IF(connections!$A191="","",IFERROR(INDEX(games!$B$2:$B$847,MATCH(connections!$B191,games!$A$2:$A$847,0)),""))</f>
        <v>2025</v>
      </c>
      <c r="V191">
        <f t="shared" si="35"/>
        <v>7</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2018</v>
      </c>
      <c r="U192">
        <f>IF(connections!$A192="","",IFERROR(INDEX(games!$B$2:$B$847,MATCH(connections!$B192,games!$A$2:$A$847,0)),""))</f>
        <v>2022</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2018</v>
      </c>
      <c r="U193">
        <f>IF(connections!$A193="","",IFERROR(INDEX(games!$B$2:$B$847,MATCH(connections!$B193,games!$A$2:$A$847,0)),""))</f>
        <v>2023</v>
      </c>
      <c r="V193">
        <f t="shared" si="35"/>
        <v>5</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2018</v>
      </c>
      <c r="U194">
        <f>IF(connections!$A194="","",IFERROR(INDEX(games!$B$2:$B$847,MATCH(connections!$B194,games!$A$2:$A$847,0)),""))</f>
        <v>2022</v>
      </c>
      <c r="V194">
        <f t="shared" ref="V194:V257" si="47">IF(OR($T194="",$U194=""),"",$U194-$T194)</f>
        <v>4</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2018</v>
      </c>
      <c r="U195">
        <f>IF(connections!$A195="","",IFERROR(INDEX(games!$B$2:$B$847,MATCH(connections!$B195,games!$A$2:$A$847,0)),""))</f>
        <v>2019</v>
      </c>
      <c r="V195">
        <f t="shared" si="47"/>
        <v>1</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2018</v>
      </c>
      <c r="U196">
        <f>IF(connections!$A196="","",IFERROR(INDEX(games!$B$2:$B$847,MATCH(connections!$B196,games!$A$2:$A$847,0)),""))</f>
        <v>2020</v>
      </c>
      <c r="V196">
        <f t="shared" si="47"/>
        <v>2</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2018</v>
      </c>
      <c r="U197">
        <f>IF(connections!$A197="","",IFERROR(INDEX(games!$B$2:$B$847,MATCH(connections!$B197,games!$A$2:$A$847,0)),""))</f>
        <v>2025</v>
      </c>
      <c r="V197">
        <f t="shared" si="47"/>
        <v>7</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2018</v>
      </c>
      <c r="U198">
        <f>IF(connections!$A198="","",IFERROR(INDEX(games!$B$2:$B$847,MATCH(connections!$B198,games!$A$2:$A$847,0)),""))</f>
        <v>2022</v>
      </c>
      <c r="V198">
        <f t="shared" si="47"/>
        <v>4</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2018</v>
      </c>
      <c r="U199">
        <f>IF(connections!$A199="","",IFERROR(INDEX(games!$B$2:$B$847,MATCH(connections!$B199,games!$A$2:$A$847,0)),""))</f>
        <v>2020</v>
      </c>
      <c r="V199">
        <f t="shared" si="47"/>
        <v>2</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2018</v>
      </c>
      <c r="U200">
        <f>IF(connections!$A200="","",IFERROR(INDEX(games!$B$2:$B$847,MATCH(connections!$B200,games!$A$2:$A$847,0)),""))</f>
        <v>2024</v>
      </c>
      <c r="V200">
        <f t="shared" si="47"/>
        <v>6</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2018</v>
      </c>
      <c r="U201">
        <f>IF(connections!$A201="","",IFERROR(INDEX(games!$B$2:$B$847,MATCH(connections!$B201,games!$A$2:$A$847,0)),""))</f>
        <v>2020</v>
      </c>
      <c r="V201">
        <f t="shared" si="47"/>
        <v>2</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2018</v>
      </c>
      <c r="U202">
        <f>IF(connections!$A202="","",IFERROR(INDEX(games!$B$2:$B$847,MATCH(connections!$B202,games!$A$2:$A$847,0)),""))</f>
        <v>2023</v>
      </c>
      <c r="V202">
        <f t="shared" si="47"/>
        <v>5</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2020</v>
      </c>
      <c r="V204">
        <f t="shared" si="47"/>
        <v>2</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2020</v>
      </c>
      <c r="V205">
        <f t="shared" si="47"/>
        <v>2</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2019</v>
      </c>
      <c r="V206">
        <f t="shared" si="47"/>
        <v>1</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2024</v>
      </c>
      <c r="V207">
        <f t="shared" si="47"/>
        <v>6</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2025</v>
      </c>
      <c r="V208">
        <f t="shared" si="47"/>
        <v>7</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2019</v>
      </c>
      <c r="V209">
        <f t="shared" si="47"/>
        <v>1</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2024</v>
      </c>
      <c r="V210">
        <f t="shared" si="47"/>
        <v>6</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2023</v>
      </c>
      <c r="U211">
        <f>IF(connections!$A211="","",IFERROR(INDEX(games!$B$2:$B$847,MATCH(connections!$B211,games!$A$2:$A$847,0)),""))</f>
        <v>2024</v>
      </c>
      <c r="V211">
        <f t="shared" si="47"/>
        <v>1</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2023</v>
      </c>
      <c r="U212">
        <f>IF(connections!$A212="","",IFERROR(INDEX(games!$B$2:$B$847,MATCH(connections!$B212,games!$A$2:$A$847,0)),""))</f>
        <v>2026</v>
      </c>
      <c r="V212">
        <f t="shared" si="47"/>
        <v>3</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2023</v>
      </c>
      <c r="U213">
        <f>IF(connections!$A213="","",IFERROR(INDEX(games!$B$2:$B$847,MATCH(connections!$B213,games!$A$2:$A$847,0)),""))</f>
        <v>2025</v>
      </c>
      <c r="V213">
        <f t="shared" si="47"/>
        <v>2</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2023</v>
      </c>
      <c r="U214">
        <f>IF(connections!$A214="","",IFERROR(INDEX(games!$B$2:$B$847,MATCH(connections!$B214,games!$A$2:$A$847,0)),""))</f>
        <v>2025</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2023</v>
      </c>
      <c r="U215">
        <f>IF(connections!$A215="","",IFERROR(INDEX(games!$B$2:$B$847,MATCH(connections!$B215,games!$A$2:$A$847,0)),""))</f>
        <v>2024</v>
      </c>
      <c r="V215">
        <f t="shared" si="47"/>
        <v>1</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2023</v>
      </c>
      <c r="U216">
        <f>IF(connections!$A216="","",IFERROR(INDEX(games!$B$2:$B$847,MATCH(connections!$B216,games!$A$2:$A$847,0)),""))</f>
        <v>2026</v>
      </c>
      <c r="V216">
        <f t="shared" si="47"/>
        <v>3</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2024</v>
      </c>
      <c r="U217">
        <f>IF(connections!$A217="","",IFERROR(INDEX(games!$B$2:$B$847,MATCH(connections!$B217,games!$A$2:$A$847,0)),""))</f>
        <v>2026</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2024</v>
      </c>
      <c r="U218">
        <f>IF(connections!$A218="","",IFERROR(INDEX(games!$B$2:$B$847,MATCH(connections!$B218,games!$A$2:$A$847,0)),""))</f>
        <v>2024</v>
      </c>
      <c r="V218">
        <f t="shared" si="47"/>
        <v>0</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2023</v>
      </c>
      <c r="V219">
        <f t="shared" si="47"/>
        <v>5</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2019</v>
      </c>
      <c r="U220">
        <f>IF(connections!$A220="","",IFERROR(INDEX(games!$B$2:$B$847,MATCH(connections!$B220,games!$A$2:$A$847,0)),""))</f>
        <v>2026</v>
      </c>
      <c r="V220">
        <f t="shared" si="47"/>
        <v>7</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2010</v>
      </c>
      <c r="U221">
        <f>IF(connections!$A221="","",IFERROR(INDEX(games!$B$2:$B$847,MATCH(connections!$B221,games!$A$2:$A$847,0)),""))</f>
        <v>2011</v>
      </c>
      <c r="V221">
        <f t="shared" si="47"/>
        <v>1</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2021</v>
      </c>
      <c r="U222">
        <f>IF(connections!$A222="","",IFERROR(INDEX(games!$B$2:$B$847,MATCH(connections!$B222,games!$A$2:$A$847,0)),""))</f>
        <v>2026</v>
      </c>
      <c r="V222">
        <f t="shared" si="47"/>
        <v>5</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2021</v>
      </c>
      <c r="U223">
        <f>IF(connections!$A223="","",IFERROR(INDEX(games!$B$2:$B$847,MATCH(connections!$B223,games!$A$2:$A$847,0)),""))</f>
        <v>2023</v>
      </c>
      <c r="V223">
        <f t="shared" si="47"/>
        <v>2</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1996</v>
      </c>
      <c r="U224">
        <f>IF(connections!$A224="","",IFERROR(INDEX(games!$B$2:$B$847,MATCH(connections!$B224,games!$A$2:$A$847,0)),""))</f>
        <v>2018</v>
      </c>
      <c r="V224">
        <f t="shared" si="47"/>
        <v>22</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1996</v>
      </c>
      <c r="U225">
        <f>IF(connections!$A225="","",IFERROR(INDEX(games!$B$2:$B$847,MATCH(connections!$B225,games!$A$2:$A$847,0)),""))</f>
        <v>2010</v>
      </c>
      <c r="V225">
        <f t="shared" si="47"/>
        <v>14</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1996</v>
      </c>
      <c r="U226">
        <f>IF(connections!$A226="","",IFERROR(INDEX(games!$B$2:$B$847,MATCH(connections!$B226,games!$A$2:$A$847,0)),""))</f>
        <v>2023</v>
      </c>
      <c r="V226">
        <f t="shared" si="47"/>
        <v>27</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1996</v>
      </c>
      <c r="U227">
        <f>IF(connections!$A227="","",IFERROR(INDEX(games!$B$2:$B$847,MATCH(connections!$B227,games!$A$2:$A$847,0)),""))</f>
        <v>2010</v>
      </c>
      <c r="V227">
        <f t="shared" si="47"/>
        <v>14</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1996</v>
      </c>
      <c r="U228">
        <f>IF(connections!$A228="","",IFERROR(INDEX(games!$B$2:$B$847,MATCH(connections!$B228,games!$A$2:$A$847,0)),""))</f>
        <v>2025</v>
      </c>
      <c r="V228">
        <f t="shared" si="47"/>
        <v>29</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1996</v>
      </c>
      <c r="U229">
        <f>IF(connections!$A229="","",IFERROR(INDEX(games!$B$2:$B$847,MATCH(connections!$B229,games!$A$2:$A$847,0)),""))</f>
        <v>2023</v>
      </c>
      <c r="V229">
        <f t="shared" si="47"/>
        <v>27</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1996</v>
      </c>
      <c r="U230">
        <f>IF(connections!$A230="","",IFERROR(INDEX(games!$B$2:$B$847,MATCH(connections!$B230,games!$A$2:$A$847,0)),""))</f>
        <v>2025</v>
      </c>
      <c r="V230">
        <f t="shared" si="47"/>
        <v>29</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1996</v>
      </c>
      <c r="U231">
        <f>IF(connections!$A231="","",IFERROR(INDEX(games!$B$2:$B$847,MATCH(connections!$B231,games!$A$2:$A$847,0)),""))</f>
        <v>2025</v>
      </c>
      <c r="V231">
        <f t="shared" si="47"/>
        <v>29</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1996</v>
      </c>
      <c r="U232">
        <f>IF(connections!$A232="","",IFERROR(INDEX(games!$B$2:$B$847,MATCH(connections!$B232,games!$A$2:$A$847,0)),""))</f>
        <v>2006</v>
      </c>
      <c r="V232">
        <f t="shared" si="47"/>
        <v>10</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1996</v>
      </c>
      <c r="U233">
        <f>IF(connections!$A233="","",IFERROR(INDEX(games!$B$2:$B$847,MATCH(connections!$B233,games!$A$2:$A$847,0)),""))</f>
        <v>2003</v>
      </c>
      <c r="V233">
        <f t="shared" si="47"/>
        <v>7</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1996</v>
      </c>
      <c r="U234">
        <f>IF(connections!$A234="","",IFERROR(INDEX(games!$B$2:$B$847,MATCH(connections!$B234,games!$A$2:$A$847,0)),""))</f>
        <v>2020</v>
      </c>
      <c r="V234">
        <f t="shared" si="47"/>
        <v>24</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1996</v>
      </c>
      <c r="U235">
        <f>IF(connections!$A235="","",IFERROR(INDEX(games!$B$2:$B$847,MATCH(connections!$B235,games!$A$2:$A$847,0)),""))</f>
        <v>2013</v>
      </c>
      <c r="V235">
        <f t="shared" si="47"/>
        <v>17</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2019</v>
      </c>
      <c r="U236">
        <f>IF(connections!$A236="","",IFERROR(INDEX(games!$B$2:$B$847,MATCH(connections!$B236,games!$A$2:$A$847,0)),""))</f>
        <v>2026</v>
      </c>
      <c r="V236">
        <f t="shared" si="47"/>
        <v>7</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2022</v>
      </c>
      <c r="V237">
        <f t="shared" si="47"/>
        <v>3</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2019</v>
      </c>
      <c r="U238">
        <f>IF(connections!$A238="","",IFERROR(INDEX(games!$B$2:$B$847,MATCH(connections!$B238,games!$A$2:$A$847,0)),""))</f>
        <v>2024</v>
      </c>
      <c r="V238">
        <f t="shared" si="47"/>
        <v>5</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2019</v>
      </c>
      <c r="U239">
        <f>IF(connections!$A239="","",IFERROR(INDEX(games!$B$2:$B$847,MATCH(connections!$B239,games!$A$2:$A$847,0)),""))</f>
        <v>2025</v>
      </c>
      <c r="V239">
        <f t="shared" si="47"/>
        <v>6</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2019</v>
      </c>
      <c r="U240">
        <f>IF(connections!$A240="","",IFERROR(INDEX(games!$B$2:$B$847,MATCH(connections!$B240,games!$A$2:$A$847,0)),""))</f>
        <v>2025</v>
      </c>
      <c r="V240">
        <f t="shared" si="47"/>
        <v>6</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2019</v>
      </c>
      <c r="U241">
        <f>IF(connections!$A241="","",IFERROR(INDEX(games!$B$2:$B$847,MATCH(connections!$B241,games!$A$2:$A$847,0)),""))</f>
        <v>2025</v>
      </c>
      <c r="V241">
        <f t="shared" si="47"/>
        <v>6</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2019</v>
      </c>
      <c r="U242">
        <f>IF(connections!$A242="","",IFERROR(INDEX(games!$B$2:$B$847,MATCH(connections!$B242,games!$A$2:$A$847,0)),""))</f>
        <v>2024</v>
      </c>
      <c r="V242">
        <f t="shared" si="47"/>
        <v>5</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2019</v>
      </c>
      <c r="U243">
        <f>IF(connections!$A243="","",IFERROR(INDEX(games!$B$2:$B$847,MATCH(connections!$B243,games!$A$2:$A$847,0)),""))</f>
        <v>2024</v>
      </c>
      <c r="V243">
        <f t="shared" si="47"/>
        <v>5</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2022</v>
      </c>
      <c r="U244">
        <f>IF(connections!$A244="","",IFERROR(INDEX(games!$B$2:$B$847,MATCH(connections!$B244,games!$A$2:$A$847,0)),""))</f>
        <v>2024</v>
      </c>
      <c r="V244">
        <f t="shared" si="47"/>
        <v>2</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2022</v>
      </c>
      <c r="U245">
        <f>IF(connections!$A245="","",IFERROR(INDEX(games!$B$2:$B$847,MATCH(connections!$B245,games!$A$2:$A$847,0)),""))</f>
        <v>2025</v>
      </c>
      <c r="V245">
        <f t="shared" si="47"/>
        <v>3</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2022</v>
      </c>
      <c r="U246">
        <f>IF(connections!$A246="","",IFERROR(INDEX(games!$B$2:$B$847,MATCH(connections!$B246,games!$A$2:$A$847,0)),""))</f>
        <v>2023</v>
      </c>
      <c r="V246">
        <f t="shared" si="47"/>
        <v>1</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2013</v>
      </c>
      <c r="U247">
        <f>IF(connections!$A247="","",IFERROR(INDEX(games!$B$2:$B$847,MATCH(connections!$B247,games!$A$2:$A$847,0)),""))</f>
        <v>2022</v>
      </c>
      <c r="V247">
        <f t="shared" si="47"/>
        <v>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2013</v>
      </c>
      <c r="U248">
        <f>IF(connections!$A248="","",IFERROR(INDEX(games!$B$2:$B$847,MATCH(connections!$B248,games!$A$2:$A$847,0)),""))</f>
        <v>2014</v>
      </c>
      <c r="V248">
        <f t="shared" si="47"/>
        <v>1</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2013</v>
      </c>
      <c r="U249">
        <f>IF(connections!$A249="","",IFERROR(INDEX(games!$B$2:$B$847,MATCH(connections!$B249,games!$A$2:$A$847,0)),""))</f>
        <v>2026</v>
      </c>
      <c r="V249">
        <f t="shared" si="47"/>
        <v>13</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2013</v>
      </c>
      <c r="U250">
        <f>IF(connections!$A250="","",IFERROR(INDEX(games!$B$2:$B$847,MATCH(connections!$B250,games!$A$2:$A$847,0)),""))</f>
        <v>2014</v>
      </c>
      <c r="V250">
        <f t="shared" si="47"/>
        <v>1</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2013</v>
      </c>
      <c r="U251">
        <f>IF(connections!$A251="","",IFERROR(INDEX(games!$B$2:$B$847,MATCH(connections!$B251,games!$A$2:$A$847,0)),""))</f>
        <v>2016</v>
      </c>
      <c r="V251">
        <f t="shared" si="47"/>
        <v>3</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2002</v>
      </c>
      <c r="U252">
        <f>IF(connections!$A252="","",IFERROR(INDEX(games!$B$2:$B$847,MATCH(connections!$B252,games!$A$2:$A$847,0)),""))</f>
        <v>2010</v>
      </c>
      <c r="V252">
        <f t="shared" si="47"/>
        <v>8</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2002</v>
      </c>
      <c r="U253">
        <f>IF(connections!$A253="","",IFERROR(INDEX(games!$B$2:$B$847,MATCH(connections!$B253,games!$A$2:$A$847,0)),""))</f>
        <v>2010</v>
      </c>
      <c r="V253">
        <f t="shared" si="47"/>
        <v>8</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2002</v>
      </c>
      <c r="U254">
        <f>IF(connections!$A254="","",IFERROR(INDEX(games!$B$2:$B$847,MATCH(connections!$B254,games!$A$2:$A$847,0)),""))</f>
        <v>2010</v>
      </c>
      <c r="V254">
        <f t="shared" si="47"/>
        <v>8</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2002</v>
      </c>
      <c r="U255">
        <f>IF(connections!$A255="","",IFERROR(INDEX(games!$B$2:$B$847,MATCH(connections!$B255,games!$A$2:$A$847,0)),""))</f>
        <v>2006</v>
      </c>
      <c r="V255">
        <f t="shared" si="47"/>
        <v>4</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2002</v>
      </c>
      <c r="U256">
        <f>IF(connections!$A256="","",IFERROR(INDEX(games!$B$2:$B$847,MATCH(connections!$B256,games!$A$2:$A$847,0)),""))</f>
        <v>2011</v>
      </c>
      <c r="V256">
        <f t="shared" si="47"/>
        <v>9</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2002</v>
      </c>
      <c r="U257">
        <f>IF(connections!$A257="","",IFERROR(INDEX(games!$B$2:$B$847,MATCH(connections!$B257,games!$A$2:$A$847,0)),""))</f>
        <v>2019</v>
      </c>
      <c r="V257">
        <f t="shared" si="47"/>
        <v>17</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2002</v>
      </c>
      <c r="U258">
        <f>IF(connections!$A258="","",IFERROR(INDEX(games!$B$2:$B$847,MATCH(connections!$B258,games!$A$2:$A$847,0)),""))</f>
        <v>2023</v>
      </c>
      <c r="V258">
        <f t="shared" ref="V258:V321" si="59">IF(OR($T258="",$U258=""),"",$U258-$T258)</f>
        <v>21</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2002</v>
      </c>
      <c r="U259">
        <f>IF(connections!$A259="","",IFERROR(INDEX(games!$B$2:$B$847,MATCH(connections!$B259,games!$A$2:$A$847,0)),""))</f>
        <v>2016</v>
      </c>
      <c r="V259">
        <f t="shared" si="59"/>
        <v>14</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2021</v>
      </c>
      <c r="V260">
        <f t="shared" si="59"/>
        <v>2</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2019</v>
      </c>
      <c r="V261">
        <f t="shared" si="59"/>
        <v>0</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2025</v>
      </c>
      <c r="V262">
        <f t="shared" si="59"/>
        <v>6</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2021</v>
      </c>
      <c r="V263">
        <f t="shared" si="59"/>
        <v>2</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2015</v>
      </c>
      <c r="U264">
        <f>IF(connections!$A264="","",IFERROR(INDEX(games!$B$2:$B$847,MATCH(connections!$B264,games!$A$2:$A$847,0)),""))</f>
        <v>2016</v>
      </c>
      <c r="V264">
        <f t="shared" si="59"/>
        <v>1</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2015</v>
      </c>
      <c r="U265">
        <f>IF(connections!$A265="","",IFERROR(INDEX(games!$B$2:$B$847,MATCH(connections!$B265,games!$A$2:$A$847,0)),""))</f>
        <v>2023</v>
      </c>
      <c r="V265">
        <f t="shared" si="59"/>
        <v>8</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2015</v>
      </c>
      <c r="U266">
        <f>IF(connections!$A266="","",IFERROR(INDEX(games!$B$2:$B$847,MATCH(connections!$B266,games!$A$2:$A$847,0)),""))</f>
        <v>2017</v>
      </c>
      <c r="V266">
        <f t="shared" si="59"/>
        <v>2</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2015</v>
      </c>
      <c r="U267">
        <f>IF(connections!$A267="","",IFERROR(INDEX(games!$B$2:$B$847,MATCH(connections!$B267,games!$A$2:$A$847,0)),""))</f>
        <v>2017</v>
      </c>
      <c r="V267">
        <f t="shared" si="59"/>
        <v>2</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2015</v>
      </c>
      <c r="U268">
        <f>IF(connections!$A268="","",IFERROR(INDEX(games!$B$2:$B$847,MATCH(connections!$B268,games!$A$2:$A$847,0)),""))</f>
        <v>2020</v>
      </c>
      <c r="V268">
        <f t="shared" si="59"/>
        <v>5</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2015</v>
      </c>
      <c r="U269">
        <f>IF(connections!$A269="","",IFERROR(INDEX(games!$B$2:$B$847,MATCH(connections!$B269,games!$A$2:$A$847,0)),""))</f>
        <v>2022</v>
      </c>
      <c r="V269">
        <f t="shared" si="59"/>
        <v>7</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2015</v>
      </c>
      <c r="U270">
        <f>IF(connections!$A270="","",IFERROR(INDEX(games!$B$2:$B$847,MATCH(connections!$B270,games!$A$2:$A$847,0)),""))</f>
        <v>2017</v>
      </c>
      <c r="V270">
        <f t="shared" si="59"/>
        <v>2</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2014</v>
      </c>
      <c r="U271">
        <f>IF(connections!$A271="","",IFERROR(INDEX(games!$B$2:$B$847,MATCH(connections!$B271,games!$A$2:$A$847,0)),""))</f>
        <v>2019</v>
      </c>
      <c r="V271">
        <f t="shared" si="59"/>
        <v>5</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2014</v>
      </c>
      <c r="U272">
        <f>IF(connections!$A272="","",IFERROR(INDEX(games!$B$2:$B$847,MATCH(connections!$B272,games!$A$2:$A$847,0)),""))</f>
        <v>2017</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2014</v>
      </c>
      <c r="U273">
        <f>IF(connections!$A273="","",IFERROR(INDEX(games!$B$2:$B$847,MATCH(connections!$B273,games!$A$2:$A$847,0)),""))</f>
        <v>2019</v>
      </c>
      <c r="V273">
        <f t="shared" si="59"/>
        <v>5</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2014</v>
      </c>
      <c r="U274">
        <f>IF(connections!$A274="","",IFERROR(INDEX(games!$B$2:$B$847,MATCH(connections!$B274,games!$A$2:$A$847,0)),""))</f>
        <v>2017</v>
      </c>
      <c r="V274">
        <f t="shared" si="59"/>
        <v>3</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2024</v>
      </c>
      <c r="U275">
        <f>IF(connections!$A275="","",IFERROR(INDEX(games!$B$2:$B$847,MATCH(connections!$B275,games!$A$2:$A$847,0)),""))</f>
        <v>2026</v>
      </c>
      <c r="V275">
        <f t="shared" si="59"/>
        <v>2</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2006</v>
      </c>
      <c r="U276">
        <f>IF(connections!$A276="","",IFERROR(INDEX(games!$B$2:$B$847,MATCH(connections!$B276,games!$A$2:$A$847,0)),""))</f>
        <v>2010</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2006</v>
      </c>
      <c r="U277">
        <f>IF(connections!$A277="","",IFERROR(INDEX(games!$B$2:$B$847,MATCH(connections!$B277,games!$A$2:$A$847,0)),""))</f>
        <v>2017</v>
      </c>
      <c r="V277">
        <f t="shared" si="59"/>
        <v>11</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2006</v>
      </c>
      <c r="U278">
        <f>IF(connections!$A278="","",IFERROR(INDEX(games!$B$2:$B$847,MATCH(connections!$B278,games!$A$2:$A$847,0)),""))</f>
        <v>2010</v>
      </c>
      <c r="V278">
        <f t="shared" si="59"/>
        <v>4</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2006</v>
      </c>
      <c r="U279">
        <f>IF(connections!$A279="","",IFERROR(INDEX(games!$B$2:$B$847,MATCH(connections!$B279,games!$A$2:$A$847,0)),""))</f>
        <v>2010</v>
      </c>
      <c r="V279">
        <f t="shared" si="59"/>
        <v>4</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2006</v>
      </c>
      <c r="U280">
        <f>IF(connections!$A280="","",IFERROR(INDEX(games!$B$2:$B$847,MATCH(connections!$B280,games!$A$2:$A$847,0)),""))</f>
        <v>2014</v>
      </c>
      <c r="V280">
        <f t="shared" si="59"/>
        <v>8</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2006</v>
      </c>
      <c r="U281">
        <f>IF(connections!$A281="","",IFERROR(INDEX(games!$B$2:$B$847,MATCH(connections!$B281,games!$A$2:$A$847,0)),""))</f>
        <v>2023</v>
      </c>
      <c r="V281">
        <f t="shared" si="59"/>
        <v>17</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2006</v>
      </c>
      <c r="U282">
        <f>IF(connections!$A282="","",IFERROR(INDEX(games!$B$2:$B$847,MATCH(connections!$B282,games!$A$2:$A$847,0)),""))</f>
        <v>2020</v>
      </c>
      <c r="V282">
        <f t="shared" si="59"/>
        <v>14</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2006</v>
      </c>
      <c r="U283">
        <f>IF(connections!$A283="","",IFERROR(INDEX(games!$B$2:$B$847,MATCH(connections!$B283,games!$A$2:$A$847,0)),""))</f>
        <v>2025</v>
      </c>
      <c r="V283">
        <f t="shared" si="59"/>
        <v>19</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2006</v>
      </c>
      <c r="U284">
        <f>IF(connections!$A284="","",IFERROR(INDEX(games!$B$2:$B$847,MATCH(connections!$B284,games!$A$2:$A$847,0)),""))</f>
        <v>2018</v>
      </c>
      <c r="V284">
        <f t="shared" si="59"/>
        <v>12</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2006</v>
      </c>
      <c r="U285">
        <f>IF(connections!$A285="","",IFERROR(INDEX(games!$B$2:$B$847,MATCH(connections!$B285,games!$A$2:$A$847,0)),""))</f>
        <v>2025</v>
      </c>
      <c r="V285">
        <f t="shared" si="59"/>
        <v>19</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2010</v>
      </c>
      <c r="U286">
        <f>IF(connections!$A286="","",IFERROR(INDEX(games!$B$2:$B$847,MATCH(connections!$B286,games!$A$2:$A$847,0)),""))</f>
        <v>2017</v>
      </c>
      <c r="V286">
        <f t="shared" si="59"/>
        <v>7</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2011</v>
      </c>
      <c r="U287">
        <f>IF(connections!$A287="","",IFERROR(INDEX(games!$B$2:$B$847,MATCH(connections!$B287,games!$A$2:$A$847,0)),""))</f>
        <v>2017</v>
      </c>
      <c r="V287">
        <f t="shared" si="59"/>
        <v>6</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2011</v>
      </c>
      <c r="U288">
        <f>IF(connections!$A288="","",IFERROR(INDEX(games!$B$2:$B$847,MATCH(connections!$B288,games!$A$2:$A$847,0)),""))</f>
        <v>2014</v>
      </c>
      <c r="V288">
        <f t="shared" si="59"/>
        <v>3</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2011</v>
      </c>
      <c r="U289">
        <f>IF(connections!$A289="","",IFERROR(INDEX(games!$B$2:$B$847,MATCH(connections!$B289,games!$A$2:$A$847,0)),""))</f>
        <v>2016</v>
      </c>
      <c r="V289">
        <f t="shared" si="59"/>
        <v>5</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2011</v>
      </c>
      <c r="U290">
        <f>IF(connections!$A290="","",IFERROR(INDEX(games!$B$2:$B$847,MATCH(connections!$B290,games!$A$2:$A$847,0)),""))</f>
        <v>2021</v>
      </c>
      <c r="V290">
        <f t="shared" si="59"/>
        <v>10</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2018</v>
      </c>
      <c r="U291">
        <f>IF(connections!$A291="","",IFERROR(INDEX(games!$B$2:$B$847,MATCH(connections!$B291,games!$A$2:$A$847,0)),""))</f>
        <v>2025</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2006</v>
      </c>
      <c r="U292">
        <f>IF(connections!$A292="","",IFERROR(INDEX(games!$B$2:$B$847,MATCH(connections!$B292,games!$A$2:$A$847,0)),""))</f>
        <v>2010</v>
      </c>
      <c r="V292">
        <f t="shared" si="59"/>
        <v>4</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2006</v>
      </c>
      <c r="U293">
        <f>IF(connections!$A293="","",IFERROR(INDEX(games!$B$2:$B$847,MATCH(connections!$B293,games!$A$2:$A$847,0)),""))</f>
        <v>2015</v>
      </c>
      <c r="V293">
        <f t="shared" si="59"/>
        <v>9</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2006</v>
      </c>
      <c r="U294">
        <f>IF(connections!$A294="","",IFERROR(INDEX(games!$B$2:$B$847,MATCH(connections!$B294,games!$A$2:$A$847,0)),""))</f>
        <v>2023</v>
      </c>
      <c r="V294">
        <f t="shared" si="59"/>
        <v>17</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2006</v>
      </c>
      <c r="U295">
        <f>IF(connections!$A295="","",IFERROR(INDEX(games!$B$2:$B$847,MATCH(connections!$B295,games!$A$2:$A$847,0)),""))</f>
        <v>2025</v>
      </c>
      <c r="V295">
        <f t="shared" si="59"/>
        <v>19</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2006</v>
      </c>
      <c r="U296">
        <f>IF(connections!$A296="","",IFERROR(INDEX(games!$B$2:$B$847,MATCH(connections!$B296,games!$A$2:$A$847,0)),""))</f>
        <v>2021</v>
      </c>
      <c r="V296">
        <f t="shared" si="59"/>
        <v>15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2006</v>
      </c>
      <c r="U297">
        <f>IF(connections!$A297="","",IFERROR(INDEX(games!$B$2:$B$847,MATCH(connections!$B297,games!$A$2:$A$847,0)),""))</f>
        <v>2012</v>
      </c>
      <c r="V297">
        <f t="shared" si="59"/>
        <v>6</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2006</v>
      </c>
      <c r="U298">
        <f>IF(connections!$A298="","",IFERROR(INDEX(games!$B$2:$B$847,MATCH(connections!$B298,games!$A$2:$A$847,0)),""))</f>
        <v>2024</v>
      </c>
      <c r="V298">
        <f t="shared" si="59"/>
        <v>18</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2017</v>
      </c>
      <c r="V299">
        <f t="shared" si="59"/>
        <v>11</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2011</v>
      </c>
      <c r="V300">
        <f t="shared" si="59"/>
        <v>5</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2025</v>
      </c>
      <c r="U301">
        <f>IF(connections!$A301="","",IFERROR(INDEX(games!$B$2:$B$847,MATCH(connections!$B301,games!$A$2:$A$847,0)),""))</f>
        <v>2026</v>
      </c>
      <c r="V301">
        <f t="shared" si="59"/>
        <v>1</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2008</v>
      </c>
      <c r="U302">
        <f>IF(connections!$A302="","",IFERROR(INDEX(games!$B$2:$B$847,MATCH(connections!$B302,games!$A$2:$A$847,0)),""))</f>
        <v>2010</v>
      </c>
      <c r="V302">
        <f t="shared" si="59"/>
        <v>2</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2008</v>
      </c>
      <c r="U303">
        <f>IF(connections!$A303="","",IFERROR(INDEX(games!$B$2:$B$847,MATCH(connections!$B303,games!$A$2:$A$847,0)),""))</f>
        <v>2024</v>
      </c>
      <c r="V303">
        <f t="shared" si="59"/>
        <v>16</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2022</v>
      </c>
      <c r="U304">
        <f>IF(connections!$A304="","",IFERROR(INDEX(games!$B$2:$B$847,MATCH(connections!$B304,games!$A$2:$A$847,0)),""))</f>
        <v>2024</v>
      </c>
      <c r="V304">
        <f t="shared" si="59"/>
        <v>2</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2016</v>
      </c>
      <c r="U305">
        <f>IF(connections!$A305="","",IFERROR(INDEX(games!$B$2:$B$847,MATCH(connections!$B305,games!$A$2:$A$847,0)),""))</f>
        <v>2025</v>
      </c>
      <c r="V305">
        <f t="shared" si="59"/>
        <v>9</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2016</v>
      </c>
      <c r="U306">
        <f>IF(connections!$A306="","",IFERROR(INDEX(games!$B$2:$B$847,MATCH(connections!$B306,games!$A$2:$A$847,0)),""))</f>
        <v>2023</v>
      </c>
      <c r="V306">
        <f t="shared" si="59"/>
        <v>7</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2016</v>
      </c>
      <c r="U307">
        <f>IF(connections!$A307="","",IFERROR(INDEX(games!$B$2:$B$847,MATCH(connections!$B307,games!$A$2:$A$847,0)),""))</f>
        <v>2023</v>
      </c>
      <c r="V307">
        <f t="shared" si="59"/>
        <v>7</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2016</v>
      </c>
      <c r="U308">
        <f>IF(connections!$A308="","",IFERROR(INDEX(games!$B$2:$B$847,MATCH(connections!$B308,games!$A$2:$A$847,0)),""))</f>
        <v>2025</v>
      </c>
      <c r="V308">
        <f t="shared" si="59"/>
        <v>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2016</v>
      </c>
      <c r="U309">
        <f>IF(connections!$A309="","",IFERROR(INDEX(games!$B$2:$B$847,MATCH(connections!$B309,games!$A$2:$A$847,0)),""))</f>
        <v>2020</v>
      </c>
      <c r="V309">
        <f t="shared" si="59"/>
        <v>4</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2016</v>
      </c>
      <c r="U310">
        <f>IF(connections!$A310="","",IFERROR(INDEX(games!$B$2:$B$847,MATCH(connections!$B310,games!$A$2:$A$847,0)),""))</f>
        <v>2023</v>
      </c>
      <c r="V310">
        <f t="shared" si="59"/>
        <v>7</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2016</v>
      </c>
      <c r="U311">
        <f>IF(connections!$A311="","",IFERROR(INDEX(games!$B$2:$B$847,MATCH(connections!$B311,games!$A$2:$A$847,0)),""))</f>
        <v>2021</v>
      </c>
      <c r="V311">
        <f t="shared" si="59"/>
        <v>5</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2016</v>
      </c>
      <c r="U312">
        <f>IF(connections!$A312="","",IFERROR(INDEX(games!$B$2:$B$847,MATCH(connections!$B312,games!$A$2:$A$847,0)),""))</f>
        <v>2022</v>
      </c>
      <c r="V312">
        <f t="shared" si="59"/>
        <v>6</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2016</v>
      </c>
      <c r="U313">
        <f>IF(connections!$A313="","",IFERROR(INDEX(games!$B$2:$B$847,MATCH(connections!$B313,games!$A$2:$A$847,0)),""))</f>
        <v>2025</v>
      </c>
      <c r="V313">
        <f t="shared" si="59"/>
        <v>9</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2016</v>
      </c>
      <c r="U314">
        <f>IF(connections!$A314="","",IFERROR(INDEX(games!$B$2:$B$847,MATCH(connections!$B314,games!$A$2:$A$847,0)),""))</f>
        <v>2020</v>
      </c>
      <c r="V314">
        <f t="shared" si="59"/>
        <v>4</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2016</v>
      </c>
      <c r="U315">
        <f>IF(connections!$A315="","",IFERROR(INDEX(games!$B$2:$B$847,MATCH(connections!$B315,games!$A$2:$A$847,0)),""))</f>
        <v>2024</v>
      </c>
      <c r="V315">
        <f t="shared" si="59"/>
        <v>8</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2016</v>
      </c>
      <c r="U316">
        <f>IF(connections!$A316="","",IFERROR(INDEX(games!$B$2:$B$847,MATCH(connections!$B316,games!$A$2:$A$847,0)),""))</f>
        <v>2020</v>
      </c>
      <c r="V316">
        <f t="shared" si="59"/>
        <v>4</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2016</v>
      </c>
      <c r="U317">
        <f>IF(connections!$A317="","",IFERROR(INDEX(games!$B$2:$B$847,MATCH(connections!$B317,games!$A$2:$A$847,0)),""))</f>
        <v>2020</v>
      </c>
      <c r="V317">
        <f t="shared" si="59"/>
        <v>4</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2016</v>
      </c>
      <c r="U318">
        <f>IF(connections!$A318="","",IFERROR(INDEX(games!$B$2:$B$847,MATCH(connections!$B318,games!$A$2:$A$847,0)),""))</f>
        <v>2024</v>
      </c>
      <c r="V318">
        <f t="shared" si="59"/>
        <v>8</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2016</v>
      </c>
      <c r="U319">
        <f>IF(connections!$A319="","",IFERROR(INDEX(games!$B$2:$B$847,MATCH(connections!$B319,games!$A$2:$A$847,0)),""))</f>
        <v>2022</v>
      </c>
      <c r="V319">
        <f t="shared" si="59"/>
        <v>6</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2016</v>
      </c>
      <c r="U320">
        <f>IF(connections!$A320="","",IFERROR(INDEX(games!$B$2:$B$847,MATCH(connections!$B320,games!$A$2:$A$847,0)),""))</f>
        <v>2025</v>
      </c>
      <c r="V320">
        <f t="shared" si="59"/>
        <v>9</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2016</v>
      </c>
      <c r="U321">
        <f>IF(connections!$A321="","",IFERROR(INDEX(games!$B$2:$B$847,MATCH(connections!$B321,games!$A$2:$A$847,0)),""))</f>
        <v>2024</v>
      </c>
      <c r="V321">
        <f t="shared" si="59"/>
        <v>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2016</v>
      </c>
      <c r="U322">
        <f>IF(connections!$A322="","",IFERROR(INDEX(games!$B$2:$B$847,MATCH(connections!$B322,games!$A$2:$A$847,0)),""))</f>
        <v>2025</v>
      </c>
      <c r="V322">
        <f t="shared" ref="V322:V385" si="71">IF(OR($T322="",$U322=""),"",$U322-$T322)</f>
        <v>9</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2016</v>
      </c>
      <c r="U323">
        <f>IF(connections!$A323="","",IFERROR(INDEX(games!$B$2:$B$847,MATCH(connections!$B323,games!$A$2:$A$847,0)),""))</f>
        <v>2022</v>
      </c>
      <c r="V323">
        <f t="shared" si="71"/>
        <v>6</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2016</v>
      </c>
      <c r="U324">
        <f>IF(connections!$A324="","",IFERROR(INDEX(games!$B$2:$B$847,MATCH(connections!$B324,games!$A$2:$A$847,0)),""))</f>
        <v>2022</v>
      </c>
      <c r="V324">
        <f t="shared" si="71"/>
        <v>6</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2016</v>
      </c>
      <c r="U325">
        <f>IF(connections!$A325="","",IFERROR(INDEX(games!$B$2:$B$847,MATCH(connections!$B325,games!$A$2:$A$847,0)),""))</f>
        <v>2022</v>
      </c>
      <c r="V325">
        <f t="shared" si="71"/>
        <v>6</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2015</v>
      </c>
      <c r="U326">
        <f>IF(connections!$A326="","",IFERROR(INDEX(games!$B$2:$B$847,MATCH(connections!$B326,games!$A$2:$A$847,0)),""))</f>
        <v>2017</v>
      </c>
      <c r="V326">
        <f t="shared" si="71"/>
        <v>2</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2021</v>
      </c>
      <c r="U327">
        <f>IF(connections!$A327="","",IFERROR(INDEX(games!$B$2:$B$847,MATCH(connections!$B327,games!$A$2:$A$847,0)),""))</f>
        <v>2026</v>
      </c>
      <c r="V327">
        <f t="shared" si="71"/>
        <v>5</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2021</v>
      </c>
      <c r="U328">
        <f>IF(connections!$A328="","",IFERROR(INDEX(games!$B$2:$B$847,MATCH(connections!$B328,games!$A$2:$A$847,0)),""))</f>
        <v>2026</v>
      </c>
      <c r="V328">
        <f t="shared" si="71"/>
        <v>5</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2021</v>
      </c>
      <c r="U329">
        <f>IF(connections!$A329="","",IFERROR(INDEX(games!$B$2:$B$847,MATCH(connections!$B329,games!$A$2:$A$847,0)),""))</f>
        <v>2025</v>
      </c>
      <c r="V329">
        <f t="shared" si="71"/>
        <v>4</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2007</v>
      </c>
      <c r="U330">
        <f>IF(connections!$A330="","",IFERROR(INDEX(games!$B$2:$B$847,MATCH(connections!$B330,games!$A$2:$A$847,0)),""))</f>
        <v>2019</v>
      </c>
      <c r="V330">
        <f t="shared" si="71"/>
        <v>12</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2022</v>
      </c>
      <c r="U331">
        <f>IF(connections!$A331="","",IFERROR(INDEX(games!$B$2:$B$847,MATCH(connections!$B331,games!$A$2:$A$847,0)),""))</f>
        <v>2023</v>
      </c>
      <c r="V331">
        <f t="shared" si="71"/>
        <v>1</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2018</v>
      </c>
      <c r="U332">
        <f>IF(connections!$A332="","",IFERROR(INDEX(games!$B$2:$B$847,MATCH(connections!$B332,games!$A$2:$A$847,0)),""))</f>
        <v>2023</v>
      </c>
      <c r="V332">
        <f t="shared" si="71"/>
        <v>5</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2018</v>
      </c>
      <c r="U333">
        <f>IF(connections!$A333="","",IFERROR(INDEX(games!$B$2:$B$847,MATCH(connections!$B333,games!$A$2:$A$847,0)),""))</f>
        <v>2019</v>
      </c>
      <c r="V333">
        <f t="shared" si="71"/>
        <v>1</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2020</v>
      </c>
      <c r="U334">
        <f>IF(connections!$A334="","",IFERROR(INDEX(games!$B$2:$B$847,MATCH(connections!$B334,games!$A$2:$A$847,0)),""))</f>
        <v>2024</v>
      </c>
      <c r="V334">
        <f t="shared" si="71"/>
        <v>4</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2022</v>
      </c>
      <c r="U335">
        <f>IF(connections!$A335="","",IFERROR(INDEX(games!$B$2:$B$847,MATCH(connections!$B335,games!$A$2:$A$847,0)),""))</f>
        <v>2024</v>
      </c>
      <c r="V335">
        <f t="shared" si="71"/>
        <v>2</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2012</v>
      </c>
      <c r="U336">
        <f>IF(connections!$A336="","",IFERROR(INDEX(games!$B$2:$B$847,MATCH(connections!$B336,games!$A$2:$A$847,0)),""))</f>
        <v>2019</v>
      </c>
      <c r="V336">
        <f t="shared" si="71"/>
        <v>7</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2012</v>
      </c>
      <c r="U337">
        <f>IF(connections!$A337="","",IFERROR(INDEX(games!$B$2:$B$847,MATCH(connections!$B337,games!$A$2:$A$847,0)),""))</f>
        <v>2020</v>
      </c>
      <c r="V337">
        <f t="shared" si="71"/>
        <v>8</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2012</v>
      </c>
      <c r="U338">
        <f>IF(connections!$A338="","",IFERROR(INDEX(games!$B$2:$B$847,MATCH(connections!$B338,games!$A$2:$A$847,0)),""))</f>
        <v>2024</v>
      </c>
      <c r="V338">
        <f t="shared" si="71"/>
        <v>12</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2012</v>
      </c>
      <c r="U339">
        <f>IF(connections!$A339="","",IFERROR(INDEX(games!$B$2:$B$847,MATCH(connections!$B339,games!$A$2:$A$847,0)),""))</f>
        <v>2026</v>
      </c>
      <c r="V339">
        <f t="shared" si="71"/>
        <v>14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2012</v>
      </c>
      <c r="U340">
        <f>IF(connections!$A340="","",IFERROR(INDEX(games!$B$2:$B$847,MATCH(connections!$B340,games!$A$2:$A$847,0)),""))</f>
        <v>2015</v>
      </c>
      <c r="V340">
        <f t="shared" si="71"/>
        <v>3</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2012</v>
      </c>
      <c r="U341">
        <f>IF(connections!$A341="","",IFERROR(INDEX(games!$B$2:$B$847,MATCH(connections!$B341,games!$A$2:$A$847,0)),""))</f>
        <v>2019</v>
      </c>
      <c r="V341">
        <f t="shared" si="71"/>
        <v>7</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2012</v>
      </c>
      <c r="U342">
        <f>IF(connections!$A342="","",IFERROR(INDEX(games!$B$2:$B$847,MATCH(connections!$B342,games!$A$2:$A$847,0)),""))</f>
        <v>2018</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2012</v>
      </c>
      <c r="U343">
        <f>IF(connections!$A343="","",IFERROR(INDEX(games!$B$2:$B$847,MATCH(connections!$B343,games!$A$2:$A$847,0)),""))</f>
        <v>2023</v>
      </c>
      <c r="V343">
        <f t="shared" si="71"/>
        <v>11</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2012</v>
      </c>
      <c r="U344">
        <f>IF(connections!$A344="","",IFERROR(INDEX(games!$B$2:$B$847,MATCH(connections!$B344,games!$A$2:$A$847,0)),""))</f>
        <v>2014</v>
      </c>
      <c r="V344">
        <f t="shared" si="71"/>
        <v>2</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2012</v>
      </c>
      <c r="U345">
        <f>IF(connections!$A345="","",IFERROR(INDEX(games!$B$2:$B$847,MATCH(connections!$B345,games!$A$2:$A$847,0)),""))</f>
        <v>2018</v>
      </c>
      <c r="V345">
        <f t="shared" si="71"/>
        <v>6</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2012</v>
      </c>
      <c r="U346">
        <f>IF(connections!$A346="","",IFERROR(INDEX(games!$B$2:$B$847,MATCH(connections!$B346,games!$A$2:$A$847,0)),""))</f>
        <v>2024</v>
      </c>
      <c r="V346">
        <f t="shared" si="71"/>
        <v>12</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2012</v>
      </c>
      <c r="U347">
        <f>IF(connections!$A347="","",IFERROR(INDEX(games!$B$2:$B$847,MATCH(connections!$B347,games!$A$2:$A$847,0)),""))</f>
        <v>2020</v>
      </c>
      <c r="V347">
        <f t="shared" si="71"/>
        <v>8</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2012</v>
      </c>
      <c r="U348">
        <f>IF(connections!$A348="","",IFERROR(INDEX(games!$B$2:$B$847,MATCH(connections!$B348,games!$A$2:$A$847,0)),""))</f>
        <v>2014</v>
      </c>
      <c r="V348">
        <f t="shared" si="71"/>
        <v>2</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2012</v>
      </c>
      <c r="U349">
        <f>IF(connections!$A349="","",IFERROR(INDEX(games!$B$2:$B$847,MATCH(connections!$B349,games!$A$2:$A$847,0)),""))</f>
        <v>2017</v>
      </c>
      <c r="V349">
        <f t="shared" si="71"/>
        <v>5</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2012</v>
      </c>
      <c r="U350">
        <f>IF(connections!$A350="","",IFERROR(INDEX(games!$B$2:$B$847,MATCH(connections!$B350,games!$A$2:$A$847,0)),""))</f>
        <v>2021</v>
      </c>
      <c r="V350">
        <f t="shared" si="71"/>
        <v>9</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2012</v>
      </c>
      <c r="U351">
        <f>IF(connections!$A351="","",IFERROR(INDEX(games!$B$2:$B$847,MATCH(connections!$B351,games!$A$2:$A$847,0)),""))</f>
        <v>2018</v>
      </c>
      <c r="V351">
        <f t="shared" si="71"/>
        <v>6</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2012</v>
      </c>
      <c r="U352">
        <f>IF(connections!$A352="","",IFERROR(INDEX(games!$B$2:$B$847,MATCH(connections!$B352,games!$A$2:$A$847,0)),""))</f>
        <v>2024</v>
      </c>
      <c r="V352">
        <f t="shared" si="71"/>
        <v>12</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2012</v>
      </c>
      <c r="U353">
        <f>IF(connections!$A353="","",IFERROR(INDEX(games!$B$2:$B$847,MATCH(connections!$B353,games!$A$2:$A$847,0)),""))</f>
        <v>2015</v>
      </c>
      <c r="V353">
        <f t="shared" si="71"/>
        <v>3</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2012</v>
      </c>
      <c r="U354">
        <f>IF(connections!$A354="","",IFERROR(INDEX(games!$B$2:$B$847,MATCH(connections!$B354,games!$A$2:$A$847,0)),""))</f>
        <v>2019</v>
      </c>
      <c r="V354">
        <f t="shared" si="71"/>
        <v>7</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2012</v>
      </c>
      <c r="U355">
        <f>IF(connections!$A355="","",IFERROR(INDEX(games!$B$2:$B$847,MATCH(connections!$B355,games!$A$2:$A$847,0)),""))</f>
        <v>2020</v>
      </c>
      <c r="V355">
        <f t="shared" si="71"/>
        <v>8</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2012</v>
      </c>
      <c r="U356">
        <f>IF(connections!$A356="","",IFERROR(INDEX(games!$B$2:$B$847,MATCH(connections!$B356,games!$A$2:$A$847,0)),""))</f>
        <v>2014</v>
      </c>
      <c r="V356">
        <f t="shared" si="71"/>
        <v>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2012</v>
      </c>
      <c r="U357">
        <f>IF(connections!$A357="","",IFERROR(INDEX(games!$B$2:$B$847,MATCH(connections!$B357,games!$A$2:$A$847,0)),""))</f>
        <v>2014</v>
      </c>
      <c r="V357">
        <f t="shared" si="71"/>
        <v>2</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2012</v>
      </c>
      <c r="U358">
        <f>IF(connections!$A358="","",IFERROR(INDEX(games!$B$2:$B$847,MATCH(connections!$B358,games!$A$2:$A$847,0)),""))</f>
        <v>2024</v>
      </c>
      <c r="V358">
        <f t="shared" si="71"/>
        <v>12</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2012</v>
      </c>
      <c r="U359">
        <f>IF(connections!$A359="","",IFERROR(INDEX(games!$B$2:$B$847,MATCH(connections!$B359,games!$A$2:$A$847,0)),""))</f>
        <v>2025</v>
      </c>
      <c r="V359">
        <f t="shared" si="71"/>
        <v>13</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2012</v>
      </c>
      <c r="U360">
        <f>IF(connections!$A360="","",IFERROR(INDEX(games!$B$2:$B$847,MATCH(connections!$B360,games!$A$2:$A$847,0)),""))</f>
        <v>2017</v>
      </c>
      <c r="V360">
        <f t="shared" si="71"/>
        <v>5</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2012</v>
      </c>
      <c r="U361">
        <f>IF(connections!$A361="","",IFERROR(INDEX(games!$B$2:$B$847,MATCH(connections!$B361,games!$A$2:$A$847,0)),""))</f>
        <v>2018</v>
      </c>
      <c r="V361">
        <f t="shared" si="71"/>
        <v>6</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2012</v>
      </c>
      <c r="U362">
        <f>IF(connections!$A362="","",IFERROR(INDEX(games!$B$2:$B$847,MATCH(connections!$B362,games!$A$2:$A$847,0)),""))</f>
        <v>2016</v>
      </c>
      <c r="V362">
        <f t="shared" si="71"/>
        <v>4</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2015</v>
      </c>
      <c r="V363">
        <f t="shared" si="71"/>
        <v>3</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2016</v>
      </c>
      <c r="V364">
        <f t="shared" si="71"/>
        <v>4</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2022</v>
      </c>
      <c r="V365">
        <f t="shared" si="71"/>
        <v>10</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2021</v>
      </c>
      <c r="V366">
        <f t="shared" si="71"/>
        <v>9</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2019</v>
      </c>
      <c r="V367">
        <f t="shared" si="71"/>
        <v>7</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2024</v>
      </c>
      <c r="V369">
        <f t="shared" si="71"/>
        <v>12</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2010</v>
      </c>
      <c r="U371">
        <f>IF(connections!$A371="","",IFERROR(INDEX(games!$B$2:$B$847,MATCH(connections!$B371,games!$A$2:$A$847,0)),""))</f>
        <v>2010</v>
      </c>
      <c r="V371">
        <f t="shared" si="71"/>
        <v>0</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2010</v>
      </c>
      <c r="U372">
        <f>IF(connections!$A372="","",IFERROR(INDEX(games!$B$2:$B$847,MATCH(connections!$B372,games!$A$2:$A$847,0)),""))</f>
        <v>2011</v>
      </c>
      <c r="V372">
        <f t="shared" si="71"/>
        <v>1</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2010</v>
      </c>
      <c r="U373">
        <f>IF(connections!$A373="","",IFERROR(INDEX(games!$B$2:$B$847,MATCH(connections!$B373,games!$A$2:$A$847,0)),""))</f>
        <v>2011</v>
      </c>
      <c r="V373">
        <f t="shared" si="71"/>
        <v>1</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2010</v>
      </c>
      <c r="U374">
        <f>IF(connections!$A374="","",IFERROR(INDEX(games!$B$2:$B$847,MATCH(connections!$B374,games!$A$2:$A$847,0)),""))</f>
        <v>2010</v>
      </c>
      <c r="V374">
        <f t="shared" si="71"/>
        <v>0</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2014</v>
      </c>
      <c r="U375">
        <f>IF(connections!$A375="","",IFERROR(INDEX(games!$B$2:$B$847,MATCH(connections!$B375,games!$A$2:$A$847,0)),""))</f>
        <v>2024</v>
      </c>
      <c r="V375">
        <f t="shared" si="71"/>
        <v>10</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2002</v>
      </c>
      <c r="U376">
        <f>IF(connections!$A376="","",IFERROR(INDEX(games!$B$2:$B$847,MATCH(connections!$B376,games!$A$2:$A$847,0)),""))</f>
        <v>2007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2007</v>
      </c>
      <c r="U377">
        <f>IF(connections!$A377="","",IFERROR(INDEX(games!$B$2:$B$847,MATCH(connections!$B377,games!$A$2:$A$847,0)),""))</f>
        <v>2022</v>
      </c>
      <c r="V377">
        <f t="shared" si="71"/>
        <v>15</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2024</v>
      </c>
      <c r="U378">
        <f>IF(connections!$A378="","",IFERROR(INDEX(games!$B$2:$B$847,MATCH(connections!$B378,games!$A$2:$A$847,0)),""))</f>
        <v>2025</v>
      </c>
      <c r="V378">
        <f t="shared" si="71"/>
        <v>1</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2020</v>
      </c>
      <c r="U379">
        <f>IF(connections!$A379="","",IFERROR(INDEX(games!$B$2:$B$847,MATCH(connections!$B379,games!$A$2:$A$847,0)),""))</f>
        <v>2023</v>
      </c>
      <c r="V379">
        <f t="shared" si="71"/>
        <v>3</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2016</v>
      </c>
      <c r="U380">
        <f>IF(connections!$A380="","",IFERROR(INDEX(games!$B$2:$B$847,MATCH(connections!$B380,games!$A$2:$A$847,0)),""))</f>
        <v>2020</v>
      </c>
      <c r="V380">
        <f t="shared" si="71"/>
        <v>4</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2020</v>
      </c>
      <c r="U381">
        <f>IF(connections!$A381="","",IFERROR(INDEX(games!$B$2:$B$847,MATCH(connections!$B381,games!$A$2:$A$847,0)),""))</f>
        <v>2023</v>
      </c>
      <c r="V381">
        <f t="shared" si="71"/>
        <v>3</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2021</v>
      </c>
      <c r="U382">
        <f>IF(connections!$A382="","",IFERROR(INDEX(games!$B$2:$B$847,MATCH(connections!$B382,games!$A$2:$A$847,0)),""))</f>
        <v>2024</v>
      </c>
      <c r="V382">
        <f t="shared" si="71"/>
        <v>3</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2015</v>
      </c>
      <c r="U383">
        <f>IF(connections!$A383="","",IFERROR(INDEX(games!$B$2:$B$847,MATCH(connections!$B383,games!$A$2:$A$847,0)),""))</f>
        <v>2019</v>
      </c>
      <c r="V383">
        <f t="shared" si="71"/>
        <v>4</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2020</v>
      </c>
      <c r="U384">
        <f>IF(connections!$A384="","",IFERROR(INDEX(games!$B$2:$B$847,MATCH(connections!$B384,games!$A$2:$A$847,0)),""))</f>
        <v>2025</v>
      </c>
      <c r="V384">
        <f t="shared" si="71"/>
        <v>5</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2020</v>
      </c>
      <c r="U385">
        <f>IF(connections!$A385="","",IFERROR(INDEX(games!$B$2:$B$847,MATCH(connections!$B385,games!$A$2:$A$847,0)),""))</f>
        <v>2025</v>
      </c>
      <c r="V385">
        <f t="shared" si="71"/>
        <v>5</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2020</v>
      </c>
      <c r="U386">
        <f>IF(connections!$A386="","",IFERROR(INDEX(games!$B$2:$B$847,MATCH(connections!$B386,games!$A$2:$A$847,0)),""))</f>
        <v>2020</v>
      </c>
      <c r="V386">
        <f t="shared" ref="V386:V449" si="83">IF(OR($T386="",$U386=""),"",$U386-$T386)</f>
        <v>0</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2020</v>
      </c>
      <c r="U387">
        <f>IF(connections!$A387="","",IFERROR(INDEX(games!$B$2:$B$847,MATCH(connections!$B387,games!$A$2:$A$847,0)),""))</f>
        <v>2024</v>
      </c>
      <c r="V387">
        <f t="shared" si="83"/>
        <v>4</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2022</v>
      </c>
      <c r="U388">
        <f>IF(connections!$A388="","",IFERROR(INDEX(games!$B$2:$B$847,MATCH(connections!$B388,games!$A$2:$A$847,0)),""))</f>
        <v>2025</v>
      </c>
      <c r="V388">
        <f t="shared" si="83"/>
        <v>3</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1984</v>
      </c>
      <c r="U389">
        <f>IF(connections!$A389="","",IFERROR(INDEX(games!$B$2:$B$847,MATCH(connections!$B389,games!$A$2:$A$847,0)),""))</f>
        <v>1994</v>
      </c>
      <c r="V389">
        <f t="shared" si="83"/>
        <v>10</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1984</v>
      </c>
      <c r="U390">
        <f>IF(connections!$A390="","",IFERROR(INDEX(games!$B$2:$B$847,MATCH(connections!$B390,games!$A$2:$A$847,0)),""))</f>
        <v>2006</v>
      </c>
      <c r="V390">
        <f t="shared" si="83"/>
        <v>22</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1984</v>
      </c>
      <c r="U391">
        <f>IF(connections!$A391="","",IFERROR(INDEX(games!$B$2:$B$847,MATCH(connections!$B391,games!$A$2:$A$847,0)),""))</f>
        <v>2002</v>
      </c>
      <c r="V391">
        <f t="shared" si="83"/>
        <v>18</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1984</v>
      </c>
      <c r="U392">
        <f>IF(connections!$A392="","",IFERROR(INDEX(games!$B$2:$B$847,MATCH(connections!$B392,games!$A$2:$A$847,0)),""))</f>
        <v>2022</v>
      </c>
      <c r="V392">
        <f t="shared" si="83"/>
        <v>38</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1984</v>
      </c>
      <c r="U393">
        <f>IF(connections!$A393="","",IFERROR(INDEX(games!$B$2:$B$847,MATCH(connections!$B393,games!$A$2:$A$847,0)),""))</f>
        <v>2001</v>
      </c>
      <c r="V393">
        <f t="shared" si="83"/>
        <v>17</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1984</v>
      </c>
      <c r="U394">
        <f>IF(connections!$A394="","",IFERROR(INDEX(games!$B$2:$B$847,MATCH(connections!$B394,games!$A$2:$A$847,0)),""))</f>
        <v>1987</v>
      </c>
      <c r="V394">
        <f t="shared" si="83"/>
        <v>3</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2022</v>
      </c>
      <c r="U395">
        <f>IF(connections!$A395="","",IFERROR(INDEX(games!$B$2:$B$847,MATCH(connections!$B395,games!$A$2:$A$847,0)),""))</f>
        <v>2025</v>
      </c>
      <c r="V395">
        <f t="shared" si="83"/>
        <v>3</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2019</v>
      </c>
      <c r="U396">
        <f>IF(connections!$A396="","",IFERROR(INDEX(games!$B$2:$B$847,MATCH(connections!$B396,games!$A$2:$A$847,0)),""))</f>
        <v>2024</v>
      </c>
      <c r="V396">
        <f t="shared" si="83"/>
        <v>5</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2019</v>
      </c>
      <c r="U397">
        <f>IF(connections!$A397="","",IFERROR(INDEX(games!$B$2:$B$847,MATCH(connections!$B397,games!$A$2:$A$847,0)),""))</f>
        <v>2025</v>
      </c>
      <c r="V397">
        <f t="shared" si="83"/>
        <v>6</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2019</v>
      </c>
      <c r="U398">
        <f>IF(connections!$A398="","",IFERROR(INDEX(games!$B$2:$B$847,MATCH(connections!$B398,games!$A$2:$A$847,0)),""))</f>
        <v>2022</v>
      </c>
      <c r="V398">
        <f t="shared" si="83"/>
        <v>3</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2019</v>
      </c>
      <c r="U399">
        <f>IF(connections!$A399="","",IFERROR(INDEX(games!$B$2:$B$847,MATCH(connections!$B399,games!$A$2:$A$847,0)),""))</f>
        <v>2023</v>
      </c>
      <c r="V399">
        <f t="shared" si="83"/>
        <v>4</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2019</v>
      </c>
      <c r="U400">
        <f>IF(connections!$A400="","",IFERROR(INDEX(games!$B$2:$B$847,MATCH(connections!$B400,games!$A$2:$A$847,0)),""))</f>
        <v>2026</v>
      </c>
      <c r="V400">
        <f t="shared" si="83"/>
        <v>7</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2019</v>
      </c>
      <c r="U401">
        <f>IF(connections!$A401="","",IFERROR(INDEX(games!$B$2:$B$847,MATCH(connections!$B401,games!$A$2:$A$847,0)),""))</f>
        <v>2023</v>
      </c>
      <c r="V401">
        <f t="shared" si="83"/>
        <v>4</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2019</v>
      </c>
      <c r="U402">
        <f>IF(connections!$A402="","",IFERROR(INDEX(games!$B$2:$B$847,MATCH(connections!$B402,games!$A$2:$A$847,0)),""))</f>
        <v>2025</v>
      </c>
      <c r="V402">
        <f t="shared" si="83"/>
        <v>6</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2019</v>
      </c>
      <c r="U403">
        <f>IF(connections!$A403="","",IFERROR(INDEX(games!$B$2:$B$847,MATCH(connections!$B403,games!$A$2:$A$847,0)),""))</f>
        <v>2026</v>
      </c>
      <c r="V403">
        <f t="shared" si="83"/>
        <v>7</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2019</v>
      </c>
      <c r="U404">
        <f>IF(connections!$A404="","",IFERROR(INDEX(games!$B$2:$B$847,MATCH(connections!$B404,games!$A$2:$A$847,0)),""))</f>
        <v>2022</v>
      </c>
      <c r="V404">
        <f t="shared" si="83"/>
        <v>3</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2019</v>
      </c>
      <c r="U405">
        <f>IF(connections!$A405="","",IFERROR(INDEX(games!$B$2:$B$847,MATCH(connections!$B405,games!$A$2:$A$847,0)),""))</f>
        <v>2025</v>
      </c>
      <c r="V405">
        <f t="shared" si="83"/>
        <v>6</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2019</v>
      </c>
      <c r="U406">
        <f>IF(connections!$A406="","",IFERROR(INDEX(games!$B$2:$B$847,MATCH(connections!$B406,games!$A$2:$A$847,0)),""))</f>
        <v>2023</v>
      </c>
      <c r="V406">
        <f t="shared" si="83"/>
        <v>4</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2019</v>
      </c>
      <c r="U407">
        <f>IF(connections!$A407="","",IFERROR(INDEX(games!$B$2:$B$847,MATCH(connections!$B407,games!$A$2:$A$847,0)),""))</f>
        <v>2026</v>
      </c>
      <c r="V407">
        <f t="shared" si="83"/>
        <v>7</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2019</v>
      </c>
      <c r="U408">
        <f>IF(connections!$A408="","",IFERROR(INDEX(games!$B$2:$B$847,MATCH(connections!$B408,games!$A$2:$A$847,0)),""))</f>
        <v>2020</v>
      </c>
      <c r="V408">
        <f t="shared" si="83"/>
        <v>1</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2019</v>
      </c>
      <c r="U409">
        <f>IF(connections!$A409="","",IFERROR(INDEX(games!$B$2:$B$847,MATCH(connections!$B409,games!$A$2:$A$847,0)),""))</f>
        <v>2025</v>
      </c>
      <c r="V409">
        <f t="shared" si="83"/>
        <v>6</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2019</v>
      </c>
      <c r="U410">
        <f>IF(connections!$A410="","",IFERROR(INDEX(games!$B$2:$B$847,MATCH(connections!$B410,games!$A$2:$A$847,0)),""))</f>
        <v>2022</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2019</v>
      </c>
      <c r="U411">
        <f>IF(connections!$A411="","",IFERROR(INDEX(games!$B$2:$B$847,MATCH(connections!$B411,games!$A$2:$A$847,0)),""))</f>
        <v>2022</v>
      </c>
      <c r="V411">
        <f t="shared" si="83"/>
        <v>3</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2019</v>
      </c>
      <c r="U412">
        <f>IF(connections!$A412="","",IFERROR(INDEX(games!$B$2:$B$847,MATCH(connections!$B412,games!$A$2:$A$847,0)),""))</f>
        <v>2025</v>
      </c>
      <c r="V412">
        <f t="shared" si="83"/>
        <v>6</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2019</v>
      </c>
      <c r="U413">
        <f>IF(connections!$A413="","",IFERROR(INDEX(games!$B$2:$B$847,MATCH(connections!$B413,games!$A$2:$A$847,0)),""))</f>
        <v>2020</v>
      </c>
      <c r="V413">
        <f t="shared" si="83"/>
        <v>1</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2019</v>
      </c>
      <c r="U414">
        <f>IF(connections!$A414="","",IFERROR(INDEX(games!$B$2:$B$847,MATCH(connections!$B414,games!$A$2:$A$847,0)),""))</f>
        <v>2024</v>
      </c>
      <c r="V414">
        <f t="shared" si="83"/>
        <v>5</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2019</v>
      </c>
      <c r="U415">
        <f>IF(connections!$A415="","",IFERROR(INDEX(games!$B$2:$B$847,MATCH(connections!$B415,games!$A$2:$A$847,0)),""))</f>
        <v>2022</v>
      </c>
      <c r="V415">
        <f t="shared" si="83"/>
        <v>3</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2019</v>
      </c>
      <c r="U416">
        <f>IF(connections!$A416="","",IFERROR(INDEX(games!$B$2:$B$847,MATCH(connections!$B416,games!$A$2:$A$847,0)),""))</f>
        <v>2025</v>
      </c>
      <c r="V416">
        <f t="shared" si="83"/>
        <v>6</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2019</v>
      </c>
      <c r="U417">
        <f>IF(connections!$A417="","",IFERROR(INDEX(games!$B$2:$B$847,MATCH(connections!$B417,games!$A$2:$A$847,0)),""))</f>
        <v>2026</v>
      </c>
      <c r="V417">
        <f t="shared" si="83"/>
        <v>7</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2019</v>
      </c>
      <c r="U418">
        <f>IF(connections!$A418="","",IFERROR(INDEX(games!$B$2:$B$847,MATCH(connections!$B418,games!$A$2:$A$847,0)),""))</f>
        <v>2025</v>
      </c>
      <c r="V418">
        <f t="shared" si="83"/>
        <v>6</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2019</v>
      </c>
      <c r="U419">
        <f>IF(connections!$A419="","",IFERROR(INDEX(games!$B$2:$B$847,MATCH(connections!$B419,games!$A$2:$A$847,0)),""))</f>
        <v>2025</v>
      </c>
      <c r="V419">
        <f t="shared" si="83"/>
        <v>6</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2019</v>
      </c>
      <c r="U420">
        <f>IF(connections!$A420="","",IFERROR(INDEX(games!$B$2:$B$847,MATCH(connections!$B420,games!$A$2:$A$847,0)),""))</f>
        <v>2025</v>
      </c>
      <c r="V420">
        <f t="shared" si="83"/>
        <v>6</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2019</v>
      </c>
      <c r="U421">
        <f>IF(connections!$A421="","",IFERROR(INDEX(games!$B$2:$B$847,MATCH(connections!$B421,games!$A$2:$A$847,0)),""))</f>
        <v>2021</v>
      </c>
      <c r="V421">
        <f t="shared" si="83"/>
        <v>2</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2019</v>
      </c>
      <c r="U422">
        <f>IF(connections!$A422="","",IFERROR(INDEX(games!$B$2:$B$847,MATCH(connections!$B422,games!$A$2:$A$847,0)),""))</f>
        <v>2025</v>
      </c>
      <c r="V422">
        <f t="shared" si="83"/>
        <v>6</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2019</v>
      </c>
      <c r="U423">
        <f>IF(connections!$A423="","",IFERROR(INDEX(games!$B$2:$B$847,MATCH(connections!$B423,games!$A$2:$A$847,0)),""))</f>
        <v>2022</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2025</v>
      </c>
      <c r="V424">
        <f t="shared" si="83"/>
        <v>6</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2024</v>
      </c>
      <c r="V425">
        <f t="shared" si="83"/>
        <v>5</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2026</v>
      </c>
      <c r="V426">
        <f t="shared" si="83"/>
        <v>7</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2022</v>
      </c>
      <c r="V428">
        <f t="shared" si="83"/>
        <v>3</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2023</v>
      </c>
      <c r="V429">
        <f t="shared" si="83"/>
        <v>4</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2025</v>
      </c>
      <c r="V430">
        <f t="shared" si="83"/>
        <v>6</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2025</v>
      </c>
      <c r="V432">
        <f t="shared" si="83"/>
        <v>6</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2023</v>
      </c>
      <c r="V433">
        <f t="shared" si="83"/>
        <v>4</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2024</v>
      </c>
      <c r="V434">
        <f t="shared" si="83"/>
        <v>5</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2022</v>
      </c>
      <c r="V435">
        <f t="shared" si="83"/>
        <v>3</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2022</v>
      </c>
      <c r="V436">
        <f t="shared" si="83"/>
        <v>3</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2024</v>
      </c>
      <c r="V437">
        <f t="shared" si="83"/>
        <v>5</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2024</v>
      </c>
      <c r="V439">
        <f t="shared" si="83"/>
        <v>5</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2023</v>
      </c>
      <c r="U440">
        <f>IF(connections!$A440="","",IFERROR(INDEX(games!$B$2:$B$847,MATCH(connections!$B440,games!$A$2:$A$847,0)),""))</f>
        <v>2024</v>
      </c>
      <c r="V440">
        <f t="shared" si="83"/>
        <v>1</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2023</v>
      </c>
      <c r="U441">
        <f>IF(connections!$A441="","",IFERROR(INDEX(games!$B$2:$B$847,MATCH(connections!$B441,games!$A$2:$A$847,0)),""))</f>
        <v>2026</v>
      </c>
      <c r="V441">
        <f t="shared" si="83"/>
        <v>3</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2023</v>
      </c>
      <c r="U442">
        <f>IF(connections!$A442="","",IFERROR(INDEX(games!$B$2:$B$847,MATCH(connections!$B442,games!$A$2:$A$847,0)),""))</f>
        <v>2025</v>
      </c>
      <c r="V442">
        <f t="shared" si="83"/>
        <v>2</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2014</v>
      </c>
      <c r="U443">
        <f>IF(connections!$A443="","",IFERROR(INDEX(games!$B$2:$B$847,MATCH(connections!$B443,games!$A$2:$A$847,0)),""))</f>
        <v>2017</v>
      </c>
      <c r="V443">
        <f t="shared" si="83"/>
        <v>3</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2014</v>
      </c>
      <c r="U444">
        <f>IF(connections!$A444="","",IFERROR(INDEX(games!$B$2:$B$847,MATCH(connections!$B444,games!$A$2:$A$847,0)),""))</f>
        <v>2026</v>
      </c>
      <c r="V444">
        <f t="shared" si="83"/>
        <v>12</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2018</v>
      </c>
      <c r="U445">
        <f>IF(connections!$A445="","",IFERROR(INDEX(games!$B$2:$B$847,MATCH(connections!$B445,games!$A$2:$A$847,0)),""))</f>
        <v>2025</v>
      </c>
      <c r="V445">
        <f t="shared" si="83"/>
        <v>7</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2018</v>
      </c>
      <c r="U446">
        <f>IF(connections!$A446="","",IFERROR(INDEX(games!$B$2:$B$847,MATCH(connections!$B446,games!$A$2:$A$847,0)),""))</f>
        <v>2025</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2018</v>
      </c>
      <c r="U447">
        <f>IF(connections!$A447="","",IFERROR(INDEX(games!$B$2:$B$847,MATCH(connections!$B447,games!$A$2:$A$847,0)),""))</f>
        <v>2024</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2013</v>
      </c>
      <c r="U448">
        <f>IF(connections!$A448="","",IFERROR(INDEX(games!$B$2:$B$847,MATCH(connections!$B448,games!$A$2:$A$847,0)),""))</f>
        <v>2012</v>
      </c>
      <c r="V448">
        <f t="shared" si="83"/>
        <v>-1</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2013</v>
      </c>
      <c r="U449">
        <f>IF(connections!$A449="","",IFERROR(INDEX(games!$B$2:$B$847,MATCH(connections!$B449,games!$A$2:$A$847,0)),""))</f>
        <v>2018</v>
      </c>
      <c r="V449">
        <f t="shared" si="83"/>
        <v>5</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2007</v>
      </c>
      <c r="U450">
        <f>IF(connections!$A450="","",IFERROR(INDEX(games!$B$2:$B$847,MATCH(connections!$B450,games!$A$2:$A$847,0)),""))</f>
        <v>2014</v>
      </c>
      <c r="V450">
        <f t="shared" ref="V450:V513" si="95">IF(OR($T450="",$U450=""),"",$U450-$T450)</f>
        <v>7</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2021</v>
      </c>
      <c r="U451">
        <f>IF(connections!$A451="","",IFERROR(INDEX(games!$B$2:$B$847,MATCH(connections!$B451,games!$A$2:$A$847,0)),""))</f>
        <v>2022</v>
      </c>
      <c r="V451">
        <f t="shared" si="95"/>
        <v>1</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2021</v>
      </c>
      <c r="U452">
        <f>IF(connections!$A452="","",IFERROR(INDEX(games!$B$2:$B$847,MATCH(connections!$B452,games!$A$2:$A$847,0)),""))</f>
        <v>2026</v>
      </c>
      <c r="V452">
        <f t="shared" si="95"/>
        <v>5</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2021</v>
      </c>
      <c r="U453">
        <f>IF(connections!$A453="","",IFERROR(INDEX(games!$B$2:$B$847,MATCH(connections!$B453,games!$A$2:$A$847,0)),""))</f>
        <v>2023</v>
      </c>
      <c r="V453">
        <f t="shared" si="95"/>
        <v>2</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2021</v>
      </c>
      <c r="U454">
        <f>IF(connections!$A454="","",IFERROR(INDEX(games!$B$2:$B$847,MATCH(connections!$B454,games!$A$2:$A$847,0)),""))</f>
        <v>2026</v>
      </c>
      <c r="V454">
        <f t="shared" si="95"/>
        <v>5</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2021</v>
      </c>
      <c r="U455">
        <f>IF(connections!$A455="","",IFERROR(INDEX(games!$B$2:$B$847,MATCH(connections!$B455,games!$A$2:$A$847,0)),""))</f>
        <v>2025</v>
      </c>
      <c r="V455">
        <f t="shared" si="95"/>
        <v>4</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2021</v>
      </c>
      <c r="U456">
        <f>IF(connections!$A456="","",IFERROR(INDEX(games!$B$2:$B$847,MATCH(connections!$B456,games!$A$2:$A$847,0)),""))</f>
        <v>2025</v>
      </c>
      <c r="V456">
        <f t="shared" si="95"/>
        <v>4</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2021</v>
      </c>
      <c r="U457">
        <f>IF(connections!$A457="","",IFERROR(INDEX(games!$B$2:$B$847,MATCH(connections!$B457,games!$A$2:$A$847,0)),""))</f>
        <v>2025</v>
      </c>
      <c r="V457">
        <f t="shared" si="95"/>
        <v>4</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2021</v>
      </c>
      <c r="U458">
        <f>IF(connections!$A458="","",IFERROR(INDEX(games!$B$2:$B$847,MATCH(connections!$B458,games!$A$2:$A$847,0)),""))</f>
        <v>2022</v>
      </c>
      <c r="V458">
        <f t="shared" si="95"/>
        <v>1</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2021</v>
      </c>
      <c r="U459">
        <f>IF(connections!$A459="","",IFERROR(INDEX(games!$B$2:$B$847,MATCH(connections!$B459,games!$A$2:$A$847,0)),""))</f>
        <v>2025</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2021</v>
      </c>
      <c r="U460">
        <f>IF(connections!$A460="","",IFERROR(INDEX(games!$B$2:$B$847,MATCH(connections!$B460,games!$A$2:$A$847,0)),""))</f>
        <v>2025</v>
      </c>
      <c r="V460">
        <f t="shared" si="95"/>
        <v>4</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2018</v>
      </c>
      <c r="U461">
        <f>IF(connections!$A461="","",IFERROR(INDEX(games!$B$2:$B$847,MATCH(connections!$B461,games!$A$2:$A$847,0)),""))</f>
        <v>2022</v>
      </c>
      <c r="V461">
        <f t="shared" si="95"/>
        <v>4</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2018</v>
      </c>
      <c r="U462">
        <f>IF(connections!$A462="","",IFERROR(INDEX(games!$B$2:$B$847,MATCH(connections!$B462,games!$A$2:$A$847,0)),""))</f>
        <v>2024</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2018</v>
      </c>
      <c r="U463">
        <f>IF(connections!$A463="","",IFERROR(INDEX(games!$B$2:$B$847,MATCH(connections!$B463,games!$A$2:$A$847,0)),""))</f>
        <v>2022</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2018</v>
      </c>
      <c r="U464">
        <f>IF(connections!$A464="","",IFERROR(INDEX(games!$B$2:$B$847,MATCH(connections!$B464,games!$A$2:$A$847,0)),""))</f>
        <v>2026</v>
      </c>
      <c r="V464">
        <f t="shared" si="95"/>
        <v>8</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2018</v>
      </c>
      <c r="U465">
        <f>IF(connections!$A465="","",IFERROR(INDEX(games!$B$2:$B$847,MATCH(connections!$B465,games!$A$2:$A$847,0)),""))</f>
        <v>2026</v>
      </c>
      <c r="V465">
        <f t="shared" si="95"/>
        <v>8</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2018</v>
      </c>
      <c r="U466">
        <f>IF(connections!$A466="","",IFERROR(INDEX(games!$B$2:$B$847,MATCH(connections!$B466,games!$A$2:$A$847,0)),""))</f>
        <v>2023</v>
      </c>
      <c r="V466">
        <f t="shared" si="95"/>
        <v>5</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2018</v>
      </c>
      <c r="U467">
        <f>IF(connections!$A467="","",IFERROR(INDEX(games!$B$2:$B$847,MATCH(connections!$B467,games!$A$2:$A$847,0)),""))</f>
        <v>2024</v>
      </c>
      <c r="V467">
        <f t="shared" si="95"/>
        <v>6</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2018</v>
      </c>
      <c r="U468">
        <f>IF(connections!$A468="","",IFERROR(INDEX(games!$B$2:$B$847,MATCH(connections!$B468,games!$A$2:$A$847,0)),""))</f>
        <v>2023</v>
      </c>
      <c r="V468">
        <f t="shared" si="95"/>
        <v>5</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2018</v>
      </c>
      <c r="U469">
        <f>IF(connections!$A469="","",IFERROR(INDEX(games!$B$2:$B$847,MATCH(connections!$B469,games!$A$2:$A$847,0)),""))</f>
        <v>2021</v>
      </c>
      <c r="V469">
        <f t="shared" si="95"/>
        <v>3</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2018</v>
      </c>
      <c r="U470">
        <f>IF(connections!$A470="","",IFERROR(INDEX(games!$B$2:$B$847,MATCH(connections!$B470,games!$A$2:$A$847,0)),""))</f>
        <v>2026</v>
      </c>
      <c r="V470">
        <f t="shared" si="95"/>
        <v>8</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2018</v>
      </c>
      <c r="U471">
        <f>IF(connections!$A471="","",IFERROR(INDEX(games!$B$2:$B$847,MATCH(connections!$B471,games!$A$2:$A$847,0)),""))</f>
        <v>2024</v>
      </c>
      <c r="V471">
        <f t="shared" si="95"/>
        <v>6</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2018</v>
      </c>
      <c r="U472">
        <f>IF(connections!$A472="","",IFERROR(INDEX(games!$B$2:$B$847,MATCH(connections!$B472,games!$A$2:$A$847,0)),""))</f>
        <v>2021</v>
      </c>
      <c r="V472">
        <f t="shared" si="95"/>
        <v>3</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2018</v>
      </c>
      <c r="U473">
        <f>IF(connections!$A473="","",IFERROR(INDEX(games!$B$2:$B$847,MATCH(connections!$B473,games!$A$2:$A$847,0)),""))</f>
        <v>2024</v>
      </c>
      <c r="V473">
        <f t="shared" si="95"/>
        <v>6</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2018</v>
      </c>
      <c r="U474">
        <f>IF(connections!$A474="","",IFERROR(INDEX(games!$B$2:$B$847,MATCH(connections!$B474,games!$A$2:$A$847,0)),""))</f>
        <v>2023</v>
      </c>
      <c r="V474">
        <f t="shared" si="95"/>
        <v>5</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2023</v>
      </c>
      <c r="V475">
        <f t="shared" si="95"/>
        <v>5</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2022</v>
      </c>
      <c r="V476">
        <f t="shared" si="95"/>
        <v>4</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2021</v>
      </c>
      <c r="V477">
        <f t="shared" si="95"/>
        <v>3</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2018</v>
      </c>
      <c r="U478">
        <f>IF(connections!$A478="","",IFERROR(INDEX(games!$B$2:$B$847,MATCH(connections!$B478,games!$A$2:$A$847,0)),""))</f>
        <v>2023</v>
      </c>
      <c r="V478">
        <f t="shared" si="95"/>
        <v>5</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2001</v>
      </c>
      <c r="U479">
        <f>IF(connections!$A479="","",IFERROR(INDEX(games!$B$2:$B$847,MATCH(connections!$B479,games!$A$2:$A$847,0)),""))</f>
        <v>2015</v>
      </c>
      <c r="V479">
        <f t="shared" si="95"/>
        <v>14</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2006</v>
      </c>
      <c r="U480">
        <f>IF(connections!$A480="","",IFERROR(INDEX(games!$B$2:$B$847,MATCH(connections!$B480,games!$A$2:$A$847,0)),""))</f>
        <v>2007</v>
      </c>
      <c r="V480">
        <f t="shared" si="95"/>
        <v>1</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2016</v>
      </c>
      <c r="U481">
        <f>IF(connections!$A481="","",IFERROR(INDEX(games!$B$2:$B$847,MATCH(connections!$B481,games!$A$2:$A$847,0)),""))</f>
        <v>2022</v>
      </c>
      <c r="V481">
        <f t="shared" si="95"/>
        <v>6</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2016</v>
      </c>
      <c r="U482">
        <f>IF(connections!$A482="","",IFERROR(INDEX(games!$B$2:$B$847,MATCH(connections!$B482,games!$A$2:$A$847,0)),""))</f>
        <v>2024</v>
      </c>
      <c r="V482">
        <f t="shared" si="95"/>
        <v>8</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2016</v>
      </c>
      <c r="U483">
        <f>IF(connections!$A483="","",IFERROR(INDEX(games!$B$2:$B$847,MATCH(connections!$B483,games!$A$2:$A$847,0)),""))</f>
        <v>2019</v>
      </c>
      <c r="V483">
        <f t="shared" si="95"/>
        <v>3</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1995</v>
      </c>
      <c r="U484">
        <f>IF(connections!$A484="","",IFERROR(INDEX(games!$B$2:$B$847,MATCH(connections!$B484,games!$A$2:$A$847,0)),""))</f>
        <v>2006</v>
      </c>
      <c r="V484">
        <f t="shared" si="95"/>
        <v>11</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1995</v>
      </c>
      <c r="U485">
        <f>IF(connections!$A485="","",IFERROR(INDEX(games!$B$2:$B$847,MATCH(connections!$B485,games!$A$2:$A$847,0)),""))</f>
        <v>2006</v>
      </c>
      <c r="V485">
        <f t="shared" si="95"/>
        <v>11</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1995</v>
      </c>
      <c r="U486">
        <f>IF(connections!$A486="","",IFERROR(INDEX(games!$B$2:$B$847,MATCH(connections!$B486,games!$A$2:$A$847,0)),""))</f>
        <v>2003</v>
      </c>
      <c r="V486">
        <f t="shared" si="95"/>
        <v>8</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1995</v>
      </c>
      <c r="U487">
        <f>IF(connections!$A487="","",IFERROR(INDEX(games!$B$2:$B$847,MATCH(connections!$B487,games!$A$2:$A$847,0)),""))</f>
        <v>2002</v>
      </c>
      <c r="V487">
        <f t="shared" si="95"/>
        <v>7</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2023</v>
      </c>
      <c r="V488">
        <f t="shared" si="95"/>
        <v>2</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2025</v>
      </c>
      <c r="V489">
        <f t="shared" si="95"/>
        <v>4</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2026</v>
      </c>
      <c r="V490">
        <f t="shared" si="95"/>
        <v>5</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2001</v>
      </c>
      <c r="U491">
        <f>IF(connections!$A491="","",IFERROR(INDEX(games!$B$2:$B$847,MATCH(connections!$B491,games!$A$2:$A$847,0)),""))</f>
        <v>2017</v>
      </c>
      <c r="V491">
        <f t="shared" si="95"/>
        <v>16</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2021</v>
      </c>
      <c r="U492">
        <f>IF(connections!$A492="","",IFERROR(INDEX(games!$B$2:$B$847,MATCH(connections!$B492,games!$A$2:$A$847,0)),""))</f>
        <v>2022</v>
      </c>
      <c r="V492">
        <f t="shared" si="95"/>
        <v>1</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2021</v>
      </c>
      <c r="U493">
        <f>IF(connections!$A493="","",IFERROR(INDEX(games!$B$2:$B$847,MATCH(connections!$B493,games!$A$2:$A$847,0)),""))</f>
        <v>2023</v>
      </c>
      <c r="V493">
        <f t="shared" si="95"/>
        <v>2</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2021</v>
      </c>
      <c r="U494">
        <f>IF(connections!$A494="","",IFERROR(INDEX(games!$B$2:$B$847,MATCH(connections!$B494,games!$A$2:$A$847,0)),""))</f>
        <v>2024</v>
      </c>
      <c r="V494">
        <f t="shared" si="95"/>
        <v>3</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2021</v>
      </c>
      <c r="U495">
        <f>IF(connections!$A495="","",IFERROR(INDEX(games!$B$2:$B$847,MATCH(connections!$B495,games!$A$2:$A$847,0)),""))</f>
        <v>2024</v>
      </c>
      <c r="V495">
        <f t="shared" si="95"/>
        <v>3</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2021</v>
      </c>
      <c r="U496">
        <f>IF(connections!$A496="","",IFERROR(INDEX(games!$B$2:$B$847,MATCH(connections!$B496,games!$A$2:$A$847,0)),""))</f>
        <v>2026</v>
      </c>
      <c r="V496">
        <f t="shared" si="95"/>
        <v>5</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2021</v>
      </c>
      <c r="U497">
        <f>IF(connections!$A497="","",IFERROR(INDEX(games!$B$2:$B$847,MATCH(connections!$B497,games!$A$2:$A$847,0)),""))</f>
        <v>2024</v>
      </c>
      <c r="V497">
        <f t="shared" si="95"/>
        <v>3</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2021</v>
      </c>
      <c r="U498">
        <f>IF(connections!$A498="","",IFERROR(INDEX(games!$B$2:$B$847,MATCH(connections!$B498,games!$A$2:$A$847,0)),""))</f>
        <v>2023</v>
      </c>
      <c r="V498">
        <f t="shared" si="95"/>
        <v>2</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2021</v>
      </c>
      <c r="U499">
        <f>IF(connections!$A499="","",IFERROR(INDEX(games!$B$2:$B$847,MATCH(connections!$B499,games!$A$2:$A$847,0)),""))</f>
        <v>2024</v>
      </c>
      <c r="V499">
        <f t="shared" si="95"/>
        <v>3</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2021</v>
      </c>
      <c r="U500">
        <f>IF(connections!$A500="","",IFERROR(INDEX(games!$B$2:$B$847,MATCH(connections!$B500,games!$A$2:$A$847,0)),""))</f>
        <v>2024</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2021</v>
      </c>
      <c r="U501">
        <f>IF(connections!$A501="","",IFERROR(INDEX(games!$B$2:$B$847,MATCH(connections!$B501,games!$A$2:$A$847,0)),""))</f>
        <v>2024</v>
      </c>
      <c r="V501">
        <f t="shared" si="95"/>
        <v>3</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2021</v>
      </c>
      <c r="U502">
        <f>IF(connections!$A502="","",IFERROR(INDEX(games!$B$2:$B$847,MATCH(connections!$B502,games!$A$2:$A$847,0)),""))</f>
        <v>2023</v>
      </c>
      <c r="V502">
        <f t="shared" si="95"/>
        <v>2</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2021</v>
      </c>
      <c r="U503">
        <f>IF(connections!$A503="","",IFERROR(INDEX(games!$B$2:$B$847,MATCH(connections!$B503,games!$A$2:$A$847,0)),""))</f>
        <v>2023</v>
      </c>
      <c r="V503">
        <f t="shared" si="95"/>
        <v>2</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2021</v>
      </c>
      <c r="U504">
        <f>IF(connections!$A504="","",IFERROR(INDEX(games!$B$2:$B$847,MATCH(connections!$B504,games!$A$2:$A$847,0)),""))</f>
        <v>2026</v>
      </c>
      <c r="V504">
        <f t="shared" si="95"/>
        <v>5</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2021</v>
      </c>
      <c r="U505">
        <f>IF(connections!$A505="","",IFERROR(INDEX(games!$B$2:$B$847,MATCH(connections!$B505,games!$A$2:$A$847,0)),""))</f>
        <v>2025</v>
      </c>
      <c r="V505">
        <f t="shared" si="95"/>
        <v>4</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2021</v>
      </c>
      <c r="U506">
        <f>IF(connections!$A506="","",IFERROR(INDEX(games!$B$2:$B$847,MATCH(connections!$B506,games!$A$2:$A$847,0)),""))</f>
        <v>2021</v>
      </c>
      <c r="V506">
        <f t="shared" si="95"/>
        <v>0</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2021</v>
      </c>
      <c r="U507">
        <f>IF(connections!$A507="","",IFERROR(INDEX(games!$B$2:$B$847,MATCH(connections!$B507,games!$A$2:$A$847,0)),""))</f>
        <v>2025</v>
      </c>
      <c r="V507">
        <f t="shared" si="95"/>
        <v>4</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2021</v>
      </c>
      <c r="U508">
        <f>IF(connections!$A508="","",IFERROR(INDEX(games!$B$2:$B$847,MATCH(connections!$B508,games!$A$2:$A$847,0)),""))</f>
        <v>2024</v>
      </c>
      <c r="V508">
        <f t="shared" si="95"/>
        <v>3</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2021</v>
      </c>
      <c r="U509">
        <f>IF(connections!$A509="","",IFERROR(INDEX(games!$B$2:$B$847,MATCH(connections!$B509,games!$A$2:$A$847,0)),""))</f>
        <v>2025</v>
      </c>
      <c r="V509">
        <f t="shared" si="95"/>
        <v>4</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2021</v>
      </c>
      <c r="U510">
        <f>IF(connections!$A510="","",IFERROR(INDEX(games!$B$2:$B$847,MATCH(connections!$B510,games!$A$2:$A$847,0)),""))</f>
        <v>2025</v>
      </c>
      <c r="V510">
        <f t="shared" si="95"/>
        <v>4</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2019</v>
      </c>
      <c r="U511">
        <f>IF(connections!$A511="","",IFERROR(INDEX(games!$B$2:$B$847,MATCH(connections!$B511,games!$A$2:$A$847,0)),""))</f>
        <v>2021</v>
      </c>
      <c r="V511">
        <f t="shared" si="95"/>
        <v>2</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2023</v>
      </c>
      <c r="U512">
        <f>IF(connections!$A512="","",IFERROR(INDEX(games!$B$2:$B$847,MATCH(connections!$B512,games!$A$2:$A$847,0)),""))</f>
        <v>2025</v>
      </c>
      <c r="V512">
        <f t="shared" si="95"/>
        <v>2</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2024</v>
      </c>
      <c r="U513">
        <f>IF(connections!$A513="","",IFERROR(INDEX(games!$B$2:$B$847,MATCH(connections!$B513,games!$A$2:$A$847,0)),""))</f>
        <v>2026</v>
      </c>
      <c r="V513">
        <f t="shared" si="95"/>
        <v>2</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2012</v>
      </c>
      <c r="U514">
        <f>IF(connections!$A514="","",IFERROR(INDEX(games!$B$2:$B$847,MATCH(connections!$B514,games!$A$2:$A$847,0)),""))</f>
        <v>2021</v>
      </c>
      <c r="V514">
        <f t="shared" ref="V514:V577" si="107">IF(OR($T514="",$U514=""),"",$U514-$T514)</f>
        <v>9</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2011</v>
      </c>
      <c r="U515">
        <f>IF(connections!$A515="","",IFERROR(INDEX(games!$B$2:$B$847,MATCH(connections!$B515,games!$A$2:$A$847,0)),""))</f>
        <v>2014</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2011</v>
      </c>
      <c r="U516">
        <f>IF(connections!$A516="","",IFERROR(INDEX(games!$B$2:$B$847,MATCH(connections!$B516,games!$A$2:$A$847,0)),""))</f>
        <v>2012</v>
      </c>
      <c r="V516">
        <f t="shared" si="107"/>
        <v>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2002</v>
      </c>
      <c r="U517">
        <f>IF(connections!$A517="","",IFERROR(INDEX(games!$B$2:$B$847,MATCH(connections!$B517,games!$A$2:$A$847,0)),""))</f>
        <v>2023</v>
      </c>
      <c r="V517">
        <f t="shared" si="107"/>
        <v>21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2002</v>
      </c>
      <c r="U518">
        <f>IF(connections!$A518="","",IFERROR(INDEX(games!$B$2:$B$847,MATCH(connections!$B518,games!$A$2:$A$847,0)),""))</f>
        <v>2003</v>
      </c>
      <c r="V518">
        <f t="shared" si="107"/>
        <v>1</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2020</v>
      </c>
      <c r="U519">
        <f>IF(connections!$A519="","",IFERROR(INDEX(games!$B$2:$B$847,MATCH(connections!$B519,games!$A$2:$A$847,0)),""))</f>
        <v>2022</v>
      </c>
      <c r="V519">
        <f t="shared" si="107"/>
        <v>2</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2017</v>
      </c>
      <c r="U520">
        <f>IF(connections!$A520="","",IFERROR(INDEX(games!$B$2:$B$847,MATCH(connections!$B520,games!$A$2:$A$847,0)),""))</f>
        <v>2019</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2020</v>
      </c>
      <c r="U521">
        <f>IF(connections!$A521="","",IFERROR(INDEX(games!$B$2:$B$847,MATCH(connections!$B521,games!$A$2:$A$847,0)),""))</f>
        <v>2023</v>
      </c>
      <c r="V521">
        <f t="shared" si="107"/>
        <v>3</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2020</v>
      </c>
      <c r="U522">
        <f>IF(connections!$A522="","",IFERROR(INDEX(games!$B$2:$B$847,MATCH(connections!$B522,games!$A$2:$A$847,0)),""))</f>
        <v>2025</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2020</v>
      </c>
      <c r="U523">
        <f>IF(connections!$A523="","",IFERROR(INDEX(games!$B$2:$B$847,MATCH(connections!$B523,games!$A$2:$A$847,0)),""))</f>
        <v>2024</v>
      </c>
      <c r="V523">
        <f t="shared" si="107"/>
        <v>4</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2020</v>
      </c>
      <c r="U524">
        <f>IF(connections!$A524="","",IFERROR(INDEX(games!$B$2:$B$847,MATCH(connections!$B524,games!$A$2:$A$847,0)),""))</f>
        <v>2023</v>
      </c>
      <c r="V524">
        <f t="shared" si="107"/>
        <v>3</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2020</v>
      </c>
      <c r="U525">
        <f>IF(connections!$A525="","",IFERROR(INDEX(games!$B$2:$B$847,MATCH(connections!$B525,games!$A$2:$A$847,0)),""))</f>
        <v>2025</v>
      </c>
      <c r="V525">
        <f t="shared" si="107"/>
        <v>5</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2020</v>
      </c>
      <c r="U526">
        <f>IF(connections!$A526="","",IFERROR(INDEX(games!$B$2:$B$847,MATCH(connections!$B526,games!$A$2:$A$847,0)),""))</f>
        <v>2024</v>
      </c>
      <c r="V526">
        <f t="shared" si="107"/>
        <v>4</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2020</v>
      </c>
      <c r="U527">
        <f>IF(connections!$A527="","",IFERROR(INDEX(games!$B$2:$B$847,MATCH(connections!$B527,games!$A$2:$A$847,0)),""))</f>
        <v>2022</v>
      </c>
      <c r="V527">
        <f t="shared" si="107"/>
        <v>2</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2020</v>
      </c>
      <c r="U528">
        <f>IF(connections!$A528="","",IFERROR(INDEX(games!$B$2:$B$847,MATCH(connections!$B528,games!$A$2:$A$847,0)),""))</f>
        <v>2025</v>
      </c>
      <c r="V528">
        <f t="shared" si="107"/>
        <v>5</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2020</v>
      </c>
      <c r="U529">
        <f>IF(connections!$A529="","",IFERROR(INDEX(games!$B$2:$B$847,MATCH(connections!$B529,games!$A$2:$A$847,0)),""))</f>
        <v>2023</v>
      </c>
      <c r="V529">
        <f t="shared" si="107"/>
        <v>3</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2020</v>
      </c>
      <c r="U530">
        <f>IF(connections!$A530="","",IFERROR(INDEX(games!$B$2:$B$847,MATCH(connections!$B530,games!$A$2:$A$847,0)),""))</f>
        <v>2023</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2016</v>
      </c>
      <c r="U531">
        <f>IF(connections!$A531="","",IFERROR(INDEX(games!$B$2:$B$847,MATCH(connections!$B531,games!$A$2:$A$847,0)),""))</f>
        <v>2021</v>
      </c>
      <c r="V531">
        <f t="shared" si="107"/>
        <v>5</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2018</v>
      </c>
      <c r="U532">
        <f>IF(connections!$A532="","",IFERROR(INDEX(games!$B$2:$B$847,MATCH(connections!$B532,games!$A$2:$A$847,0)),""))</f>
        <v>2025</v>
      </c>
      <c r="V532">
        <f t="shared" si="107"/>
        <v>7</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1983</v>
      </c>
      <c r="U533">
        <f>IF(connections!$A533="","",IFERROR(INDEX(games!$B$2:$B$847,MATCH(connections!$B533,games!$A$2:$A$847,0)),""))</f>
        <v>1990</v>
      </c>
      <c r="V533">
        <f t="shared" si="107"/>
        <v>7</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1983</v>
      </c>
      <c r="U534">
        <f>IF(connections!$A534="","",IFERROR(INDEX(games!$B$2:$B$847,MATCH(connections!$B534,games!$A$2:$A$847,0)),""))</f>
        <v>1996</v>
      </c>
      <c r="V534">
        <f t="shared" si="107"/>
        <v>13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1983</v>
      </c>
      <c r="U535">
        <f>IF(connections!$A535="","",IFERROR(INDEX(games!$B$2:$B$847,MATCH(connections!$B535,games!$A$2:$A$847,0)),""))</f>
        <v>2003</v>
      </c>
      <c r="V535">
        <f t="shared" si="107"/>
        <v>20</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2018</v>
      </c>
      <c r="U536">
        <f>IF(connections!$A536="","",IFERROR(INDEX(games!$B$2:$B$847,MATCH(connections!$B536,games!$A$2:$A$847,0)),""))</f>
        <v>2022</v>
      </c>
      <c r="V536">
        <f t="shared" si="107"/>
        <v>4</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2011</v>
      </c>
      <c r="U537">
        <f>IF(connections!$A537="","",IFERROR(INDEX(games!$B$2:$B$847,MATCH(connections!$B537,games!$A$2:$A$847,0)),""))</f>
        <v>2014</v>
      </c>
      <c r="V537">
        <f t="shared" si="107"/>
        <v>3</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2026</v>
      </c>
      <c r="V538">
        <f t="shared" si="107"/>
        <v>5</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1995</v>
      </c>
      <c r="U539">
        <f>IF(connections!$A539="","",IFERROR(INDEX(games!$B$2:$B$847,MATCH(connections!$B539,games!$A$2:$A$847,0)),""))</f>
        <v>2010</v>
      </c>
      <c r="V539">
        <f t="shared" si="107"/>
        <v>15</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1995</v>
      </c>
      <c r="U540">
        <f>IF(connections!$A540="","",IFERROR(INDEX(games!$B$2:$B$847,MATCH(connections!$B540,games!$A$2:$A$847,0)),""))</f>
        <v>2023</v>
      </c>
      <c r="V540">
        <f t="shared" si="107"/>
        <v>28</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1995</v>
      </c>
      <c r="U541">
        <f>IF(connections!$A541="","",IFERROR(INDEX(games!$B$2:$B$847,MATCH(connections!$B541,games!$A$2:$A$847,0)),""))</f>
        <v>2025</v>
      </c>
      <c r="V541">
        <f t="shared" si="107"/>
        <v>30</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1995</v>
      </c>
      <c r="U542">
        <f>IF(connections!$A542="","",IFERROR(INDEX(games!$B$2:$B$847,MATCH(connections!$B542,games!$A$2:$A$847,0)),""))</f>
        <v>2014</v>
      </c>
      <c r="V542">
        <f t="shared" si="107"/>
        <v>19</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1995</v>
      </c>
      <c r="U543">
        <f>IF(connections!$A543="","",IFERROR(INDEX(games!$B$2:$B$847,MATCH(connections!$B543,games!$A$2:$A$847,0)),""))</f>
        <v>2000</v>
      </c>
      <c r="V543">
        <f t="shared" si="107"/>
        <v>5</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1995</v>
      </c>
      <c r="U544">
        <f>IF(connections!$A544="","",IFERROR(INDEX(games!$B$2:$B$847,MATCH(connections!$B544,games!$A$2:$A$847,0)),""))</f>
        <v>1996</v>
      </c>
      <c r="V544">
        <f t="shared" si="107"/>
        <v>1</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1995</v>
      </c>
      <c r="U545">
        <f>IF(connections!$A545="","",IFERROR(INDEX(games!$B$2:$B$847,MATCH(connections!$B545,games!$A$2:$A$847,0)),""))</f>
        <v>2017</v>
      </c>
      <c r="V545">
        <f t="shared" si="107"/>
        <v>22</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2022</v>
      </c>
      <c r="U546">
        <f>IF(connections!$A546="","",IFERROR(INDEX(games!$B$2:$B$847,MATCH(connections!$B546,games!$A$2:$A$847,0)),""))</f>
        <v>2024</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2022</v>
      </c>
      <c r="U547">
        <f>IF(connections!$A547="","",IFERROR(INDEX(games!$B$2:$B$847,MATCH(connections!$B547,games!$A$2:$A$847,0)),""))</f>
        <v>2024</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2019</v>
      </c>
      <c r="U548">
        <f>IF(connections!$A548="","",IFERROR(INDEX(games!$B$2:$B$847,MATCH(connections!$B548,games!$A$2:$A$847,0)),""))</f>
        <v>2025</v>
      </c>
      <c r="V548">
        <f t="shared" si="107"/>
        <v>6</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1987</v>
      </c>
      <c r="U549">
        <f>IF(connections!$A549="","",IFERROR(INDEX(games!$B$2:$B$847,MATCH(connections!$B549,games!$A$2:$A$847,0)),""))</f>
        <v>2015</v>
      </c>
      <c r="V549">
        <f t="shared" si="107"/>
        <v>28</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1987</v>
      </c>
      <c r="U550">
        <f>IF(connections!$A550="","",IFERROR(INDEX(games!$B$2:$B$847,MATCH(connections!$B550,games!$A$2:$A$847,0)),""))</f>
        <v>2014</v>
      </c>
      <c r="V550">
        <f t="shared" si="107"/>
        <v>27</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1987</v>
      </c>
      <c r="U551">
        <f>IF(connections!$A551="","",IFERROR(INDEX(games!$B$2:$B$847,MATCH(connections!$B551,games!$A$2:$A$847,0)),""))</f>
        <v>1996</v>
      </c>
      <c r="V551">
        <f t="shared" si="107"/>
        <v>9</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1987</v>
      </c>
      <c r="U552">
        <f>IF(connections!$A552="","",IFERROR(INDEX(games!$B$2:$B$847,MATCH(connections!$B552,games!$A$2:$A$847,0)),""))</f>
        <v>2003</v>
      </c>
      <c r="V552">
        <f t="shared" si="107"/>
        <v>16</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1987</v>
      </c>
      <c r="U553">
        <f>IF(connections!$A553="","",IFERROR(INDEX(games!$B$2:$B$847,MATCH(connections!$B553,games!$A$2:$A$847,0)),""))</f>
        <v>2011</v>
      </c>
      <c r="V553">
        <f t="shared" si="107"/>
        <v>24</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1987</v>
      </c>
      <c r="U554">
        <f>IF(connections!$A554="","",IFERROR(INDEX(games!$B$2:$B$847,MATCH(connections!$B554,games!$A$2:$A$847,0)),""))</f>
        <v>2008</v>
      </c>
      <c r="V554">
        <f t="shared" si="107"/>
        <v>21</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1987</v>
      </c>
      <c r="U555">
        <f>IF(connections!$A555="","",IFERROR(INDEX(games!$B$2:$B$847,MATCH(connections!$B555,games!$A$2:$A$847,0)),""))</f>
        <v>2018</v>
      </c>
      <c r="V555">
        <f t="shared" si="107"/>
        <v>31</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1987</v>
      </c>
      <c r="U556">
        <f>IF(connections!$A556="","",IFERROR(INDEX(games!$B$2:$B$847,MATCH(connections!$B556,games!$A$2:$A$847,0)),""))</f>
        <v>2006</v>
      </c>
      <c r="V556">
        <f t="shared" si="107"/>
        <v>19</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1987</v>
      </c>
      <c r="U557">
        <f>IF(connections!$A557="","",IFERROR(INDEX(games!$B$2:$B$847,MATCH(connections!$B557,games!$A$2:$A$847,0)),""))</f>
        <v>2020</v>
      </c>
      <c r="V557">
        <f t="shared" si="107"/>
        <v>33</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1987</v>
      </c>
      <c r="U558">
        <f>IF(connections!$A558="","",IFERROR(INDEX(games!$B$2:$B$847,MATCH(connections!$B558,games!$A$2:$A$847,0)),""))</f>
        <v>2017</v>
      </c>
      <c r="V558">
        <f t="shared" si="107"/>
        <v>30</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1987</v>
      </c>
      <c r="U559">
        <f>IF(connections!$A559="","",IFERROR(INDEX(games!$B$2:$B$847,MATCH(connections!$B559,games!$A$2:$A$847,0)),""))</f>
        <v>2012</v>
      </c>
      <c r="V559">
        <f t="shared" si="107"/>
        <v>25</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1987</v>
      </c>
      <c r="U560">
        <f>IF(connections!$A560="","",IFERROR(INDEX(games!$B$2:$B$847,MATCH(connections!$B560,games!$A$2:$A$847,0)),""))</f>
        <v>2007</v>
      </c>
      <c r="V560">
        <f t="shared" si="107"/>
        <v>20</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1987</v>
      </c>
      <c r="U561">
        <f>IF(connections!$A561="","",IFERROR(INDEX(games!$B$2:$B$847,MATCH(connections!$B561,games!$A$2:$A$847,0)),""))</f>
        <v>2001</v>
      </c>
      <c r="V561">
        <f t="shared" si="107"/>
        <v>14</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1987</v>
      </c>
      <c r="U562">
        <f>IF(connections!$A562="","",IFERROR(INDEX(games!$B$2:$B$847,MATCH(connections!$B562,games!$A$2:$A$847,0)),""))</f>
        <v>2015</v>
      </c>
      <c r="V562">
        <f t="shared" si="107"/>
        <v>28</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1987</v>
      </c>
      <c r="U563">
        <f>IF(connections!$A563="","",IFERROR(INDEX(games!$B$2:$B$847,MATCH(connections!$B563,games!$A$2:$A$847,0)),""))</f>
        <v>2006</v>
      </c>
      <c r="V563">
        <f t="shared" si="107"/>
        <v>19</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1987</v>
      </c>
      <c r="U564">
        <f>IF(connections!$A564="","",IFERROR(INDEX(games!$B$2:$B$847,MATCH(connections!$B564,games!$A$2:$A$847,0)),""))</f>
        <v>1995</v>
      </c>
      <c r="V564">
        <f t="shared" si="107"/>
        <v>8</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1987</v>
      </c>
      <c r="U565">
        <f>IF(connections!$A565="","",IFERROR(INDEX(games!$B$2:$B$847,MATCH(connections!$B565,games!$A$2:$A$847,0)),""))</f>
        <v>2019</v>
      </c>
      <c r="V565">
        <f t="shared" si="107"/>
        <v>32</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1987</v>
      </c>
      <c r="U566">
        <f>IF(connections!$A566="","",IFERROR(INDEX(games!$B$2:$B$847,MATCH(connections!$B566,games!$A$2:$A$847,0)),""))</f>
        <v>2023</v>
      </c>
      <c r="V566">
        <f t="shared" si="107"/>
        <v>36</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1987</v>
      </c>
      <c r="U567">
        <f>IF(connections!$A567="","",IFERROR(INDEX(games!$B$2:$B$847,MATCH(connections!$B567,games!$A$2:$A$847,0)),""))</f>
        <v>2015</v>
      </c>
      <c r="V567">
        <f t="shared" si="107"/>
        <v>28</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1987</v>
      </c>
      <c r="U568">
        <f>IF(connections!$A568="","",IFERROR(INDEX(games!$B$2:$B$847,MATCH(connections!$B568,games!$A$2:$A$847,0)),""))</f>
        <v>2003</v>
      </c>
      <c r="V568">
        <f t="shared" si="107"/>
        <v>16</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1987</v>
      </c>
      <c r="U569">
        <f>IF(connections!$A569="","",IFERROR(INDEX(games!$B$2:$B$847,MATCH(connections!$B569,games!$A$2:$A$847,0)),""))</f>
        <v>1992</v>
      </c>
      <c r="V569">
        <f t="shared" si="107"/>
        <v>5</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1987</v>
      </c>
      <c r="U570">
        <f>IF(connections!$A570="","",IFERROR(INDEX(games!$B$2:$B$847,MATCH(connections!$B570,games!$A$2:$A$847,0)),""))</f>
        <v>2020</v>
      </c>
      <c r="V570">
        <f t="shared" si="107"/>
        <v>33</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1987</v>
      </c>
      <c r="U571">
        <f>IF(connections!$A571="","",IFERROR(INDEX(games!$B$2:$B$847,MATCH(connections!$B571,games!$A$2:$A$847,0)),""))</f>
        <v>2006</v>
      </c>
      <c r="V571">
        <f t="shared" si="107"/>
        <v>19</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1987</v>
      </c>
      <c r="U572">
        <f>IF(connections!$A572="","",IFERROR(INDEX(games!$B$2:$B$847,MATCH(connections!$B572,games!$A$2:$A$847,0)),""))</f>
        <v>2008</v>
      </c>
      <c r="V572">
        <f t="shared" si="107"/>
        <v>21</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1987</v>
      </c>
      <c r="U573">
        <f>IF(connections!$A573="","",IFERROR(INDEX(games!$B$2:$B$847,MATCH(connections!$B573,games!$A$2:$A$847,0)),""))</f>
        <v>2002</v>
      </c>
      <c r="V573">
        <f t="shared" si="107"/>
        <v>15</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1987</v>
      </c>
      <c r="U574">
        <f>IF(connections!$A574="","",IFERROR(INDEX(games!$B$2:$B$847,MATCH(connections!$B574,games!$A$2:$A$847,0)),""))</f>
        <v>2013</v>
      </c>
      <c r="V574">
        <f t="shared" si="107"/>
        <v>26</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1987</v>
      </c>
      <c r="U575">
        <f>IF(connections!$A575="","",IFERROR(INDEX(games!$B$2:$B$847,MATCH(connections!$B575,games!$A$2:$A$847,0)),""))</f>
        <v>1992</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1987</v>
      </c>
      <c r="U576">
        <f>IF(connections!$A576="","",IFERROR(INDEX(games!$B$2:$B$847,MATCH(connections!$B576,games!$A$2:$A$847,0)),""))</f>
        <v>2012</v>
      </c>
      <c r="V576">
        <f t="shared" si="107"/>
        <v>25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2024</v>
      </c>
      <c r="U577">
        <f>IF(connections!$A577="","",IFERROR(INDEX(games!$B$2:$B$847,MATCH(connections!$B577,games!$A$2:$A$847,0)),""))</f>
        <v>2026</v>
      </c>
      <c r="V577">
        <f t="shared" si="107"/>
        <v>2</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2019</v>
      </c>
      <c r="U578">
        <f>IF(connections!$A578="","",IFERROR(INDEX(games!$B$2:$B$847,MATCH(connections!$B578,games!$A$2:$A$847,0)),""))</f>
        <v>2025</v>
      </c>
      <c r="V578">
        <f t="shared" ref="V578:V641" si="119">IF(OR($T578="",$U578=""),"",$U578-$T578)</f>
        <v>6</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2019</v>
      </c>
      <c r="U579">
        <f>IF(connections!$A579="","",IFERROR(INDEX(games!$B$2:$B$847,MATCH(connections!$B579,games!$A$2:$A$847,0)),""))</f>
        <v>2023</v>
      </c>
      <c r="V579">
        <f t="shared" si="119"/>
        <v>4</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2019</v>
      </c>
      <c r="U580">
        <f>IF(connections!$A580="","",IFERROR(INDEX(games!$B$2:$B$847,MATCH(connections!$B580,games!$A$2:$A$847,0)),""))</f>
        <v>2026</v>
      </c>
      <c r="V580">
        <f t="shared" si="119"/>
        <v>7</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2019</v>
      </c>
      <c r="U581">
        <f>IF(connections!$A581="","",IFERROR(INDEX(games!$B$2:$B$847,MATCH(connections!$B581,games!$A$2:$A$847,0)),""))</f>
        <v>2024</v>
      </c>
      <c r="V581">
        <f t="shared" si="119"/>
        <v>5</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2019</v>
      </c>
      <c r="U582">
        <f>IF(connections!$A582="","",IFERROR(INDEX(games!$B$2:$B$847,MATCH(connections!$B582,games!$A$2:$A$847,0)),""))</f>
        <v>2024</v>
      </c>
      <c r="V582">
        <f t="shared" si="119"/>
        <v>5</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2024</v>
      </c>
      <c r="U583">
        <f>IF(connections!$A583="","",IFERROR(INDEX(games!$B$2:$B$847,MATCH(connections!$B583,games!$A$2:$A$847,0)),""))</f>
        <v>2026</v>
      </c>
      <c r="V583">
        <f t="shared" si="119"/>
        <v>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2015</v>
      </c>
      <c r="U584">
        <f>IF(connections!$A584="","",IFERROR(INDEX(games!$B$2:$B$847,MATCH(connections!$B584,games!$A$2:$A$847,0)),""))</f>
        <v>2023</v>
      </c>
      <c r="V584">
        <f t="shared" si="119"/>
        <v>8</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2015</v>
      </c>
      <c r="U585">
        <f>IF(connections!$A585="","",IFERROR(INDEX(games!$B$2:$B$847,MATCH(connections!$B585,games!$A$2:$A$847,0)),""))</f>
        <v>2025</v>
      </c>
      <c r="V585">
        <f t="shared" si="119"/>
        <v>10</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2015</v>
      </c>
      <c r="U586">
        <f>IF(connections!$A586="","",IFERROR(INDEX(games!$B$2:$B$847,MATCH(connections!$B586,games!$A$2:$A$847,0)),""))</f>
        <v>2020</v>
      </c>
      <c r="V586">
        <f t="shared" si="119"/>
        <v>5</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2015</v>
      </c>
      <c r="U587">
        <f>IF(connections!$A587="","",IFERROR(INDEX(games!$B$2:$B$847,MATCH(connections!$B587,games!$A$2:$A$847,0)),""))</f>
        <v>2019</v>
      </c>
      <c r="V587">
        <f t="shared" si="119"/>
        <v>4</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2015</v>
      </c>
      <c r="U588">
        <f>IF(connections!$A588="","",IFERROR(INDEX(games!$B$2:$B$847,MATCH(connections!$B588,games!$A$2:$A$847,0)),""))</f>
        <v>2020</v>
      </c>
      <c r="V588">
        <f t="shared" si="119"/>
        <v>5</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2015</v>
      </c>
      <c r="U589">
        <f>IF(connections!$A589="","",IFERROR(INDEX(games!$B$2:$B$847,MATCH(connections!$B589,games!$A$2:$A$847,0)),""))</f>
        <v>2020</v>
      </c>
      <c r="V589">
        <f t="shared" si="119"/>
        <v>5</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2015</v>
      </c>
      <c r="U590">
        <f>IF(connections!$A590="","",IFERROR(INDEX(games!$B$2:$B$847,MATCH(connections!$B590,games!$A$2:$A$847,0)),""))</f>
        <v>2016</v>
      </c>
      <c r="V590">
        <f t="shared" si="119"/>
        <v>1</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2015</v>
      </c>
      <c r="U591">
        <f>IF(connections!$A591="","",IFERROR(INDEX(games!$B$2:$B$847,MATCH(connections!$B591,games!$A$2:$A$847,0)),""))</f>
        <v>2016</v>
      </c>
      <c r="V591">
        <f t="shared" si="119"/>
        <v>1</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2015</v>
      </c>
      <c r="U592">
        <f>IF(connections!$A592="","",IFERROR(INDEX(games!$B$2:$B$847,MATCH(connections!$B592,games!$A$2:$A$847,0)),""))</f>
        <v>2017</v>
      </c>
      <c r="V592">
        <f t="shared" si="119"/>
        <v>2</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2015</v>
      </c>
      <c r="U593">
        <f>IF(connections!$A593="","",IFERROR(INDEX(games!$B$2:$B$847,MATCH(connections!$B593,games!$A$2:$A$847,0)),""))</f>
        <v>2023</v>
      </c>
      <c r="V593">
        <f t="shared" si="119"/>
        <v>8</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2015</v>
      </c>
      <c r="U594">
        <f>IF(connections!$A594="","",IFERROR(INDEX(games!$B$2:$B$847,MATCH(connections!$B594,games!$A$2:$A$847,0)),""))</f>
        <v>2022</v>
      </c>
      <c r="V594">
        <f t="shared" si="119"/>
        <v>7</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2015</v>
      </c>
      <c r="U595">
        <f>IF(connections!$A595="","",IFERROR(INDEX(games!$B$2:$B$847,MATCH(connections!$B595,games!$A$2:$A$847,0)),""))</f>
        <v>2025</v>
      </c>
      <c r="V595">
        <f t="shared" si="119"/>
        <v>10</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2015</v>
      </c>
      <c r="U596">
        <f>IF(connections!$A596="","",IFERROR(INDEX(games!$B$2:$B$847,MATCH(connections!$B596,games!$A$2:$A$847,0)),""))</f>
        <v>2020</v>
      </c>
      <c r="V596">
        <f t="shared" si="119"/>
        <v>5</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2015</v>
      </c>
      <c r="U597">
        <f>IF(connections!$A597="","",IFERROR(INDEX(games!$B$2:$B$847,MATCH(connections!$B597,games!$A$2:$A$847,0)),""))</f>
        <v>2024</v>
      </c>
      <c r="V597">
        <f t="shared" si="119"/>
        <v>9</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2015</v>
      </c>
      <c r="U598">
        <f>IF(connections!$A598="","",IFERROR(INDEX(games!$B$2:$B$847,MATCH(connections!$B598,games!$A$2:$A$847,0)),""))</f>
        <v>2022</v>
      </c>
      <c r="V598">
        <f t="shared" si="119"/>
        <v>7</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2015</v>
      </c>
      <c r="U599">
        <f>IF(connections!$A599="","",IFERROR(INDEX(games!$B$2:$B$847,MATCH(connections!$B599,games!$A$2:$A$847,0)),""))</f>
        <v>2020</v>
      </c>
      <c r="V599">
        <f t="shared" si="119"/>
        <v>5</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2015</v>
      </c>
      <c r="U600">
        <f>IF(connections!$A600="","",IFERROR(INDEX(games!$B$2:$B$847,MATCH(connections!$B600,games!$A$2:$A$847,0)),""))</f>
        <v>2024</v>
      </c>
      <c r="V600">
        <f t="shared" si="119"/>
        <v>9</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2015</v>
      </c>
      <c r="U601">
        <f>IF(connections!$A601="","",IFERROR(INDEX(games!$B$2:$B$847,MATCH(connections!$B601,games!$A$2:$A$847,0)),""))</f>
        <v>2019</v>
      </c>
      <c r="V601">
        <f t="shared" si="119"/>
        <v>4</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2015</v>
      </c>
      <c r="U602">
        <f>IF(connections!$A602="","",IFERROR(INDEX(games!$B$2:$B$847,MATCH(connections!$B602,games!$A$2:$A$847,0)),""))</f>
        <v>2022</v>
      </c>
      <c r="V602">
        <f t="shared" si="119"/>
        <v>7</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2015</v>
      </c>
      <c r="U603">
        <f>IF(connections!$A603="","",IFERROR(INDEX(games!$B$2:$B$847,MATCH(connections!$B603,games!$A$2:$A$847,0)),""))</f>
        <v>2023</v>
      </c>
      <c r="V603">
        <f t="shared" si="119"/>
        <v>8</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2007</v>
      </c>
      <c r="V604">
        <f t="shared" si="119"/>
        <v>20</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2015</v>
      </c>
      <c r="V605">
        <f t="shared" si="119"/>
        <v>28</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1992</v>
      </c>
      <c r="V606">
        <f t="shared" si="119"/>
        <v>5</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2015</v>
      </c>
      <c r="U607">
        <f>IF(connections!$A607="","",IFERROR(INDEX(games!$B$2:$B$847,MATCH(connections!$B607,games!$A$2:$A$847,0)),""))</f>
        <v>2017</v>
      </c>
      <c r="V607">
        <f t="shared" si="119"/>
        <v>2</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2017</v>
      </c>
      <c r="U608">
        <f>IF(connections!$A608="","",IFERROR(INDEX(games!$B$2:$B$847,MATCH(connections!$B608,games!$A$2:$A$847,0)),""))</f>
        <v>2019</v>
      </c>
      <c r="V608">
        <f t="shared" si="119"/>
        <v>2</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2014</v>
      </c>
      <c r="U609">
        <f>IF(connections!$A609="","",IFERROR(INDEX(games!$B$2:$B$847,MATCH(connections!$B609,games!$A$2:$A$847,0)),""))</f>
        <v>2016</v>
      </c>
      <c r="V609">
        <f t="shared" si="119"/>
        <v>2</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2021</v>
      </c>
      <c r="U610">
        <f>IF(connections!$A610="","",IFERROR(INDEX(games!$B$2:$B$847,MATCH(connections!$B610,games!$A$2:$A$847,0)),""))</f>
        <v>2024</v>
      </c>
      <c r="V610">
        <f t="shared" si="119"/>
        <v>3</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2021</v>
      </c>
      <c r="U611">
        <f>IF(connections!$A611="","",IFERROR(INDEX(games!$B$2:$B$847,MATCH(connections!$B611,games!$A$2:$A$847,0)),""))</f>
        <v>2023</v>
      </c>
      <c r="V611">
        <f t="shared" si="119"/>
        <v>2</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2022</v>
      </c>
      <c r="U612">
        <f>IF(connections!$A612="","",IFERROR(INDEX(games!$B$2:$B$847,MATCH(connections!$B612,games!$A$2:$A$847,0)),""))</f>
        <v>2025</v>
      </c>
      <c r="V612">
        <f t="shared" si="119"/>
        <v>3</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2022</v>
      </c>
      <c r="U613">
        <f>IF(connections!$A613="","",IFERROR(INDEX(games!$B$2:$B$847,MATCH(connections!$B613,games!$A$2:$A$847,0)),""))</f>
        <v>2024</v>
      </c>
      <c r="V613">
        <f t="shared" si="119"/>
        <v>2</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2022</v>
      </c>
      <c r="U614">
        <f>IF(connections!$A614="","",IFERROR(INDEX(games!$B$2:$B$847,MATCH(connections!$B614,games!$A$2:$A$847,0)),""))</f>
        <v>2026</v>
      </c>
      <c r="V614">
        <f t="shared" si="119"/>
        <v>4</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2022</v>
      </c>
      <c r="U615">
        <f>IF(connections!$A615="","",IFERROR(INDEX(games!$B$2:$B$847,MATCH(connections!$B615,games!$A$2:$A$847,0)),""))</f>
        <v>2025</v>
      </c>
      <c r="V615">
        <f t="shared" si="119"/>
        <v>3</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2012</v>
      </c>
      <c r="U616">
        <f>IF(connections!$A616="","",IFERROR(INDEX(games!$B$2:$B$847,MATCH(connections!$B616,games!$A$2:$A$847,0)),""))</f>
        <v>2019</v>
      </c>
      <c r="V616">
        <f t="shared" si="119"/>
        <v>7</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2012</v>
      </c>
      <c r="U617">
        <f>IF(connections!$A617="","",IFERROR(INDEX(games!$B$2:$B$847,MATCH(connections!$B617,games!$A$2:$A$847,0)),""))</f>
        <v>2014</v>
      </c>
      <c r="V617">
        <f t="shared" si="119"/>
        <v>2</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2021</v>
      </c>
      <c r="U618">
        <f>IF(connections!$A618="","",IFERROR(INDEX(games!$B$2:$B$847,MATCH(connections!$B618,games!$A$2:$A$847,0)),""))</f>
        <v>2026</v>
      </c>
      <c r="V618">
        <f t="shared" si="119"/>
        <v>5</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2007</v>
      </c>
      <c r="U619">
        <f>IF(connections!$A619="","",IFERROR(INDEX(games!$B$2:$B$847,MATCH(connections!$B619,games!$A$2:$A$847,0)),""))</f>
        <v>2009</v>
      </c>
      <c r="V619">
        <f t="shared" si="119"/>
        <v>2</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2005</v>
      </c>
      <c r="U620">
        <f>IF(connections!$A620="","",IFERROR(INDEX(games!$B$2:$B$847,MATCH(connections!$B620,games!$A$2:$A$847,0)),""))</f>
        <v>2025</v>
      </c>
      <c r="V620">
        <f t="shared" si="119"/>
        <v>20</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2005</v>
      </c>
      <c r="U621">
        <f>IF(connections!$A621="","",IFERROR(INDEX(games!$B$2:$B$847,MATCH(connections!$B621,games!$A$2:$A$847,0)),""))</f>
        <v>2007</v>
      </c>
      <c r="V621">
        <f t="shared" si="119"/>
        <v>2</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2005</v>
      </c>
      <c r="U622">
        <f>IF(connections!$A622="","",IFERROR(INDEX(games!$B$2:$B$847,MATCH(connections!$B622,games!$A$2:$A$847,0)),""))</f>
        <v>2012</v>
      </c>
      <c r="V622">
        <f t="shared" si="119"/>
        <v>7</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2005</v>
      </c>
      <c r="U623">
        <f>IF(connections!$A623="","",IFERROR(INDEX(games!$B$2:$B$847,MATCH(connections!$B623,games!$A$2:$A$847,0)),""))</f>
        <v>2020</v>
      </c>
      <c r="V623">
        <f t="shared" si="119"/>
        <v>15</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2005</v>
      </c>
      <c r="U624">
        <f>IF(connections!$A624="","",IFERROR(INDEX(games!$B$2:$B$847,MATCH(connections!$B624,games!$A$2:$A$847,0)),""))</f>
        <v>2015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2024</v>
      </c>
      <c r="U625">
        <f>IF(connections!$A625="","",IFERROR(INDEX(games!$B$2:$B$847,MATCH(connections!$B625,games!$A$2:$A$847,0)),""))</f>
        <v>2025</v>
      </c>
      <c r="V625">
        <f t="shared" si="119"/>
        <v>1</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2020</v>
      </c>
      <c r="U626">
        <f>IF(connections!$A626="","",IFERROR(INDEX(games!$B$2:$B$847,MATCH(connections!$B626,games!$A$2:$A$847,0)),""))</f>
        <v>2023</v>
      </c>
      <c r="V626">
        <f t="shared" si="119"/>
        <v>3</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2003</v>
      </c>
      <c r="U627">
        <f>IF(connections!$A627="","",IFERROR(INDEX(games!$B$2:$B$847,MATCH(connections!$B627,games!$A$2:$A$847,0)),""))</f>
        <v>2010</v>
      </c>
      <c r="V627">
        <f t="shared" si="119"/>
        <v>7</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2003</v>
      </c>
      <c r="U628">
        <f>IF(connections!$A628="","",IFERROR(INDEX(games!$B$2:$B$847,MATCH(connections!$B628,games!$A$2:$A$847,0)),""))</f>
        <v>2015</v>
      </c>
      <c r="V628">
        <f t="shared" si="119"/>
        <v>12</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2003</v>
      </c>
      <c r="U629">
        <f>IF(connections!$A629="","",IFERROR(INDEX(games!$B$2:$B$847,MATCH(connections!$B629,games!$A$2:$A$847,0)),""))</f>
        <v>2017</v>
      </c>
      <c r="V629">
        <f t="shared" si="119"/>
        <v>14</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2003</v>
      </c>
      <c r="U630">
        <f>IF(connections!$A630="","",IFERROR(INDEX(games!$B$2:$B$847,MATCH(connections!$B630,games!$A$2:$A$847,0)),""))</f>
        <v>2014</v>
      </c>
      <c r="V630">
        <f t="shared" si="119"/>
        <v>11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2003</v>
      </c>
      <c r="U631">
        <f>IF(connections!$A631="","",IFERROR(INDEX(games!$B$2:$B$847,MATCH(connections!$B631,games!$A$2:$A$847,0)),""))</f>
        <v>2011</v>
      </c>
      <c r="V631">
        <f t="shared" si="119"/>
        <v>8</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1992</v>
      </c>
      <c r="U632">
        <f>IF(connections!$A632="","",IFERROR(INDEX(games!$B$2:$B$847,MATCH(connections!$B632,games!$A$2:$A$847,0)),""))</f>
        <v>2012</v>
      </c>
      <c r="V632">
        <f t="shared" si="119"/>
        <v>20</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2023</v>
      </c>
      <c r="U633">
        <f>IF(connections!$A633="","",IFERROR(INDEX(games!$B$2:$B$847,MATCH(connections!$B633,games!$A$2:$A$847,0)),""))</f>
        <v>2025</v>
      </c>
      <c r="V633">
        <f t="shared" si="119"/>
        <v>2</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2010</v>
      </c>
      <c r="U634">
        <f>IF(connections!$A634="","",IFERROR(INDEX(games!$B$2:$B$847,MATCH(connections!$B634,games!$A$2:$A$847,0)),""))</f>
        <v>2026</v>
      </c>
      <c r="V634">
        <f t="shared" si="119"/>
        <v>16</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2010</v>
      </c>
      <c r="U635">
        <f>IF(connections!$A635="","",IFERROR(INDEX(games!$B$2:$B$847,MATCH(connections!$B635,games!$A$2:$A$847,0)),""))</f>
        <v>2023</v>
      </c>
      <c r="V635">
        <f t="shared" si="119"/>
        <v>13</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2023</v>
      </c>
      <c r="U636">
        <f>IF(connections!$A636="","",IFERROR(INDEX(games!$B$2:$B$847,MATCH(connections!$B636,games!$A$2:$A$847,0)),""))</f>
        <v>2026</v>
      </c>
      <c r="V636">
        <f t="shared" si="119"/>
        <v>3</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2023</v>
      </c>
      <c r="U637">
        <f>IF(connections!$A637="","",IFERROR(INDEX(games!$B$2:$B$847,MATCH(connections!$B637,games!$A$2:$A$847,0)),""))</f>
        <v>2025</v>
      </c>
      <c r="V637">
        <f t="shared" si="119"/>
        <v>2</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2020</v>
      </c>
      <c r="U638">
        <f>IF(connections!$A638="","",IFERROR(INDEX(games!$B$2:$B$847,MATCH(connections!$B638,games!$A$2:$A$847,0)),""))</f>
        <v>2023</v>
      </c>
      <c r="V638">
        <f t="shared" si="119"/>
        <v>3</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2020</v>
      </c>
      <c r="U639">
        <f>IF(connections!$A639="","",IFERROR(INDEX(games!$B$2:$B$847,MATCH(connections!$B639,games!$A$2:$A$847,0)),""))</f>
        <v>2024</v>
      </c>
      <c r="V639">
        <f t="shared" si="119"/>
        <v>4</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2024</v>
      </c>
      <c r="U640">
        <f>IF(connections!$A640="","",IFERROR(INDEX(games!$B$2:$B$847,MATCH(connections!$B640,games!$A$2:$A$847,0)),""))</f>
        <v>2026</v>
      </c>
      <c r="V640">
        <f t="shared" si="119"/>
        <v>2</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2020</v>
      </c>
      <c r="U641">
        <f>IF(connections!$A641="","",IFERROR(INDEX(games!$B$2:$B$847,MATCH(connections!$B641,games!$A$2:$A$847,0)),""))</f>
        <v>2026</v>
      </c>
      <c r="V641">
        <f t="shared" si="119"/>
        <v>6</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2017</v>
      </c>
      <c r="U642">
        <f>IF(connections!$A642="","",IFERROR(INDEX(games!$B$2:$B$847,MATCH(connections!$B642,games!$A$2:$A$847,0)),""))</f>
        <v>2020</v>
      </c>
      <c r="V642">
        <f t="shared" ref="V642:V705" si="131">IF(OR($T642="",$U642=""),"",$U642-$T642)</f>
        <v>3</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2013</v>
      </c>
      <c r="U643">
        <f>IF(connections!$A643="","",IFERROR(INDEX(games!$B$2:$B$847,MATCH(connections!$B643,games!$A$2:$A$847,0)),""))</f>
        <v>2018</v>
      </c>
      <c r="V643">
        <f t="shared" si="131"/>
        <v>5</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2013</v>
      </c>
      <c r="U644">
        <f>IF(connections!$A644="","",IFERROR(INDEX(games!$B$2:$B$847,MATCH(connections!$B644,games!$A$2:$A$847,0)),""))</f>
        <v>2016</v>
      </c>
      <c r="V644">
        <f t="shared" si="131"/>
        <v>3</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2013</v>
      </c>
      <c r="U645">
        <f>IF(connections!$A645="","",IFERROR(INDEX(games!$B$2:$B$847,MATCH(connections!$B645,games!$A$2:$A$847,0)),""))</f>
        <v>2022</v>
      </c>
      <c r="V645">
        <f t="shared" si="131"/>
        <v>9</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2013</v>
      </c>
      <c r="U646">
        <f>IF(connections!$A646="","",IFERROR(INDEX(games!$B$2:$B$847,MATCH(connections!$B646,games!$A$2:$A$847,0)),""))</f>
        <v>2020</v>
      </c>
      <c r="V646">
        <f t="shared" si="131"/>
        <v>7</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2013</v>
      </c>
      <c r="U647">
        <f>IF(connections!$A647="","",IFERROR(INDEX(games!$B$2:$B$847,MATCH(connections!$B647,games!$A$2:$A$847,0)),""))</f>
        <v>2023</v>
      </c>
      <c r="V647">
        <f t="shared" si="131"/>
        <v>10</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2013</v>
      </c>
      <c r="U648">
        <f>IF(connections!$A648="","",IFERROR(INDEX(games!$B$2:$B$847,MATCH(connections!$B648,games!$A$2:$A$847,0)),""))</f>
        <v>2025</v>
      </c>
      <c r="V648">
        <f t="shared" si="131"/>
        <v>12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2013</v>
      </c>
      <c r="U649">
        <f>IF(connections!$A649="","",IFERROR(INDEX(games!$B$2:$B$847,MATCH(connections!$B649,games!$A$2:$A$847,0)),""))</f>
        <v>2018</v>
      </c>
      <c r="V649">
        <f t="shared" si="131"/>
        <v>5</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2013</v>
      </c>
      <c r="U650">
        <f>IF(connections!$A650="","",IFERROR(INDEX(games!$B$2:$B$847,MATCH(connections!$B650,games!$A$2:$A$847,0)),""))</f>
        <v>2023</v>
      </c>
      <c r="V650">
        <f t="shared" si="131"/>
        <v>10</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2020</v>
      </c>
      <c r="U651">
        <f>IF(connections!$A651="","",IFERROR(INDEX(games!$B$2:$B$847,MATCH(connections!$B651,games!$A$2:$A$847,0)),""))</f>
        <v>2025</v>
      </c>
      <c r="V651">
        <f t="shared" si="131"/>
        <v>5</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2020</v>
      </c>
      <c r="U652">
        <f>IF(connections!$A652="","",IFERROR(INDEX(games!$B$2:$B$847,MATCH(connections!$B652,games!$A$2:$A$847,0)),""))</f>
        <v>2026</v>
      </c>
      <c r="V652">
        <f t="shared" si="131"/>
        <v>6</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2020</v>
      </c>
      <c r="U653">
        <f>IF(connections!$A653="","",IFERROR(INDEX(games!$B$2:$B$847,MATCH(connections!$B653,games!$A$2:$A$847,0)),""))</f>
        <v>2024</v>
      </c>
      <c r="V653">
        <f t="shared" si="131"/>
        <v>4</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2020</v>
      </c>
      <c r="U654">
        <f>IF(connections!$A654="","",IFERROR(INDEX(games!$B$2:$B$847,MATCH(connections!$B654,games!$A$2:$A$847,0)),""))</f>
        <v>2026</v>
      </c>
      <c r="V654">
        <f t="shared" si="131"/>
        <v>6</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2020</v>
      </c>
      <c r="U655">
        <f>IF(connections!$A655="","",IFERROR(INDEX(games!$B$2:$B$847,MATCH(connections!$B655,games!$A$2:$A$847,0)),""))</f>
        <v>2025</v>
      </c>
      <c r="V655">
        <f t="shared" si="131"/>
        <v>5</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2020</v>
      </c>
      <c r="U656">
        <f>IF(connections!$A656="","",IFERROR(INDEX(games!$B$2:$B$847,MATCH(connections!$B656,games!$A$2:$A$847,0)),""))</f>
        <v>2026</v>
      </c>
      <c r="V656">
        <f t="shared" si="131"/>
        <v>6</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2020</v>
      </c>
      <c r="U657">
        <f>IF(connections!$A657="","",IFERROR(INDEX(games!$B$2:$B$847,MATCH(connections!$B657,games!$A$2:$A$847,0)),""))</f>
        <v>2021</v>
      </c>
      <c r="V657">
        <f t="shared" si="131"/>
        <v>1</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2020</v>
      </c>
      <c r="U658">
        <f>IF(connections!$A658="","",IFERROR(INDEX(games!$B$2:$B$847,MATCH(connections!$B658,games!$A$2:$A$847,0)),""))</f>
        <v>2024</v>
      </c>
      <c r="V658">
        <f t="shared" si="131"/>
        <v>4</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2020</v>
      </c>
      <c r="U659">
        <f>IF(connections!$A659="","",IFERROR(INDEX(games!$B$2:$B$847,MATCH(connections!$B659,games!$A$2:$A$847,0)),""))</f>
        <v>2026</v>
      </c>
      <c r="V659">
        <f t="shared" si="131"/>
        <v>6</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2020</v>
      </c>
      <c r="U660">
        <f>IF(connections!$A660="","",IFERROR(INDEX(games!$B$2:$B$847,MATCH(connections!$B660,games!$A$2:$A$847,0)),""))</f>
        <v>2023</v>
      </c>
      <c r="V660">
        <f t="shared" si="131"/>
        <v>3</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2020</v>
      </c>
      <c r="U661">
        <f>IF(connections!$A661="","",IFERROR(INDEX(games!$B$2:$B$847,MATCH(connections!$B661,games!$A$2:$A$847,0)),""))</f>
        <v>2025</v>
      </c>
      <c r="V661">
        <f t="shared" si="131"/>
        <v>5</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2020</v>
      </c>
      <c r="U662">
        <f>IF(connections!$A662="","",IFERROR(INDEX(games!$B$2:$B$847,MATCH(connections!$B662,games!$A$2:$A$847,0)),""))</f>
        <v>2026</v>
      </c>
      <c r="V662">
        <f t="shared" si="131"/>
        <v>6</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2020</v>
      </c>
      <c r="U663">
        <f>IF(connections!$A663="","",IFERROR(INDEX(games!$B$2:$B$847,MATCH(connections!$B663,games!$A$2:$A$847,0)),""))</f>
        <v>2024</v>
      </c>
      <c r="V663">
        <f t="shared" si="131"/>
        <v>4</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2020</v>
      </c>
      <c r="U664">
        <f>IF(connections!$A664="","",IFERROR(INDEX(games!$B$2:$B$847,MATCH(connections!$B664,games!$A$2:$A$847,0)),""))</f>
        <v>2024</v>
      </c>
      <c r="V664">
        <f t="shared" si="131"/>
        <v>4</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2020</v>
      </c>
      <c r="U665">
        <f>IF(connections!$A665="","",IFERROR(INDEX(games!$B$2:$B$847,MATCH(connections!$B665,games!$A$2:$A$847,0)),""))</f>
        <v>2025</v>
      </c>
      <c r="V665">
        <f t="shared" si="131"/>
        <v>5</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2020</v>
      </c>
      <c r="U666">
        <f>IF(connections!$A666="","",IFERROR(INDEX(games!$B$2:$B$847,MATCH(connections!$B666,games!$A$2:$A$847,0)),""))</f>
        <v>2025</v>
      </c>
      <c r="V666">
        <f t="shared" si="131"/>
        <v>5</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1980</v>
      </c>
      <c r="U667">
        <f>IF(connections!$A667="","",IFERROR(INDEX(games!$B$2:$B$847,MATCH(connections!$B667,games!$A$2:$A$847,0)),""))</f>
        <v>2015</v>
      </c>
      <c r="V667">
        <f t="shared" si="131"/>
        <v>35</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1980</v>
      </c>
      <c r="U668">
        <f>IF(connections!$A668="","",IFERROR(INDEX(games!$B$2:$B$847,MATCH(connections!$B668,games!$A$2:$A$847,0)),""))</f>
        <v>2009</v>
      </c>
      <c r="V668">
        <f t="shared" si="131"/>
        <v>29</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1980</v>
      </c>
      <c r="U669">
        <f>IF(connections!$A669="","",IFERROR(INDEX(games!$B$2:$B$847,MATCH(connections!$B669,games!$A$2:$A$847,0)),""))</f>
        <v>1994</v>
      </c>
      <c r="V669">
        <f t="shared" si="131"/>
        <v>14</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1980</v>
      </c>
      <c r="U670">
        <f>IF(connections!$A670="","",IFERROR(INDEX(games!$B$2:$B$847,MATCH(connections!$B670,games!$A$2:$A$847,0)),""))</f>
        <v>1991</v>
      </c>
      <c r="V670">
        <f t="shared" si="131"/>
        <v>11</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1980</v>
      </c>
      <c r="U671">
        <f>IF(connections!$A671="","",IFERROR(INDEX(games!$B$2:$B$847,MATCH(connections!$B671,games!$A$2:$A$847,0)),""))</f>
        <v>2015</v>
      </c>
      <c r="V671">
        <f t="shared" si="131"/>
        <v>35</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1980</v>
      </c>
      <c r="U672">
        <f>IF(connections!$A672="","",IFERROR(INDEX(games!$B$2:$B$847,MATCH(connections!$B672,games!$A$2:$A$847,0)),""))</f>
        <v>1990</v>
      </c>
      <c r="V672">
        <f t="shared" si="131"/>
        <v>10</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1980</v>
      </c>
      <c r="U673">
        <f>IF(connections!$A673="","",IFERROR(INDEX(games!$B$2:$B$847,MATCH(connections!$B673,games!$A$2:$A$847,0)),""))</f>
        <v>2020</v>
      </c>
      <c r="V673">
        <f t="shared" si="131"/>
        <v>40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1980</v>
      </c>
      <c r="U674">
        <f>IF(connections!$A674="","",IFERROR(INDEX(games!$B$2:$B$847,MATCH(connections!$B674,games!$A$2:$A$847,0)),""))</f>
        <v>1984</v>
      </c>
      <c r="V674">
        <f t="shared" si="131"/>
        <v>4</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1980</v>
      </c>
      <c r="U675">
        <f>IF(connections!$A675="","",IFERROR(INDEX(games!$B$2:$B$847,MATCH(connections!$B675,games!$A$2:$A$847,0)),""))</f>
        <v>2012</v>
      </c>
      <c r="V675">
        <f t="shared" si="131"/>
        <v>32</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1980</v>
      </c>
      <c r="U676">
        <f>IF(connections!$A676="","",IFERROR(INDEX(games!$B$2:$B$847,MATCH(connections!$B676,games!$A$2:$A$847,0)),""))</f>
        <v>2011</v>
      </c>
      <c r="V676">
        <f t="shared" si="131"/>
        <v>31</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1980</v>
      </c>
      <c r="U677">
        <f>IF(connections!$A677="","",IFERROR(INDEX(games!$B$2:$B$847,MATCH(connections!$B677,games!$A$2:$A$847,0)),""))</f>
        <v>1986</v>
      </c>
      <c r="V677">
        <f t="shared" si="131"/>
        <v>6</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1980</v>
      </c>
      <c r="U678">
        <f>IF(connections!$A678="","",IFERROR(INDEX(games!$B$2:$B$847,MATCH(connections!$B678,games!$A$2:$A$847,0)),""))</f>
        <v>1987</v>
      </c>
      <c r="V678">
        <f t="shared" si="131"/>
        <v>7</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1980</v>
      </c>
      <c r="U679">
        <f>IF(connections!$A679="","",IFERROR(INDEX(games!$B$2:$B$847,MATCH(connections!$B679,games!$A$2:$A$847,0)),""))</f>
        <v>1983</v>
      </c>
      <c r="V679">
        <f t="shared" si="131"/>
        <v>3</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1980</v>
      </c>
      <c r="U680">
        <f>IF(connections!$A680="","",IFERROR(INDEX(games!$B$2:$B$847,MATCH(connections!$B680,games!$A$2:$A$847,0)),""))</f>
        <v>2023</v>
      </c>
      <c r="V680">
        <f t="shared" si="131"/>
        <v>43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1980</v>
      </c>
      <c r="U681">
        <f>IF(connections!$A681="","",IFERROR(INDEX(games!$B$2:$B$847,MATCH(connections!$B681,games!$A$2:$A$847,0)),""))</f>
        <v>1992</v>
      </c>
      <c r="V681">
        <f t="shared" si="131"/>
        <v>12</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1980</v>
      </c>
      <c r="U682">
        <f>IF(connections!$A682="","",IFERROR(INDEX(games!$B$2:$B$847,MATCH(connections!$B682,games!$A$2:$A$847,0)),""))</f>
        <v>2012</v>
      </c>
      <c r="V682">
        <f t="shared" si="131"/>
        <v>32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1980</v>
      </c>
      <c r="U683">
        <f>IF(connections!$A683="","",IFERROR(INDEX(games!$B$2:$B$847,MATCH(connections!$B683,games!$A$2:$A$847,0)),""))</f>
        <v>2023</v>
      </c>
      <c r="V683">
        <f t="shared" si="131"/>
        <v>43</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1980</v>
      </c>
      <c r="U684">
        <f>IF(connections!$A684="","",IFERROR(INDEX(games!$B$2:$B$847,MATCH(connections!$B684,games!$A$2:$A$847,0)),""))</f>
        <v>2014</v>
      </c>
      <c r="V684">
        <f t="shared" si="131"/>
        <v>34</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1980</v>
      </c>
      <c r="U685">
        <f>IF(connections!$A685="","",IFERROR(INDEX(games!$B$2:$B$847,MATCH(connections!$B685,games!$A$2:$A$847,0)),""))</f>
        <v>2013</v>
      </c>
      <c r="V685">
        <f t="shared" si="131"/>
        <v>33</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1980</v>
      </c>
      <c r="U686">
        <f>IF(connections!$A686="","",IFERROR(INDEX(games!$B$2:$B$847,MATCH(connections!$B686,games!$A$2:$A$847,0)),""))</f>
        <v>1991</v>
      </c>
      <c r="V686">
        <f t="shared" si="131"/>
        <v>11</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1980</v>
      </c>
      <c r="U687">
        <f>IF(connections!$A687="","",IFERROR(INDEX(games!$B$2:$B$847,MATCH(connections!$B687,games!$A$2:$A$847,0)),""))</f>
        <v>1993</v>
      </c>
      <c r="V687">
        <f t="shared" si="131"/>
        <v>13</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2015</v>
      </c>
      <c r="V688">
        <f t="shared" si="131"/>
        <v>2</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2018</v>
      </c>
      <c r="V689">
        <f t="shared" si="131"/>
        <v>5</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2017</v>
      </c>
      <c r="V691">
        <f t="shared" si="131"/>
        <v>4</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2020</v>
      </c>
      <c r="V692">
        <f t="shared" si="131"/>
        <v>7</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2013</v>
      </c>
      <c r="U693">
        <f>IF(connections!$A693="","",IFERROR(INDEX(games!$B$2:$B$847,MATCH(connections!$B693,games!$A$2:$A$847,0)),""))</f>
        <v>2017</v>
      </c>
      <c r="V693">
        <f t="shared" si="131"/>
        <v>4</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2013</v>
      </c>
      <c r="U694">
        <f>IF(connections!$A694="","",IFERROR(INDEX(games!$B$2:$B$847,MATCH(connections!$B694,games!$A$2:$A$847,0)),""))</f>
        <v>2018</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2013</v>
      </c>
      <c r="U695">
        <f>IF(connections!$A695="","",IFERROR(INDEX(games!$B$2:$B$847,MATCH(connections!$B695,games!$A$2:$A$847,0)),""))</f>
        <v>2021</v>
      </c>
      <c r="V695">
        <f t="shared" si="131"/>
        <v>8</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2013</v>
      </c>
      <c r="U696">
        <f>IF(connections!$A696="","",IFERROR(INDEX(games!$B$2:$B$847,MATCH(connections!$B696,games!$A$2:$A$847,0)),""))</f>
        <v>2020</v>
      </c>
      <c r="V696">
        <f t="shared" si="131"/>
        <v>7</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2013</v>
      </c>
      <c r="U697">
        <f>IF(connections!$A697="","",IFERROR(INDEX(games!$B$2:$B$847,MATCH(connections!$B697,games!$A$2:$A$847,0)),""))</f>
        <v>2019</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2013</v>
      </c>
      <c r="U698">
        <f>IF(connections!$A698="","",IFERROR(INDEX(games!$B$2:$B$847,MATCH(connections!$B698,games!$A$2:$A$847,0)),""))</f>
        <v>2017</v>
      </c>
      <c r="V698">
        <f t="shared" si="131"/>
        <v>4</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2013</v>
      </c>
      <c r="U699">
        <f>IF(connections!$A699="","",IFERROR(INDEX(games!$B$2:$B$847,MATCH(connections!$B699,games!$A$2:$A$847,0)),""))</f>
        <v>2019</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2022</v>
      </c>
      <c r="U700">
        <f>IF(connections!$A700="","",IFERROR(INDEX(games!$B$2:$B$847,MATCH(connections!$B700,games!$A$2:$A$847,0)),""))</f>
        <v>2025</v>
      </c>
      <c r="V700">
        <f t="shared" si="131"/>
        <v>3</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2022</v>
      </c>
      <c r="U701">
        <f>IF(connections!$A701="","",IFERROR(INDEX(games!$B$2:$B$847,MATCH(connections!$B701,games!$A$2:$A$847,0)),""))</f>
        <v>2025</v>
      </c>
      <c r="V701">
        <f t="shared" si="131"/>
        <v>3</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2021</v>
      </c>
      <c r="U702">
        <f>IF(connections!$A702="","",IFERROR(INDEX(games!$B$2:$B$847,MATCH(connections!$B702,games!$A$2:$A$847,0)),""))</f>
        <v>2024</v>
      </c>
      <c r="V702">
        <f t="shared" si="131"/>
        <v>3</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2021</v>
      </c>
      <c r="U703">
        <f>IF(connections!$A703="","",IFERROR(INDEX(games!$B$2:$B$847,MATCH(connections!$B703,games!$A$2:$A$847,0)),""))</f>
        <v>2026</v>
      </c>
      <c r="V703">
        <f t="shared" si="131"/>
        <v>5</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2021</v>
      </c>
      <c r="U704">
        <f>IF(connections!$A704="","",IFERROR(INDEX(games!$B$2:$B$847,MATCH(connections!$B704,games!$A$2:$A$847,0)),""))</f>
        <v>2024</v>
      </c>
      <c r="V704">
        <f t="shared" si="131"/>
        <v>3</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2024</v>
      </c>
      <c r="V705">
        <f t="shared" si="131"/>
        <v>4</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2022</v>
      </c>
      <c r="U706">
        <f>IF(connections!$A706="","",IFERROR(INDEX(games!$B$2:$B$847,MATCH(connections!$B706,games!$A$2:$A$847,0)),""))</f>
        <v>2024</v>
      </c>
      <c r="V706">
        <f t="shared" ref="V706:V769" si="143">IF(OR($T706="",$U706=""),"",$U706-$T706)</f>
        <v>2</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2008</v>
      </c>
      <c r="U707">
        <f>IF(connections!$A707="","",IFERROR(INDEX(games!$B$2:$B$847,MATCH(connections!$B707,games!$A$2:$A$847,0)),""))</f>
        <v>2010</v>
      </c>
      <c r="V707">
        <f t="shared" si="143"/>
        <v>2</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2000</v>
      </c>
      <c r="U708">
        <f>IF(connections!$A708="","",IFERROR(INDEX(games!$B$2:$B$847,MATCH(connections!$B708,games!$A$2:$A$847,0)),""))</f>
        <v>2008</v>
      </c>
      <c r="V708">
        <f t="shared" si="143"/>
        <v>8</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2000</v>
      </c>
      <c r="U709">
        <f>IF(connections!$A709="","",IFERROR(INDEX(games!$B$2:$B$847,MATCH(connections!$B709,games!$A$2:$A$847,0)),""))</f>
        <v>2002</v>
      </c>
      <c r="V709">
        <f t="shared" si="143"/>
        <v>2</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2010</v>
      </c>
      <c r="U710">
        <f>IF(connections!$A710="","",IFERROR(INDEX(games!$B$2:$B$847,MATCH(connections!$B710,games!$A$2:$A$847,0)),""))</f>
        <v>2010</v>
      </c>
      <c r="V710">
        <f t="shared" si="143"/>
        <v>0</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1996</v>
      </c>
      <c r="U711">
        <f>IF(connections!$A711="","",IFERROR(INDEX(games!$B$2:$B$847,MATCH(connections!$B711,games!$A$2:$A$847,0)),""))</f>
        <v>2001</v>
      </c>
      <c r="V711">
        <f t="shared" si="143"/>
        <v>5</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2010</v>
      </c>
      <c r="U712">
        <f>IF(connections!$A712="","",IFERROR(INDEX(games!$B$2:$B$847,MATCH(connections!$B712,games!$A$2:$A$847,0)),""))</f>
        <v>2024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2023</v>
      </c>
      <c r="U713">
        <f>IF(connections!$A713="","",IFERROR(INDEX(games!$B$2:$B$847,MATCH(connections!$B713,games!$A$2:$A$847,0)),""))</f>
        <v>2025</v>
      </c>
      <c r="V713">
        <f t="shared" si="143"/>
        <v>2</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2010</v>
      </c>
      <c r="U714">
        <f>IF(connections!$A714="","",IFERROR(INDEX(games!$B$2:$B$847,MATCH(connections!$B714,games!$A$2:$A$847,0)),""))</f>
        <v>2015</v>
      </c>
      <c r="V714">
        <f t="shared" si="143"/>
        <v>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2022</v>
      </c>
      <c r="U715">
        <f>IF(connections!$A715="","",IFERROR(INDEX(games!$B$2:$B$847,MATCH(connections!$B715,games!$A$2:$A$847,0)),""))</f>
        <v>2024</v>
      </c>
      <c r="V715">
        <f t="shared" si="143"/>
        <v>2</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2022</v>
      </c>
      <c r="U716">
        <f>IF(connections!$A716="","",IFERROR(INDEX(games!$B$2:$B$847,MATCH(connections!$B716,games!$A$2:$A$847,0)),""))</f>
        <v>2022</v>
      </c>
      <c r="V716">
        <f t="shared" si="143"/>
        <v>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2022</v>
      </c>
      <c r="U717">
        <f>IF(connections!$A717="","",IFERROR(INDEX(games!$B$2:$B$847,MATCH(connections!$B717,games!$A$2:$A$847,0)),""))</f>
        <v>2023</v>
      </c>
      <c r="V717">
        <f t="shared" si="143"/>
        <v>1</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2020</v>
      </c>
      <c r="U718">
        <f>IF(connections!$A718="","",IFERROR(INDEX(games!$B$2:$B$847,MATCH(connections!$B718,games!$A$2:$A$847,0)),""))</f>
        <v>2024</v>
      </c>
      <c r="V718">
        <f t="shared" si="143"/>
        <v>4</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2006</v>
      </c>
      <c r="U719">
        <f>IF(connections!$A719="","",IFERROR(INDEX(games!$B$2:$B$847,MATCH(connections!$B719,games!$A$2:$A$847,0)),""))</f>
        <v>2022</v>
      </c>
      <c r="V719">
        <f t="shared" si="143"/>
        <v>16</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2017</v>
      </c>
      <c r="U720">
        <f>IF(connections!$A720="","",IFERROR(INDEX(games!$B$2:$B$847,MATCH(connections!$B720,games!$A$2:$A$847,0)),""))</f>
        <v>2024</v>
      </c>
      <c r="V720">
        <f t="shared" si="143"/>
        <v>7</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2017</v>
      </c>
      <c r="U721">
        <f>IF(connections!$A721="","",IFERROR(INDEX(games!$B$2:$B$847,MATCH(connections!$B721,games!$A$2:$A$847,0)),""))</f>
        <v>2025</v>
      </c>
      <c r="V721">
        <f t="shared" si="143"/>
        <v>8</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2017</v>
      </c>
      <c r="U722">
        <f>IF(connections!$A722="","",IFERROR(INDEX(games!$B$2:$B$847,MATCH(connections!$B722,games!$A$2:$A$847,0)),""))</f>
        <v>2023</v>
      </c>
      <c r="V722">
        <f t="shared" si="143"/>
        <v>6</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2017</v>
      </c>
      <c r="U723">
        <f>IF(connections!$A723="","",IFERROR(INDEX(games!$B$2:$B$847,MATCH(connections!$B723,games!$A$2:$A$847,0)),""))</f>
        <v>2021</v>
      </c>
      <c r="V723">
        <f t="shared" si="143"/>
        <v>4</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2017</v>
      </c>
      <c r="U724">
        <f>IF(connections!$A724="","",IFERROR(INDEX(games!$B$2:$B$847,MATCH(connections!$B724,games!$A$2:$A$847,0)),""))</f>
        <v>2022</v>
      </c>
      <c r="V724">
        <f t="shared" si="143"/>
        <v>5</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2017</v>
      </c>
      <c r="U725">
        <f>IF(connections!$A725="","",IFERROR(INDEX(games!$B$2:$B$847,MATCH(connections!$B725,games!$A$2:$A$847,0)),""))</f>
        <v>2020</v>
      </c>
      <c r="V725">
        <f t="shared" si="143"/>
        <v>3</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2017</v>
      </c>
      <c r="U726">
        <f>IF(connections!$A726="","",IFERROR(INDEX(games!$B$2:$B$847,MATCH(connections!$B726,games!$A$2:$A$847,0)),""))</f>
        <v>2026</v>
      </c>
      <c r="V726">
        <f t="shared" si="143"/>
        <v>9</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2017</v>
      </c>
      <c r="U727">
        <f>IF(connections!$A727="","",IFERROR(INDEX(games!$B$2:$B$847,MATCH(connections!$B727,games!$A$2:$A$847,0)),""))</f>
        <v>2025</v>
      </c>
      <c r="V727">
        <f t="shared" si="143"/>
        <v>8</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2017</v>
      </c>
      <c r="U728">
        <f>IF(connections!$A728="","",IFERROR(INDEX(games!$B$2:$B$847,MATCH(connections!$B728,games!$A$2:$A$847,0)),""))</f>
        <v>2025</v>
      </c>
      <c r="V728">
        <f t="shared" si="143"/>
        <v>8</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2017</v>
      </c>
      <c r="U729">
        <f>IF(connections!$A729="","",IFERROR(INDEX(games!$B$2:$B$847,MATCH(connections!$B729,games!$A$2:$A$847,0)),""))</f>
        <v>2022</v>
      </c>
      <c r="V729">
        <f t="shared" si="143"/>
        <v>5</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2017</v>
      </c>
      <c r="U730">
        <f>IF(connections!$A730="","",IFERROR(INDEX(games!$B$2:$B$847,MATCH(connections!$B730,games!$A$2:$A$847,0)),""))</f>
        <v>2023</v>
      </c>
      <c r="V730">
        <f t="shared" si="143"/>
        <v>6</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2017</v>
      </c>
      <c r="U731">
        <f>IF(connections!$A731="","",IFERROR(INDEX(games!$B$2:$B$847,MATCH(connections!$B731,games!$A$2:$A$847,0)),""))</f>
        <v>2020</v>
      </c>
      <c r="V731">
        <f t="shared" si="143"/>
        <v>3</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2017</v>
      </c>
      <c r="U732">
        <f>IF(connections!$A732="","",IFERROR(INDEX(games!$B$2:$B$847,MATCH(connections!$B732,games!$A$2:$A$847,0)),""))</f>
        <v>2022</v>
      </c>
      <c r="V732">
        <f t="shared" si="143"/>
        <v>5</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2017</v>
      </c>
      <c r="U733">
        <f>IF(connections!$A733="","",IFERROR(INDEX(games!$B$2:$B$847,MATCH(connections!$B733,games!$A$2:$A$847,0)),""))</f>
        <v>2020</v>
      </c>
      <c r="V733">
        <f t="shared" si="143"/>
        <v>3</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2017</v>
      </c>
      <c r="U734">
        <f>IF(connections!$A734="","",IFERROR(INDEX(games!$B$2:$B$847,MATCH(connections!$B734,games!$A$2:$A$847,0)),""))</f>
        <v>2024</v>
      </c>
      <c r="V734">
        <f t="shared" si="143"/>
        <v>7</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2017</v>
      </c>
      <c r="U735">
        <f>IF(connections!$A735="","",IFERROR(INDEX(games!$B$2:$B$847,MATCH(connections!$B735,games!$A$2:$A$847,0)),""))</f>
        <v>2022</v>
      </c>
      <c r="V735">
        <f t="shared" si="143"/>
        <v>5</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2017</v>
      </c>
      <c r="U736">
        <f>IF(connections!$A736="","",IFERROR(INDEX(games!$B$2:$B$847,MATCH(connections!$B736,games!$A$2:$A$847,0)),""))</f>
        <v>2026</v>
      </c>
      <c r="V736">
        <f t="shared" si="143"/>
        <v>9</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2017</v>
      </c>
      <c r="U737">
        <f>IF(connections!$A737="","",IFERROR(INDEX(games!$B$2:$B$847,MATCH(connections!$B737,games!$A$2:$A$847,0)),""))</f>
        <v>2022</v>
      </c>
      <c r="V737">
        <f t="shared" si="143"/>
        <v>5</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2017</v>
      </c>
      <c r="U738">
        <f>IF(connections!$A738="","",IFERROR(INDEX(games!$B$2:$B$847,MATCH(connections!$B738,games!$A$2:$A$847,0)),""))</f>
        <v>2023</v>
      </c>
      <c r="V738">
        <f t="shared" si="143"/>
        <v>6</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2017</v>
      </c>
      <c r="U739">
        <f>IF(connections!$A739="","",IFERROR(INDEX(games!$B$2:$B$847,MATCH(connections!$B739,games!$A$2:$A$847,0)),""))</f>
        <v>2021</v>
      </c>
      <c r="V739">
        <f t="shared" si="143"/>
        <v>4</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2017</v>
      </c>
      <c r="U740">
        <f>IF(connections!$A740="","",IFERROR(INDEX(games!$B$2:$B$847,MATCH(connections!$B740,games!$A$2:$A$847,0)),""))</f>
        <v>2024</v>
      </c>
      <c r="V740">
        <f t="shared" si="143"/>
        <v>7</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2017</v>
      </c>
      <c r="U741">
        <f>IF(connections!$A741="","",IFERROR(INDEX(games!$B$2:$B$847,MATCH(connections!$B741,games!$A$2:$A$847,0)),""))</f>
        <v>2026</v>
      </c>
      <c r="V741">
        <f t="shared" si="143"/>
        <v>9</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2017</v>
      </c>
      <c r="U742">
        <f>IF(connections!$A742="","",IFERROR(INDEX(games!$B$2:$B$847,MATCH(connections!$B742,games!$A$2:$A$847,0)),""))</f>
        <v>2025</v>
      </c>
      <c r="V742">
        <f t="shared" si="143"/>
        <v>8</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2017</v>
      </c>
      <c r="U743">
        <f>IF(connections!$A743="","",IFERROR(INDEX(games!$B$2:$B$847,MATCH(connections!$B743,games!$A$2:$A$847,0)),""))</f>
        <v>2022</v>
      </c>
      <c r="V743">
        <f t="shared" si="143"/>
        <v>5</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2017</v>
      </c>
      <c r="U744">
        <f>IF(connections!$A744="","",IFERROR(INDEX(games!$B$2:$B$847,MATCH(connections!$B744,games!$A$2:$A$847,0)),""))</f>
        <v>2019</v>
      </c>
      <c r="V744">
        <f t="shared" si="143"/>
        <v>2</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2017</v>
      </c>
      <c r="U745">
        <f>IF(connections!$A745="","",IFERROR(INDEX(games!$B$2:$B$847,MATCH(connections!$B745,games!$A$2:$A$847,0)),""))</f>
        <v>2024</v>
      </c>
      <c r="V745">
        <f t="shared" si="143"/>
        <v>7</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2017</v>
      </c>
      <c r="U746">
        <f>IF(connections!$A746="","",IFERROR(INDEX(games!$B$2:$B$847,MATCH(connections!$B746,games!$A$2:$A$847,0)),""))</f>
        <v>2023</v>
      </c>
      <c r="V746">
        <f t="shared" si="143"/>
        <v>6</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2017</v>
      </c>
      <c r="U747">
        <f>IF(connections!$A747="","",IFERROR(INDEX(games!$B$2:$B$847,MATCH(connections!$B747,games!$A$2:$A$847,0)),""))</f>
        <v>2025</v>
      </c>
      <c r="V747">
        <f t="shared" si="143"/>
        <v>8</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2017</v>
      </c>
      <c r="U748">
        <f>IF(connections!$A748="","",IFERROR(INDEX(games!$B$2:$B$847,MATCH(connections!$B748,games!$A$2:$A$847,0)),""))</f>
        <v>2020</v>
      </c>
      <c r="V748">
        <f t="shared" si="143"/>
        <v>3</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2017</v>
      </c>
      <c r="U749">
        <f>IF(connections!$A749="","",IFERROR(INDEX(games!$B$2:$B$847,MATCH(connections!$B749,games!$A$2:$A$847,0)),""))</f>
        <v>2026</v>
      </c>
      <c r="V749">
        <f t="shared" si="143"/>
        <v>9</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2017</v>
      </c>
      <c r="U750">
        <f>IF(connections!$A750="","",IFERROR(INDEX(games!$B$2:$B$847,MATCH(connections!$B750,games!$A$2:$A$847,0)),""))</f>
        <v>2025</v>
      </c>
      <c r="V750">
        <f t="shared" si="143"/>
        <v>8</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2017</v>
      </c>
      <c r="U751">
        <f>IF(connections!$A751="","",IFERROR(INDEX(games!$B$2:$B$847,MATCH(connections!$B751,games!$A$2:$A$847,0)),""))</f>
        <v>2026</v>
      </c>
      <c r="V751">
        <f t="shared" si="143"/>
        <v>9</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2017</v>
      </c>
      <c r="U752">
        <f>IF(connections!$A752="","",IFERROR(INDEX(games!$B$2:$B$847,MATCH(connections!$B752,games!$A$2:$A$847,0)),""))</f>
        <v>2019</v>
      </c>
      <c r="V752">
        <f t="shared" si="143"/>
        <v>2</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2017</v>
      </c>
      <c r="U753">
        <f>IF(connections!$A753="","",IFERROR(INDEX(games!$B$2:$B$847,MATCH(connections!$B753,games!$A$2:$A$847,0)),""))</f>
        <v>2025</v>
      </c>
      <c r="V753">
        <f t="shared" si="143"/>
        <v>8</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2017</v>
      </c>
      <c r="U754">
        <f>IF(connections!$A754="","",IFERROR(INDEX(games!$B$2:$B$847,MATCH(connections!$B754,games!$A$2:$A$847,0)),""))</f>
        <v>2025</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2017</v>
      </c>
      <c r="U755">
        <f>IF(connections!$A755="","",IFERROR(INDEX(games!$B$2:$B$847,MATCH(connections!$B755,games!$A$2:$A$847,0)),""))</f>
        <v>2021</v>
      </c>
      <c r="V755">
        <f t="shared" si="143"/>
        <v>4</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2017</v>
      </c>
      <c r="U756">
        <f>IF(connections!$A756="","",IFERROR(INDEX(games!$B$2:$B$847,MATCH(connections!$B756,games!$A$2:$A$847,0)),""))</f>
        <v>2025</v>
      </c>
      <c r="V756">
        <f t="shared" si="143"/>
        <v>8</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2017</v>
      </c>
      <c r="U757">
        <f>IF(connections!$A757="","",IFERROR(INDEX(games!$B$2:$B$847,MATCH(connections!$B757,games!$A$2:$A$847,0)),""))</f>
        <v>2025</v>
      </c>
      <c r="V757">
        <f t="shared" si="143"/>
        <v>8</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2017</v>
      </c>
      <c r="U758">
        <f>IF(connections!$A758="","",IFERROR(INDEX(games!$B$2:$B$847,MATCH(connections!$B758,games!$A$2:$A$847,0)),""))</f>
        <v>2024</v>
      </c>
      <c r="V758">
        <f t="shared" si="143"/>
        <v>7</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2017</v>
      </c>
      <c r="U759">
        <f>IF(connections!$A759="","",IFERROR(INDEX(games!$B$2:$B$847,MATCH(connections!$B759,games!$A$2:$A$847,0)),""))</f>
        <v>2024</v>
      </c>
      <c r="V759">
        <f t="shared" si="143"/>
        <v>7</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2017</v>
      </c>
      <c r="U760">
        <f>IF(connections!$A760="","",IFERROR(INDEX(games!$B$2:$B$847,MATCH(connections!$B760,games!$A$2:$A$847,0)),""))</f>
        <v>2025</v>
      </c>
      <c r="V760">
        <f t="shared" si="143"/>
        <v>8</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2017</v>
      </c>
      <c r="U761">
        <f>IF(connections!$A761="","",IFERROR(INDEX(games!$B$2:$B$847,MATCH(connections!$B761,games!$A$2:$A$847,0)),""))</f>
        <v>2025</v>
      </c>
      <c r="V761">
        <f t="shared" si="143"/>
        <v>8</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2017</v>
      </c>
      <c r="U762">
        <f>IF(connections!$A762="","",IFERROR(INDEX(games!$B$2:$B$847,MATCH(connections!$B762,games!$A$2:$A$847,0)),""))</f>
        <v>2024</v>
      </c>
      <c r="V762">
        <f t="shared" si="143"/>
        <v>7</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2017</v>
      </c>
      <c r="U763">
        <f>IF(connections!$A763="","",IFERROR(INDEX(games!$B$2:$B$847,MATCH(connections!$B763,games!$A$2:$A$847,0)),""))</f>
        <v>2025</v>
      </c>
      <c r="V763">
        <f t="shared" si="143"/>
        <v>8</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2017</v>
      </c>
      <c r="U764">
        <f>IF(connections!$A764="","",IFERROR(INDEX(games!$B$2:$B$847,MATCH(connections!$B764,games!$A$2:$A$847,0)),""))</f>
        <v>2024</v>
      </c>
      <c r="V764">
        <f t="shared" si="143"/>
        <v>7</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2017</v>
      </c>
      <c r="U765">
        <f>IF(connections!$A765="","",IFERROR(INDEX(games!$B$2:$B$847,MATCH(connections!$B765,games!$A$2:$A$847,0)),""))</f>
        <v>2022</v>
      </c>
      <c r="V765">
        <f t="shared" si="143"/>
        <v>5</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2026</v>
      </c>
      <c r="V767">
        <f t="shared" si="143"/>
        <v>9</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2021</v>
      </c>
      <c r="V768">
        <f t="shared" si="143"/>
        <v>4</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2026</v>
      </c>
      <c r="V769">
        <f t="shared" si="143"/>
        <v>9</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2020</v>
      </c>
      <c r="V770">
        <f t="shared" ref="V770:V833" si="155">IF(OR($T770="",$U770=""),"",$U770-$T770)</f>
        <v>3</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2022</v>
      </c>
      <c r="V771">
        <f t="shared" si="155"/>
        <v>5</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2022</v>
      </c>
      <c r="V772">
        <f t="shared" si="155"/>
        <v>5</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2020</v>
      </c>
      <c r="V773">
        <f t="shared" si="155"/>
        <v>3</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2021</v>
      </c>
      <c r="V774">
        <f t="shared" si="155"/>
        <v>4</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2026</v>
      </c>
      <c r="V775">
        <f t="shared" si="155"/>
        <v>9</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2026</v>
      </c>
      <c r="V777">
        <f t="shared" si="155"/>
        <v>9</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2026</v>
      </c>
      <c r="V778">
        <f t="shared" si="155"/>
        <v>9</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2025</v>
      </c>
      <c r="V779">
        <f t="shared" si="155"/>
        <v>8</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2019</v>
      </c>
      <c r="V780">
        <f t="shared" si="155"/>
        <v>2</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2020</v>
      </c>
      <c r="V782">
        <f t="shared" si="155"/>
        <v>3</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2019</v>
      </c>
      <c r="V783">
        <f t="shared" si="155"/>
        <v>2</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2024</v>
      </c>
      <c r="V785">
        <f t="shared" si="155"/>
        <v>7</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2023</v>
      </c>
      <c r="V787">
        <f t="shared" si="155"/>
        <v>6</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2024</v>
      </c>
      <c r="V788">
        <f t="shared" si="155"/>
        <v>7</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2024</v>
      </c>
      <c r="V789">
        <f t="shared" si="155"/>
        <v>7</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2021</v>
      </c>
      <c r="V790">
        <f t="shared" si="155"/>
        <v>4</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2020</v>
      </c>
      <c r="V791">
        <f t="shared" si="155"/>
        <v>3</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2026</v>
      </c>
      <c r="V794">
        <f t="shared" si="155"/>
        <v>9</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2025</v>
      </c>
      <c r="V795">
        <f t="shared" si="155"/>
        <v>8</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2021</v>
      </c>
      <c r="V796">
        <f t="shared" si="155"/>
        <v>4</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2020</v>
      </c>
      <c r="V797">
        <f t="shared" si="155"/>
        <v>3</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2025</v>
      </c>
      <c r="V798">
        <f t="shared" si="155"/>
        <v>8</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2021</v>
      </c>
      <c r="V799">
        <f t="shared" si="155"/>
        <v>4</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2022</v>
      </c>
      <c r="V800">
        <f t="shared" si="155"/>
        <v>5</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2026</v>
      </c>
      <c r="V801">
        <f t="shared" si="155"/>
        <v>9</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2026</v>
      </c>
      <c r="V802">
        <f t="shared" si="155"/>
        <v>9</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2026</v>
      </c>
      <c r="V803">
        <f t="shared" si="155"/>
        <v>9</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2025</v>
      </c>
      <c r="V804">
        <f t="shared" si="155"/>
        <v>8</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2019</v>
      </c>
      <c r="V805">
        <f t="shared" si="155"/>
        <v>2</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2022</v>
      </c>
      <c r="V806">
        <f t="shared" si="155"/>
        <v>5</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2020</v>
      </c>
      <c r="V807">
        <f t="shared" si="155"/>
        <v>3</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2021</v>
      </c>
      <c r="V809">
        <f t="shared" si="155"/>
        <v>4</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2024</v>
      </c>
      <c r="V810">
        <f t="shared" si="155"/>
        <v>7</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2021</v>
      </c>
      <c r="V811">
        <f t="shared" si="155"/>
        <v>4</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2026</v>
      </c>
      <c r="V812">
        <f t="shared" si="155"/>
        <v>9</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2026</v>
      </c>
      <c r="V813">
        <f t="shared" si="155"/>
        <v>9</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2023</v>
      </c>
      <c r="V814">
        <f t="shared" si="155"/>
        <v>6</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2025</v>
      </c>
      <c r="V815">
        <f t="shared" si="155"/>
        <v>8</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2025</v>
      </c>
      <c r="V816">
        <f t="shared" si="155"/>
        <v>8</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2023</v>
      </c>
      <c r="V817">
        <f t="shared" si="155"/>
        <v>6</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2018</v>
      </c>
      <c r="V819">
        <f t="shared" si="155"/>
        <v>1</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2026</v>
      </c>
      <c r="V820">
        <f t="shared" si="155"/>
        <v>9</v>
      </c>
    </row>
    <row r="821" spans="1:22" x14ac:dyDescent="0.25">
      <c r="T821">
        <f>IF(connections!$A821="","",IFERROR(INDEX(games!$B$2:$B$847,MATCH(connections!$A821,games!$A$2:$A$847,0)),""))</f>
        <v>2017</v>
      </c>
      <c r="U821">
        <f>IF(connections!$A821="","",IFERROR(INDEX(games!$B$2:$B$847,MATCH(connections!$B821,games!$A$2:$A$847,0)),""))</f>
        <v>2024</v>
      </c>
      <c r="V821">
        <f t="shared" si="155"/>
        <v>7</v>
      </c>
    </row>
    <row r="822" spans="1:22" x14ac:dyDescent="0.25">
      <c r="T822">
        <f>IF(connections!$A822="","",IFERROR(INDEX(games!$B$2:$B$847,MATCH(connections!$A822,games!$A$2:$A$847,0)),""))</f>
        <v>2017</v>
      </c>
      <c r="U822">
        <f>IF(connections!$A822="","",IFERROR(INDEX(games!$B$2:$B$847,MATCH(connections!$B822,games!$A$2:$A$847,0)),""))</f>
        <v>2024</v>
      </c>
      <c r="V822">
        <f t="shared" si="155"/>
        <v>7</v>
      </c>
    </row>
    <row r="823" spans="1:22" x14ac:dyDescent="0.25">
      <c r="T823">
        <f>IF(connections!$A823="","",IFERROR(INDEX(games!$B$2:$B$847,MATCH(connections!$A823,games!$A$2:$A$847,0)),""))</f>
        <v>2017</v>
      </c>
      <c r="U823">
        <f>IF(connections!$A823="","",IFERROR(INDEX(games!$B$2:$B$847,MATCH(connections!$B823,games!$A$2:$A$847,0)),""))</f>
        <v>2023</v>
      </c>
      <c r="V823">
        <f t="shared" si="155"/>
        <v>6</v>
      </c>
    </row>
    <row r="824" spans="1:22" x14ac:dyDescent="0.25">
      <c r="T824">
        <f>IF(connections!$A824="","",IFERROR(INDEX(games!$B$2:$B$847,MATCH(connections!$A824,games!$A$2:$A$847,0)),""))</f>
        <v>2017</v>
      </c>
      <c r="U824">
        <f>IF(connections!$A824="","",IFERROR(INDEX(games!$B$2:$B$847,MATCH(connections!$B824,games!$A$2:$A$847,0)),""))</f>
        <v>2025</v>
      </c>
      <c r="V824">
        <f t="shared" si="155"/>
        <v>8</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2020</v>
      </c>
      <c r="V826">
        <f t="shared" si="155"/>
        <v>3</v>
      </c>
    </row>
    <row r="827" spans="1:22" x14ac:dyDescent="0.25">
      <c r="T827">
        <f>IF(connections!$A827="","",IFERROR(INDEX(games!$B$2:$B$847,MATCH(connections!$A827,games!$A$2:$A$847,0)),""))</f>
        <v>2017</v>
      </c>
      <c r="U827">
        <f>IF(connections!$A827="","",IFERROR(INDEX(games!$B$2:$B$847,MATCH(connections!$B827,games!$A$2:$A$847,0)),""))</f>
        <v>2023</v>
      </c>
      <c r="V827">
        <f t="shared" si="155"/>
        <v>6</v>
      </c>
    </row>
    <row r="828" spans="1:22" x14ac:dyDescent="0.25">
      <c r="T828">
        <f>IF(connections!$A828="","",IFERROR(INDEX(games!$B$2:$B$847,MATCH(connections!$A828,games!$A$2:$A$847,0)),""))</f>
        <v>2017</v>
      </c>
      <c r="U828">
        <f>IF(connections!$A828="","",IFERROR(INDEX(games!$B$2:$B$847,MATCH(connections!$B828,games!$A$2:$A$847,0)),""))</f>
        <v>2024</v>
      </c>
      <c r="V828">
        <f t="shared" si="155"/>
        <v>7</v>
      </c>
    </row>
    <row r="829" spans="1:22" x14ac:dyDescent="0.25">
      <c r="T829">
        <f>IF(connections!$A829="","",IFERROR(INDEX(games!$B$2:$B$847,MATCH(connections!$A829,games!$A$2:$A$847,0)),""))</f>
        <v>2017</v>
      </c>
      <c r="U829">
        <f>IF(connections!$A829="","",IFERROR(INDEX(games!$B$2:$B$847,MATCH(connections!$B829,games!$A$2:$A$847,0)),""))</f>
        <v>2021</v>
      </c>
      <c r="V829">
        <f t="shared" si="155"/>
        <v>4</v>
      </c>
    </row>
    <row r="830" spans="1:22" x14ac:dyDescent="0.25">
      <c r="T830">
        <f>IF(connections!$A830="","",IFERROR(INDEX(games!$B$2:$B$847,MATCH(connections!$A830,games!$A$2:$A$847,0)),""))</f>
        <v>2017</v>
      </c>
      <c r="U830">
        <f>IF(connections!$A830="","",IFERROR(INDEX(games!$B$2:$B$847,MATCH(connections!$B830,games!$A$2:$A$847,0)),""))</f>
        <v>2023</v>
      </c>
      <c r="V830">
        <f t="shared" si="155"/>
        <v>6</v>
      </c>
    </row>
    <row r="831" spans="1:22" x14ac:dyDescent="0.25">
      <c r="T831">
        <f>IF(connections!$A831="","",IFERROR(INDEX(games!$B$2:$B$847,MATCH(connections!$A831,games!$A$2:$A$847,0)),""))</f>
        <v>2017</v>
      </c>
      <c r="U831">
        <f>IF(connections!$A831="","",IFERROR(INDEX(games!$B$2:$B$847,MATCH(connections!$B831,games!$A$2:$A$847,0)),""))</f>
        <v>2025</v>
      </c>
      <c r="V831">
        <f t="shared" si="155"/>
        <v>8</v>
      </c>
    </row>
    <row r="832" spans="1:22" x14ac:dyDescent="0.25">
      <c r="T832">
        <f>IF(connections!$A832="","",IFERROR(INDEX(games!$B$2:$B$847,MATCH(connections!$A832,games!$A$2:$A$847,0)),""))</f>
        <v>2017</v>
      </c>
      <c r="U832">
        <f>IF(connections!$A832="","",IFERROR(INDEX(games!$B$2:$B$847,MATCH(connections!$B832,games!$A$2:$A$847,0)),""))</f>
        <v>2026</v>
      </c>
      <c r="V832">
        <f t="shared" si="155"/>
        <v>9</v>
      </c>
    </row>
    <row r="833" spans="20:22" x14ac:dyDescent="0.25">
      <c r="T833">
        <f>IF(connections!$A833="","",IFERROR(INDEX(games!$B$2:$B$847,MATCH(connections!$A833,games!$A$2:$A$847,0)),""))</f>
        <v>2017</v>
      </c>
      <c r="U833">
        <f>IF(connections!$A833="","",IFERROR(INDEX(games!$B$2:$B$847,MATCH(connections!$B833,games!$A$2:$A$847,0)),""))</f>
        <v>2025</v>
      </c>
      <c r="V833">
        <f t="shared" si="155"/>
        <v>8</v>
      </c>
    </row>
    <row r="834" spans="20:22" x14ac:dyDescent="0.25">
      <c r="T834">
        <f>IF(connections!$A834="","",IFERROR(INDEX(games!$B$2:$B$847,MATCH(connections!$A834,games!$A$2:$A$847,0)),""))</f>
        <v>2017</v>
      </c>
      <c r="U834">
        <f>IF(connections!$A834="","",IFERROR(INDEX(games!$B$2:$B$847,MATCH(connections!$B834,games!$A$2:$A$847,0)),""))</f>
        <v>2022</v>
      </c>
      <c r="V834">
        <f t="shared" ref="V834:V897" si="156">IF(OR($T834="",$U834=""),"",$U834-$T834)</f>
        <v>5</v>
      </c>
    </row>
    <row r="835" spans="20:22" x14ac:dyDescent="0.25">
      <c r="T835">
        <f>IF(connections!$A835="","",IFERROR(INDEX(games!$B$2:$B$847,MATCH(connections!$A835,games!$A$2:$A$847,0)),""))</f>
        <v>2017</v>
      </c>
      <c r="U835">
        <f>IF(connections!$A835="","",IFERROR(INDEX(games!$B$2:$B$847,MATCH(connections!$B835,games!$A$2:$A$847,0)),""))</f>
        <v>2023</v>
      </c>
      <c r="V835">
        <f t="shared" si="156"/>
        <v>6</v>
      </c>
    </row>
    <row r="836" spans="20:22" x14ac:dyDescent="0.25">
      <c r="T836">
        <f>IF(connections!$A836="","",IFERROR(INDEX(games!$B$2:$B$847,MATCH(connections!$A836,games!$A$2:$A$847,0)),""))</f>
        <v>2017</v>
      </c>
      <c r="U836">
        <f>IF(connections!$A836="","",IFERROR(INDEX(games!$B$2:$B$847,MATCH(connections!$B836,games!$A$2:$A$847,0)),""))</f>
        <v>2021</v>
      </c>
      <c r="V836">
        <f t="shared" si="156"/>
        <v>4</v>
      </c>
    </row>
    <row r="837" spans="20:22" x14ac:dyDescent="0.25">
      <c r="T837">
        <f>IF(connections!$A837="","",IFERROR(INDEX(games!$B$2:$B$847,MATCH(connections!$A837,games!$A$2:$A$847,0)),""))</f>
        <v>2017</v>
      </c>
      <c r="U837">
        <f>IF(connections!$A837="","",IFERROR(INDEX(games!$B$2:$B$847,MATCH(connections!$B837,games!$A$2:$A$847,0)),""))</f>
        <v>2019</v>
      </c>
      <c r="V837">
        <f t="shared" si="156"/>
        <v>2</v>
      </c>
    </row>
    <row r="838" spans="20:22" x14ac:dyDescent="0.25">
      <c r="T838">
        <f>IF(connections!$A838="","",IFERROR(INDEX(games!$B$2:$B$847,MATCH(connections!$A838,games!$A$2:$A$847,0)),""))</f>
        <v>2017</v>
      </c>
      <c r="U838">
        <f>IF(connections!$A838="","",IFERROR(INDEX(games!$B$2:$B$847,MATCH(connections!$B838,games!$A$2:$A$847,0)),""))</f>
        <v>2020</v>
      </c>
      <c r="V838">
        <f t="shared" si="156"/>
        <v>3</v>
      </c>
    </row>
    <row r="839" spans="20:22" x14ac:dyDescent="0.25">
      <c r="T839">
        <f>IF(connections!$A839="","",IFERROR(INDEX(games!$B$2:$B$847,MATCH(connections!$A839,games!$A$2:$A$847,0)),""))</f>
        <v>2017</v>
      </c>
      <c r="U839">
        <f>IF(connections!$A839="","",IFERROR(INDEX(games!$B$2:$B$847,MATCH(connections!$B839,games!$A$2:$A$847,0)),""))</f>
        <v>2021</v>
      </c>
      <c r="V839">
        <f t="shared" si="156"/>
        <v>4</v>
      </c>
    </row>
    <row r="840" spans="20:22" x14ac:dyDescent="0.25">
      <c r="T840">
        <f>IF(connections!$A840="","",IFERROR(INDEX(games!$B$2:$B$847,MATCH(connections!$A840,games!$A$2:$A$847,0)),""))</f>
        <v>2017</v>
      </c>
      <c r="U840">
        <f>IF(connections!$A840="","",IFERROR(INDEX(games!$B$2:$B$847,MATCH(connections!$B840,games!$A$2:$A$847,0)),""))</f>
        <v>2026</v>
      </c>
      <c r="V840">
        <f t="shared" si="156"/>
        <v>9</v>
      </c>
    </row>
    <row r="841" spans="20:22" x14ac:dyDescent="0.25">
      <c r="T841">
        <f>IF(connections!$A841="","",IFERROR(INDEX(games!$B$2:$B$847,MATCH(connections!$A841,games!$A$2:$A$847,0)),""))</f>
        <v>2017</v>
      </c>
      <c r="U841">
        <f>IF(connections!$A841="","",IFERROR(INDEX(games!$B$2:$B$847,MATCH(connections!$B841,games!$A$2:$A$847,0)),""))</f>
        <v>2025</v>
      </c>
      <c r="V841">
        <f t="shared" si="156"/>
        <v>8</v>
      </c>
    </row>
    <row r="842" spans="20:22" x14ac:dyDescent="0.25">
      <c r="T842">
        <f>IF(connections!$A842="","",IFERROR(INDEX(games!$B$2:$B$847,MATCH(connections!$A842,games!$A$2:$A$847,0)),""))</f>
        <v>2017</v>
      </c>
      <c r="U842">
        <f>IF(connections!$A842="","",IFERROR(INDEX(games!$B$2:$B$847,MATCH(connections!$B842,games!$A$2:$A$847,0)),""))</f>
        <v>2023</v>
      </c>
      <c r="V842">
        <f t="shared" si="156"/>
        <v>6</v>
      </c>
    </row>
    <row r="843" spans="20:22" x14ac:dyDescent="0.25">
      <c r="T843">
        <f>IF(connections!$A843="","",IFERROR(INDEX(games!$B$2:$B$847,MATCH(connections!$A843,games!$A$2:$A$847,0)),""))</f>
        <v>2017</v>
      </c>
      <c r="U843">
        <f>IF(connections!$A843="","",IFERROR(INDEX(games!$B$2:$B$847,MATCH(connections!$B843,games!$A$2:$A$847,0)),""))</f>
        <v>2026</v>
      </c>
      <c r="V843">
        <f t="shared" si="156"/>
        <v>9</v>
      </c>
    </row>
    <row r="844" spans="20:22" x14ac:dyDescent="0.25">
      <c r="T844">
        <f>IF(connections!$A844="","",IFERROR(INDEX(games!$B$2:$B$847,MATCH(connections!$A844,games!$A$2:$A$847,0)),""))</f>
        <v>2017</v>
      </c>
      <c r="U844">
        <f>IF(connections!$A844="","",IFERROR(INDEX(games!$B$2:$B$847,MATCH(connections!$B844,games!$A$2:$A$847,0)),""))</f>
        <v>2026</v>
      </c>
      <c r="V844">
        <f t="shared" si="156"/>
        <v>9</v>
      </c>
    </row>
    <row r="845" spans="20:22" x14ac:dyDescent="0.25">
      <c r="T845">
        <f>IF(connections!$A845="","",IFERROR(INDEX(games!$B$2:$B$847,MATCH(connections!$A845,games!$A$2:$A$847,0)),""))</f>
        <v>2017</v>
      </c>
      <c r="U845">
        <f>IF(connections!$A845="","",IFERROR(INDEX(games!$B$2:$B$847,MATCH(connections!$B845,games!$A$2:$A$847,0)),""))</f>
        <v>2022</v>
      </c>
      <c r="V845">
        <f t="shared" si="156"/>
        <v>5</v>
      </c>
    </row>
    <row r="846" spans="20:22" x14ac:dyDescent="0.25">
      <c r="T846">
        <f>IF(connections!$A846="","",IFERROR(INDEX(games!$B$2:$B$847,MATCH(connections!$A846,games!$A$2:$A$847,0)),""))</f>
        <v>2017</v>
      </c>
      <c r="U846">
        <f>IF(connections!$A846="","",IFERROR(INDEX(games!$B$2:$B$847,MATCH(connections!$B846,games!$A$2:$A$847,0)),""))</f>
        <v>2024</v>
      </c>
      <c r="V846">
        <f t="shared" si="156"/>
        <v>7</v>
      </c>
    </row>
    <row r="847" spans="20:22" x14ac:dyDescent="0.25">
      <c r="T847">
        <f>IF(connections!$A847="","",IFERROR(INDEX(games!$B$2:$B$847,MATCH(connections!$A847,games!$A$2:$A$847,0)),""))</f>
        <v>2017</v>
      </c>
      <c r="U847">
        <f>IF(connections!$A847="","",IFERROR(INDEX(games!$B$2:$B$847,MATCH(connections!$B847,games!$A$2:$A$847,0)),""))</f>
        <v>2024</v>
      </c>
      <c r="V847">
        <f t="shared" si="156"/>
        <v>7</v>
      </c>
    </row>
    <row r="848" spans="20:22" x14ac:dyDescent="0.25">
      <c r="T848">
        <f>IF(connections!$A848="","",IFERROR(INDEX(games!$B$2:$B$847,MATCH(connections!$A848,games!$A$2:$A$847,0)),""))</f>
        <v>2017</v>
      </c>
      <c r="U848">
        <f>IF(connections!$A848="","",IFERROR(INDEX(games!$B$2:$B$847,MATCH(connections!$B848,games!$A$2:$A$847,0)),""))</f>
        <v>2023</v>
      </c>
      <c r="V848">
        <f t="shared" si="156"/>
        <v>6</v>
      </c>
    </row>
    <row r="849" spans="20:22" x14ac:dyDescent="0.25">
      <c r="T849">
        <f>IF(connections!$A849="","",IFERROR(INDEX(games!$B$2:$B$847,MATCH(connections!$A849,games!$A$2:$A$847,0)),""))</f>
        <v>2018</v>
      </c>
      <c r="U849">
        <f>IF(connections!$A849="","",IFERROR(INDEX(games!$B$2:$B$847,MATCH(connections!$B849,games!$A$2:$A$847,0)),""))</f>
        <v>2025</v>
      </c>
      <c r="V849">
        <f t="shared" si="156"/>
        <v>7</v>
      </c>
    </row>
    <row r="850" spans="20:22" x14ac:dyDescent="0.25">
      <c r="T850">
        <f>IF(connections!$A850="","",IFERROR(INDEX(games!$B$2:$B$847,MATCH(connections!$A850,games!$A$2:$A$847,0)),""))</f>
        <v>2018</v>
      </c>
      <c r="U850">
        <f>IF(connections!$A850="","",IFERROR(INDEX(games!$B$2:$B$847,MATCH(connections!$B850,games!$A$2:$A$847,0)),""))</f>
        <v>2024</v>
      </c>
      <c r="V850">
        <f t="shared" si="156"/>
        <v>6</v>
      </c>
    </row>
    <row r="851" spans="20:22" x14ac:dyDescent="0.25">
      <c r="T851">
        <f>IF(connections!$A851="","",IFERROR(INDEX(games!$B$2:$B$847,MATCH(connections!$A851,games!$A$2:$A$847,0)),""))</f>
        <v>2023</v>
      </c>
      <c r="U851">
        <f>IF(connections!$A851="","",IFERROR(INDEX(games!$B$2:$B$847,MATCH(connections!$B851,games!$A$2:$A$847,0)),""))</f>
        <v>2026</v>
      </c>
      <c r="V851">
        <f t="shared" si="156"/>
        <v>3</v>
      </c>
    </row>
    <row r="852" spans="20:22" x14ac:dyDescent="0.25">
      <c r="T852">
        <f>IF(connections!$A852="","",IFERROR(INDEX(games!$B$2:$B$847,MATCH(connections!$A852,games!$A$2:$A$847,0)),""))</f>
        <v>2021</v>
      </c>
      <c r="U852">
        <f>IF(connections!$A852="","",IFERROR(INDEX(games!$B$2:$B$847,MATCH(connections!$B852,games!$A$2:$A$847,0)),""))</f>
        <v>2023</v>
      </c>
      <c r="V852">
        <f t="shared" si="156"/>
        <v>2</v>
      </c>
    </row>
    <row r="853" spans="20:22" x14ac:dyDescent="0.25">
      <c r="T853">
        <f>IF(connections!$A853="","",IFERROR(INDEX(games!$B$2:$B$847,MATCH(connections!$A853,games!$A$2:$A$847,0)),""))</f>
        <v>2021</v>
      </c>
      <c r="U853">
        <f>IF(connections!$A853="","",IFERROR(INDEX(games!$B$2:$B$847,MATCH(connections!$B853,games!$A$2:$A$847,0)),""))</f>
        <v>2022</v>
      </c>
      <c r="V853">
        <f t="shared" si="156"/>
        <v>1</v>
      </c>
    </row>
    <row r="854" spans="20:22" x14ac:dyDescent="0.25">
      <c r="T854">
        <f>IF(connections!$A854="","",IFERROR(INDEX(games!$B$2:$B$847,MATCH(connections!$A854,games!$A$2:$A$847,0)),""))</f>
        <v>2021</v>
      </c>
      <c r="U854">
        <f>IF(connections!$A854="","",IFERROR(INDEX(games!$B$2:$B$847,MATCH(connections!$B854,games!$A$2:$A$847,0)),""))</f>
        <v>2023</v>
      </c>
      <c r="V854">
        <f t="shared" si="156"/>
        <v>2</v>
      </c>
    </row>
    <row r="855" spans="20:22" x14ac:dyDescent="0.25">
      <c r="T855">
        <f>IF(connections!$A855="","",IFERROR(INDEX(games!$B$2:$B$847,MATCH(connections!$A855,games!$A$2:$A$847,0)),""))</f>
        <v>2021</v>
      </c>
      <c r="U855">
        <f>IF(connections!$A855="","",IFERROR(INDEX(games!$B$2:$B$847,MATCH(connections!$B855,games!$A$2:$A$847,0)),""))</f>
        <v>2023</v>
      </c>
      <c r="V855">
        <f t="shared" si="156"/>
        <v>2</v>
      </c>
    </row>
    <row r="856" spans="20:22" x14ac:dyDescent="0.25">
      <c r="T856">
        <f>IF(connections!$A856="","",IFERROR(INDEX(games!$B$2:$B$847,MATCH(connections!$A856,games!$A$2:$A$847,0)),""))</f>
        <v>2021</v>
      </c>
      <c r="U856">
        <f>IF(connections!$A856="","",IFERROR(INDEX(games!$B$2:$B$847,MATCH(connections!$B856,games!$A$2:$A$847,0)),""))</f>
        <v>2026</v>
      </c>
      <c r="V856">
        <f t="shared" si="156"/>
        <v>5</v>
      </c>
    </row>
    <row r="857" spans="20:22" x14ac:dyDescent="0.25">
      <c r="T857">
        <f>IF(connections!$A857="","",IFERROR(INDEX(games!$B$2:$B$847,MATCH(connections!$A857,games!$A$2:$A$847,0)),""))</f>
        <v>2021</v>
      </c>
      <c r="U857">
        <f>IF(connections!$A857="","",IFERROR(INDEX(games!$B$2:$B$847,MATCH(connections!$B857,games!$A$2:$A$847,0)),""))</f>
        <v>2025</v>
      </c>
      <c r="V857">
        <f t="shared" si="156"/>
        <v>4</v>
      </c>
    </row>
    <row r="858" spans="20:22" x14ac:dyDescent="0.25">
      <c r="T858">
        <f>IF(connections!$A858="","",IFERROR(INDEX(games!$B$2:$B$847,MATCH(connections!$A858,games!$A$2:$A$847,0)),""))</f>
        <v>2022</v>
      </c>
      <c r="U858">
        <f>IF(connections!$A858="","",IFERROR(INDEX(games!$B$2:$B$847,MATCH(connections!$B858,games!$A$2:$A$847,0)),""))</f>
        <v>2023</v>
      </c>
      <c r="V858">
        <f t="shared" si="156"/>
        <v>1</v>
      </c>
    </row>
    <row r="859" spans="20:22" x14ac:dyDescent="0.25">
      <c r="T859">
        <f>IF(connections!$A859="","",IFERROR(INDEX(games!$B$2:$B$847,MATCH(connections!$A859,games!$A$2:$A$847,0)),""))</f>
        <v>2019</v>
      </c>
      <c r="U859">
        <f>IF(connections!$A859="","",IFERROR(INDEX(games!$B$2:$B$847,MATCH(connections!$B859,games!$A$2:$A$847,0)),""))</f>
        <v>2022</v>
      </c>
      <c r="V859">
        <f t="shared" si="156"/>
        <v>3</v>
      </c>
    </row>
    <row r="860" spans="20:22" x14ac:dyDescent="0.25">
      <c r="T860">
        <f>IF(connections!$A860="","",IFERROR(INDEX(games!$B$2:$B$847,MATCH(connections!$A860,games!$A$2:$A$847,0)),""))</f>
        <v>2012</v>
      </c>
      <c r="U860">
        <f>IF(connections!$A860="","",IFERROR(INDEX(games!$B$2:$B$847,MATCH(connections!$B860,games!$A$2:$A$847,0)),""))</f>
        <v>2020</v>
      </c>
      <c r="V860">
        <f t="shared" si="156"/>
        <v>8</v>
      </c>
    </row>
    <row r="861" spans="20:22" x14ac:dyDescent="0.25">
      <c r="T861">
        <f>IF(connections!$A861="","",IFERROR(INDEX(games!$B$2:$B$847,MATCH(connections!$A861,games!$A$2:$A$847,0)),""))</f>
        <v>2008</v>
      </c>
      <c r="U861">
        <f>IF(connections!$A861="","",IFERROR(INDEX(games!$B$2:$B$847,MATCH(connections!$B861,games!$A$2:$A$847,0)),""))</f>
        <v>2013</v>
      </c>
      <c r="V861">
        <f t="shared" si="156"/>
        <v>5</v>
      </c>
    </row>
    <row r="862" spans="20:22" x14ac:dyDescent="0.25">
      <c r="T862">
        <f>IF(connections!$A862="","",IFERROR(INDEX(games!$B$2:$B$847,MATCH(connections!$A862,games!$A$2:$A$847,0)),""))</f>
        <v>2008</v>
      </c>
      <c r="U862">
        <f>IF(connections!$A862="","",IFERROR(INDEX(games!$B$2:$B$847,MATCH(connections!$B862,games!$A$2:$A$847,0)),""))</f>
        <v>2015</v>
      </c>
      <c r="V862">
        <f t="shared" si="156"/>
        <v>7</v>
      </c>
    </row>
    <row r="863" spans="20:22" x14ac:dyDescent="0.25">
      <c r="T863">
        <f>IF(connections!$A863="","",IFERROR(INDEX(games!$B$2:$B$847,MATCH(connections!$A863,games!$A$2:$A$847,0)),""))</f>
        <v>2008</v>
      </c>
      <c r="U863">
        <f>IF(connections!$A863="","",IFERROR(INDEX(games!$B$2:$B$847,MATCH(connections!$B863,games!$A$2:$A$847,0)),""))</f>
        <v>2019</v>
      </c>
      <c r="V863">
        <f t="shared" si="156"/>
        <v>11</v>
      </c>
    </row>
    <row r="864" spans="20:22" x14ac:dyDescent="0.25">
      <c r="T864">
        <f>IF(connections!$A864="","",IFERROR(INDEX(games!$B$2:$B$847,MATCH(connections!$A864,games!$A$2:$A$847,0)),""))</f>
        <v>2008</v>
      </c>
      <c r="U864">
        <f>IF(connections!$A864="","",IFERROR(INDEX(games!$B$2:$B$847,MATCH(connections!$B864,games!$A$2:$A$847,0)),""))</f>
        <v>2015</v>
      </c>
      <c r="V864">
        <f t="shared" si="156"/>
        <v>7</v>
      </c>
    </row>
    <row r="865" spans="20:22" x14ac:dyDescent="0.25">
      <c r="T865">
        <f>IF(connections!$A865="","",IFERROR(INDEX(games!$B$2:$B$847,MATCH(connections!$A865,games!$A$2:$A$847,0)),""))</f>
        <v>2008</v>
      </c>
      <c r="U865">
        <f>IF(connections!$A865="","",IFERROR(INDEX(games!$B$2:$B$847,MATCH(connections!$B865,games!$A$2:$A$847,0)),""))</f>
        <v>2017</v>
      </c>
      <c r="V865">
        <f t="shared" si="156"/>
        <v>9</v>
      </c>
    </row>
    <row r="866" spans="20:22" x14ac:dyDescent="0.25">
      <c r="T866">
        <f>IF(connections!$A866="","",IFERROR(INDEX(games!$B$2:$B$847,MATCH(connections!$A866,games!$A$2:$A$847,0)),""))</f>
        <v>2008</v>
      </c>
      <c r="U866">
        <f>IF(connections!$A866="","",IFERROR(INDEX(games!$B$2:$B$847,MATCH(connections!$B866,games!$A$2:$A$847,0)),""))</f>
        <v>2013</v>
      </c>
      <c r="V866">
        <f t="shared" si="156"/>
        <v>5</v>
      </c>
    </row>
    <row r="867" spans="20:22" x14ac:dyDescent="0.25">
      <c r="T867">
        <f>IF(connections!$A867="","",IFERROR(INDEX(games!$B$2:$B$847,MATCH(connections!$A867,games!$A$2:$A$847,0)),""))</f>
        <v>2008</v>
      </c>
      <c r="U867">
        <f>IF(connections!$A867="","",IFERROR(INDEX(games!$B$2:$B$847,MATCH(connections!$B867,games!$A$2:$A$847,0)),""))</f>
        <v>2015</v>
      </c>
      <c r="V867">
        <f t="shared" si="156"/>
        <v>7</v>
      </c>
    </row>
    <row r="868" spans="20:22" x14ac:dyDescent="0.25">
      <c r="T868">
        <f>IF(connections!$A868="","",IFERROR(INDEX(games!$B$2:$B$847,MATCH(connections!$A868,games!$A$2:$A$847,0)),""))</f>
        <v>2008</v>
      </c>
      <c r="U868">
        <f>IF(connections!$A868="","",IFERROR(INDEX(games!$B$2:$B$847,MATCH(connections!$B868,games!$A$2:$A$847,0)),""))</f>
        <v>2024</v>
      </c>
      <c r="V868">
        <f t="shared" si="156"/>
        <v>16</v>
      </c>
    </row>
    <row r="869" spans="20:22" x14ac:dyDescent="0.25">
      <c r="T869">
        <f>IF(connections!$A869="","",IFERROR(INDEX(games!$B$2:$B$847,MATCH(connections!$A869,games!$A$2:$A$847,0)),""))</f>
        <v>2008</v>
      </c>
      <c r="U869">
        <f>IF(connections!$A869="","",IFERROR(INDEX(games!$B$2:$B$847,MATCH(connections!$B869,games!$A$2:$A$847,0)),""))</f>
        <v>2015</v>
      </c>
      <c r="V869">
        <f t="shared" si="156"/>
        <v>7</v>
      </c>
    </row>
    <row r="870" spans="20:22" x14ac:dyDescent="0.25">
      <c r="T870">
        <f>IF(connections!$A870="","",IFERROR(INDEX(games!$B$2:$B$847,MATCH(connections!$A870,games!$A$2:$A$847,0)),""))</f>
        <v>2008</v>
      </c>
      <c r="U870">
        <f>IF(connections!$A870="","",IFERROR(INDEX(games!$B$2:$B$847,MATCH(connections!$B870,games!$A$2:$A$847,0)),""))</f>
        <v>2025</v>
      </c>
      <c r="V870">
        <f t="shared" si="156"/>
        <v>17</v>
      </c>
    </row>
    <row r="871" spans="20:22" x14ac:dyDescent="0.25">
      <c r="T871">
        <f>IF(connections!$A871="","",IFERROR(INDEX(games!$B$2:$B$847,MATCH(connections!$A871,games!$A$2:$A$847,0)),""))</f>
        <v>2008</v>
      </c>
      <c r="U871">
        <f>IF(connections!$A871="","",IFERROR(INDEX(games!$B$2:$B$847,MATCH(connections!$B871,games!$A$2:$A$847,0)),""))</f>
        <v>2016</v>
      </c>
      <c r="V871">
        <f t="shared" si="156"/>
        <v>8</v>
      </c>
    </row>
    <row r="872" spans="20:22" x14ac:dyDescent="0.25">
      <c r="T872">
        <f>IF(connections!$A872="","",IFERROR(INDEX(games!$B$2:$B$847,MATCH(connections!$A872,games!$A$2:$A$847,0)),""))</f>
        <v>2008</v>
      </c>
      <c r="U872">
        <f>IF(connections!$A872="","",IFERROR(INDEX(games!$B$2:$B$847,MATCH(connections!$B872,games!$A$2:$A$847,0)),""))</f>
        <v>2024</v>
      </c>
      <c r="V872">
        <f t="shared" si="156"/>
        <v>16</v>
      </c>
    </row>
    <row r="873" spans="20:22" x14ac:dyDescent="0.25">
      <c r="T873">
        <f>IF(connections!$A873="","",IFERROR(INDEX(games!$B$2:$B$847,MATCH(connections!$A873,games!$A$2:$A$847,0)),""))</f>
        <v>2008</v>
      </c>
      <c r="U873">
        <f>IF(connections!$A873="","",IFERROR(INDEX(games!$B$2:$B$847,MATCH(connections!$B873,games!$A$2:$A$847,0)),""))</f>
        <v>2017</v>
      </c>
      <c r="V873">
        <f t="shared" si="156"/>
        <v>9</v>
      </c>
    </row>
    <row r="874" spans="20:22" x14ac:dyDescent="0.25">
      <c r="T874">
        <f>IF(connections!$A874="","",IFERROR(INDEX(games!$B$2:$B$847,MATCH(connections!$A874,games!$A$2:$A$847,0)),""))</f>
        <v>2008</v>
      </c>
      <c r="U874">
        <f>IF(connections!$A874="","",IFERROR(INDEX(games!$B$2:$B$847,MATCH(connections!$B874,games!$A$2:$A$847,0)),""))</f>
        <v>2012</v>
      </c>
      <c r="V874">
        <f t="shared" si="156"/>
        <v>4</v>
      </c>
    </row>
    <row r="875" spans="20:22" x14ac:dyDescent="0.25">
      <c r="T875">
        <f>IF(connections!$A875="","",IFERROR(INDEX(games!$B$2:$B$847,MATCH(connections!$A875,games!$A$2:$A$847,0)),""))</f>
        <v>2008</v>
      </c>
      <c r="U875">
        <f>IF(connections!$A875="","",IFERROR(INDEX(games!$B$2:$B$847,MATCH(connections!$B875,games!$A$2:$A$847,0)),""))</f>
        <v>2020</v>
      </c>
      <c r="V875">
        <f t="shared" si="156"/>
        <v>12</v>
      </c>
    </row>
    <row r="876" spans="20:22" x14ac:dyDescent="0.25">
      <c r="T876">
        <f>IF(connections!$A876="","",IFERROR(INDEX(games!$B$2:$B$847,MATCH(connections!$A876,games!$A$2:$A$847,0)),""))</f>
        <v>2008</v>
      </c>
      <c r="U876">
        <f>IF(connections!$A876="","",IFERROR(INDEX(games!$B$2:$B$847,MATCH(connections!$B876,games!$A$2:$A$847,0)),""))</f>
        <v>2016</v>
      </c>
      <c r="V876">
        <f t="shared" si="156"/>
        <v>8</v>
      </c>
    </row>
    <row r="877" spans="20:22" x14ac:dyDescent="0.25">
      <c r="T877">
        <f>IF(connections!$A877="","",IFERROR(INDEX(games!$B$2:$B$847,MATCH(connections!$A877,games!$A$2:$A$847,0)),""))</f>
        <v>2008</v>
      </c>
      <c r="U877">
        <f>IF(connections!$A877="","",IFERROR(INDEX(games!$B$2:$B$847,MATCH(connections!$B877,games!$A$2:$A$847,0)),""))</f>
        <v>2017</v>
      </c>
      <c r="V877">
        <f t="shared" si="156"/>
        <v>9</v>
      </c>
    </row>
    <row r="878" spans="20:22" x14ac:dyDescent="0.25">
      <c r="T878">
        <f>IF(connections!$A878="","",IFERROR(INDEX(games!$B$2:$B$847,MATCH(connections!$A878,games!$A$2:$A$847,0)),""))</f>
        <v>2008</v>
      </c>
      <c r="U878">
        <f>IF(connections!$A878="","",IFERROR(INDEX(games!$B$2:$B$847,MATCH(connections!$B878,games!$A$2:$A$847,0)),""))</f>
        <v>2018</v>
      </c>
      <c r="V878">
        <f t="shared" si="156"/>
        <v>10</v>
      </c>
    </row>
    <row r="879" spans="20:22" x14ac:dyDescent="0.25">
      <c r="T879">
        <f>IF(connections!$A879="","",IFERROR(INDEX(games!$B$2:$B$847,MATCH(connections!$A879,games!$A$2:$A$847,0)),""))</f>
        <v>2008</v>
      </c>
      <c r="U879">
        <f>IF(connections!$A879="","",IFERROR(INDEX(games!$B$2:$B$847,MATCH(connections!$B879,games!$A$2:$A$847,0)),""))</f>
        <v>2015</v>
      </c>
      <c r="V879">
        <f t="shared" si="156"/>
        <v>7</v>
      </c>
    </row>
    <row r="880" spans="20:22" x14ac:dyDescent="0.25">
      <c r="T880">
        <f>IF(connections!$A880="","",IFERROR(INDEX(games!$B$2:$B$847,MATCH(connections!$A880,games!$A$2:$A$847,0)),""))</f>
        <v>2008</v>
      </c>
      <c r="U880">
        <f>IF(connections!$A880="","",IFERROR(INDEX(games!$B$2:$B$847,MATCH(connections!$B880,games!$A$2:$A$847,0)),""))</f>
        <v>2023</v>
      </c>
      <c r="V880">
        <f t="shared" si="156"/>
        <v>15</v>
      </c>
    </row>
    <row r="881" spans="20:22" x14ac:dyDescent="0.25">
      <c r="T881">
        <f>IF(connections!$A881="","",IFERROR(INDEX(games!$B$2:$B$847,MATCH(connections!$A881,games!$A$2:$A$847,0)),""))</f>
        <v>2008</v>
      </c>
      <c r="U881">
        <f>IF(connections!$A881="","",IFERROR(INDEX(games!$B$2:$B$847,MATCH(connections!$B881,games!$A$2:$A$847,0)),""))</f>
        <v>2019</v>
      </c>
      <c r="V881">
        <f t="shared" si="156"/>
        <v>11</v>
      </c>
    </row>
    <row r="882" spans="20:22" x14ac:dyDescent="0.25">
      <c r="T882">
        <f>IF(connections!$A882="","",IFERROR(INDEX(games!$B$2:$B$847,MATCH(connections!$A882,games!$A$2:$A$847,0)),""))</f>
        <v>2008</v>
      </c>
      <c r="U882">
        <f>IF(connections!$A882="","",IFERROR(INDEX(games!$B$2:$B$847,MATCH(connections!$B882,games!$A$2:$A$847,0)),""))</f>
        <v>2012</v>
      </c>
      <c r="V882">
        <f t="shared" si="156"/>
        <v>4</v>
      </c>
    </row>
    <row r="883" spans="20:22" x14ac:dyDescent="0.25">
      <c r="T883">
        <f>IF(connections!$A883="","",IFERROR(INDEX(games!$B$2:$B$847,MATCH(connections!$A883,games!$A$2:$A$847,0)),""))</f>
        <v>2008</v>
      </c>
      <c r="U883">
        <f>IF(connections!$A883="","",IFERROR(INDEX(games!$B$2:$B$847,MATCH(connections!$B883,games!$A$2:$A$847,0)),""))</f>
        <v>2013</v>
      </c>
      <c r="V883">
        <f t="shared" si="156"/>
        <v>5</v>
      </c>
    </row>
    <row r="884" spans="20:22" x14ac:dyDescent="0.25">
      <c r="T884">
        <f>IF(connections!$A884="","",IFERROR(INDEX(games!$B$2:$B$847,MATCH(connections!$A884,games!$A$2:$A$847,0)),""))</f>
        <v>2008</v>
      </c>
      <c r="U884">
        <f>IF(connections!$A884="","",IFERROR(INDEX(games!$B$2:$B$847,MATCH(connections!$B884,games!$A$2:$A$847,0)),""))</f>
        <v>2022</v>
      </c>
      <c r="V884">
        <f t="shared" si="156"/>
        <v>14</v>
      </c>
    </row>
    <row r="885" spans="20:22" x14ac:dyDescent="0.25">
      <c r="T885">
        <f>IF(connections!$A885="","",IFERROR(INDEX(games!$B$2:$B$847,MATCH(connections!$A885,games!$A$2:$A$847,0)),""))</f>
        <v>2008</v>
      </c>
      <c r="U885">
        <f>IF(connections!$A885="","",IFERROR(INDEX(games!$B$2:$B$847,MATCH(connections!$B885,games!$A$2:$A$847,0)),""))</f>
        <v>2014</v>
      </c>
      <c r="V885">
        <f t="shared" si="156"/>
        <v>6</v>
      </c>
    </row>
    <row r="886" spans="20:22" x14ac:dyDescent="0.25">
      <c r="T886">
        <f>IF(connections!$A886="","",IFERROR(INDEX(games!$B$2:$B$847,MATCH(connections!$A886,games!$A$2:$A$847,0)),""))</f>
        <v>2008</v>
      </c>
      <c r="U886">
        <f>IF(connections!$A886="","",IFERROR(INDEX(games!$B$2:$B$847,MATCH(connections!$B886,games!$A$2:$A$847,0)),""))</f>
        <v>2012</v>
      </c>
      <c r="V886">
        <f t="shared" si="156"/>
        <v>4</v>
      </c>
    </row>
    <row r="887" spans="20:22" x14ac:dyDescent="0.25">
      <c r="T887">
        <f>IF(connections!$A887="","",IFERROR(INDEX(games!$B$2:$B$847,MATCH(connections!$A887,games!$A$2:$A$847,0)),""))</f>
        <v>2008</v>
      </c>
      <c r="U887">
        <f>IF(connections!$A887="","",IFERROR(INDEX(games!$B$2:$B$847,MATCH(connections!$B887,games!$A$2:$A$847,0)),""))</f>
        <v>2019</v>
      </c>
      <c r="V887">
        <f t="shared" si="156"/>
        <v>11</v>
      </c>
    </row>
    <row r="888" spans="20:22" x14ac:dyDescent="0.25">
      <c r="T888">
        <f>IF(connections!$A888="","",IFERROR(INDEX(games!$B$2:$B$847,MATCH(connections!$A888,games!$A$2:$A$847,0)),""))</f>
        <v>2008</v>
      </c>
      <c r="U888">
        <f>IF(connections!$A888="","",IFERROR(INDEX(games!$B$2:$B$847,MATCH(connections!$B888,games!$A$2:$A$847,0)),""))</f>
        <v>2017</v>
      </c>
      <c r="V888">
        <f t="shared" si="156"/>
        <v>9</v>
      </c>
    </row>
    <row r="889" spans="20:22" x14ac:dyDescent="0.25">
      <c r="T889">
        <f>IF(connections!$A889="","",IFERROR(INDEX(games!$B$2:$B$847,MATCH(connections!$A889,games!$A$2:$A$847,0)),""))</f>
        <v>2008</v>
      </c>
      <c r="U889">
        <f>IF(connections!$A889="","",IFERROR(INDEX(games!$B$2:$B$847,MATCH(connections!$B889,games!$A$2:$A$847,0)),""))</f>
        <v>2019</v>
      </c>
      <c r="V889">
        <f t="shared" si="156"/>
        <v>11</v>
      </c>
    </row>
    <row r="890" spans="20:22" x14ac:dyDescent="0.25">
      <c r="T890">
        <f>IF(connections!$A890="","",IFERROR(INDEX(games!$B$2:$B$847,MATCH(connections!$A890,games!$A$2:$A$847,0)),""))</f>
        <v>2008</v>
      </c>
      <c r="U890">
        <f>IF(connections!$A890="","",IFERROR(INDEX(games!$B$2:$B$847,MATCH(connections!$B890,games!$A$2:$A$847,0)),""))</f>
        <v>2016</v>
      </c>
      <c r="V890">
        <f t="shared" si="156"/>
        <v>8</v>
      </c>
    </row>
    <row r="891" spans="20:22" x14ac:dyDescent="0.25">
      <c r="T891">
        <f>IF(connections!$A891="","",IFERROR(INDEX(games!$B$2:$B$847,MATCH(connections!$A891,games!$A$2:$A$847,0)),""))</f>
        <v>2008</v>
      </c>
      <c r="U891">
        <f>IF(connections!$A891="","",IFERROR(INDEX(games!$B$2:$B$847,MATCH(connections!$B891,games!$A$2:$A$847,0)),""))</f>
        <v>2011</v>
      </c>
      <c r="V891">
        <f t="shared" si="156"/>
        <v>3</v>
      </c>
    </row>
    <row r="892" spans="20:22" x14ac:dyDescent="0.25">
      <c r="T892">
        <f>IF(connections!$A892="","",IFERROR(INDEX(games!$B$2:$B$847,MATCH(connections!$A892,games!$A$2:$A$847,0)),""))</f>
        <v>2008</v>
      </c>
      <c r="U892">
        <f>IF(connections!$A892="","",IFERROR(INDEX(games!$B$2:$B$847,MATCH(connections!$B892,games!$A$2:$A$847,0)),""))</f>
        <v>2017</v>
      </c>
      <c r="V892">
        <f t="shared" si="156"/>
        <v>9</v>
      </c>
    </row>
    <row r="893" spans="20:22" x14ac:dyDescent="0.25">
      <c r="T893">
        <f>IF(connections!$A893="","",IFERROR(INDEX(games!$B$2:$B$847,MATCH(connections!$A893,games!$A$2:$A$847,0)),""))</f>
        <v>2008</v>
      </c>
      <c r="U893">
        <f>IF(connections!$A893="","",IFERROR(INDEX(games!$B$2:$B$847,MATCH(connections!$B893,games!$A$2:$A$847,0)),""))</f>
        <v>2018</v>
      </c>
      <c r="V893">
        <f t="shared" si="156"/>
        <v>10</v>
      </c>
    </row>
    <row r="894" spans="20:22" x14ac:dyDescent="0.25">
      <c r="T894">
        <f>IF(connections!$A894="","",IFERROR(INDEX(games!$B$2:$B$847,MATCH(connections!$A894,games!$A$2:$A$847,0)),""))</f>
        <v>2008</v>
      </c>
      <c r="U894">
        <f>IF(connections!$A894="","",IFERROR(INDEX(games!$B$2:$B$847,MATCH(connections!$B894,games!$A$2:$A$847,0)),""))</f>
        <v>2023</v>
      </c>
      <c r="V894">
        <f t="shared" si="156"/>
        <v>15</v>
      </c>
    </row>
    <row r="895" spans="20:22" x14ac:dyDescent="0.25">
      <c r="T895">
        <f>IF(connections!$A895="","",IFERROR(INDEX(games!$B$2:$B$847,MATCH(connections!$A895,games!$A$2:$A$847,0)),""))</f>
        <v>2019</v>
      </c>
      <c r="U895">
        <f>IF(connections!$A895="","",IFERROR(INDEX(games!$B$2:$B$847,MATCH(connections!$B895,games!$A$2:$A$847,0)),""))</f>
        <v>2022</v>
      </c>
      <c r="V895">
        <f t="shared" si="156"/>
        <v>3</v>
      </c>
    </row>
    <row r="896" spans="20:22" x14ac:dyDescent="0.25">
      <c r="T896">
        <f>IF(connections!$A896="","",IFERROR(INDEX(games!$B$2:$B$847,MATCH(connections!$A896,games!$A$2:$A$847,0)),""))</f>
        <v>2014</v>
      </c>
      <c r="U896">
        <f>IF(connections!$A896="","",IFERROR(INDEX(games!$B$2:$B$847,MATCH(connections!$B896,games!$A$2:$A$847,0)),""))</f>
        <v>2017</v>
      </c>
      <c r="V896">
        <f t="shared" si="156"/>
        <v>3</v>
      </c>
    </row>
    <row r="897" spans="20:22" x14ac:dyDescent="0.25">
      <c r="T897">
        <f>IF(connections!$A897="","",IFERROR(INDEX(games!$B$2:$B$847,MATCH(connections!$A897,games!$A$2:$A$847,0)),""))</f>
        <v>2017</v>
      </c>
      <c r="U897">
        <f>IF(connections!$A897="","",IFERROR(INDEX(games!$B$2:$B$847,MATCH(connections!$B897,games!$A$2:$A$847,0)),""))</f>
        <v>2020</v>
      </c>
      <c r="V897">
        <f t="shared" si="156"/>
        <v>3</v>
      </c>
    </row>
    <row r="898" spans="20:22" x14ac:dyDescent="0.25">
      <c r="T898">
        <f>IF(connections!$A898="","",IFERROR(INDEX(games!$B$2:$B$847,MATCH(connections!$A898,games!$A$2:$A$847,0)),""))</f>
        <v>2020</v>
      </c>
      <c r="U898">
        <f>IF(connections!$A898="","",IFERROR(INDEX(games!$B$2:$B$847,MATCH(connections!$B898,games!$A$2:$A$847,0)),""))</f>
        <v>2025</v>
      </c>
      <c r="V898">
        <f t="shared" ref="V898:V961" si="157">IF(OR($T898="",$U898=""),"",$U898-$T898)</f>
        <v>5</v>
      </c>
    </row>
    <row r="899" spans="20:22" x14ac:dyDescent="0.25">
      <c r="T899">
        <f>IF(connections!$A899="","",IFERROR(INDEX(games!$B$2:$B$847,MATCH(connections!$A899,games!$A$2:$A$847,0)),""))</f>
        <v>2002</v>
      </c>
      <c r="U899">
        <f>IF(connections!$A899="","",IFERROR(INDEX(games!$B$2:$B$847,MATCH(connections!$B899,games!$A$2:$A$847,0)),""))</f>
        <v>2005</v>
      </c>
      <c r="V899">
        <f t="shared" si="157"/>
        <v>3</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2015</v>
      </c>
      <c r="U901">
        <f>IF(connections!$A901="","",IFERROR(INDEX(games!$B$2:$B$847,MATCH(connections!$B901,games!$A$2:$A$847,0)),""))</f>
        <v>2018</v>
      </c>
      <c r="V901">
        <f t="shared" si="157"/>
        <v>3</v>
      </c>
    </row>
    <row r="902" spans="20:22" x14ac:dyDescent="0.25">
      <c r="T902">
        <f>IF(connections!$A902="","",IFERROR(INDEX(games!$B$2:$B$847,MATCH(connections!$A902,games!$A$2:$A$847,0)),""))</f>
        <v>2021</v>
      </c>
      <c r="U902">
        <f>IF(connections!$A902="","",IFERROR(INDEX(games!$B$2:$B$847,MATCH(connections!$B902,games!$A$2:$A$847,0)),""))</f>
        <v>2023</v>
      </c>
      <c r="V902">
        <f t="shared" si="157"/>
        <v>2</v>
      </c>
    </row>
    <row r="903" spans="20:22" x14ac:dyDescent="0.25">
      <c r="T903">
        <f>IF(connections!$A903="","",IFERROR(INDEX(games!$B$2:$B$847,MATCH(connections!$A903,games!$A$2:$A$847,0)),""))</f>
        <v>2021</v>
      </c>
      <c r="U903">
        <f>IF(connections!$A903="","",IFERROR(INDEX(games!$B$2:$B$847,MATCH(connections!$B903,games!$A$2:$A$847,0)),""))</f>
        <v>2026</v>
      </c>
      <c r="V903">
        <f t="shared" si="157"/>
        <v>5</v>
      </c>
    </row>
    <row r="904" spans="20:22" x14ac:dyDescent="0.25">
      <c r="T904">
        <f>IF(connections!$A904="","",IFERROR(INDEX(games!$B$2:$B$847,MATCH(connections!$A904,games!$A$2:$A$847,0)),""))</f>
        <v>2021</v>
      </c>
      <c r="U904">
        <f>IF(connections!$A904="","",IFERROR(INDEX(games!$B$2:$B$847,MATCH(connections!$B904,games!$A$2:$A$847,0)),""))</f>
        <v>2024</v>
      </c>
      <c r="V904">
        <f t="shared" si="157"/>
        <v>3</v>
      </c>
    </row>
    <row r="905" spans="20:22" x14ac:dyDescent="0.25">
      <c r="T905">
        <f>IF(connections!$A905="","",IFERROR(INDEX(games!$B$2:$B$847,MATCH(connections!$A905,games!$A$2:$A$847,0)),""))</f>
        <v>2021</v>
      </c>
      <c r="U905">
        <f>IF(connections!$A905="","",IFERROR(INDEX(games!$B$2:$B$847,MATCH(connections!$B905,games!$A$2:$A$847,0)),""))</f>
        <v>2024</v>
      </c>
      <c r="V905">
        <f t="shared" si="157"/>
        <v>3</v>
      </c>
    </row>
    <row r="906" spans="20:22" x14ac:dyDescent="0.25">
      <c r="T906">
        <f>IF(connections!$A906="","",IFERROR(INDEX(games!$B$2:$B$847,MATCH(connections!$A906,games!$A$2:$A$847,0)),""))</f>
        <v>2021</v>
      </c>
      <c r="U906">
        <f>IF(connections!$A906="","",IFERROR(INDEX(games!$B$2:$B$847,MATCH(connections!$B906,games!$A$2:$A$847,0)),""))</f>
        <v>2025</v>
      </c>
      <c r="V906">
        <f t="shared" si="157"/>
        <v>4</v>
      </c>
    </row>
    <row r="907" spans="20:22" x14ac:dyDescent="0.25">
      <c r="T907">
        <f>IF(connections!$A907="","",IFERROR(INDEX(games!$B$2:$B$847,MATCH(connections!$A907,games!$A$2:$A$847,0)),""))</f>
        <v>2021</v>
      </c>
      <c r="U907">
        <f>IF(connections!$A907="","",IFERROR(INDEX(games!$B$2:$B$847,MATCH(connections!$B907,games!$A$2:$A$847,0)),""))</f>
        <v>2026</v>
      </c>
      <c r="V907">
        <f t="shared" si="157"/>
        <v>5</v>
      </c>
    </row>
    <row r="908" spans="20:22" x14ac:dyDescent="0.25">
      <c r="T908">
        <f>IF(connections!$A908="","",IFERROR(INDEX(games!$B$2:$B$847,MATCH(connections!$A908,games!$A$2:$A$847,0)),""))</f>
        <v>2021</v>
      </c>
      <c r="U908">
        <f>IF(connections!$A908="","",IFERROR(INDEX(games!$B$2:$B$847,MATCH(connections!$B908,games!$A$2:$A$847,0)),""))</f>
        <v>2025</v>
      </c>
      <c r="V908">
        <f t="shared" si="157"/>
        <v>4</v>
      </c>
    </row>
    <row r="909" spans="20:22" x14ac:dyDescent="0.25">
      <c r="T909">
        <f>IF(connections!$A909="","",IFERROR(INDEX(games!$B$2:$B$847,MATCH(connections!$A909,games!$A$2:$A$847,0)),""))</f>
        <v>2021</v>
      </c>
      <c r="U909">
        <f>IF(connections!$A909="","",IFERROR(INDEX(games!$B$2:$B$847,MATCH(connections!$B909,games!$A$2:$A$847,0)),""))</f>
        <v>2024</v>
      </c>
      <c r="V909">
        <f t="shared" si="157"/>
        <v>3</v>
      </c>
    </row>
    <row r="910" spans="20:22" x14ac:dyDescent="0.25">
      <c r="T910">
        <f>IF(connections!$A910="","",IFERROR(INDEX(games!$B$2:$B$847,MATCH(connections!$A910,games!$A$2:$A$847,0)),""))</f>
        <v>2021</v>
      </c>
      <c r="U910">
        <f>IF(connections!$A910="","",IFERROR(INDEX(games!$B$2:$B$847,MATCH(connections!$B910,games!$A$2:$A$847,0)),""))</f>
        <v>2026</v>
      </c>
      <c r="V910">
        <f t="shared" si="157"/>
        <v>5</v>
      </c>
    </row>
    <row r="911" spans="20:22" x14ac:dyDescent="0.25">
      <c r="T911">
        <f>IF(connections!$A911="","",IFERROR(INDEX(games!$B$2:$B$847,MATCH(connections!$A911,games!$A$2:$A$847,0)),""))</f>
        <v>2013</v>
      </c>
      <c r="U911">
        <f>IF(connections!$A911="","",IFERROR(INDEX(games!$B$2:$B$847,MATCH(connections!$B911,games!$A$2:$A$847,0)),""))</f>
        <v>2016</v>
      </c>
      <c r="V911">
        <f t="shared" si="157"/>
        <v>3</v>
      </c>
    </row>
    <row r="912" spans="20:22" x14ac:dyDescent="0.25">
      <c r="T912">
        <f>IF(connections!$A912="","",IFERROR(INDEX(games!$B$2:$B$847,MATCH(connections!$A912,games!$A$2:$A$847,0)),""))</f>
        <v>2025</v>
      </c>
      <c r="U912">
        <f>IF(connections!$A912="","",IFERROR(INDEX(games!$B$2:$B$847,MATCH(connections!$B912,games!$A$2:$A$847,0)),""))</f>
        <v>2026</v>
      </c>
      <c r="V912">
        <f t="shared" si="157"/>
        <v>1</v>
      </c>
    </row>
    <row r="913" spans="20:22" x14ac:dyDescent="0.25">
      <c r="T913">
        <f>IF(connections!$A913="","",IFERROR(INDEX(games!$B$2:$B$847,MATCH(connections!$A913,games!$A$2:$A$847,0)),""))</f>
        <v>1982</v>
      </c>
      <c r="U913">
        <f>IF(connections!$A913="","",IFERROR(INDEX(games!$B$2:$B$847,MATCH(connections!$B913,games!$A$2:$A$847,0)),""))</f>
        <v>2016</v>
      </c>
      <c r="V913">
        <f t="shared" si="157"/>
        <v>34</v>
      </c>
    </row>
    <row r="914" spans="20:22" x14ac:dyDescent="0.25">
      <c r="T914">
        <f>IF(connections!$A914="","",IFERROR(INDEX(games!$B$2:$B$847,MATCH(connections!$A914,games!$A$2:$A$847,0)),""))</f>
        <v>2018</v>
      </c>
      <c r="U914">
        <f>IF(connections!$A914="","",IFERROR(INDEX(games!$B$2:$B$847,MATCH(connections!$B914,games!$A$2:$A$847,0)),""))</f>
        <v>2021</v>
      </c>
      <c r="V914">
        <f t="shared" si="157"/>
        <v>3</v>
      </c>
    </row>
    <row r="915" spans="20:22" x14ac:dyDescent="0.25">
      <c r="T915">
        <f>IF(connections!$A915="","",IFERROR(INDEX(games!$B$2:$B$847,MATCH(connections!$A915,games!$A$2:$A$847,0)),""))</f>
        <v>1998</v>
      </c>
      <c r="U915">
        <f>IF(connections!$A915="","",IFERROR(INDEX(games!$B$2:$B$847,MATCH(connections!$B915,games!$A$2:$A$847,0)),""))</f>
        <v>2010</v>
      </c>
      <c r="V915">
        <f t="shared" si="157"/>
        <v>12</v>
      </c>
    </row>
    <row r="916" spans="20:22" x14ac:dyDescent="0.25">
      <c r="T916">
        <f>IF(connections!$A916="","",IFERROR(INDEX(games!$B$2:$B$847,MATCH(connections!$A916,games!$A$2:$A$847,0)),""))</f>
        <v>1998</v>
      </c>
      <c r="U916">
        <f>IF(connections!$A916="","",IFERROR(INDEX(games!$B$2:$B$847,MATCH(connections!$B916,games!$A$2:$A$847,0)),""))</f>
        <v>2010</v>
      </c>
      <c r="V916">
        <f t="shared" si="157"/>
        <v>12</v>
      </c>
    </row>
    <row r="917" spans="20:22" x14ac:dyDescent="0.25">
      <c r="T917">
        <f>IF(connections!$A917="","",IFERROR(INDEX(games!$B$2:$B$847,MATCH(connections!$A917,games!$A$2:$A$847,0)),""))</f>
        <v>1998</v>
      </c>
      <c r="U917">
        <f>IF(connections!$A917="","",IFERROR(INDEX(games!$B$2:$B$847,MATCH(connections!$B917,games!$A$2:$A$847,0)),""))</f>
        <v>2007</v>
      </c>
      <c r="V917">
        <f t="shared" si="157"/>
        <v>9</v>
      </c>
    </row>
    <row r="918" spans="20:22" x14ac:dyDescent="0.25">
      <c r="T918">
        <f>IF(connections!$A918="","",IFERROR(INDEX(games!$B$2:$B$847,MATCH(connections!$A918,games!$A$2:$A$847,0)),""))</f>
        <v>1998</v>
      </c>
      <c r="U918">
        <f>IF(connections!$A918="","",IFERROR(INDEX(games!$B$2:$B$847,MATCH(connections!$B918,games!$A$2:$A$847,0)),""))</f>
        <v>2020</v>
      </c>
      <c r="V918">
        <f t="shared" si="157"/>
        <v>22</v>
      </c>
    </row>
    <row r="919" spans="20:22" x14ac:dyDescent="0.25">
      <c r="T919">
        <f>IF(connections!$A919="","",IFERROR(INDEX(games!$B$2:$B$847,MATCH(connections!$A919,games!$A$2:$A$847,0)),""))</f>
        <v>1998</v>
      </c>
      <c r="U919">
        <f>IF(connections!$A919="","",IFERROR(INDEX(games!$B$2:$B$847,MATCH(connections!$B919,games!$A$2:$A$847,0)),""))</f>
        <v>2023</v>
      </c>
      <c r="V919">
        <f t="shared" si="157"/>
        <v>25</v>
      </c>
    </row>
    <row r="920" spans="20:22" x14ac:dyDescent="0.25">
      <c r="T920">
        <f>IF(connections!$A920="","",IFERROR(INDEX(games!$B$2:$B$847,MATCH(connections!$A920,games!$A$2:$A$847,0)),""))</f>
        <v>1998</v>
      </c>
      <c r="U920">
        <f>IF(connections!$A920="","",IFERROR(INDEX(games!$B$2:$B$847,MATCH(connections!$B920,games!$A$2:$A$847,0)),""))</f>
        <v>2020</v>
      </c>
      <c r="V920">
        <f t="shared" si="157"/>
        <v>22</v>
      </c>
    </row>
    <row r="921" spans="20:22" x14ac:dyDescent="0.25">
      <c r="T921">
        <f>IF(connections!$A921="","",IFERROR(INDEX(games!$B$2:$B$847,MATCH(connections!$A921,games!$A$2:$A$847,0)),""))</f>
        <v>1998</v>
      </c>
      <c r="U921">
        <f>IF(connections!$A921="","",IFERROR(INDEX(games!$B$2:$B$847,MATCH(connections!$B921,games!$A$2:$A$847,0)),""))</f>
        <v>2019</v>
      </c>
      <c r="V921">
        <f t="shared" si="157"/>
        <v>21</v>
      </c>
    </row>
    <row r="922" spans="20:22" x14ac:dyDescent="0.25">
      <c r="T922">
        <f>IF(connections!$A922="","",IFERROR(INDEX(games!$B$2:$B$847,MATCH(connections!$A922,games!$A$2:$A$847,0)),""))</f>
        <v>1998</v>
      </c>
      <c r="U922">
        <f>IF(connections!$A922="","",IFERROR(INDEX(games!$B$2:$B$847,MATCH(connections!$B922,games!$A$2:$A$847,0)),""))</f>
        <v>2017</v>
      </c>
      <c r="V922">
        <f t="shared" si="157"/>
        <v>19</v>
      </c>
    </row>
    <row r="923" spans="20:22" x14ac:dyDescent="0.25">
      <c r="T923">
        <f>IF(connections!$A923="","",IFERROR(INDEX(games!$B$2:$B$847,MATCH(connections!$A923,games!$A$2:$A$847,0)),""))</f>
        <v>2017</v>
      </c>
      <c r="U923">
        <f>IF(connections!$A923="","",IFERROR(INDEX(games!$B$2:$B$847,MATCH(connections!$B923,games!$A$2:$A$847,0)),""))</f>
        <v>2020</v>
      </c>
      <c r="V923">
        <f t="shared" si="157"/>
        <v>3</v>
      </c>
    </row>
    <row r="924" spans="20:22" x14ac:dyDescent="0.25">
      <c r="T924">
        <f>IF(connections!$A924="","",IFERROR(INDEX(games!$B$2:$B$847,MATCH(connections!$A924,games!$A$2:$A$847,0)),""))</f>
        <v>2019</v>
      </c>
      <c r="U924">
        <f>IF(connections!$A924="","",IFERROR(INDEX(games!$B$2:$B$847,MATCH(connections!$B924,games!$A$2:$A$847,0)),""))</f>
        <v>2023</v>
      </c>
      <c r="V924">
        <f t="shared" si="157"/>
        <v>4</v>
      </c>
    </row>
    <row r="925" spans="20:22" x14ac:dyDescent="0.25">
      <c r="T925">
        <f>IF(connections!$A925="","",IFERROR(INDEX(games!$B$2:$B$847,MATCH(connections!$A925,games!$A$2:$A$847,0)),""))</f>
        <v>2019</v>
      </c>
      <c r="U925">
        <f>IF(connections!$A925="","",IFERROR(INDEX(games!$B$2:$B$847,MATCH(connections!$B925,games!$A$2:$A$847,0)),""))</f>
        <v>2025</v>
      </c>
      <c r="V925">
        <f t="shared" si="157"/>
        <v>6</v>
      </c>
    </row>
    <row r="926" spans="20:22" x14ac:dyDescent="0.25">
      <c r="T926">
        <f>IF(connections!$A926="","",IFERROR(INDEX(games!$B$2:$B$847,MATCH(connections!$A926,games!$A$2:$A$847,0)),""))</f>
        <v>2019</v>
      </c>
      <c r="U926">
        <f>IF(connections!$A926="","",IFERROR(INDEX(games!$B$2:$B$847,MATCH(connections!$B926,games!$A$2:$A$847,0)),""))</f>
        <v>2025</v>
      </c>
      <c r="V926">
        <f t="shared" si="157"/>
        <v>6</v>
      </c>
    </row>
    <row r="927" spans="20:22" x14ac:dyDescent="0.25">
      <c r="T927">
        <f>IF(connections!$A927="","",IFERROR(INDEX(games!$B$2:$B$847,MATCH(connections!$A927,games!$A$2:$A$847,0)),""))</f>
        <v>2019</v>
      </c>
      <c r="U927">
        <f>IF(connections!$A927="","",IFERROR(INDEX(games!$B$2:$B$847,MATCH(connections!$B927,games!$A$2:$A$847,0)),""))</f>
        <v>2025</v>
      </c>
      <c r="V927">
        <f t="shared" si="157"/>
        <v>6</v>
      </c>
    </row>
    <row r="928" spans="20:22" x14ac:dyDescent="0.25">
      <c r="T928">
        <f>IF(connections!$A928="","",IFERROR(INDEX(games!$B$2:$B$847,MATCH(connections!$A928,games!$A$2:$A$847,0)),""))</f>
        <v>2025</v>
      </c>
      <c r="U928">
        <f>IF(connections!$A928="","",IFERROR(INDEX(games!$B$2:$B$847,MATCH(connections!$B928,games!$A$2:$A$847,0)),""))</f>
        <v>2026</v>
      </c>
      <c r="V928">
        <f t="shared" si="157"/>
        <v>1</v>
      </c>
    </row>
    <row r="929" spans="20:22" x14ac:dyDescent="0.25">
      <c r="T929">
        <f>IF(connections!$A929="","",IFERROR(INDEX(games!$B$2:$B$847,MATCH(connections!$A929,games!$A$2:$A$847,0)),""))</f>
        <v>2025</v>
      </c>
      <c r="U929">
        <f>IF(connections!$A929="","",IFERROR(INDEX(games!$B$2:$B$847,MATCH(connections!$B929,games!$A$2:$A$847,0)),""))</f>
        <v>2026</v>
      </c>
      <c r="V929">
        <f t="shared" si="157"/>
        <v>1</v>
      </c>
    </row>
    <row r="930" spans="20:22" x14ac:dyDescent="0.25">
      <c r="T930">
        <f>IF(connections!$A930="","",IFERROR(INDEX(games!$B$2:$B$847,MATCH(connections!$A930,games!$A$2:$A$847,0)),""))</f>
        <v>2011</v>
      </c>
      <c r="U930">
        <f>IF(connections!$A930="","",IFERROR(INDEX(games!$B$2:$B$847,MATCH(connections!$B930,games!$A$2:$A$847,0)),""))</f>
        <v>2017</v>
      </c>
      <c r="V930">
        <f t="shared" si="157"/>
        <v>6</v>
      </c>
    </row>
    <row r="931" spans="20:22" x14ac:dyDescent="0.25">
      <c r="T931">
        <f>IF(connections!$A931="","",IFERROR(INDEX(games!$B$2:$B$847,MATCH(connections!$A931,games!$A$2:$A$847,0)),""))</f>
        <v>2011</v>
      </c>
      <c r="U931">
        <f>IF(connections!$A931="","",IFERROR(INDEX(games!$B$2:$B$847,MATCH(connections!$B931,games!$A$2:$A$847,0)),""))</f>
        <v>2013</v>
      </c>
      <c r="V931">
        <f t="shared" si="157"/>
        <v>2</v>
      </c>
    </row>
    <row r="932" spans="20:22" x14ac:dyDescent="0.25">
      <c r="T932">
        <f>IF(connections!$A932="","",IFERROR(INDEX(games!$B$2:$B$847,MATCH(connections!$A932,games!$A$2:$A$847,0)),""))</f>
        <v>2011</v>
      </c>
      <c r="U932">
        <f>IF(connections!$A932="","",IFERROR(INDEX(games!$B$2:$B$847,MATCH(connections!$B932,games!$A$2:$A$847,0)),""))</f>
        <v>2017</v>
      </c>
      <c r="V932">
        <f t="shared" si="157"/>
        <v>6</v>
      </c>
    </row>
    <row r="933" spans="20:22" x14ac:dyDescent="0.25">
      <c r="T933">
        <f>IF(connections!$A933="","",IFERROR(INDEX(games!$B$2:$B$847,MATCH(connections!$A933,games!$A$2:$A$847,0)),""))</f>
        <v>2011</v>
      </c>
      <c r="U933">
        <f>IF(connections!$A933="","",IFERROR(INDEX(games!$B$2:$B$847,MATCH(connections!$B933,games!$A$2:$A$847,0)),""))</f>
        <v>2023</v>
      </c>
      <c r="V933">
        <f t="shared" si="157"/>
        <v>12</v>
      </c>
    </row>
    <row r="934" spans="20:22" x14ac:dyDescent="0.25">
      <c r="T934">
        <f>IF(connections!$A934="","",IFERROR(INDEX(games!$B$2:$B$847,MATCH(connections!$A934,games!$A$2:$A$847,0)),""))</f>
        <v>2011</v>
      </c>
      <c r="U934">
        <f>IF(connections!$A934="","",IFERROR(INDEX(games!$B$2:$B$847,MATCH(connections!$B934,games!$A$2:$A$847,0)),""))</f>
        <v>2023</v>
      </c>
      <c r="V934">
        <f t="shared" si="157"/>
        <v>12</v>
      </c>
    </row>
    <row r="935" spans="20:22" x14ac:dyDescent="0.25">
      <c r="T935">
        <f>IF(connections!$A935="","",IFERROR(INDEX(games!$B$2:$B$847,MATCH(connections!$A935,games!$A$2:$A$847,0)),""))</f>
        <v>2011</v>
      </c>
      <c r="U935">
        <f>IF(connections!$A935="","",IFERROR(INDEX(games!$B$2:$B$847,MATCH(connections!$B935,games!$A$2:$A$847,0)),""))</f>
        <v>2019</v>
      </c>
      <c r="V935">
        <f t="shared" si="157"/>
        <v>8</v>
      </c>
    </row>
    <row r="936" spans="20:22" x14ac:dyDescent="0.25">
      <c r="T936">
        <f>IF(connections!$A936="","",IFERROR(INDEX(games!$B$2:$B$847,MATCH(connections!$A936,games!$A$2:$A$847,0)),""))</f>
        <v>2011</v>
      </c>
      <c r="U936">
        <f>IF(connections!$A936="","",IFERROR(INDEX(games!$B$2:$B$847,MATCH(connections!$B936,games!$A$2:$A$847,0)),""))</f>
        <v>2021</v>
      </c>
      <c r="V936">
        <f t="shared" si="157"/>
        <v>10</v>
      </c>
    </row>
    <row r="937" spans="20:22" x14ac:dyDescent="0.25">
      <c r="T937">
        <f>IF(connections!$A937="","",IFERROR(INDEX(games!$B$2:$B$847,MATCH(connections!$A937,games!$A$2:$A$847,0)),""))</f>
        <v>2011</v>
      </c>
      <c r="U937">
        <f>IF(connections!$A937="","",IFERROR(INDEX(games!$B$2:$B$847,MATCH(connections!$B937,games!$A$2:$A$847,0)),""))</f>
        <v>2020</v>
      </c>
      <c r="V937">
        <f t="shared" si="157"/>
        <v>9</v>
      </c>
    </row>
    <row r="938" spans="20:22" x14ac:dyDescent="0.25">
      <c r="T938">
        <f>IF(connections!$A938="","",IFERROR(INDEX(games!$B$2:$B$847,MATCH(connections!$A938,games!$A$2:$A$847,0)),""))</f>
        <v>2011</v>
      </c>
      <c r="U938">
        <f>IF(connections!$A938="","",IFERROR(INDEX(games!$B$2:$B$847,MATCH(connections!$B938,games!$A$2:$A$847,0)),""))</f>
        <v>2024</v>
      </c>
      <c r="V938">
        <f t="shared" si="157"/>
        <v>13</v>
      </c>
    </row>
    <row r="939" spans="20:22" x14ac:dyDescent="0.25">
      <c r="T939">
        <f>IF(connections!$A939="","",IFERROR(INDEX(games!$B$2:$B$847,MATCH(connections!$A939,games!$A$2:$A$847,0)),""))</f>
        <v>2011</v>
      </c>
      <c r="U939">
        <f>IF(connections!$A939="","",IFERROR(INDEX(games!$B$2:$B$847,MATCH(connections!$B939,games!$A$2:$A$847,0)),""))</f>
        <v>2022</v>
      </c>
      <c r="V939">
        <f t="shared" si="157"/>
        <v>11</v>
      </c>
    </row>
    <row r="940" spans="20:22" x14ac:dyDescent="0.25">
      <c r="T940">
        <f>IF(connections!$A940="","",IFERROR(INDEX(games!$B$2:$B$847,MATCH(connections!$A940,games!$A$2:$A$847,0)),""))</f>
        <v>2011</v>
      </c>
      <c r="U940">
        <f>IF(connections!$A940="","",IFERROR(INDEX(games!$B$2:$B$847,MATCH(connections!$B940,games!$A$2:$A$847,0)),""))</f>
        <v>2015</v>
      </c>
      <c r="V940">
        <f t="shared" si="157"/>
        <v>4</v>
      </c>
    </row>
    <row r="941" spans="20:22" x14ac:dyDescent="0.25">
      <c r="T941">
        <f>IF(connections!$A941="","",IFERROR(INDEX(games!$B$2:$B$847,MATCH(connections!$A941,games!$A$2:$A$847,0)),""))</f>
        <v>2011</v>
      </c>
      <c r="U941">
        <f>IF(connections!$A941="","",IFERROR(INDEX(games!$B$2:$B$847,MATCH(connections!$B941,games!$A$2:$A$847,0)),""))</f>
        <v>2022</v>
      </c>
      <c r="V941">
        <f t="shared" si="157"/>
        <v>11</v>
      </c>
    </row>
    <row r="942" spans="20:22" x14ac:dyDescent="0.25">
      <c r="T942">
        <f>IF(connections!$A942="","",IFERROR(INDEX(games!$B$2:$B$847,MATCH(connections!$A942,games!$A$2:$A$847,0)),""))</f>
        <v>2011</v>
      </c>
      <c r="U942">
        <f>IF(connections!$A942="","",IFERROR(INDEX(games!$B$2:$B$847,MATCH(connections!$B942,games!$A$2:$A$847,0)),""))</f>
        <v>2018</v>
      </c>
      <c r="V942">
        <f t="shared" si="157"/>
        <v>7</v>
      </c>
    </row>
    <row r="943" spans="20:22" x14ac:dyDescent="0.25">
      <c r="T943">
        <f>IF(connections!$A943="","",IFERROR(INDEX(games!$B$2:$B$847,MATCH(connections!$A943,games!$A$2:$A$847,0)),""))</f>
        <v>2011</v>
      </c>
      <c r="U943">
        <f>IF(connections!$A943="","",IFERROR(INDEX(games!$B$2:$B$847,MATCH(connections!$B943,games!$A$2:$A$847,0)),""))</f>
        <v>2020</v>
      </c>
      <c r="V943">
        <f t="shared" si="157"/>
        <v>9</v>
      </c>
    </row>
    <row r="944" spans="20:22" x14ac:dyDescent="0.25">
      <c r="T944">
        <f>IF(connections!$A944="","",IFERROR(INDEX(games!$B$2:$B$847,MATCH(connections!$A944,games!$A$2:$A$847,0)),""))</f>
        <v>2011</v>
      </c>
      <c r="U944">
        <f>IF(connections!$A944="","",IFERROR(INDEX(games!$B$2:$B$847,MATCH(connections!$B944,games!$A$2:$A$847,0)),""))</f>
        <v>2019</v>
      </c>
      <c r="V944">
        <f t="shared" si="157"/>
        <v>8</v>
      </c>
    </row>
    <row r="945" spans="20:22" x14ac:dyDescent="0.25">
      <c r="T945">
        <f>IF(connections!$A945="","",IFERROR(INDEX(games!$B$2:$B$847,MATCH(connections!$A945,games!$A$2:$A$847,0)),""))</f>
        <v>2011</v>
      </c>
      <c r="U945">
        <f>IF(connections!$A945="","",IFERROR(INDEX(games!$B$2:$B$847,MATCH(connections!$B945,games!$A$2:$A$847,0)),""))</f>
        <v>2026</v>
      </c>
      <c r="V945">
        <f t="shared" si="157"/>
        <v>15</v>
      </c>
    </row>
    <row r="946" spans="20:22" x14ac:dyDescent="0.25">
      <c r="T946">
        <f>IF(connections!$A946="","",IFERROR(INDEX(games!$B$2:$B$847,MATCH(connections!$A946,games!$A$2:$A$847,0)),""))</f>
        <v>2011</v>
      </c>
      <c r="U946">
        <f>IF(connections!$A946="","",IFERROR(INDEX(games!$B$2:$B$847,MATCH(connections!$B946,games!$A$2:$A$847,0)),""))</f>
        <v>2020</v>
      </c>
      <c r="V946">
        <f t="shared" si="157"/>
        <v>9</v>
      </c>
    </row>
    <row r="947" spans="20:22" x14ac:dyDescent="0.25">
      <c r="T947">
        <f>IF(connections!$A947="","",IFERROR(INDEX(games!$B$2:$B$847,MATCH(connections!$A947,games!$A$2:$A$847,0)),""))</f>
        <v>2011</v>
      </c>
      <c r="U947">
        <f>IF(connections!$A947="","",IFERROR(INDEX(games!$B$2:$B$847,MATCH(connections!$B947,games!$A$2:$A$847,0)),""))</f>
        <v>2024</v>
      </c>
      <c r="V947">
        <f t="shared" si="157"/>
        <v>13</v>
      </c>
    </row>
    <row r="948" spans="20:22" x14ac:dyDescent="0.25">
      <c r="T948">
        <f>IF(connections!$A948="","",IFERROR(INDEX(games!$B$2:$B$847,MATCH(connections!$A948,games!$A$2:$A$847,0)),""))</f>
        <v>2011</v>
      </c>
      <c r="U948">
        <f>IF(connections!$A948="","",IFERROR(INDEX(games!$B$2:$B$847,MATCH(connections!$B948,games!$A$2:$A$847,0)),""))</f>
        <v>2022</v>
      </c>
      <c r="V948">
        <f t="shared" si="157"/>
        <v>11</v>
      </c>
    </row>
    <row r="949" spans="20:22" x14ac:dyDescent="0.25">
      <c r="T949">
        <f>IF(connections!$A949="","",IFERROR(INDEX(games!$B$2:$B$847,MATCH(connections!$A949,games!$A$2:$A$847,0)),""))</f>
        <v>2011</v>
      </c>
      <c r="U949">
        <f>IF(connections!$A949="","",IFERROR(INDEX(games!$B$2:$B$847,MATCH(connections!$B949,games!$A$2:$A$847,0)),""))</f>
        <v>2016</v>
      </c>
      <c r="V949">
        <f t="shared" si="157"/>
        <v>5</v>
      </c>
    </row>
    <row r="950" spans="20:22" x14ac:dyDescent="0.25">
      <c r="T950">
        <f>IF(connections!$A950="","",IFERROR(INDEX(games!$B$2:$B$847,MATCH(connections!$A950,games!$A$2:$A$847,0)),""))</f>
        <v>2011</v>
      </c>
      <c r="U950">
        <f>IF(connections!$A950="","",IFERROR(INDEX(games!$B$2:$B$847,MATCH(connections!$B950,games!$A$2:$A$847,0)),""))</f>
        <v>2017</v>
      </c>
      <c r="V950">
        <f t="shared" si="157"/>
        <v>6</v>
      </c>
    </row>
    <row r="951" spans="20:22" x14ac:dyDescent="0.25">
      <c r="T951">
        <f>IF(connections!$A951="","",IFERROR(INDEX(games!$B$2:$B$847,MATCH(connections!$A951,games!$A$2:$A$847,0)),""))</f>
        <v>2011</v>
      </c>
      <c r="U951">
        <f>IF(connections!$A951="","",IFERROR(INDEX(games!$B$2:$B$847,MATCH(connections!$B951,games!$A$2:$A$847,0)),""))</f>
        <v>2013</v>
      </c>
      <c r="V951">
        <f t="shared" si="157"/>
        <v>2</v>
      </c>
    </row>
    <row r="952" spans="20:22" x14ac:dyDescent="0.25">
      <c r="T952">
        <f>IF(connections!$A952="","",IFERROR(INDEX(games!$B$2:$B$847,MATCH(connections!$A952,games!$A$2:$A$847,0)),""))</f>
        <v>2011</v>
      </c>
      <c r="U952">
        <f>IF(connections!$A952="","",IFERROR(INDEX(games!$B$2:$B$847,MATCH(connections!$B952,games!$A$2:$A$847,0)),""))</f>
        <v>2020</v>
      </c>
      <c r="V952">
        <f t="shared" si="157"/>
        <v>9</v>
      </c>
    </row>
    <row r="953" spans="20:22" x14ac:dyDescent="0.25">
      <c r="T953">
        <f>IF(connections!$A953="","",IFERROR(INDEX(games!$B$2:$B$847,MATCH(connections!$A953,games!$A$2:$A$847,0)),""))</f>
        <v>2011</v>
      </c>
      <c r="U953">
        <f>IF(connections!$A953="","",IFERROR(INDEX(games!$B$2:$B$847,MATCH(connections!$B953,games!$A$2:$A$847,0)),""))</f>
        <v>2020</v>
      </c>
      <c r="V953">
        <f t="shared" si="157"/>
        <v>9</v>
      </c>
    </row>
    <row r="954" spans="20:22" x14ac:dyDescent="0.25">
      <c r="T954">
        <f>IF(connections!$A954="","",IFERROR(INDEX(games!$B$2:$B$847,MATCH(connections!$A954,games!$A$2:$A$847,0)),""))</f>
        <v>2011</v>
      </c>
      <c r="U954">
        <f>IF(connections!$A954="","",IFERROR(INDEX(games!$B$2:$B$847,MATCH(connections!$B954,games!$A$2:$A$847,0)),""))</f>
        <v>2017</v>
      </c>
      <c r="V954">
        <f t="shared" si="157"/>
        <v>6</v>
      </c>
    </row>
    <row r="955" spans="20:22" x14ac:dyDescent="0.25">
      <c r="T955">
        <f>IF(connections!$A955="","",IFERROR(INDEX(games!$B$2:$B$847,MATCH(connections!$A955,games!$A$2:$A$847,0)),""))</f>
        <v>2011</v>
      </c>
      <c r="U955">
        <f>IF(connections!$A955="","",IFERROR(INDEX(games!$B$2:$B$847,MATCH(connections!$B955,games!$A$2:$A$847,0)),""))</f>
        <v>2024</v>
      </c>
      <c r="V955">
        <f t="shared" si="157"/>
        <v>13</v>
      </c>
    </row>
    <row r="956" spans="20:22" x14ac:dyDescent="0.25">
      <c r="T956">
        <f>IF(connections!$A956="","",IFERROR(INDEX(games!$B$2:$B$847,MATCH(connections!$A956,games!$A$2:$A$847,0)),""))</f>
        <v>2011</v>
      </c>
      <c r="U956">
        <f>IF(connections!$A956="","",IFERROR(INDEX(games!$B$2:$B$847,MATCH(connections!$B956,games!$A$2:$A$847,0)),""))</f>
        <v>2019</v>
      </c>
      <c r="V956">
        <f t="shared" si="157"/>
        <v>8</v>
      </c>
    </row>
    <row r="957" spans="20:22" x14ac:dyDescent="0.25">
      <c r="T957">
        <f>IF(connections!$A957="","",IFERROR(INDEX(games!$B$2:$B$847,MATCH(connections!$A957,games!$A$2:$A$847,0)),""))</f>
        <v>2011</v>
      </c>
      <c r="U957">
        <f>IF(connections!$A957="","",IFERROR(INDEX(games!$B$2:$B$847,MATCH(connections!$B957,games!$A$2:$A$847,0)),""))</f>
        <v>2023</v>
      </c>
      <c r="V957">
        <f t="shared" si="157"/>
        <v>12</v>
      </c>
    </row>
    <row r="958" spans="20:22" x14ac:dyDescent="0.25">
      <c r="T958">
        <f>IF(connections!$A958="","",IFERROR(INDEX(games!$B$2:$B$847,MATCH(connections!$A958,games!$A$2:$A$847,0)),""))</f>
        <v>2011</v>
      </c>
      <c r="U958">
        <f>IF(connections!$A958="","",IFERROR(INDEX(games!$B$2:$B$847,MATCH(connections!$B958,games!$A$2:$A$847,0)),""))</f>
        <v>2018</v>
      </c>
      <c r="V958">
        <f t="shared" si="157"/>
        <v>7</v>
      </c>
    </row>
    <row r="959" spans="20:22" x14ac:dyDescent="0.25">
      <c r="T959">
        <f>IF(connections!$A959="","",IFERROR(INDEX(games!$B$2:$B$847,MATCH(connections!$A959,games!$A$2:$A$847,0)),""))</f>
        <v>2011</v>
      </c>
      <c r="U959">
        <f>IF(connections!$A959="","",IFERROR(INDEX(games!$B$2:$B$847,MATCH(connections!$B959,games!$A$2:$A$847,0)),""))</f>
        <v>2026</v>
      </c>
      <c r="V959">
        <f t="shared" si="157"/>
        <v>15</v>
      </c>
    </row>
    <row r="960" spans="20:22" x14ac:dyDescent="0.25">
      <c r="T960">
        <f>IF(connections!$A960="","",IFERROR(INDEX(games!$B$2:$B$847,MATCH(connections!$A960,games!$A$2:$A$847,0)),""))</f>
        <v>2011</v>
      </c>
      <c r="U960">
        <f>IF(connections!$A960="","",IFERROR(INDEX(games!$B$2:$B$847,MATCH(connections!$B960,games!$A$2:$A$847,0)),""))</f>
        <v>2015</v>
      </c>
      <c r="V960">
        <f t="shared" si="157"/>
        <v>4</v>
      </c>
    </row>
    <row r="961" spans="20:22" x14ac:dyDescent="0.25">
      <c r="T961">
        <f>IF(connections!$A961="","",IFERROR(INDEX(games!$B$2:$B$847,MATCH(connections!$A961,games!$A$2:$A$847,0)),""))</f>
        <v>2011</v>
      </c>
      <c r="U961">
        <f>IF(connections!$A961="","",IFERROR(INDEX(games!$B$2:$B$847,MATCH(connections!$B961,games!$A$2:$A$847,0)),""))</f>
        <v>2018</v>
      </c>
      <c r="V961">
        <f t="shared" si="157"/>
        <v>7</v>
      </c>
    </row>
    <row r="962" spans="20:22" x14ac:dyDescent="0.25">
      <c r="T962">
        <f>IF(connections!$A962="","",IFERROR(INDEX(games!$B$2:$B$847,MATCH(connections!$A962,games!$A$2:$A$847,0)),""))</f>
        <v>2011</v>
      </c>
      <c r="U962">
        <f>IF(connections!$A962="","",IFERROR(INDEX(games!$B$2:$B$847,MATCH(connections!$B962,games!$A$2:$A$847,0)),""))</f>
        <v>2019</v>
      </c>
      <c r="V962">
        <f t="shared" ref="V962:V1025" si="158">IF(OR($T962="",$U962=""),"",$U962-$T962)</f>
        <v>8</v>
      </c>
    </row>
    <row r="963" spans="20:22" x14ac:dyDescent="0.25">
      <c r="T963">
        <f>IF(connections!$A963="","",IFERROR(INDEX(games!$B$2:$B$847,MATCH(connections!$A963,games!$A$2:$A$847,0)),""))</f>
        <v>2011</v>
      </c>
      <c r="U963">
        <f>IF(connections!$A963="","",IFERROR(INDEX(games!$B$2:$B$847,MATCH(connections!$B963,games!$A$2:$A$847,0)),""))</f>
        <v>2025</v>
      </c>
      <c r="V963">
        <f t="shared" si="158"/>
        <v>14</v>
      </c>
    </row>
    <row r="964" spans="20:22" x14ac:dyDescent="0.25">
      <c r="T964">
        <f>IF(connections!$A964="","",IFERROR(INDEX(games!$B$2:$B$847,MATCH(connections!$A964,games!$A$2:$A$847,0)),""))</f>
        <v>2011</v>
      </c>
      <c r="U964">
        <f>IF(connections!$A964="","",IFERROR(INDEX(games!$B$2:$B$847,MATCH(connections!$B964,games!$A$2:$A$847,0)),""))</f>
        <v>2019</v>
      </c>
      <c r="V964">
        <f t="shared" si="158"/>
        <v>8</v>
      </c>
    </row>
    <row r="965" spans="20:22" x14ac:dyDescent="0.25">
      <c r="T965">
        <f>IF(connections!$A965="","",IFERROR(INDEX(games!$B$2:$B$847,MATCH(connections!$A965,games!$A$2:$A$847,0)),""))</f>
        <v>2011</v>
      </c>
      <c r="U965">
        <f>IF(connections!$A965="","",IFERROR(INDEX(games!$B$2:$B$847,MATCH(connections!$B965,games!$A$2:$A$847,0)),""))</f>
        <v>2024</v>
      </c>
      <c r="V965">
        <f t="shared" si="158"/>
        <v>13</v>
      </c>
    </row>
    <row r="966" spans="20:22" x14ac:dyDescent="0.25">
      <c r="T966">
        <f>IF(connections!$A966="","",IFERROR(INDEX(games!$B$2:$B$847,MATCH(connections!$A966,games!$A$2:$A$847,0)),""))</f>
        <v>2011</v>
      </c>
      <c r="U966">
        <f>IF(connections!$A966="","",IFERROR(INDEX(games!$B$2:$B$847,MATCH(connections!$B966,games!$A$2:$A$847,0)),""))</f>
        <v>2021</v>
      </c>
      <c r="V966">
        <f t="shared" si="158"/>
        <v>10</v>
      </c>
    </row>
    <row r="967" spans="20:22" x14ac:dyDescent="0.25">
      <c r="T967">
        <f>IF(connections!$A967="","",IFERROR(INDEX(games!$B$2:$B$847,MATCH(connections!$A967,games!$A$2:$A$847,0)),""))</f>
        <v>2011</v>
      </c>
      <c r="U967">
        <f>IF(connections!$A967="","",IFERROR(INDEX(games!$B$2:$B$847,MATCH(connections!$B967,games!$A$2:$A$847,0)),""))</f>
        <v>2014</v>
      </c>
      <c r="V967">
        <f t="shared" si="158"/>
        <v>3</v>
      </c>
    </row>
    <row r="968" spans="20:22" x14ac:dyDescent="0.25">
      <c r="T968">
        <f>IF(connections!$A968="","",IFERROR(INDEX(games!$B$2:$B$847,MATCH(connections!$A968,games!$A$2:$A$847,0)),""))</f>
        <v>2011</v>
      </c>
      <c r="U968">
        <f>IF(connections!$A968="","",IFERROR(INDEX(games!$B$2:$B$847,MATCH(connections!$B968,games!$A$2:$A$847,0)),""))</f>
        <v>2023</v>
      </c>
      <c r="V968">
        <f t="shared" si="158"/>
        <v>12</v>
      </c>
    </row>
    <row r="969" spans="20:22" x14ac:dyDescent="0.25">
      <c r="T969">
        <f>IF(connections!$A969="","",IFERROR(INDEX(games!$B$2:$B$847,MATCH(connections!$A969,games!$A$2:$A$847,0)),""))</f>
        <v>2011</v>
      </c>
      <c r="U969">
        <f>IF(connections!$A969="","",IFERROR(INDEX(games!$B$2:$B$847,MATCH(connections!$B969,games!$A$2:$A$847,0)),""))</f>
        <v>2021</v>
      </c>
      <c r="V969">
        <f t="shared" si="158"/>
        <v>10</v>
      </c>
    </row>
    <row r="970" spans="20:22" x14ac:dyDescent="0.25">
      <c r="T970">
        <f>IF(connections!$A970="","",IFERROR(INDEX(games!$B$2:$B$847,MATCH(connections!$A970,games!$A$2:$A$847,0)),""))</f>
        <v>2011</v>
      </c>
      <c r="U970">
        <f>IF(connections!$A970="","",IFERROR(INDEX(games!$B$2:$B$847,MATCH(connections!$B970,games!$A$2:$A$847,0)),""))</f>
        <v>2026</v>
      </c>
      <c r="V970">
        <f t="shared" si="158"/>
        <v>15</v>
      </c>
    </row>
    <row r="971" spans="20:22" x14ac:dyDescent="0.25">
      <c r="T971">
        <f>IF(connections!$A971="","",IFERROR(INDEX(games!$B$2:$B$847,MATCH(connections!$A971,games!$A$2:$A$847,0)),""))</f>
        <v>2011</v>
      </c>
      <c r="U971">
        <f>IF(connections!$A971="","",IFERROR(INDEX(games!$B$2:$B$847,MATCH(connections!$B971,games!$A$2:$A$847,0)),""))</f>
        <v>2026</v>
      </c>
      <c r="V971">
        <f t="shared" si="158"/>
        <v>15</v>
      </c>
    </row>
    <row r="972" spans="20:22" x14ac:dyDescent="0.25">
      <c r="T972">
        <f>IF(connections!$A972="","",IFERROR(INDEX(games!$B$2:$B$847,MATCH(connections!$A972,games!$A$2:$A$847,0)),""))</f>
        <v>2011</v>
      </c>
      <c r="U972">
        <f>IF(connections!$A972="","",IFERROR(INDEX(games!$B$2:$B$847,MATCH(connections!$B972,games!$A$2:$A$847,0)),""))</f>
        <v>2015</v>
      </c>
      <c r="V972">
        <f t="shared" si="158"/>
        <v>4</v>
      </c>
    </row>
    <row r="973" spans="20:22" x14ac:dyDescent="0.25">
      <c r="T973">
        <f>IF(connections!$A973="","",IFERROR(INDEX(games!$B$2:$B$847,MATCH(connections!$A973,games!$A$2:$A$847,0)),""))</f>
        <v>2011</v>
      </c>
      <c r="U973">
        <f>IF(connections!$A973="","",IFERROR(INDEX(games!$B$2:$B$847,MATCH(connections!$B973,games!$A$2:$A$847,0)),""))</f>
        <v>2021</v>
      </c>
      <c r="V973">
        <f t="shared" si="158"/>
        <v>10</v>
      </c>
    </row>
    <row r="974" spans="20:22" x14ac:dyDescent="0.25">
      <c r="T974">
        <f>IF(connections!$A974="","",IFERROR(INDEX(games!$B$2:$B$847,MATCH(connections!$A974,games!$A$2:$A$847,0)),""))</f>
        <v>2011</v>
      </c>
      <c r="U974">
        <f>IF(connections!$A974="","",IFERROR(INDEX(games!$B$2:$B$847,MATCH(connections!$B974,games!$A$2:$A$847,0)),""))</f>
        <v>2013</v>
      </c>
      <c r="V974">
        <f t="shared" si="158"/>
        <v>2</v>
      </c>
    </row>
    <row r="975" spans="20:22" x14ac:dyDescent="0.25">
      <c r="T975">
        <f>IF(connections!$A975="","",IFERROR(INDEX(games!$B$2:$B$847,MATCH(connections!$A975,games!$A$2:$A$847,0)),""))</f>
        <v>2011</v>
      </c>
      <c r="U975">
        <f>IF(connections!$A975="","",IFERROR(INDEX(games!$B$2:$B$847,MATCH(connections!$B975,games!$A$2:$A$847,0)),""))</f>
        <v>2023</v>
      </c>
      <c r="V975">
        <f t="shared" si="158"/>
        <v>12</v>
      </c>
    </row>
    <row r="976" spans="20:22" x14ac:dyDescent="0.25">
      <c r="T976">
        <f>IF(connections!$A976="","",IFERROR(INDEX(games!$B$2:$B$847,MATCH(connections!$A976,games!$A$2:$A$847,0)),""))</f>
        <v>2011</v>
      </c>
      <c r="U976">
        <f>IF(connections!$A976="","",IFERROR(INDEX(games!$B$2:$B$847,MATCH(connections!$B976,games!$A$2:$A$847,0)),""))</f>
        <v>2022</v>
      </c>
      <c r="V976">
        <f t="shared" si="158"/>
        <v>11</v>
      </c>
    </row>
    <row r="977" spans="20:22" x14ac:dyDescent="0.25">
      <c r="T977">
        <f>IF(connections!$A977="","",IFERROR(INDEX(games!$B$2:$B$847,MATCH(connections!$A977,games!$A$2:$A$847,0)),""))</f>
        <v>2011</v>
      </c>
      <c r="U977">
        <f>IF(connections!$A977="","",IFERROR(INDEX(games!$B$2:$B$847,MATCH(connections!$B977,games!$A$2:$A$847,0)),""))</f>
        <v>2017</v>
      </c>
      <c r="V977">
        <f t="shared" si="158"/>
        <v>6</v>
      </c>
    </row>
    <row r="978" spans="20:22" x14ac:dyDescent="0.25">
      <c r="T978">
        <f>IF(connections!$A978="","",IFERROR(INDEX(games!$B$2:$B$847,MATCH(connections!$A978,games!$A$2:$A$847,0)),""))</f>
        <v>2011</v>
      </c>
      <c r="U978">
        <f>IF(connections!$A978="","",IFERROR(INDEX(games!$B$2:$B$847,MATCH(connections!$B978,games!$A$2:$A$847,0)),""))</f>
        <v>2019</v>
      </c>
      <c r="V978">
        <f t="shared" si="158"/>
        <v>8</v>
      </c>
    </row>
    <row r="979" spans="20:22" x14ac:dyDescent="0.25">
      <c r="T979">
        <f>IF(connections!$A979="","",IFERROR(INDEX(games!$B$2:$B$847,MATCH(connections!$A979,games!$A$2:$A$847,0)),""))</f>
        <v>2011</v>
      </c>
      <c r="U979">
        <f>IF(connections!$A979="","",IFERROR(INDEX(games!$B$2:$B$847,MATCH(connections!$B979,games!$A$2:$A$847,0)),""))</f>
        <v>2017</v>
      </c>
      <c r="V979">
        <f t="shared" si="158"/>
        <v>6</v>
      </c>
    </row>
    <row r="980" spans="20:22" x14ac:dyDescent="0.25">
      <c r="T980">
        <f>IF(connections!$A980="","",IFERROR(INDEX(games!$B$2:$B$847,MATCH(connections!$A980,games!$A$2:$A$847,0)),""))</f>
        <v>2011</v>
      </c>
      <c r="U980">
        <f>IF(connections!$A980="","",IFERROR(INDEX(games!$B$2:$B$847,MATCH(connections!$B980,games!$A$2:$A$847,0)),""))</f>
        <v>2019</v>
      </c>
      <c r="V980">
        <f t="shared" si="158"/>
        <v>8</v>
      </c>
    </row>
    <row r="981" spans="20:22" x14ac:dyDescent="0.25">
      <c r="T981">
        <f>IF(connections!$A981="","",IFERROR(INDEX(games!$B$2:$B$847,MATCH(connections!$A981,games!$A$2:$A$847,0)),""))</f>
        <v>2011</v>
      </c>
      <c r="U981">
        <f>IF(connections!$A981="","",IFERROR(INDEX(games!$B$2:$B$847,MATCH(connections!$B981,games!$A$2:$A$847,0)),""))</f>
        <v>2016</v>
      </c>
      <c r="V981">
        <f t="shared" si="158"/>
        <v>5</v>
      </c>
    </row>
    <row r="982" spans="20:22" x14ac:dyDescent="0.25">
      <c r="T982">
        <f>IF(connections!$A982="","",IFERROR(INDEX(games!$B$2:$B$847,MATCH(connections!$A982,games!$A$2:$A$847,0)),""))</f>
        <v>2011</v>
      </c>
      <c r="U982">
        <f>IF(connections!$A982="","",IFERROR(INDEX(games!$B$2:$B$847,MATCH(connections!$B982,games!$A$2:$A$847,0)),""))</f>
        <v>2023</v>
      </c>
      <c r="V982">
        <f t="shared" si="158"/>
        <v>12</v>
      </c>
    </row>
    <row r="983" spans="20:22" x14ac:dyDescent="0.25">
      <c r="T983">
        <f>IF(connections!$A983="","",IFERROR(INDEX(games!$B$2:$B$847,MATCH(connections!$A983,games!$A$2:$A$847,0)),""))</f>
        <v>2011</v>
      </c>
      <c r="U983">
        <f>IF(connections!$A983="","",IFERROR(INDEX(games!$B$2:$B$847,MATCH(connections!$B983,games!$A$2:$A$847,0)),""))</f>
        <v>2014</v>
      </c>
      <c r="V983">
        <f t="shared" si="158"/>
        <v>3</v>
      </c>
    </row>
    <row r="984" spans="20:22" x14ac:dyDescent="0.25">
      <c r="T984">
        <f>IF(connections!$A984="","",IFERROR(INDEX(games!$B$2:$B$847,MATCH(connections!$A984,games!$A$2:$A$847,0)),""))</f>
        <v>2011</v>
      </c>
      <c r="U984">
        <f>IF(connections!$A984="","",IFERROR(INDEX(games!$B$2:$B$847,MATCH(connections!$B984,games!$A$2:$A$847,0)),""))</f>
        <v>2019</v>
      </c>
      <c r="V984">
        <f t="shared" si="158"/>
        <v>8</v>
      </c>
    </row>
    <row r="985" spans="20:22" x14ac:dyDescent="0.25">
      <c r="T985">
        <f>IF(connections!$A985="","",IFERROR(INDEX(games!$B$2:$B$847,MATCH(connections!$A985,games!$A$2:$A$847,0)),""))</f>
        <v>2011</v>
      </c>
      <c r="U985">
        <f>IF(connections!$A985="","",IFERROR(INDEX(games!$B$2:$B$847,MATCH(connections!$B985,games!$A$2:$A$847,0)),""))</f>
        <v>2018</v>
      </c>
      <c r="V985">
        <f t="shared" si="158"/>
        <v>7</v>
      </c>
    </row>
    <row r="986" spans="20:22" x14ac:dyDescent="0.25">
      <c r="T986">
        <f>IF(connections!$A986="","",IFERROR(INDEX(games!$B$2:$B$847,MATCH(connections!$A986,games!$A$2:$A$847,0)),""))</f>
        <v>2011</v>
      </c>
      <c r="U986">
        <f>IF(connections!$A986="","",IFERROR(INDEX(games!$B$2:$B$847,MATCH(connections!$B986,games!$A$2:$A$847,0)),""))</f>
        <v>2022</v>
      </c>
      <c r="V986">
        <f t="shared" si="158"/>
        <v>11</v>
      </c>
    </row>
    <row r="987" spans="20:22" x14ac:dyDescent="0.25">
      <c r="T987">
        <f>IF(connections!$A987="","",IFERROR(INDEX(games!$B$2:$B$847,MATCH(connections!$A987,games!$A$2:$A$847,0)),""))</f>
        <v>2011</v>
      </c>
      <c r="U987">
        <f>IF(connections!$A987="","",IFERROR(INDEX(games!$B$2:$B$847,MATCH(connections!$B987,games!$A$2:$A$847,0)),""))</f>
        <v>2022</v>
      </c>
      <c r="V987">
        <f t="shared" si="158"/>
        <v>11</v>
      </c>
    </row>
    <row r="988" spans="20:22" x14ac:dyDescent="0.25">
      <c r="T988">
        <f>IF(connections!$A988="","",IFERROR(INDEX(games!$B$2:$B$847,MATCH(connections!$A988,games!$A$2:$A$847,0)),""))</f>
        <v>2011</v>
      </c>
      <c r="U988">
        <f>IF(connections!$A988="","",IFERROR(INDEX(games!$B$2:$B$847,MATCH(connections!$B988,games!$A$2:$A$847,0)),""))</f>
        <v>2014</v>
      </c>
      <c r="V988">
        <f t="shared" si="158"/>
        <v>3</v>
      </c>
    </row>
    <row r="989" spans="20:22" x14ac:dyDescent="0.25">
      <c r="T989">
        <f>IF(connections!$A989="","",IFERROR(INDEX(games!$B$2:$B$847,MATCH(connections!$A989,games!$A$2:$A$847,0)),""))</f>
        <v>2011</v>
      </c>
      <c r="U989">
        <f>IF(connections!$A989="","",IFERROR(INDEX(games!$B$2:$B$847,MATCH(connections!$B989,games!$A$2:$A$847,0)),""))</f>
        <v>2017</v>
      </c>
      <c r="V989">
        <f t="shared" si="158"/>
        <v>6</v>
      </c>
    </row>
    <row r="990" spans="20:22" x14ac:dyDescent="0.25">
      <c r="T990">
        <f>IF(connections!$A990="","",IFERROR(INDEX(games!$B$2:$B$847,MATCH(connections!$A990,games!$A$2:$A$847,0)),""))</f>
        <v>2011</v>
      </c>
      <c r="U990">
        <f>IF(connections!$A990="","",IFERROR(INDEX(games!$B$2:$B$847,MATCH(connections!$B990,games!$A$2:$A$847,0)),""))</f>
        <v>2012</v>
      </c>
      <c r="V990">
        <f t="shared" si="158"/>
        <v>1</v>
      </c>
    </row>
    <row r="991" spans="20:22" x14ac:dyDescent="0.25">
      <c r="T991">
        <f>IF(connections!$A991="","",IFERROR(INDEX(games!$B$2:$B$847,MATCH(connections!$A991,games!$A$2:$A$847,0)),""))</f>
        <v>2011</v>
      </c>
      <c r="U991">
        <f>IF(connections!$A991="","",IFERROR(INDEX(games!$B$2:$B$847,MATCH(connections!$B991,games!$A$2:$A$847,0)),""))</f>
        <v>2019</v>
      </c>
      <c r="V991">
        <f t="shared" si="158"/>
        <v>8</v>
      </c>
    </row>
    <row r="992" spans="20:22" x14ac:dyDescent="0.25">
      <c r="T992">
        <f>IF(connections!$A992="","",IFERROR(INDEX(games!$B$2:$B$847,MATCH(connections!$A992,games!$A$2:$A$847,0)),""))</f>
        <v>2011</v>
      </c>
      <c r="U992">
        <f>IF(connections!$A992="","",IFERROR(INDEX(games!$B$2:$B$847,MATCH(connections!$B992,games!$A$2:$A$847,0)),""))</f>
        <v>2023</v>
      </c>
      <c r="V992">
        <f t="shared" si="158"/>
        <v>12</v>
      </c>
    </row>
    <row r="993" spans="20:22" x14ac:dyDescent="0.25">
      <c r="T993">
        <f>IF(connections!$A993="","",IFERROR(INDEX(games!$B$2:$B$847,MATCH(connections!$A993,games!$A$2:$A$847,0)),""))</f>
        <v>2011</v>
      </c>
      <c r="U993">
        <f>IF(connections!$A993="","",IFERROR(INDEX(games!$B$2:$B$847,MATCH(connections!$B993,games!$A$2:$A$847,0)),""))</f>
        <v>2021</v>
      </c>
      <c r="V993">
        <f t="shared" si="158"/>
        <v>10</v>
      </c>
    </row>
    <row r="994" spans="20:22" x14ac:dyDescent="0.25">
      <c r="T994">
        <f>IF(connections!$A994="","",IFERROR(INDEX(games!$B$2:$B$847,MATCH(connections!$A994,games!$A$2:$A$847,0)),""))</f>
        <v>2014</v>
      </c>
      <c r="U994">
        <f>IF(connections!$A994="","",IFERROR(INDEX(games!$B$2:$B$847,MATCH(connections!$B994,games!$A$2:$A$847,0)),""))</f>
        <v>2025</v>
      </c>
      <c r="V994">
        <f t="shared" si="158"/>
        <v>11</v>
      </c>
    </row>
    <row r="995" spans="20:22" x14ac:dyDescent="0.25">
      <c r="T995">
        <f>IF(connections!$A995="","",IFERROR(INDEX(games!$B$2:$B$847,MATCH(connections!$A995,games!$A$2:$A$847,0)),""))</f>
        <v>2019</v>
      </c>
      <c r="U995">
        <f>IF(connections!$A995="","",IFERROR(INDEX(games!$B$2:$B$847,MATCH(connections!$B995,games!$A$2:$A$847,0)),""))</f>
        <v>2021</v>
      </c>
      <c r="V995">
        <f t="shared" si="158"/>
        <v>2</v>
      </c>
    </row>
    <row r="996" spans="20:22" x14ac:dyDescent="0.25">
      <c r="T996">
        <f>IF(connections!$A996="","",IFERROR(INDEX(games!$B$2:$B$847,MATCH(connections!$A996,games!$A$2:$A$847,0)),""))</f>
        <v>2019</v>
      </c>
      <c r="U996">
        <f>IF(connections!$A996="","",IFERROR(INDEX(games!$B$2:$B$847,MATCH(connections!$B996,games!$A$2:$A$847,0)),""))</f>
        <v>2026</v>
      </c>
      <c r="V996">
        <f t="shared" si="158"/>
        <v>7</v>
      </c>
    </row>
    <row r="997" spans="20:22" x14ac:dyDescent="0.25">
      <c r="T997">
        <f>IF(connections!$A997="","",IFERROR(INDEX(games!$B$2:$B$847,MATCH(connections!$A997,games!$A$2:$A$847,0)),""))</f>
        <v>2022</v>
      </c>
      <c r="U997">
        <f>IF(connections!$A997="","",IFERROR(INDEX(games!$B$2:$B$847,MATCH(connections!$B997,games!$A$2:$A$847,0)),""))</f>
        <v>2024</v>
      </c>
      <c r="V997">
        <f t="shared" si="158"/>
        <v>2</v>
      </c>
    </row>
    <row r="998" spans="20:22" x14ac:dyDescent="0.25">
      <c r="T998">
        <f>IF(connections!$A998="","",IFERROR(INDEX(games!$B$2:$B$847,MATCH(connections!$A998,games!$A$2:$A$847,0)),""))</f>
        <v>1991</v>
      </c>
      <c r="U998">
        <f>IF(connections!$A998="","",IFERROR(INDEX(games!$B$2:$B$847,MATCH(connections!$B998,games!$A$2:$A$847,0)),""))</f>
        <v>2020</v>
      </c>
      <c r="V998">
        <f t="shared" si="158"/>
        <v>29</v>
      </c>
    </row>
    <row r="999" spans="20:22" x14ac:dyDescent="0.25">
      <c r="T999">
        <f>IF(connections!$A999="","",IFERROR(INDEX(games!$B$2:$B$847,MATCH(connections!$A999,games!$A$2:$A$847,0)),""))</f>
        <v>1991</v>
      </c>
      <c r="U999">
        <f>IF(connections!$A999="","",IFERROR(INDEX(games!$B$2:$B$847,MATCH(connections!$B999,games!$A$2:$A$847,0)),""))</f>
        <v>2019</v>
      </c>
      <c r="V999">
        <f t="shared" si="158"/>
        <v>28</v>
      </c>
    </row>
    <row r="1000" spans="20:22" x14ac:dyDescent="0.25">
      <c r="T1000">
        <f>IF(connections!$A1000="","",IFERROR(INDEX(games!$B$2:$B$847,MATCH(connections!$A1000,games!$A$2:$A$847,0)),""))</f>
        <v>1999</v>
      </c>
      <c r="U1000">
        <f>IF(connections!$A1000="","",IFERROR(INDEX(games!$B$2:$B$847,MATCH(connections!$B1001,games!$A$2:$A$847,0)),""))</f>
        <v>2002</v>
      </c>
      <c r="V1000">
        <f t="shared" si="158"/>
        <v>3</v>
      </c>
    </row>
    <row r="1001" spans="20:22" x14ac:dyDescent="0.25">
      <c r="T1001">
        <f>IF(connections!$A1002="","",IFERROR(INDEX(games!$B$2:$B$847,MATCH(connections!$A1002,games!$A$2:$A$847,0)),""))</f>
        <v>1993</v>
      </c>
      <c r="U1001">
        <f>IF(connections!$A1002="","",IFERROR(INDEX(games!$B$2:$B$847,MATCH(connections!$B1002,games!$A$2:$A$847,0)),""))</f>
        <v>1997</v>
      </c>
      <c r="V1001">
        <f t="shared" si="158"/>
        <v>4</v>
      </c>
    </row>
    <row r="1002" spans="20:22" x14ac:dyDescent="0.25">
      <c r="T1002">
        <f>IF(connections!$A1003="","",IFERROR(INDEX(games!$B$2:$B$847,MATCH(connections!$A1003,games!$A$2:$A$847,0)),""))</f>
        <v>1993</v>
      </c>
      <c r="U1002">
        <f>IF(connections!$A1003="","",IFERROR(INDEX(games!$B$2:$B$847,MATCH(connections!$B1003,games!$A$2:$A$847,0)),""))</f>
        <v>1998</v>
      </c>
      <c r="V1002">
        <f t="shared" si="158"/>
        <v>5</v>
      </c>
    </row>
    <row r="1003" spans="20:22" x14ac:dyDescent="0.25">
      <c r="T1003">
        <f>IF(connections!$A1004="","",IFERROR(INDEX(games!$B$2:$B$847,MATCH(connections!$A1004,games!$A$2:$A$847,0)),""))</f>
        <v>1993</v>
      </c>
      <c r="U1003">
        <f>IF(connections!$A1004="","",IFERROR(INDEX(games!$B$2:$B$847,MATCH(connections!$B1004,games!$A$2:$A$847,0)),""))</f>
        <v>1997</v>
      </c>
      <c r="V1003">
        <f t="shared" si="158"/>
        <v>4</v>
      </c>
    </row>
    <row r="1004" spans="20:22" x14ac:dyDescent="0.25">
      <c r="T1004">
        <f>IF(connections!$A1005="","",IFERROR(INDEX(games!$B$2:$B$847,MATCH(connections!$A1005,games!$A$2:$A$847,0)),""))</f>
        <v>1993</v>
      </c>
      <c r="U1004">
        <f>IF(connections!$A1005="","",IFERROR(INDEX(games!$B$2:$B$847,MATCH(connections!$B1005,games!$A$2:$A$847,0)),""))</f>
        <v>2022</v>
      </c>
      <c r="V1004">
        <f t="shared" si="158"/>
        <v>29</v>
      </c>
    </row>
    <row r="1005" spans="20:22" x14ac:dyDescent="0.25">
      <c r="T1005">
        <f>IF(connections!$A1006="","",IFERROR(INDEX(games!$B$2:$B$847,MATCH(connections!$A1006,games!$A$2:$A$847,0)),""))</f>
        <v>1993</v>
      </c>
      <c r="U1005">
        <f>IF(connections!$A1006="","",IFERROR(INDEX(games!$B$2:$B$847,MATCH(connections!$B1006,games!$A$2:$A$847,0)),""))</f>
        <v>2006</v>
      </c>
      <c r="V1005">
        <f t="shared" si="158"/>
        <v>13</v>
      </c>
    </row>
    <row r="1006" spans="20:22" x14ac:dyDescent="0.25">
      <c r="T1006">
        <f>IF(connections!$A1007="","",IFERROR(INDEX(games!$B$2:$B$847,MATCH(connections!$A1007,games!$A$2:$A$847,0)),""))</f>
        <v>1993</v>
      </c>
      <c r="U1006">
        <f>IF(connections!$A1007="","",IFERROR(INDEX(games!$B$2:$B$847,MATCH(connections!$B1007,games!$A$2:$A$847,0)),""))</f>
        <v>2023</v>
      </c>
      <c r="V1006">
        <f t="shared" si="158"/>
        <v>30</v>
      </c>
    </row>
    <row r="1007" spans="20:22" x14ac:dyDescent="0.25">
      <c r="T1007">
        <f>IF(connections!$A1008="","",IFERROR(INDEX(games!$B$2:$B$847,MATCH(connections!$A1008,games!$A$2:$A$847,0)),""))</f>
        <v>1993</v>
      </c>
      <c r="U1007">
        <f>IF(connections!$A1008="","",IFERROR(INDEX(games!$B$2:$B$847,MATCH(connections!$B1008,games!$A$2:$A$847,0)),""))</f>
        <v>2008</v>
      </c>
      <c r="V1007">
        <f t="shared" si="158"/>
        <v>15</v>
      </c>
    </row>
    <row r="1008" spans="20:22" x14ac:dyDescent="0.25">
      <c r="T1008">
        <f>IF(connections!$A1009="","",IFERROR(INDEX(games!$B$2:$B$847,MATCH(connections!$A1009,games!$A$2:$A$847,0)),""))</f>
        <v>1993</v>
      </c>
      <c r="U1008">
        <f>IF(connections!$A1009="","",IFERROR(INDEX(games!$B$2:$B$847,MATCH(connections!$B1009,games!$A$2:$A$847,0)),""))</f>
        <v>2015</v>
      </c>
      <c r="V1008">
        <f t="shared" si="158"/>
        <v>22</v>
      </c>
    </row>
    <row r="1009" spans="20:22" x14ac:dyDescent="0.25">
      <c r="T1009">
        <f>IF(connections!$A1010="","",IFERROR(INDEX(games!$B$2:$B$847,MATCH(connections!$A1010,games!$A$2:$A$847,0)),""))</f>
        <v>1993</v>
      </c>
      <c r="U1009">
        <f>IF(connections!$A1010="","",IFERROR(INDEX(games!$B$2:$B$847,MATCH(connections!$B1010,games!$A$2:$A$847,0)),""))</f>
        <v>2026</v>
      </c>
      <c r="V1009">
        <f t="shared" si="158"/>
        <v>33</v>
      </c>
    </row>
    <row r="1010" spans="20:22" x14ac:dyDescent="0.25">
      <c r="T1010">
        <f>IF(connections!$A1011="","",IFERROR(INDEX(games!$B$2:$B$847,MATCH(connections!$A1011,games!$A$2:$A$847,0)),""))</f>
        <v>1993</v>
      </c>
      <c r="U1010">
        <f>IF(connections!$A1011="","",IFERROR(INDEX(games!$B$2:$B$847,MATCH(connections!$B1011,games!$A$2:$A$847,0)),""))</f>
        <v>2025</v>
      </c>
      <c r="V1010">
        <f t="shared" si="158"/>
        <v>32</v>
      </c>
    </row>
    <row r="1011" spans="20:22" x14ac:dyDescent="0.25">
      <c r="T1011">
        <f>IF(connections!$A1012="","",IFERROR(INDEX(games!$B$2:$B$847,MATCH(connections!$A1012,games!$A$2:$A$847,0)),""))</f>
        <v>1993</v>
      </c>
      <c r="U1011">
        <f>IF(connections!$A1012="","",IFERROR(INDEX(games!$B$2:$B$847,MATCH(connections!$B1012,games!$A$2:$A$847,0)),""))</f>
        <v>2006</v>
      </c>
      <c r="V1011">
        <f t="shared" si="158"/>
        <v>13</v>
      </c>
    </row>
    <row r="1012" spans="20:22" x14ac:dyDescent="0.25">
      <c r="T1012">
        <f>IF(connections!$A1013="","",IFERROR(INDEX(games!$B$2:$B$847,MATCH(connections!$A1013,games!$A$2:$A$847,0)),""))</f>
        <v>1993</v>
      </c>
      <c r="U1012">
        <f>IF(connections!$A1013="","",IFERROR(INDEX(games!$B$2:$B$847,MATCH(connections!$B1013,games!$A$2:$A$847,0)),""))</f>
        <v>2023</v>
      </c>
      <c r="V1012">
        <f t="shared" si="158"/>
        <v>30</v>
      </c>
    </row>
    <row r="1013" spans="20:22" x14ac:dyDescent="0.25">
      <c r="T1013">
        <f>IF(connections!$A1014="","",IFERROR(INDEX(games!$B$2:$B$847,MATCH(connections!$A1014,games!$A$2:$A$847,0)),""))</f>
        <v>1993</v>
      </c>
      <c r="U1013">
        <f>IF(connections!$A1014="","",IFERROR(INDEX(games!$B$2:$B$847,MATCH(connections!$B1014,games!$A$2:$A$847,0)),""))</f>
        <v>2002</v>
      </c>
      <c r="V1013">
        <f t="shared" si="158"/>
        <v>9</v>
      </c>
    </row>
    <row r="1014" spans="20:22" x14ac:dyDescent="0.25">
      <c r="T1014">
        <f>IF(connections!$A1015="","",IFERROR(INDEX(games!$B$2:$B$847,MATCH(connections!$A1015,games!$A$2:$A$847,0)),""))</f>
        <v>1993</v>
      </c>
      <c r="U1014">
        <f>IF(connections!$A1015="","",IFERROR(INDEX(games!$B$2:$B$847,MATCH(connections!$B1015,games!$A$2:$A$847,0)),""))</f>
        <v>2020</v>
      </c>
      <c r="V1014">
        <f t="shared" si="158"/>
        <v>27</v>
      </c>
    </row>
    <row r="1015" spans="20:22" x14ac:dyDescent="0.25">
      <c r="T1015">
        <f>IF(connections!$A1016="","",IFERROR(INDEX(games!$B$2:$B$847,MATCH(connections!$A1016,games!$A$2:$A$847,0)),""))</f>
        <v>1993</v>
      </c>
      <c r="U1015">
        <f>IF(connections!$A1016="","",IFERROR(INDEX(games!$B$2:$B$847,MATCH(connections!$B1016,games!$A$2:$A$847,0)),""))</f>
        <v>1995</v>
      </c>
      <c r="V1015">
        <f t="shared" si="158"/>
        <v>2</v>
      </c>
    </row>
    <row r="1016" spans="20:22" x14ac:dyDescent="0.25">
      <c r="T1016">
        <f>IF(connections!$A1017="","",IFERROR(INDEX(games!$B$2:$B$847,MATCH(connections!$A1017,games!$A$2:$A$847,0)),""))</f>
        <v>1993</v>
      </c>
      <c r="U1016">
        <f>IF(connections!$A1017="","",IFERROR(INDEX(games!$B$2:$B$847,MATCH(connections!$B1017,games!$A$2:$A$847,0)),""))</f>
        <v>2015</v>
      </c>
      <c r="V1016">
        <f t="shared" si="158"/>
        <v>22</v>
      </c>
    </row>
    <row r="1017" spans="20:22" x14ac:dyDescent="0.25">
      <c r="T1017">
        <f>IF(connections!$A1018="","",IFERROR(INDEX(games!$B$2:$B$847,MATCH(connections!$A1018,games!$A$2:$A$847,0)),""))</f>
        <v>1993</v>
      </c>
      <c r="U1017">
        <f>IF(connections!$A1018="","",IFERROR(INDEX(games!$B$2:$B$847,MATCH(connections!$B1018,games!$A$2:$A$847,0)),""))</f>
        <v>2014</v>
      </c>
      <c r="V1017">
        <f t="shared" si="158"/>
        <v>21</v>
      </c>
    </row>
    <row r="1018" spans="20:22" x14ac:dyDescent="0.25">
      <c r="T1018">
        <f>IF(connections!$A1019="","",IFERROR(INDEX(games!$B$2:$B$847,MATCH(connections!$A1019,games!$A$2:$A$847,0)),""))</f>
        <v>1993</v>
      </c>
      <c r="U1018">
        <f>IF(connections!$A1019="","",IFERROR(INDEX(games!$B$2:$B$847,MATCH(connections!$B1019,games!$A$2:$A$847,0)),""))</f>
        <v>2005</v>
      </c>
      <c r="V1018">
        <f t="shared" si="158"/>
        <v>12</v>
      </c>
    </row>
    <row r="1019" spans="20:22" x14ac:dyDescent="0.25">
      <c r="T1019">
        <f>IF(connections!$A1020="","",IFERROR(INDEX(games!$B$2:$B$847,MATCH(connections!$A1020,games!$A$2:$A$847,0)),""))</f>
        <v>1993</v>
      </c>
      <c r="U1019">
        <f>IF(connections!$A1020="","",IFERROR(INDEX(games!$B$2:$B$847,MATCH(connections!$B1020,games!$A$2:$A$847,0)),""))</f>
        <v>2004</v>
      </c>
      <c r="V1019">
        <f t="shared" si="158"/>
        <v>11</v>
      </c>
    </row>
    <row r="1020" spans="20:22" x14ac:dyDescent="0.25">
      <c r="T1020">
        <f>IF(connections!$A1021="","",IFERROR(INDEX(games!$B$2:$B$847,MATCH(connections!$A1021,games!$A$2:$A$847,0)),""))</f>
        <v>1993</v>
      </c>
      <c r="U1020">
        <f>IF(connections!$A1021="","",IFERROR(INDEX(games!$B$2:$B$847,MATCH(connections!$B1021,games!$A$2:$A$847,0)),""))</f>
        <v>2014</v>
      </c>
      <c r="V1020">
        <f t="shared" si="158"/>
        <v>21</v>
      </c>
    </row>
    <row r="1021" spans="20:22" x14ac:dyDescent="0.25">
      <c r="T1021">
        <f>IF(connections!$A1022="","",IFERROR(INDEX(games!$B$2:$B$847,MATCH(connections!$A1022,games!$A$2:$A$847,0)),""))</f>
        <v>1993</v>
      </c>
      <c r="U1021">
        <f>IF(connections!$A1022="","",IFERROR(INDEX(games!$B$2:$B$847,MATCH(connections!$B1022,games!$A$2:$A$847,0)),""))</f>
        <v>1999</v>
      </c>
      <c r="V1021">
        <f t="shared" si="158"/>
        <v>6</v>
      </c>
    </row>
    <row r="1022" spans="20:22" x14ac:dyDescent="0.25">
      <c r="T1022">
        <f>IF(connections!$A1023="","",IFERROR(INDEX(games!$B$2:$B$847,MATCH(connections!$A1023,games!$A$2:$A$847,0)),""))</f>
        <v>1993</v>
      </c>
      <c r="U1022">
        <f>IF(connections!$A1023="","",IFERROR(INDEX(games!$B$2:$B$847,MATCH(connections!$B1023,games!$A$2:$A$847,0)),""))</f>
        <v>2021</v>
      </c>
      <c r="V1022">
        <f t="shared" si="158"/>
        <v>28</v>
      </c>
    </row>
    <row r="1023" spans="20:22" x14ac:dyDescent="0.25">
      <c r="T1023">
        <f>IF(connections!$A1024="","",IFERROR(INDEX(games!$B$2:$B$847,MATCH(connections!$A1024,games!$A$2:$A$847,0)),""))</f>
        <v>1993</v>
      </c>
      <c r="U1023">
        <f>IF(connections!$A1024="","",IFERROR(INDEX(games!$B$2:$B$847,MATCH(connections!$B1024,games!$A$2:$A$847,0)),""))</f>
        <v>2010</v>
      </c>
      <c r="V1023">
        <f t="shared" si="158"/>
        <v>17</v>
      </c>
    </row>
    <row r="1024" spans="20:22" x14ac:dyDescent="0.25">
      <c r="T1024">
        <f>IF(connections!$A1025="","",IFERROR(INDEX(games!$B$2:$B$847,MATCH(connections!$A1025,games!$A$2:$A$847,0)),""))</f>
        <v>2014</v>
      </c>
      <c r="U1024">
        <f>IF(connections!$A1025="","",IFERROR(INDEX(games!$B$2:$B$847,MATCH(connections!$B1025,games!$A$2:$A$847,0)),""))</f>
        <v>2018</v>
      </c>
      <c r="V1024">
        <f t="shared" si="158"/>
        <v>4</v>
      </c>
    </row>
    <row r="1025" spans="20:22" x14ac:dyDescent="0.25">
      <c r="T1025">
        <f>IF(connections!$A1026="","",IFERROR(INDEX(games!$B$2:$B$847,MATCH(connections!$A1026,games!$A$2:$A$847,0)),""))</f>
        <v>2021</v>
      </c>
      <c r="U1025">
        <f>IF(connections!$A1026="","",IFERROR(INDEX(games!$B$2:$B$847,MATCH(connections!$B1026,games!$A$2:$A$847,0)),""))</f>
        <v>2023</v>
      </c>
      <c r="V1025">
        <f t="shared" si="158"/>
        <v>2</v>
      </c>
    </row>
    <row r="1026" spans="20:22" x14ac:dyDescent="0.25">
      <c r="T1026">
        <f>IF(connections!$A1027="","",IFERROR(INDEX(games!$B$2:$B$847,MATCH(connections!$A1027,games!$A$2:$A$847,0)),""))</f>
        <v>2019</v>
      </c>
      <c r="U1026">
        <f>IF(connections!$A1027="","",IFERROR(INDEX(games!$B$2:$B$847,MATCH(connections!$B1027,games!$A$2:$A$847,0)),""))</f>
        <v>2025</v>
      </c>
      <c r="V1026">
        <f t="shared" ref="V1026:V1060" si="159">IF(OR($T1026="",$U1026=""),"",$U1026-$T1026)</f>
        <v>6</v>
      </c>
    </row>
    <row r="1027" spans="20:22" x14ac:dyDescent="0.25">
      <c r="T1027">
        <f>IF(connections!$A1028="","",IFERROR(INDEX(games!$B$2:$B$847,MATCH(connections!$A1028,games!$A$2:$A$847,0)),""))</f>
        <v>2017</v>
      </c>
      <c r="U1027">
        <f>IF(connections!$A1028="","",IFERROR(INDEX(games!$B$2:$B$847,MATCH(connections!$B1028,games!$A$2:$A$847,0)),""))</f>
        <v>2023</v>
      </c>
      <c r="V1027">
        <f t="shared" si="159"/>
        <v>6</v>
      </c>
    </row>
    <row r="1028" spans="20:22" x14ac:dyDescent="0.25">
      <c r="T1028">
        <f>IF(connections!$A1029="","",IFERROR(INDEX(games!$B$2:$B$847,MATCH(connections!$A1029,games!$A$2:$A$847,0)),""))</f>
        <v>2017</v>
      </c>
      <c r="U1028" t="str">
        <f>IF(connections!$A1029="","",IFERROR(INDEX(games!$B$2:$B$847,MATCH(connections!$C1029,games!$A$2:$A$847,0)),""))</f>
        <v/>
      </c>
      <c r="V1028" t="str">
        <f t="shared" si="159"/>
        <v/>
      </c>
    </row>
    <row r="1029" spans="20:22" x14ac:dyDescent="0.25">
      <c r="T1029">
        <f>IF(connections!$A1030="","",IFERROR(INDEX(games!$B$2:$B$847,MATCH(connections!$A1030,games!$A$2:$A$847,0)),""))</f>
        <v>1992</v>
      </c>
      <c r="U1029" t="str">
        <f>IF(connections!$A1030="","",IFERROR(INDEX(games!$B$2:$B$847,MATCH(connections!$C1030,games!$A$2:$A$847,0)),""))</f>
        <v/>
      </c>
      <c r="V1029" t="str">
        <f t="shared" si="159"/>
        <v/>
      </c>
    </row>
    <row r="1030" spans="20:22" x14ac:dyDescent="0.25">
      <c r="T1030">
        <f>IF(connections!$A1031="","",IFERROR(INDEX(games!$B$2:$B$847,MATCH(connections!$A1031,games!$A$2:$A$847,0)),""))</f>
        <v>2021</v>
      </c>
      <c r="U1030">
        <f>IF(connections!$A1031="","",IFERROR(INDEX(games!$B$2:$B$847,MATCH(connections!$B1031,games!$A$2:$A$847,0)),""))</f>
        <v>2022</v>
      </c>
      <c r="V1030">
        <f t="shared" si="159"/>
        <v>1</v>
      </c>
    </row>
    <row r="1031" spans="20:22" x14ac:dyDescent="0.25">
      <c r="T1031">
        <f>IF(connections!$A1032="","",IFERROR(INDEX(games!$B$2:$B$847,MATCH(connections!$A1032,games!$A$2:$A$847,0)),""))</f>
        <v>2021</v>
      </c>
      <c r="U1031">
        <f>IF(connections!$A1032="","",IFERROR(INDEX(games!$B$2:$B$847,MATCH(connections!$B1032,games!$A$2:$A$847,0)),""))</f>
        <v>2024</v>
      </c>
      <c r="V1031">
        <f t="shared" si="159"/>
        <v>3</v>
      </c>
    </row>
    <row r="1032" spans="20:22" x14ac:dyDescent="0.25">
      <c r="T1032">
        <f>IF(connections!$A1033="","",IFERROR(INDEX(games!$B$2:$B$847,MATCH(connections!$A1033,games!$A$2:$A$847,0)),""))</f>
        <v>2021</v>
      </c>
      <c r="U1032">
        <f>IF(connections!$A1033="","",IFERROR(INDEX(games!$B$2:$B$847,MATCH(connections!$B1033,games!$A$2:$A$847,0)),""))</f>
        <v>2022</v>
      </c>
      <c r="V1032">
        <f t="shared" si="159"/>
        <v>1</v>
      </c>
    </row>
    <row r="1033" spans="20:22" x14ac:dyDescent="0.25">
      <c r="T1033">
        <f>IF(connections!$A1034="","",IFERROR(INDEX(games!$B$2:$B$847,MATCH(connections!$A1034,games!$A$2:$A$847,0)),""))</f>
        <v>2021</v>
      </c>
      <c r="U1033">
        <f>IF(connections!$A1034="","",IFERROR(INDEX(games!$B$2:$B$847,MATCH(connections!$B1034,games!$A$2:$A$847,0)),""))</f>
        <v>2025</v>
      </c>
      <c r="V1033">
        <f t="shared" si="159"/>
        <v>4</v>
      </c>
    </row>
    <row r="1034" spans="20:22" x14ac:dyDescent="0.25">
      <c r="T1034">
        <f>IF(connections!$A1035="","",IFERROR(INDEX(games!$B$2:$B$847,MATCH(connections!$A1035,games!$A$2:$A$847,0)),""))</f>
        <v>2021</v>
      </c>
      <c r="U1034">
        <f>IF(connections!$A1035="","",IFERROR(INDEX(games!$B$2:$B$847,MATCH(connections!$B1035,games!$A$2:$A$847,0)),""))</f>
        <v>2025</v>
      </c>
      <c r="V1034">
        <f t="shared" si="159"/>
        <v>4</v>
      </c>
    </row>
    <row r="1035" spans="20:22" x14ac:dyDescent="0.25">
      <c r="T1035">
        <f>IF(connections!$A1036="","",IFERROR(INDEX(games!$B$2:$B$847,MATCH(connections!$A1036,games!$A$2:$A$847,0)),""))</f>
        <v>2021</v>
      </c>
      <c r="U1035">
        <f>IF(connections!$A1036="","",IFERROR(INDEX(games!$B$2:$B$847,MATCH(connections!$B1036,games!$A$2:$A$847,0)),""))</f>
        <v>2025</v>
      </c>
      <c r="V1035">
        <f t="shared" si="159"/>
        <v>4</v>
      </c>
    </row>
    <row r="1036" spans="20:22" x14ac:dyDescent="0.25">
      <c r="T1036">
        <f>IF(connections!$A1037="","",IFERROR(INDEX(games!$B$2:$B$847,MATCH(connections!$A1037,games!$A$2:$A$847,0)),""))</f>
        <v>2021</v>
      </c>
      <c r="U1036">
        <f>IF(connections!$A1037="","",IFERROR(INDEX(games!$B$2:$B$847,MATCH(connections!$B1037,games!$A$2:$A$847,0)),""))</f>
        <v>2024</v>
      </c>
      <c r="V1036">
        <f t="shared" si="159"/>
        <v>3</v>
      </c>
    </row>
    <row r="1037" spans="20:22" x14ac:dyDescent="0.25">
      <c r="T1037">
        <f>IF(connections!$A1038="","",IFERROR(INDEX(games!$B$2:$B$847,MATCH(connections!$A1038,games!$A$2:$A$847,0)),""))</f>
        <v>2021</v>
      </c>
      <c r="U1037">
        <f>IF(connections!$A1038="","",IFERROR(INDEX(games!$B$2:$B$847,MATCH(connections!$B1038,games!$A$2:$A$847,0)),""))</f>
        <v>2022</v>
      </c>
      <c r="V1037">
        <f t="shared" si="159"/>
        <v>1</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2021</v>
      </c>
      <c r="U1039">
        <f>IF(connections!$A1039="","",IFERROR(INDEX(games!$B$2:$B$847,MATCH(connections!$B1039,games!$A$2:$A$847,0)),""))</f>
        <v>2026</v>
      </c>
      <c r="V1039">
        <f t="shared" si="159"/>
        <v>5</v>
      </c>
    </row>
    <row r="1040" spans="20:22" x14ac:dyDescent="0.25">
      <c r="T1040">
        <f>IF(connections!$A1040="","",IFERROR(INDEX(games!$B$2:$B$847,MATCH(connections!$A1040,games!$A$2:$A$847,0)),""))</f>
        <v>2021</v>
      </c>
      <c r="U1040">
        <f>IF(connections!$A1040="","",IFERROR(INDEX(games!$B$2:$B$847,MATCH(connections!$B1040,games!$A$2:$A$847,0)),""))</f>
        <v>2023</v>
      </c>
      <c r="V1040">
        <f t="shared" si="159"/>
        <v>2</v>
      </c>
    </row>
    <row r="1041" spans="20:22" x14ac:dyDescent="0.25">
      <c r="T1041">
        <f>IF(connections!$A1041="","",IFERROR(INDEX(games!$B$2:$B$847,MATCH(connections!$A1041,games!$A$2:$A$847,0)),""))</f>
        <v>2021</v>
      </c>
      <c r="U1041">
        <f>IF(connections!$A1041="","",IFERROR(INDEX(games!$B$2:$B$847,MATCH(connections!$B1041,games!$A$2:$A$847,0)),""))</f>
        <v>2024</v>
      </c>
      <c r="V1041">
        <f t="shared" si="159"/>
        <v>3</v>
      </c>
    </row>
    <row r="1042" spans="20:22" x14ac:dyDescent="0.25">
      <c r="T1042">
        <f>IF(connections!$A1042="","",IFERROR(INDEX(games!$B$2:$B$847,MATCH(connections!$A1042,games!$A$2:$A$847,0)),""))</f>
        <v>2021</v>
      </c>
      <c r="U1042">
        <f>IF(connections!$A1042="","",IFERROR(INDEX(games!$B$2:$B$847,MATCH(connections!$B1042,games!$A$2:$A$847,0)),""))</f>
        <v>2022</v>
      </c>
      <c r="V1042">
        <f t="shared" si="159"/>
        <v>1</v>
      </c>
    </row>
    <row r="1043" spans="20:22" x14ac:dyDescent="0.25">
      <c r="T1043">
        <f>IF(connections!$A1043="","",IFERROR(INDEX(games!$B$2:$B$847,MATCH(connections!$A1043,games!$A$2:$A$847,0)),""))</f>
        <v>2021</v>
      </c>
      <c r="U1043">
        <f>IF(connections!$A1043="","",IFERROR(INDEX(games!$B$2:$B$847,MATCH(connections!$B1043,games!$A$2:$A$847,0)),""))</f>
        <v>2022</v>
      </c>
      <c r="V1043">
        <f t="shared" si="159"/>
        <v>1</v>
      </c>
    </row>
    <row r="1044" spans="20:22" x14ac:dyDescent="0.25">
      <c r="T1044">
        <f>IF(connections!$A1044="","",IFERROR(INDEX(games!$B$2:$B$847,MATCH(connections!$A1044,games!$A$2:$A$847,0)),""))</f>
        <v>2021</v>
      </c>
      <c r="U1044">
        <f>IF(connections!$A1044="","",IFERROR(INDEX(games!$B$2:$B$847,MATCH(connections!$B1044,games!$A$2:$A$847,0)),""))</f>
        <v>2022</v>
      </c>
      <c r="V1044">
        <f t="shared" si="159"/>
        <v>1</v>
      </c>
    </row>
    <row r="1045" spans="20:22" x14ac:dyDescent="0.25">
      <c r="T1045">
        <f>IF(connections!$A1045="","",IFERROR(INDEX(games!$B$2:$B$847,MATCH(connections!$A1045,games!$A$2:$A$847,0)),""))</f>
        <v>2021</v>
      </c>
      <c r="U1045">
        <f>IF(connections!$A1045="","",IFERROR(INDEX(games!$B$2:$B$847,MATCH(connections!$B1045,games!$A$2:$A$847,0)),""))</f>
        <v>2022</v>
      </c>
      <c r="V1045">
        <f t="shared" si="159"/>
        <v>1</v>
      </c>
    </row>
    <row r="1046" spans="20:22" x14ac:dyDescent="0.25">
      <c r="T1046">
        <f>IF(connections!$A1046="","",IFERROR(INDEX(games!$B$2:$B$847,MATCH(connections!$A1046,games!$A$2:$A$847,0)),""))</f>
        <v>2021</v>
      </c>
      <c r="U1046">
        <f>IF(connections!$A1046="","",IFERROR(INDEX(games!$B$2:$B$847,MATCH(connections!$B1046,games!$A$2:$A$847,0)),""))</f>
        <v>2023</v>
      </c>
      <c r="V1046">
        <f t="shared" si="159"/>
        <v>2</v>
      </c>
    </row>
    <row r="1047" spans="20:22" x14ac:dyDescent="0.25">
      <c r="T1047">
        <f>IF(connections!$A1047="","",IFERROR(INDEX(games!$B$2:$B$847,MATCH(connections!$A1047,games!$A$2:$A$847,0)),""))</f>
        <v>2021</v>
      </c>
      <c r="U1047">
        <f>IF(connections!$A1047="","",IFERROR(INDEX(games!$B$2:$B$847,MATCH(connections!$B1047,games!$A$2:$A$847,0)),""))</f>
        <v>2023</v>
      </c>
      <c r="V1047">
        <f t="shared" si="159"/>
        <v>2</v>
      </c>
    </row>
    <row r="1048" spans="20:22" x14ac:dyDescent="0.25">
      <c r="T1048">
        <f>IF(connections!$A1048="","",IFERROR(INDEX(games!$B$2:$B$847,MATCH(connections!$A1048,games!$A$2:$A$847,0)),""))</f>
        <v>2021</v>
      </c>
      <c r="U1048">
        <f>IF(connections!$A1048="","",IFERROR(INDEX(games!$B$2:$B$847,MATCH(connections!$B1048,games!$A$2:$A$847,0)),""))</f>
        <v>2026</v>
      </c>
      <c r="V1048">
        <f t="shared" si="159"/>
        <v>5</v>
      </c>
    </row>
    <row r="1049" spans="20:22" x14ac:dyDescent="0.25">
      <c r="T1049">
        <f>IF(connections!$A1049="","",IFERROR(INDEX(games!$B$2:$B$847,MATCH(connections!$A1049,games!$A$2:$A$847,0)),""))</f>
        <v>2021</v>
      </c>
      <c r="U1049">
        <f>IF(connections!$A1049="","",IFERROR(INDEX(games!$B$2:$B$847,MATCH(connections!$B1049,games!$A$2:$A$847,0)),""))</f>
        <v>2023</v>
      </c>
      <c r="V1049">
        <f t="shared" si="159"/>
        <v>2</v>
      </c>
    </row>
    <row r="1050" spans="20:22" x14ac:dyDescent="0.25">
      <c r="T1050">
        <f>IF(connections!$A1050="","",IFERROR(INDEX(games!$B$2:$B$847,MATCH(connections!$A1050,games!$A$2:$A$847,0)),""))</f>
        <v>2021</v>
      </c>
      <c r="U1050">
        <f>IF(connections!$A1050="","",IFERROR(INDEX(games!$B$2:$B$847,MATCH(connections!$B1050,games!$A$2:$A$847,0)),""))</f>
        <v>2024</v>
      </c>
      <c r="V1050">
        <f t="shared" si="159"/>
        <v>3</v>
      </c>
    </row>
    <row r="1051" spans="20:22" x14ac:dyDescent="0.25">
      <c r="T1051">
        <f>IF(connections!$A1051="","",IFERROR(INDEX(games!$B$2:$B$847,MATCH(connections!$A1051,games!$A$2:$A$847,0)),""))</f>
        <v>2021</v>
      </c>
      <c r="U1051">
        <f>IF(connections!$A1051="","",IFERROR(INDEX(games!$B$2:$B$847,MATCH(connections!$B1051,games!$A$2:$A$847,0)),""))</f>
        <v>2025</v>
      </c>
      <c r="V1051">
        <f t="shared" si="159"/>
        <v>4</v>
      </c>
    </row>
    <row r="1052" spans="20:22" x14ac:dyDescent="0.25">
      <c r="T1052">
        <f>IF(connections!$A1052="","",IFERROR(INDEX(games!$B$2:$B$847,MATCH(connections!$A1052,games!$A$2:$A$847,0)),""))</f>
        <v>2021</v>
      </c>
      <c r="U1052">
        <f>IF(connections!$A1052="","",IFERROR(INDEX(games!$B$2:$B$847,MATCH(connections!$B1052,games!$A$2:$A$847,0)),""))</f>
        <v>2023</v>
      </c>
      <c r="V1052">
        <f t="shared" si="159"/>
        <v>2</v>
      </c>
    </row>
    <row r="1053" spans="20:22" x14ac:dyDescent="0.25">
      <c r="T1053">
        <f>IF(connections!$A1053="","",IFERROR(INDEX(games!$B$2:$B$847,MATCH(connections!$A1053,games!$A$2:$A$847,0)),""))</f>
        <v>2021</v>
      </c>
      <c r="U1053">
        <f>IF(connections!$A1053="","",IFERROR(INDEX(games!$B$2:$B$847,MATCH(connections!$B1053,games!$A$2:$A$847,0)),""))</f>
        <v>2023</v>
      </c>
      <c r="V1053">
        <f t="shared" si="159"/>
        <v>2</v>
      </c>
    </row>
    <row r="1054" spans="20:22" x14ac:dyDescent="0.25">
      <c r="T1054">
        <f>IF(connections!$A1054="","",IFERROR(INDEX(games!$B$2:$B$847,MATCH(connections!$A1054,games!$A$2:$A$847,0)),""))</f>
        <v>2021</v>
      </c>
      <c r="U1054">
        <f>IF(connections!$A1054="","",IFERROR(INDEX(games!$B$2:$B$847,MATCH(connections!$B1054,games!$A$2:$A$847,0)),""))</f>
        <v>2023</v>
      </c>
      <c r="V1054">
        <f t="shared" si="159"/>
        <v>2</v>
      </c>
    </row>
    <row r="1055" spans="20:22" x14ac:dyDescent="0.25">
      <c r="T1055">
        <f>IF(connections!$A1055="","",IFERROR(INDEX(games!$B$2:$B$847,MATCH(connections!$A1055,games!$A$2:$A$847,0)),""))</f>
        <v>2021</v>
      </c>
      <c r="U1055">
        <f>IF(connections!$A1055="","",IFERROR(INDEX(games!$B$2:$B$847,MATCH(connections!$B1055,games!$A$2:$A$847,0)),""))</f>
        <v>2024</v>
      </c>
      <c r="V1055">
        <f t="shared" si="159"/>
        <v>3</v>
      </c>
    </row>
    <row r="1056" spans="20:22" x14ac:dyDescent="0.25">
      <c r="T1056">
        <f>IF(connections!$A1056="","",IFERROR(INDEX(games!$B$2:$B$847,MATCH(connections!$A1056,games!$A$2:$A$847,0)),""))</f>
        <v>2021</v>
      </c>
      <c r="U1056">
        <f>IF(connections!$A1056="","",IFERROR(INDEX(games!$B$2:$B$847,MATCH(connections!$B1056,games!$A$2:$A$847,0)),""))</f>
        <v>2024</v>
      </c>
      <c r="V1056">
        <f t="shared" si="159"/>
        <v>3</v>
      </c>
    </row>
    <row r="1057" spans="20:22" x14ac:dyDescent="0.25">
      <c r="T1057">
        <f>IF(connections!$A1057="","",IFERROR(INDEX(games!$B$2:$B$847,MATCH(connections!$A1057,games!$A$2:$A$847,0)),""))</f>
        <v>2021</v>
      </c>
      <c r="U1057">
        <f>IF(connections!$A1057="","",IFERROR(INDEX(games!$B$2:$B$847,MATCH(connections!$B1057,games!$A$2:$A$847,0)),""))</f>
        <v>2023</v>
      </c>
      <c r="V1057">
        <f t="shared" si="159"/>
        <v>2</v>
      </c>
    </row>
    <row r="1058" spans="20:22" x14ac:dyDescent="0.25">
      <c r="T1058">
        <f>IF(connections!$A1058="","",IFERROR(INDEX(games!$B$2:$B$847,MATCH(connections!$A1058,games!$A$2:$A$847,0)),""))</f>
        <v>2021</v>
      </c>
      <c r="U1058">
        <f>IF(connections!$A1058="","",IFERROR(INDEX(games!$B$2:$B$847,MATCH(connections!$B1058,games!$A$2:$A$847,0)),""))</f>
        <v>2023</v>
      </c>
      <c r="V1058">
        <f t="shared" si="159"/>
        <v>2</v>
      </c>
    </row>
    <row r="1059" spans="20:22" x14ac:dyDescent="0.25">
      <c r="T1059">
        <f>IF(connections!$A1059="","",IFERROR(INDEX(games!$B$2:$B$847,MATCH(connections!$A1059,games!$A$2:$A$847,0)),""))</f>
        <v>2021</v>
      </c>
      <c r="U1059">
        <f>IF(connections!$A1059="","",IFERROR(INDEX(games!$B$2:$B$847,MATCH(connections!$B1059,games!$A$2:$A$847,0)),""))</f>
        <v>2023</v>
      </c>
      <c r="V1059">
        <f t="shared" si="159"/>
        <v>2</v>
      </c>
    </row>
    <row r="1060" spans="20:22" x14ac:dyDescent="0.25">
      <c r="T1060">
        <f>IF(connections!$A1060="","",IFERROR(INDEX(games!$B$2:$B$847,MATCH(connections!$A1060,games!$A$2:$A$847,0)),""))</f>
        <v>2021</v>
      </c>
      <c r="U1060">
        <f>IF(connections!$A1060="","",IFERROR(INDEX(games!$B$2:$B$847,MATCH(connections!$B1060,games!$A$2:$A$847,0)),""))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2026-08-11T20:29:46Z</dcterms:modified>
  <dc:language>en-US</dc:language>
</cp:coreProperties>
</file>