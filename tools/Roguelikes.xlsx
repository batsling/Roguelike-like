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72D96E1-74C7-434B-9C02-205B9492022E}"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0" i="1" l="1"/>
  <c r="D949" i="47"/>
  <c r="D913" i="47"/>
  <c r="D848" i="47"/>
  <c r="D677" i="47"/>
  <c r="D462" i="47"/>
  <c r="D358" i="47"/>
  <c r="D260" i="47"/>
  <c r="B22" i="18"/>
  <c r="B21" i="18"/>
  <c r="D901" i="47"/>
  <c r="D902" i="47"/>
  <c r="D917" i="47"/>
  <c r="D921" i="47"/>
  <c r="D793" i="47"/>
  <c r="D909"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860" i="47"/>
  <c r="D907" i="47"/>
  <c r="D912" i="47"/>
  <c r="D904" i="47"/>
  <c r="D923" i="47"/>
  <c r="D916" i="47"/>
  <c r="D930" i="47"/>
  <c r="D871"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D897" i="47"/>
  <c r="D898" i="47"/>
  <c r="D263" i="47"/>
  <c r="D345" i="47"/>
  <c r="D899" i="47"/>
  <c r="E899" i="1"/>
  <c r="E898" i="1"/>
  <c r="E897" i="1"/>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D900" i="47" s="1"/>
  <c r="U899" i="47"/>
  <c r="T899" i="47"/>
  <c r="A899" i="47"/>
  <c r="U898" i="47"/>
  <c r="T898" i="47"/>
  <c r="A898" i="47"/>
  <c r="U897" i="47"/>
  <c r="T897" i="47"/>
  <c r="A897" i="47"/>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897" i="47" l="1"/>
  <c r="O200" i="47"/>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I948" i="47"/>
  <c r="E909" i="47"/>
  <c r="E905" i="47"/>
  <c r="I909" i="47"/>
  <c r="B902" i="47"/>
  <c r="M905" i="47"/>
  <c r="K909" i="47"/>
  <c r="C902" i="47"/>
  <c r="N905" i="47"/>
  <c r="M931" i="47"/>
  <c r="G902" i="47"/>
  <c r="H902" i="47"/>
  <c r="J902" i="47"/>
  <c r="E950" i="47"/>
  <c r="C897" i="47"/>
  <c r="L897" i="47" s="1"/>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M909" i="47"/>
  <c r="B911" i="47"/>
  <c r="G918" i="47"/>
  <c r="P922" i="47"/>
  <c r="Q922" i="47" s="1"/>
  <c r="F926" i="47"/>
  <c r="O927" i="47"/>
  <c r="N944" i="47"/>
  <c r="C875" i="47"/>
  <c r="P890" i="47"/>
  <c r="C893" i="47"/>
  <c r="I893" i="47" s="1"/>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F899" i="47"/>
  <c r="N899" i="47" s="1"/>
  <c r="B899" i="47"/>
  <c r="M899" i="47" s="1"/>
  <c r="C907" i="47"/>
  <c r="E912" i="47"/>
  <c r="F876" i="47"/>
  <c r="O883" i="47"/>
  <c r="C884" i="47"/>
  <c r="I884" i="47" s="1"/>
  <c r="O895" i="47"/>
  <c r="F896" i="47"/>
  <c r="H898" i="47"/>
  <c r="C899" i="47"/>
  <c r="J899" i="47" s="1"/>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G898" i="47" s="1"/>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E904" i="47"/>
  <c r="N912" i="47"/>
  <c r="M923" i="47"/>
  <c r="J842" i="47"/>
  <c r="J846" i="47"/>
  <c r="B848" i="47"/>
  <c r="M848" i="47" s="1"/>
  <c r="J850" i="47"/>
  <c r="B852" i="47"/>
  <c r="M852" i="47" s="1"/>
  <c r="J854" i="47"/>
  <c r="B856" i="47"/>
  <c r="G856" i="47" s="1"/>
  <c r="P862" i="47"/>
  <c r="C866" i="47"/>
  <c r="O871" i="47"/>
  <c r="B878" i="47"/>
  <c r="M886" i="47"/>
  <c r="J886" i="47"/>
  <c r="G904" i="47"/>
  <c r="E916" i="47"/>
  <c r="O923" i="47"/>
  <c r="E930" i="47"/>
  <c r="O866" i="47"/>
  <c r="C878" i="47"/>
  <c r="F879" i="47"/>
  <c r="F887"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N900" i="47" l="1"/>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<sst xmlns="http://schemas.openxmlformats.org/spreadsheetml/2006/main" count="27728" uniqueCount="9987">
  <si>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</si>
  <si>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</si>
  <si>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</si>
  <si>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</si>
  <si>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</si>
  <si>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</si>
  <si>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</si>
  <si>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</si>
  <si>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</si>
  <si>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</si>
  <si>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</si>
  <si>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</si>
  <si>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</si>
  <si>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</si>
  <si>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</si>
  <si>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</si>
  <si>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</si>
  <si>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</si>
  <si>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</si>
  <si>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</si>
  <si>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</si>
  <si>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</si>
  <si>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</si>
  <si>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</si>
  <si>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</si>
  <si>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</si>
  <si>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</si>
  <si>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</si>
  <si>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</si>
  <si>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</si>
  <si>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</si>
  <si>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</si>
  <si>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</si>
  <si>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</si>
  <si>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</si>
  <si>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</si>
  <si>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</si>
  <si>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</si>
  <si>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</si>
  <si>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</si>
  <si>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</si>
  <si>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</si>
  <si>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</si>
  <si>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</si>
  <si>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</si>
  <si>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</si>
  <si>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</si>
  <si>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</si>
  <si>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</si>
  <si>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</si>
  <si>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</si>
  <si>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</si>
  <si>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</si>
  <si>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</si>
  <si>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</si>
  <si>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</si>
  <si>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</si>
  <si>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</si>
  <si>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</si>
  <si>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</si>
  <si>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</si>
  <si>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</si>
  <si>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</si>
  <si>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</si>
  <si>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</si>
  <si>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</si>
  <si>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</si>
  <si>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</si>
  <si>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</si>
  <si>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</si>
  <si>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</si>
  <si>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</si>
  <si>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</si>
  <si>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</si>
  <si>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</si>
  <si>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</si>
  <si>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</si>
  <si>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</si>
  <si>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</si>
  <si>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</si>
  <si>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</si>
  <si>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</si>
  <si>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</si>
  <si>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</si>
  <si>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</si>
  <si>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</si>
  <si>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</si>
  <si>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</si>
  <si>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</si>
  <si>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</si>
  <si>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</si>
  <si>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</si>
  <si>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</si>
  <si>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</si>
  <si>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</si>
  <si>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</si>
  <si>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</si>
  <si>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</si>
  <si>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</si>
  <si>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</si>
  <si>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</si>
  <si>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</si>
  <si>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</si>
  <si>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</si>
  <si>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</si>
  <si>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</si>
  <si>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</si>
  <si>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</si>
  <si>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</si>
  <si>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</si>
  <si>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</si>
  <si>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</si>
  <si>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</si>
  <si>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</si>
  <si>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</si>
  <si>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</si>
  <si>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</si>
  <si>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</si>
  <si>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</si>
  <si>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</si>
  <si>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</si>
  <si>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</si>
  <si>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</si>
  <si>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</si>
  <si>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</si>
  <si>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</si>
  <si>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</si>
  <si>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</si>
  <si>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</si>
  <si>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</si>
  <si>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</si>
  <si>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</si>
  <si>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</si>
  <si>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</si>
  <si>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</si>
  <si>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</si>
  <si>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</si>
  <si>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</si>
  <si>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</si>
  <si>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</si>
  <si>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</si>
  <si>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</si>
  <si>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</si>
  <si>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</si>
  <si>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</si>
  <si>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</si>
  <si>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</si>
  <si>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</si>
  <si>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</si>
  <si>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</si>
  <si>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</si>
  <si>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</si>
  <si>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</si>
  <si>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</si>
  <si>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</si>
  <si>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</si>
  <si>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</si>
  <si>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</si>
  <si>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</si>
  <si>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</si>
  <si>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</si>
  <si>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</si>
  <si>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</si>
  <si>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</si>
  <si>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</si>
  <si>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</si>
  <si>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</si>
  <si>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</si>
  <si>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</si>
  <si>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</si>
  <si>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</si>
  <si>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</si>
  <si>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</si>
  <si>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</si>
  <si>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</si>
  <si>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</si>
  <si>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</si>
  <si>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</si>
  <si>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</si>
  <si>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</si>
  <si>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</si>
  <si>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</si>
  <si>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</si>
  <si>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</si>
  <si>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</si>
  <si>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</si>
  <si>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</si>
  <si>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</si>
  <si>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</si>
  <si>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</si>
  <si>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</si>
  <si>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</si>
  <si>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</si>
  <si>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</si>
  <si>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</si>
  <si>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</si>
  <si>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</si>
  <si>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</si>
  <si>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</si>
  <si>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</si>
  <si>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</si>
  <si>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</si>
  <si>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</si>
  <si>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</si>
  <si>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</si>
  <si>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</si>
  <si>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</si>
  <si>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</si>
  <si>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</si>
  <si>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</si>
  <si>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</si>
  <si>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</si>
  <si>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</si>
  <si>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</si>
  <si>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</si>
  <si>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</si>
  <si>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</si>
  <si>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</si>
  <si>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</si>
  <si>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</si>
  <si>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</si>
  <si>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</si>
  <si>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</si>
  <si>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</si>
  <si>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</si>
  <si>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</si>
  <si>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</si>
  <si>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</si>
  <si>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</si>
  <si>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</si>
  <si>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</si>
  <si>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</si>
  <si>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</si>
  <si>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</si>
  <si>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</si>
  <si>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</si>
  <si>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</si>
  <si>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</si>
  <si>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</si>
  <si>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</si>
  <si>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</si>
  <si>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</si>
  <si>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</si>
  <si>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</si>
  <si>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</si>
  <si>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</si>
  <si>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</si>
  <si>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</si>
  <si>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</si>
  <si>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</si>
  <si>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</si>
  <si>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</si>
  <si>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</si>
  <si>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</si>
  <si>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</si>
  <si>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</si>
  <si>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</si>
  <si>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</si>
  <si>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</si>
  <si>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</si>
  <si>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</si>
  <si>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</si>
  <si>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</si>
  <si>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</si>
  <si>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</si>
  <si>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</si>
  <si>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</si>
  <si>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</si>
  <si>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</si>
  <si>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</si>
  <si>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</si>
  <si>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</si>
  <si>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</si>
  <si>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</si>
  <si>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</si>
  <si>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</si>
  <si>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</si>
  <si>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</si>
  <si>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</si>
  <si>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</si>
  <si>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</si>
  <si>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</si>
  <si>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</si>
  <si>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</si>
  <si>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</si>
  <si>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</si>
  <si>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</si>
  <si>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</si>
  <si>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</si>
  <si>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</si>
  <si>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</si>
  <si>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</si>
  <si>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</si>
  <si>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</si>
  <si>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</si>
  <si>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</si>
  <si>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</si>
  <si>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</si>
  <si>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</si>
  <si>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</si>
  <si>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</si>
  <si>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</si>
  <si>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</si>
  <si>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</si>
  <si>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</si>
  <si>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</si>
  <si>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</si>
  <si>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</si>
  <si>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</si>
  <si>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</si>
  <si>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</si>
  <si>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</si>
  <si>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</si>
  <si>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</si>
  <si>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</si>
  <si>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</si>
  <si>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</si>
  <si>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</si>
  <si>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</si>
  <si>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</si>
  <si>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</si>
  <si>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</si>
  <si>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</si>
  <si>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</si>
  <si>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</si>
  <si>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</si>
  <si>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</si>
  <si>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</si>
  <si>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</si>
  <si>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</si>
  <si>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</si>
  <si>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</si>
  <si>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</si>
  <si>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</si>
  <si>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</si>
  <si>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</si>
  <si>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</si>
  <si>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</si>
  <si>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</si>
  <si>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</si>
  <si>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</si>
  <si>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</si>
  <si>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</si>
  <si>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</si>
  <si>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</si>
  <si>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</si>
  <si>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</si>
  <si>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</si>
  <si>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</si>
  <si>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</si>
  <si>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</si>
  <si>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</si>
  <si>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</si>
  <si>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</si>
  <si>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</si>
  <si>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</si>
  <si>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</si>
  <si>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</si>
  <si>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</si>
  <si>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</si>
  <si>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</si>
  <si>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</si>
  <si>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</si>
  <si>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</si>
  <si>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</si>
  <si>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</si>
  <si>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</si>
  <si>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</si>
  <si>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</si>
  <si>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</si>
  <si>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</si>
  <si>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</si>
  <si>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</si>
  <si>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</si>
  <si>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</si>
  <si>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</si>
  <si>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</si>
  <si>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</si>
  <si>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</si>
  <si>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</si>
  <si>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</si>
  <si>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</si>
  <si>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</si>
  <si>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</si>
  <si>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</si>
  <si>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</si>
  <si>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</si>
  <si>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</si>
  <si>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</si>
  <si>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</si>
  <si>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</si>
  <si>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</si>
  <si>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</si>
  <si>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</si>
  <si>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</si>
  <si>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</si>
  <si>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</si>
  <si>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</si>
  <si>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</si>
  <si>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</si>
  <si>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</si>
  <si>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</si>
  <si>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</si>
  <si>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</si>
  <si>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</si>
  <si>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</si>
  <si>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</si>
  <si>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</si>
  <si>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</si>
  <si>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</si>
  <si>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</si>
  <si>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</si>
  <si>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</si>
  <si>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</si>
  <si>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</si>
  <si>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</si>
  <si>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</si>
  <si>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</si>
  <si>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</si>
  <si>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</si>
  <si>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</si>
  <si>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</si>
  <si>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</si>
  <si>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</si>
  <si>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</si>
  <si>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</si>
  <si>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</si>
  <si>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</si>
  <si>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</si>
  <si>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</si>
  <si>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</si>
  <si>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</si>
  <si>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</si>
  <si>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</si>
  <si>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</si>
  <si>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</si>
  <si>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</si>
  <si>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</si>
  <si>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</si>
  <si>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</si>
  <si>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</si>
  <si>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</si>
  <si>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</si>
  <si>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</si>
  <si>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</si>
  <si>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</si>
  <si>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</si>
  <si>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</si>
  <si>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</si>
  <si>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</si>
  <si>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</si>
  <si>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</si>
  <si>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</si>
  <si>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</si>
  <si>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</si>
  <si>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</si>
  <si>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</si>
  <si>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</si>
  <si>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</si>
  <si>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</si>
  <si>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</si>
  <si>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</si>
  <si>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</si>
  <si>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</si>
  <si>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</si>
  <si>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</si>
  <si>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</si>
  <si>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</si>
  <si>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</si>
  <si>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</si>
  <si>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</si>
  <si>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</si>
  <si>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</si>
  <si>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</si>
  <si>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</si>
  <si>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</si>
  <si>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</si>
  <si>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</si>
  <si>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</si>
  <si>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</si>
  <si>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</si>
  <si>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</si>
  <si>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</si>
  <si>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</si>
  <si>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</si>
  <si>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</si>
  <si>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</si>
  <si>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</si>
  <si>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</si>
  <si>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</si>
  <si>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</si>
  <si>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</si>
  <si>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</si>
  <si>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</si>
  <si>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</si>
  <si>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</si>
  <si>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</si>
  <si>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</si>
  <si>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</si>
  <si>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</si>
  <si>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</si>
  <si>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</si>
  <si>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</si>
  <si>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</si>
  <si>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</si>
  <si>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</si>
  <si>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</si>
  <si>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</si>
  <si>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</si>
  <si>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</si>
  <si>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</si>
  <si>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</si>
  <si>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</si>
  <si>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</si>
  <si>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</si>
  <si>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</si>
  <si>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</si>
  <si>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</si>
  <si>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</si>
  <si>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</si>
  <si>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</si>
  <si>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</si>
  <si>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</si>
  <si>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</si>
  <si>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</si>
  <si>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</si>
  <si>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</si>
  <si>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</si>
  <si>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</si>
  <si>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</si>
  <si>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</si>
  <si>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</si>
  <si>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</si>
  <si>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</si>
  <si>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</si>
  <si>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</si>
  <si>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</si>
  <si>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</si>
  <si>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</si>
  <si>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</si>
  <si>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</si>
  <si>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</si>
  <si>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</si>
  <si>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</si>
  <si>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</si>
  <si>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</si>
  <si>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</si>
  <si>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</si>
  <si>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</si>
  <si>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</si>
  <si>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</si>
  <si>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</si>
  <si>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</si>
  <si>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</si>
  <si>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</si>
  <si>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</si>
  <si>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</si>
  <si>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</si>
  <si>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</si>
  <si>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</si>
  <si>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</si>
  <si>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</si>
  <si>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</si>
  <si>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</si>
  <si>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</si>
  <si>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</si>
  <si>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</si>
  <si>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</si>
  <si>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</si>
  <si>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</si>
  <si>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</si>
  <si>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</si>
  <si>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</si>
  <si>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</si>
  <si>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</si>
  <si>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</si>
  <si>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</si>
  <si>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</si>
  <si>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</si>
  <si>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</si>
  <si>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</si>
  <si>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</si>
  <si>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</si>
  <si>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</si>
  <si>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</si>
  <si>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</si>
  <si>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</si>
  <si>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</si>
  <si>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</si>
  <si>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</si>
  <si>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</si>
  <si>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</si>
  <si>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</si>
  <si>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</si>
  <si>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</si>
  <si>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</si>
  <si>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</si>
  <si>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</si>
  <si>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</si>
  <si>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</si>
  <si>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</si>
  <si>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</si>
  <si>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</si>
  <si>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</si>
  <si>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</si>
  <si>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</si>
  <si>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</si>
  <si>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</si>
  <si>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</si>
  <si>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</si>
  <si>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</si>
  <si>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</si>
  <si>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</si>
  <si>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</si>
  <si>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</si>
  <si>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</si>
  <si>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</si>
  <si>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</si>
  <si>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</si>
  <si>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</si>
  <si>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</si>
  <si>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</si>
  <si>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</si>
  <si>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</si>
  <si>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</si>
  <si>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</si>
  <si>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</si>
  <si>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</si>
  <si>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</si>
  <si>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</si>
  <si>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</si>
  <si>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</si>
  <si>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</si>
  <si>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</si>
  <si>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</si>
  <si>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</si>
  <si>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</si>
  <si>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</si>
  <si>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</si>
  <si>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</si>
  <si>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</si>
  <si>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</si>
  <si>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</si>
  <si>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</si>
  <si>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</si>
  <si>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</si>
  <si>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</si>
  <si>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</si>
  <si>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</si>
  <si>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</si>
  <si>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</si>
  <si>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</si>
  <si>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</si>
  <si>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</si>
  <si>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</si>
  <si>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</si>
  <si>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</si>
  <si>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</si>
  <si>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</si>
  <si>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</si>
  <si>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</si>
  <si>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</si>
  <si>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</si>
  <si>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</si>
  <si>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</si>
  <si>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</si>
  <si>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</si>
  <si>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</si>
  <si>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</si>
  <si>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</si>
  <si>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</si>
  <si>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</si>
  <si>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</si>
  <si>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</si>
  <si>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</si>
  <si>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</si>
  <si>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</si>
  <si>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</si>
  <si>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</si>
  <si>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</si>
  <si>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</si>
  <si>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</si>
  <si>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</si>
  <si>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</si>
  <si>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</si>
  <si>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</si>
  <si>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</si>
  <si>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</si>
  <si>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</si>
  <si>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</si>
  <si>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</si>
  <si>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</si>
  <si>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</si>
  <si>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</si>
  <si>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</si>
  <si>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</si>
  <si>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</si>
  <si>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</si>
  <si>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</si>
  <si>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</si>
  <si>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</si>
  <si>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</si>
  <si>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</si>
  <si>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</si>
  <si>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</si>
  <si>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</si>
  <si>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</si>
  <si>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</si>
  <si>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</si>
  <si>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</si>
  <si>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</si>
  <si>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</si>
  <si>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</si>
  <si>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</si>
  <si>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</si>
  <si>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</si>
  <si>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</si>
  <si>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</si>
  <si>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</si>
  <si>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</si>
  <si>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</si>
  <si>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</si>
  <si>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</si>
  <si>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</si>
  <si>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</si>
  <si>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</si>
  <si>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</si>
  <si>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</si>
  <si>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</si>
  <si>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</si>
  <si>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</si>
  <si>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</si>
  <si>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</si>
  <si>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</si>
  <si>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</si>
  <si>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</si>
  <si>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</si>
  <si>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</si>
  <si>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</si>
  <si>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</si>
  <si>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</si>
  <si>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</si>
  <si>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</si>
  <si>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</si>
  <si>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</si>
  <si>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</si>
  <si>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</si>
  <si>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</si>
  <si>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</si>
  <si>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</si>
  <si>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</si>
  <si>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</si>
  <si>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</si>
  <si>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</si>
  <si>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</si>
  <si>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</si>
  <si>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</si>
  <si>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</si>
  <si>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</si>
  <si>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</si>
  <si>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</si>
  <si>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</si>
  <si>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</si>
  <si>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</si>
  <si>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</si>
  <si>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</si>
  <si>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</si>
  <si>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</si>
  <si>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</si>
  <si>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</si>
  <si>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</si>
  <si>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</si>
  <si>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</si>
  <si>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</si>
  <si>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</si>
  <si>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</si>
  <si>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</si>
  <si>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</si>
  <si>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</si>
  <si>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</si>
  <si>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</si>
  <si>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</si>
  <si>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</si>
  <si>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</si>
  <si>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</si>
  <si>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</si>
  <si>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</si>
  <si>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</si>
  <si>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</si>
  <si>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</si>
  <si>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</si>
  <si>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</si>
  <si>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</si>
  <si>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</si>
  <si>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</si>
  <si>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</si>
  <si>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</si>
  <si>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</si>
  <si>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</si>
  <si>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</si>
  <si>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</si>
  <si>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</si>
  <si>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</si>
  <si>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</si>
  <si>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</si>
  <si>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</si>
  <si>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</si>
  <si>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</si>
  <si>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</si>
  <si>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</si>
  <si>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</si>
  <si>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</si>
  <si>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</si>
  <si>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</si>
  <si>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</si>
  <si>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</si>
  <si>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</si>
  <si>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</si>
  <si>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</si>
  <si>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</si>
  <si>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</si>
  <si>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</si>
  <si>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</si>
  <si>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</si>
  <si>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</si>
  <si>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</si>
  <si>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</si>
  <si>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</si>
  <si>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</si>
  <si>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</si>
  <si>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</si>
  <si>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</si>
  <si>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</si>
  <si>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</si>
  <si>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</si>
  <si>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</si>
  <si>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</si>
  <si>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</si>
  <si>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</si>
  <si>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</si>
  <si>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</si>
  <si>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</si>
  <si>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</si>
  <si>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</si>
  <si>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</si>
  <si>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</si>
  <si>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</si>
  <si>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</si>
  <si>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</si>
  <si>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</si>
  <si>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</si>
  <si>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</si>
  <si>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</si>
  <si>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</si>
  <si>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</si>
  <si>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</si>
  <si>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</si>
  <si>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</si>
  <si>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</si>
  <si>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</si>
  <si>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</si>
  <si>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</si>
  <si>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</si>
  <si>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</si>
  <si>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</si>
  <si>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</si>
  <si>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</si>
  <si>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</si>
  <si>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</si>
  <si>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</si>
  <si>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</si>
  <si>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</si>
  <si>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</si>
  <si>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</si>
  <si>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</si>
  <si>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</si>
  <si>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</si>
  <si>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</si>
  <si>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</si>
  <si>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</si>
  <si>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</si>
  <si>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</si>
  <si>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</si>
  <si>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</si>
  <si>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</si>
  <si>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</si>
  <si>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</si>
  <si>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</si>
  <si>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</si>
  <si>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</si>
  <si>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</si>
  <si>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</si>
  <si>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</si>
  <si>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</si>
  <si>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</si>
  <si>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</si>
  <si>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</si>
  <si>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</si>
  <si>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</si>
  <si>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</si>
  <si>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</si>
  <si>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</si>
  <si>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</si>
  <si>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</si>
  <si>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</si>
  <si>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</si>
  <si>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</si>
  <si>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</si>
  <si>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</si>
  <si>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</si>
  <si>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</si>
  <si>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</si>
  <si>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</si>
  <si>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</si>
  <si>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</si>
  <si>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</si>
  <si>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</si>
  <si>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</si>
  <si>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</si>
  <si>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</si>
  <si>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</si>
  <si>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</si>
  <si>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</si>
  <si>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</si>
  <si>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</si>
  <si>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</si>
  <si>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</si>
  <si>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</si>
  <si>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</si>
  <si>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</si>
  <si>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</si>
  <si>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</si>
  <si>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</si>
  <si>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</si>
  <si>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</si>
  <si>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</si>
  <si>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</si>
  <si>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</si>
  <si>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</si>
  <si>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</si>
  <si>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</si>
  <si>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</si>
  <si>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</si>
  <si>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</si>
  <si>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</si>
  <si>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</si>
  <si>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</si>
  <si>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</si>
  <si>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</si>
  <si>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</si>
  <si>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</si>
  <si>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</si>
  <si>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</si>
  <si>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</si>
  <si>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</si>
  <si>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</si>
  <si>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</si>
  <si>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</si>
  <si>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</si>
  <si>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</si>
  <si>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</si>
  <si>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</si>
  <si>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</si>
  <si>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</si>
  <si>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</si>
  <si>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</si>
  <si>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</si>
  <si>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</si>
  <si>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</si>
  <si>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</si>
  <si>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</si>
  <si>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</si>
  <si>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</si>
  <si>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</si>
  <si>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</si>
  <si>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</si>
  <si>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</si>
  <si>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</si>
  <si>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</si>
  <si>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</si>
  <si>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</si>
  <si>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</si>
  <si>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</si>
  <si>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</si>
  <si>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</si>
  <si>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</si>
  <si>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</si>
  <si>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</si>
  <si>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</si>
  <si>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</si>
  <si>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</si>
  <si>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</si>
  <si>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</si>
  <si>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</si>
  <si>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</si>
  <si>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</si>
  <si>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</si>
  <si>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</si>
  <si>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</si>
  <si>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</si>
  <si>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</si>
  <si>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</si>
  <si>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</si>
  <si>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</si>
  <si>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</si>
  <si>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</si>
  <si>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</si>
  <si>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</si>
  <si>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</si>
  <si>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</si>
  <si>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</si>
  <si>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</si>
  <si>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</si>
  <si>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</si>
  <si>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</si>
  <si>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</si>
  <si>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</si>
  <si>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</si>
  <si>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</si>
  <si>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</si>
  <si>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</si>
  <si>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</si>
  <si>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</si>
  <si>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</si>
  <si>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</si>
  <si>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</si>
  <si>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</si>
  <si>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</si>
  <si>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</si>
  <si>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</si>
  <si>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</si>
  <si>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</si>
  <si>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</si>
  <si>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</si>
  <si>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</si>
  <si>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</si>
  <si>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</si>
  <si>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</si>
  <si>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</si>
  <si>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</si>
  <si>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</si>
  <si>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</si>
  <si>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</si>
  <si>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</si>
  <si>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</si>
  <si>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</si>
  <si>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</si>
  <si>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</si>
  <si>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</si>
  <si>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</si>
  <si>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</si>
  <si>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</si>
  <si>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</si>
  <si>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</si>
  <si>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</si>
  <si>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</si>
  <si>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</si>
  <si>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</si>
  <si>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</si>
  <si>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</si>
  <si>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</si>
  <si>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</si>
  <si>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</si>
  <si>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</si>
  <si>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</si>
  <si>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</si>
  <si>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</si>
  <si>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</si>
  <si>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</si>
  <si>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</si>
  <si>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</si>
  <si>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</si>
  <si>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</si>
  <si>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</si>
  <si>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</si>
  <si>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</si>
  <si>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</si>
  <si>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</si>
  <si>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</si>
  <si>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</si>
  <si>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</si>
  <si>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</si>
  <si>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</si>
  <si>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</si>
  <si>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</si>
  <si>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</si>
  <si>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</si>
  <si>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</si>
  <si>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</si>
  <si>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</si>
  <si>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</si>
  <si>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</si>
  <si>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</si>
  <si>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</si>
  <si>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</si>
  <si>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</si>
  <si>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</si>
  <si>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</si>
  <si>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</si>
  <si>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</si>
  <si>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</si>
  <si>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</si>
  <si>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</si>
  <si>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</si>
  <si>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</si>
  <si>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</si>
  <si>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</si>
  <si>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</si>
  <si>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</si>
  <si>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</si>
  <si>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</si>
  <si>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</si>
  <si>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</si>
  <si>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</si>
  <si>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</si>
  <si>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</si>
  <si>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</si>
  <si>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</si>
  <si>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</si>
  <si>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</si>
  <si>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</si>
  <si>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</si>
  <si>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</si>
  <si>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</si>
  <si>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</si>
  <si>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</si>
  <si>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</si>
  <si>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</si>
  <si>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</si>
  <si>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</si>
  <si>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</si>
  <si>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</si>
  <si>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</si>
  <si>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</si>
  <si>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</si>
  <si>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</si>
  <si>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</si>
  <si>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</si>
  <si>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</si>
  <si>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</si>
  <si>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</si>
  <si>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</si>
  <si>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</si>
  <si>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</si>
  <si>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</si>
  <si>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</si>
  <si>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</si>
  <si>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</si>
  <si>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</si>
  <si>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</si>
  <si>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</si>
  <si>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</si>
  <si>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</si>
  <si>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</si>
  <si>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</si>
  <si>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</si>
  <si>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</si>
  <si>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</si>
  <si>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</si>
  <si>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</si>
  <si>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</si>
  <si>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</si>
  <si>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</si>
  <si>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</si>
  <si>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</si>
  <si>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</si>
  <si>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</si>
  <si>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</si>
  <si>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</si>
  <si>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</si>
  <si>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</si>
  <si>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</si>
  <si>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</si>
  <si>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</si>
  <si>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</si>
  <si>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</si>
  <si>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</si>
  <si>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</si>
  <si>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</si>
  <si>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</si>
  <si>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</si>
  <si>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</si>
  <si>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</si>
  <si>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</si>
  <si>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</si>
  <si>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</si>
  <si>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</si>
  <si>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</si>
  <si>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</si>
  <si>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</si>
  <si>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</si>
  <si>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</si>
  <si>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</si>
  <si>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</si>
  <si>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</si>
  <si>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</si>
  <si>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</si>
  <si>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</si>
  <si>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</si>
  <si>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</si>
  <si>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</si>
  <si>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</si>
  <si>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</si>
  <si>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</si>
  <si>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</si>
  <si>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</si>
  <si>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</si>
  <si>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</si>
  <si>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</si>
  <si>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</si>
  <si>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</si>
  <si>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</si>
  <si>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</si>
  <si>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</si>
  <si>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</si>
  <si>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</si>
  <si>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</si>
  <si>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</si>
  <si>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</si>
  <si>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</si>
  <si>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</si>
  <si>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</si>
  <si>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</si>
  <si>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</si>
  <si>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</si>
  <si>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</si>
  <si>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</si>
  <si>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</si>
  <si>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</si>
  <si>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</si>
  <si>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</si>
  <si>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</si>
  <si>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</si>
  <si>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</si>
  <si>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</si>
  <si>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</si>
  <si>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</si>
  <si>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</si>
  <si>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</si>
  <si>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</si>
  <si>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</si>
  <si>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</si>
  <si>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</si>
  <si>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</si>
  <si>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</si>
  <si>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</si>
  <si>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</si>
  <si>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</si>
  <si>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</si>
  <si>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</si>
  <si>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</si>
  <si>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</si>
  <si>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</si>
  <si>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</si>
  <si>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</si>
  <si>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</si>
  <si>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</si>
  <si>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</si>
  <si>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</si>
  <si>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</si>
  <si>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</si>
  <si>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</si>
  <si>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</si>
  <si>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</si>
  <si>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</si>
  <si>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</si>
  <si>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</si>
  <si>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</si>
  <si>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</si>
  <si>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</si>
  <si>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</si>
  <si>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</si>
  <si>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</si>
  <si>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</si>
  <si>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</si>
  <si>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</si>
  <si>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</si>
  <si>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</si>
  <si>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</si>
  <si>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</si>
  <si>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</si>
  <si>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</si>
  <si>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</si>
  <si>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</si>
  <si>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</si>
  <si>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</si>
  <si>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</si>
  <si>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</si>
  <si>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</si>
  <si>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</si>
  <si>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</si>
  <si>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</si>
  <si>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</si>
  <si>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</si>
  <si>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</si>
  <si>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</si>
  <si>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</si>
  <si>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</si>
  <si>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</si>
  <si>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</si>
  <si>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</si>
  <si>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</si>
  <si>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</si>
  <si>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</si>
  <si>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</si>
  <si>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</si>
  <si>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</si>
  <si>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</si>
  <si>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</si>
  <si>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</si>
  <si>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</si>
  <si>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</si>
  <si>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</si>
  <si>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</si>
  <si>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</si>
  <si>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</si>
  <si>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</si>
  <si>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</si>
  <si>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</si>
  <si>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</si>
  <si>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</si>
  <si>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</si>
  <si>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</si>
  <si>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</si>
  <si>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</si>
  <si>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</si>
  <si>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</si>
  <si>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</si>
  <si>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</si>
  <si>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</si>
  <si>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</si>
  <si>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</si>
  <si>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</si>
  <si>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</si>
  <si>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</si>
  <si>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</si>
  <si>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</si>
  <si>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</si>
  <si>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</si>
  <si>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</si>
  <si>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</si>
  <si>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</si>
  <si>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</si>
  <si>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</si>
  <si>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</si>
  <si>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</si>
  <si>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</si>
  <si>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</si>
  <si>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</si>
  <si>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</si>
  <si>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</si>
  <si>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</si>
  <si>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</si>
  <si>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</si>
  <si>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</si>
  <si>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</si>
  <si>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</si>
  <si>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</si>
  <si>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</si>
  <si>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</si>
  <si>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</si>
  <si>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</si>
  <si>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</si>
  <si>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</si>
  <si>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</si>
  <si>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</si>
  <si>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</si>
  <si>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</si>
  <si>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</si>
  <si>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</si>
  <si>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</si>
  <si>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</si>
  <si>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</si>
  <si>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</si>
  <si>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</si>
  <si>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</si>
  <si>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</si>
  <si>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</si>
  <si>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</si>
  <si>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</si>
  <si>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</si>
  <si>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</si>
  <si>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</si>
  <si>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</si>
  <si>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</si>
  <si>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</si>
  <si>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</si>
  <si>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</si>
  <si>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</si>
  <si>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</si>
  <si>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</si>
  <si>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</si>
  <si>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</si>
  <si>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</si>
  <si>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</si>
  <si>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</si>
  <si>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</si>
  <si>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</si>
  <si>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</si>
  <si>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</si>
  <si>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</si>
  <si>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</si>
  <si>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</si>
  <si>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</si>
  <si>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</si>
  <si>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</si>
  <si>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</si>
  <si>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</si>
  <si>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</si>
  <si>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</si>
  <si>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</si>
  <si>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</si>
  <si>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</si>
  <si>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</si>
  <si>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</si>
  <si>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</si>
  <si>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</si>
  <si>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</si>
  <si>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</si>
  <si>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</si>
  <si>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</si>
  <si>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</si>
  <si>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</si>
  <si>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</si>
  <si>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</si>
  <si>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</si>
  <si>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</si>
  <si>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</si>
  <si>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</si>
  <si>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</si>
  <si>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</si>
  <si>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</si>
  <si>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</si>
  <si>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</si>
  <si>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</si>
  <si>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</si>
  <si>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</si>
  <si>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</si>
  <si>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</si>
  <si>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</si>
  <si>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</si>
  <si>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</si>
  <si>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</si>
  <si>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</si>
  <si>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</si>
  <si>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</si>
  <si>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</si>
  <si>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</si>
  <si>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</si>
  <si>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</si>
  <si>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</si>
  <si>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</si>
  <si>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</si>
  <si>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</si>
  <si>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</si>
  <si>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</si>
  <si>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</si>
  <si>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</si>
  <si>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</si>
  <si>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</si>
  <si>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</si>
  <si>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</si>
  <si>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</si>
  <si>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</si>
  <si>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</si>
  <si>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</si>
  <si>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</si>
  <si>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</si>
  <si>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</si>
  <si>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</si>
  <si>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</si>
  <si>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</si>
  <si>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</si>
  <si>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</si>
  <si>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</si>
  <si>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</si>
  <si>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</si>
  <si>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</si>
  <si>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</si>
  <si>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</si>
  <si>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</si>
  <si>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</si>
  <si>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</si>
  <si>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</si>
  <si>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</si>
  <si>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</si>
  <si>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</si>
  <si>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</si>
  <si>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</si>
  <si>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</si>
  <si>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</si>
  <si>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</si>
  <si>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</si>
  <si>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</si>
  <si>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</si>
  <si>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</si>
  <si>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</si>
  <si>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</si>
  <si>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</si>
  <si>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</si>
  <si>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</si>
  <si>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</si>
  <si>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</si>
  <si>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</si>
  <si>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</si>
  <si>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</si>
  <si>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</si>
  <si>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</si>
  <si>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</si>
  <si>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</si>
  <si>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</si>
  <si>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</si>
  <si>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</si>
  <si>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</si>
  <si>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</si>
  <si>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</si>
  <si>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</si>
  <si>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</si>
  <si>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</si>
  <si>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</si>
  <si>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</si>
  <si>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</si>
  <si>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</si>
  <si>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</si>
  <si>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</si>
  <si>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</si>
  <si>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</si>
  <si>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</si>
  <si>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</si>
  <si>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</si>
  <si>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</si>
  <si>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</si>
  <si>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</si>
  <si>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</si>
  <si>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</si>
  <si>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</si>
  <si>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</si>
  <si>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</si>
  <si>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</si>
  <si>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</si>
  <si>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</si>
  <si>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</si>
  <si>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</si>
  <si>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</si>
  <si>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</si>
  <si>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</si>
  <si>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</si>
  <si>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</si>
  <si>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</si>
  <si>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</si>
  <si>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</si>
  <si>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</si>
  <si>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</si>
  <si>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</si>
  <si>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</si>
  <si>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</si>
  <si>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</si>
  <si>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</si>
  <si>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</si>
  <si>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</si>
  <si>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</si>
  <si>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</si>
  <si>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</si>
  <si>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</si>
  <si>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</si>
  <si>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</si>
  <si>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</si>
  <si>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</si>
  <si>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</si>
  <si>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</si>
  <si>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</si>
  <si>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</si>
  <si>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</si>
  <si>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</si>
  <si>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</si>
  <si>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</si>
  <si>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</si>
  <si>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</si>
  <si>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</si>
  <si>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</si>
  <si>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</si>
  <si>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</si>
  <si>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</si>
  <si>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</si>
  <si>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</si>
  <si>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</si>
  <si>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</si>
  <si>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</si>
  <si>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</si>
  <si>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</si>
  <si>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</si>
  <si>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</si>
  <si>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</si>
  <si>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</si>
  <si>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</si>
  <si>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</si>
  <si>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</si>
  <si>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</si>
  <si>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</si>
  <si>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</si>
  <si>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</si>
  <si>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</si>
  <si>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</si>
  <si>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</si>
  <si>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</si>
  <si>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</si>
  <si>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</si>
  <si>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</si>
  <si>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</si>
  <si>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</si>
  <si>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</si>
  <si>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</si>
  <si>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</si>
  <si>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</si>
  <si>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</si>
  <si>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</si>
  <si>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</si>
  <si>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</si>
  <si>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</si>
  <si>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</si>
  <si>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</si>
  <si>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</si>
  <si>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</si>
  <si>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</si>
  <si>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</si>
  <si>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</si>
  <si>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</si>
  <si>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</si>
  <si>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</si>
  <si>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</si>
  <si>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</si>
  <si>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</si>
  <si>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</si>
  <si>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</si>
  <si>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</si>
  <si>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</si>
  <si>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</si>
  <si>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</si>
  <si>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</si>
  <si>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</si>
  <si>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</si>
  <si>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</si>
  <si>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</si>
  <si>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</si>
  <si>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</si>
  <si>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</si>
  <si>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</si>
  <si>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</si>
  <si>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</si>
  <si>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</si>
  <si>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</si>
  <si>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</si>
  <si>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</si>
  <si>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</si>
  <si>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</si>
  <si>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</si>
  <si>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</si>
  <si>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</si>
  <si>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</si>
  <si>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</si>
  <si>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</si>
  <si>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</si>
  <si>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</si>
  <si>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</si>
  <si>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</si>
  <si>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</si>
  <si>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</si>
  <si>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</si>
  <si>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</si>
  <si>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</si>
  <si>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</si>
  <si>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</si>
  <si>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</si>
  <si>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</si>
  <si>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</si>
  <si>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</si>
  <si>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</si>
  <si>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</si>
  <si>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</si>
  <si>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</si>
  <si>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</si>
  <si>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</si>
  <si>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</si>
  <si>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</si>
  <si>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</si>
  <si>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</si>
  <si>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</si>
  <si>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</si>
  <si>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</si>
  <si>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</si>
  <si>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</si>
  <si>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</si>
  <si>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</si>
  <si>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</si>
  <si>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</si>
  <si>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</si>
  <si>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</si>
  <si>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</si>
  <si>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</si>
  <si>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</si>
  <si>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</si>
  <si>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</si>
  <si>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</si>
  <si>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</si>
  <si>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</si>
  <si>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</si>
  <si>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</si>
  <si>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</si>
  <si>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</si>
  <si>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</si>
  <si>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</si>
  <si>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</si>
  <si>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</si>
  <si>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</si>
  <si>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</si>
  <si>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</si>
  <si>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</si>
  <si>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</si>
  <si>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</si>
  <si>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</si>
  <si>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</si>
  <si>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</si>
  <si>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</si>
  <si>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</si>
  <si>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</si>
  <si>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</si>
  <si>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</si>
  <si>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</si>
  <si>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</si>
  <si>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</si>
  <si>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</si>
  <si>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</si>
  <si>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</si>
  <si>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</si>
  <si>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</si>
  <si>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</si>
  <si>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</si>
  <si>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</si>
  <si>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</si>
  <si>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</si>
  <si>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</si>
  <si>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</si>
  <si>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</si>
  <si>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</si>
  <si>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</si>
  <si>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</si>
  <si>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</si>
  <si>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</si>
  <si>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</si>
  <si>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</si>
  <si>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</si>
  <si>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</si>
  <si>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</si>
  <si>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</si>
  <si>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</si>
  <si>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</si>
  <si>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</si>
  <si>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</si>
  <si>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</si>
  <si>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</si>
  <si>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</si>
  <si>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</si>
  <si>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</si>
  <si>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</si>
  <si>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</si>
  <si>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</si>
  <si>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</si>
  <si>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</si>
  <si>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</si>
  <si>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</si>
  <si>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</si>
  <si>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</si>
  <si>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</si>
  <si>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</si>
  <si>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</si>
  <si>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</si>
  <si>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</si>
  <si>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</si>
  <si>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</si>
  <si>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</si>
  <si>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</si>
  <si>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</si>
  <si>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</si>
  <si>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</si>
  <si>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</si>
  <si>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</si>
  <si>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</si>
  <si>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</si>
  <si>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</si>
  <si>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</si>
  <si>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</si>
  <si>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</si>
  <si>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</si>
  <si>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</si>
  <si>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</si>
  <si>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</si>
  <si>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</si>
  <si>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</si>
  <si>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</si>
  <si>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</si>
  <si>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</si>
  <si>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</si>
  <si>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</si>
  <si>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</si>
  <si>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</si>
  <si>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</si>
  <si>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</si>
  <si>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</si>
  <si>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</si>
  <si>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</si>
  <si>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</si>
  <si>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</si>
  <si>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</si>
  <si>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</si>
  <si>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</si>
  <si>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</si>
  <si>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</si>
  <si>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</si>
  <si>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</si>
  <si>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</si>
  <si>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</si>
  <si>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</si>
  <si>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</si>
  <si>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</si>
  <si>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</si>
  <si>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</si>
  <si>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</si>
  <si>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</si>
  <si>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</si>
  <si>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</si>
  <si>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</si>
  <si>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</si>
  <si>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</si>
  <si>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</si>
  <si>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</si>
  <si>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</si>
  <si>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</si>
  <si>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</si>
  <si>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</si>
  <si>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</si>
  <si>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</si>
  <si>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</si>
  <si>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</si>
  <si>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</si>
  <si>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</si>
  <si>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</si>
  <si>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</si>
  <si>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</si>
  <si>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</si>
  <si>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</si>
  <si>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</si>
  <si>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</si>
  <si>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</si>
  <si>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</si>
  <si>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</si>
  <si>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</si>
  <si>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</si>
  <si>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</si>
  <si>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</si>
  <si>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</si>
  <si>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</si>
  <si>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</si>
  <si>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</si>
  <si>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</si>
  <si>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</si>
  <si>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</si>
  <si>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</si>
  <si>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</si>
  <si>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</si>
  <si>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</si>
  <si>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</si>
  <si>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</si>
  <si>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</si>
  <si>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</si>
  <si>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</si>
  <si>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</si>
  <si>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</si>
  <si>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</si>
  <si>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</si>
  <si>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</si>
  <si>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</si>
  <si>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</si>
  <si>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</si>
  <si>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</si>
  <si>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</si>
  <si>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</si>
  <si>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</si>
  <si>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</si>
  <si>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</si>
  <si>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</si>
  <si>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</si>
  <si>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</si>
  <si>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</si>
  <si>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</si>
  <si>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</si>
  <si>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</si>
  <si>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</si>
  <si>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</si>
  <si>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</si>
  <si>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</si>
  <si>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</si>
  <si>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</si>
  <si>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</si>
  <si>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</si>
  <si>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</si>
  <si>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</si>
  <si>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</si>
  <si>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</si>
  <si>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</si>
  <si>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</si>
  <si>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</si>
  <si>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</si>
  <si>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</si>
  <si>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</si>
  <si>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</si>
  <si>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</si>
  <si>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</si>
  <si>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</si>
  <si>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</si>
  <si>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</si>
  <si>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</si>
  <si>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</si>
  <si>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</si>
  <si>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</si>
  <si>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</si>
  <si>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</si>
  <si>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</si>
  <si>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</si>
  <si>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</si>
  <si>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</si>
  <si>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</si>
  <si>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</si>
  <si>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</si>
  <si>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</si>
  <si>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</si>
  <si>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</si>
  <si>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</si>
  <si>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</si>
  <si>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</si>
  <si>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</si>
  <si>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</si>
  <si>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</si>
  <si>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</si>
  <si>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</si>
  <si>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</si>
  <si>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</si>
  <si>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</si>
  <si>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</si>
  <si>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</si>
  <si>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</si>
  <si>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</si>
  <si>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</si>
  <si>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</si>
  <si>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</si>
  <si>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</si>
  <si>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</si>
  <si>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</si>
  <si>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</si>
  <si>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</si>
  <si>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</si>
  <si>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</si>
  <si>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</si>
  <si>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</si>
  <si>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</si>
  <si>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</si>
  <si>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</si>
  <si>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</si>
  <si>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</si>
  <si>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</si>
  <si>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</si>
  <si>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</si>
  <si>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</si>
  <si>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</si>
  <si>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</si>
  <si>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</si>
  <si>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</si>
  <si>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</si>
  <si>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</si>
  <si>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</si>
  <si>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</si>
  <si>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</si>
  <si>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</si>
  <si>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</si>
  <si>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</si>
  <si>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</si>
  <si>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</si>
  <si>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</si>
  <si>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</si>
  <si>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</si>
  <si>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</si>
  <si>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</si>
  <si>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</si>
  <si>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</si>
  <si>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</si>
  <si>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</si>
  <si>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</si>
  <si>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</si>
  <si>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</si>
  <si>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</si>
  <si>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</si>
  <si>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</si>
  <si>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</si>
  <si>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</si>
  <si>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</si>
  <si>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</si>
  <si>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</si>
  <si>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</si>
  <si>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</si>
  <si>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</si>
  <si>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</si>
  <si>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</si>
  <si>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</si>
  <si>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</si>
  <si>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</si>
  <si>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</si>
  <si>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</si>
  <si>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</si>
  <si>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</si>
  <si>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</si>
  <si>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</si>
  <si>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</si>
  <si>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</si>
  <si>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</si>
  <si>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</si>
  <si>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</si>
  <si>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</si>
  <si>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</si>
  <si>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</si>
  <si>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</si>
  <si>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</si>
  <si>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</si>
  <si>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</si>
  <si>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</si>
  <si>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</si>
  <si>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</si>
  <si>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</si>
  <si>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</si>
  <si>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</si>
  <si>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</si>
  <si>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</si>
  <si>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</si>
  <si>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</si>
  <si>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</si>
  <si>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</si>
  <si>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</si>
  <si>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</si>
  <si>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</si>
  <si>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</si>
  <si>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</si>
  <si>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</si>
  <si>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</si>
  <si>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</si>
  <si>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</si>
  <si>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</si>
  <si>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</si>
  <si>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</si>
  <si>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</si>
  <si>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</si>
  <si>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</si>
  <si>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</si>
  <si>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</si>
  <si>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</si>
  <si>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</si>
  <si>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</si>
  <si>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</si>
  <si>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</si>
  <si>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</si>
  <si>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</si>
  <si>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</si>
  <si>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</si>
  <si>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</si>
  <si>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</si>
  <si>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</si>
  <si>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</si>
  <si>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</si>
  <si>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</si>
  <si>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</si>
  <si>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</si>
  <si>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</si>
  <si>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</si>
  <si>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</si>
  <si>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</si>
  <si>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</si>
  <si>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</si>
  <si>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</si>
  <si>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</si>
  <si>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</si>
  <si>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</si>
  <si>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</si>
  <si>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</si>
  <si>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</si>
  <si>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</si>
  <si>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</si>
  <si>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</si>
  <si>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</si>
  <si>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</si>
  <si>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</si>
  <si>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</si>
  <si>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</si>
  <si>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</si>
  <si>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</si>
  <si>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</si>
  <si>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</si>
  <si>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</si>
  <si>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</si>
  <si>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</si>
  <si>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</si>
  <si>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</si>
  <si>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</si>
  <si>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</si>
  <si>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</si>
  <si>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</si>
  <si>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</si>
  <si>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</si>
  <si>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</si>
  <si>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</si>
  <si>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</si>
  <si>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</si>
  <si>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</si>
  <si>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</si>
  <si>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</si>
  <si>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</si>
  <si>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</si>
  <si>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</si>
  <si>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</si>
  <si>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</si>
  <si>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</si>
  <si>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</si>
  <si>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</si>
  <si>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</si>
  <si>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</si>
  <si>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</si>
  <si>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</si>
  <si>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</si>
  <si>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</si>
  <si>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</si>
  <si>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</si>
  <si>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</si>
  <si>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</si>
  <si>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</si>
  <si>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</si>
  <si>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</si>
  <si>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</si>
  <si>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</si>
  <si>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</si>
  <si>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</si>
  <si>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</si>
  <si>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</si>
  <si>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</si>
  <si>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</si>
  <si>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</si>
  <si>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</si>
  <si>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</si>
  <si>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</si>
  <si>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</si>
  <si>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</si>
  <si>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</si>
  <si>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</si>
  <si>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</si>
  <si>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</si>
  <si>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</si>
  <si>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</si>
  <si>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</si>
  <si>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</si>
  <si>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</si>
  <si>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</si>
  <si>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</si>
  <si>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</si>
  <si>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</si>
  <si>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</si>
  <si>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</si>
  <si>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</si>
  <si>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</si>
  <si>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</si>
  <si>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</si>
  <si>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</si>
  <si>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</si>
  <si>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</si>
  <si>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</si>
  <si>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</si>
  <si>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</si>
  <si>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</si>
  <si>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</si>
  <si>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</si>
  <si>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</si>
  <si>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</si>
  <si>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</si>
  <si>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</si>
  <si>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</si>
  <si>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</si>
  <si>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</si>
  <si>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</si>
  <si>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</si>
  <si>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</si>
  <si>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</si>
  <si>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</si>
  <si>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</si>
  <si>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</si>
  <si>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</si>
  <si>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</si>
  <si>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</si>
  <si>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</si>
  <si>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</si>
  <si>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</si>
  <si>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</si>
  <si>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</si>
  <si>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</si>
  <si>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</si>
  <si>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</si>
  <si>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</si>
  <si>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</si>
  <si>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</si>
  <si>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</si>
  <si>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</si>
  <si>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</si>
  <si>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</si>
  <si>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</si>
  <si>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</si>
  <si>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</si>
  <si>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</si>
  <si>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</si>
  <si>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</si>
  <si>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</si>
  <si>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</si>
  <si>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</si>
  <si>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</si>
  <si>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</si>
  <si>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</si>
  <si>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</si>
  <si>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</si>
  <si>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</si>
  <si>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</si>
  <si>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</si>
  <si>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</si>
  <si>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</si>
  <si>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</si>
  <si>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</si>
  <si>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</si>
  <si>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</si>
  <si>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</si>
  <si>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</si>
  <si>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</si>
  <si>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</si>
  <si>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</si>
  <si>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</si>
  <si>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</si>
  <si>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</si>
  <si>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</si>
  <si>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</si>
  <si>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</si>
  <si>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</si>
  <si>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</si>
  <si>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</si>
  <si>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</si>
  <si>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</si>
  <si>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</si>
  <si>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</si>
  <si>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</si>
  <si>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</si>
  <si>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</si>
  <si>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</si>
  <si>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</si>
  <si>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</si>
  <si>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</si>
  <si>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</si>
  <si>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</si>
  <si>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</si>
  <si>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</si>
  <si>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</si>
  <si>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</si>
  <si>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</si>
  <si>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</si>
  <si>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</si>
  <si>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</si>
  <si>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</si>
  <si>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</si>
  <si>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</si>
  <si>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</si>
  <si>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</si>
  <si>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</si>
  <si>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</si>
  <si>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</si>
  <si>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</si>
  <si>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</si>
  <si>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</si>
  <si>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</si>
  <si>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</si>
  <si>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</si>
  <si>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</si>
  <si>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</si>
  <si>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</si>
  <si>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</si>
  <si>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</si>
  <si>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</si>
  <si>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</si>
  <si>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</si>
  <si>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</si>
  <si>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</si>
  <si>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</si>
  <si>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</si>
  <si>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</si>
  <si>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</si>
  <si>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</si>
  <si>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</si>
  <si>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</si>
  <si>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</si>
  <si>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</si>
  <si>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</si>
  <si>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</si>
  <si>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</si>
  <si>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</si>
  <si>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</si>
  <si>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</si>
  <si>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</si>
  <si>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</si>
  <si>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</si>
  <si>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</si>
  <si>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</si>
  <si>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</si>
  <si>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</si>
  <si>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</si>
  <si>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</si>
  <si>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</si>
  <si>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</si>
  <si>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</si>
  <si>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</si>
  <si>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</si>
  <si>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</si>
  <si>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</si>
  <si>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</si>
  <si>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</si>
  <si>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</si>
  <si>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</si>
  <si>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</si>
  <si>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</si>
  <si>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</si>
  <si>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</si>
  <si>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</si>
  <si>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</si>
  <si>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</si>
  <si>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</si>
  <si>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</si>
  <si>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</si>
  <si>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</si>
  <si>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</si>
  <si>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</si>
  <si>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</si>
  <si>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</si>
  <si>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</si>
  <si>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</si>
  <si>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</si>
  <si>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</si>
  <si>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</si>
  <si>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</si>
  <si>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</si>
  <si>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</si>
  <si>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</si>
  <si>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</si>
  <si>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</si>
  <si>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</si>
  <si>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</si>
  <si>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</si>
  <si>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</si>
  <si>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</si>
  <si>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</si>
  <si>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</si>
  <si>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</si>
  <si>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</si>
  <si>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</si>
  <si>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</si>
  <si>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</si>
  <si>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</si>
  <si>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</si>
  <si>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</si>
  <si>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</si>
  <si>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</si>
  <si>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</si>
  <si>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</si>
  <si>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</si>
  <si>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</si>
  <si>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</si>
  <si>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</si>
  <si>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</si>
  <si>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</si>
  <si>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</si>
  <si>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</si>
  <si>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</si>
  <si>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</si>
  <si>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</si>
  <si>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</si>
  <si>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</si>
  <si>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</si>
  <si>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</si>
  <si>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</si>
  <si>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</si>
  <si>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</si>
  <si>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</si>
  <si>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</si>
  <si>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</si>
  <si>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</si>
  <si>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</si>
  <si>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</si>
  <si>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</si>
  <si>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</si>
  <si>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</si>
  <si>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</si>
  <si>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</si>
  <si>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</si>
  <si>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</si>
  <si>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</si>
  <si>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</si>
  <si>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</si>
  <si>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</si>
  <si>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</si>
  <si>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</si>
  <si>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</si>
  <si>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</si>
  <si>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</si>
  <si>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</si>
  <si>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</si>
  <si>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</si>
  <si>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</si>
  <si>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</si>
  <si>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</si>
  <si>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</si>
  <si>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</si>
  <si>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</si>
  <si>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</si>
  <si>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</si>
  <si>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</si>
  <si>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</si>
  <si>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</si>
  <si>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</si>
  <si>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</si>
  <si>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</si>
  <si>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</si>
  <si>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</si>
  <si>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</si>
  <si>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</si>
  <si>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</si>
  <si>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</si>
  <si>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</si>
  <si>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</si>
  <si>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</si>
  <si>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</si>
  <si>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</si>
  <si>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</si>
  <si>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</si>
  <si>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</si>
  <si>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</si>
  <si>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</si>
  <si>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</si>
  <si>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</si>
  <si>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</si>
  <si>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</si>
  <si>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</si>
  <si>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</si>
  <si>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</si>
  <si>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</si>
  <si>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</si>
  <si>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</si>
  <si>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</si>
  <si>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</si>
  <si>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</si>
  <si>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</si>
  <si>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</si>
  <si>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</si>
  <si>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</si>
  <si>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</si>
  <si>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</si>
  <si>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</si>
  <si>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</si>
  <si>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</si>
  <si>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</si>
  <si>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</si>
  <si>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</si>
  <si>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</si>
  <si>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</si>
  <si>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</si>
  <si>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</si>
  <si>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</si>
  <si>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</si>
  <si>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</si>
  <si>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</si>
  <si>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</si>
  <si>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</si>
  <si>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</si>
  <si>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</si>
  <si>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</si>
  <si>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</si>
  <si>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</si>
  <si>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</si>
  <si>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</si>
  <si>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</si>
  <si>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</si>
  <si>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</si>
  <si>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</si>
  <si>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</si>
  <si>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</si>
  <si>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</si>
  <si>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</si>
  <si>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</si>
  <si>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</si>
  <si>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</si>
  <si>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</si>
  <si>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</si>
  <si>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</si>
  <si>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</si>
  <si>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</si>
  <si>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</si>
  <si>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</si>
  <si>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</si>
  <si>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</si>
  <si>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</si>
  <si>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</si>
  <si>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</si>
  <si>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</si>
  <si>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</si>
  <si>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</si>
  <si>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</si>
  <si>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</si>
  <si>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</si>
  <si>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</si>
  <si>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</si>
  <si>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</si>
  <si>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</si>
  <si>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</si>
  <si>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</si>
  <si>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</si>
  <si>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</si>
  <si>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</si>
  <si>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</si>
  <si>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</si>
  <si>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</si>
  <si>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</si>
  <si>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</si>
  <si>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</si>
  <si>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</si>
  <si>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</si>
  <si>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</si>
  <si>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</si>
  <si>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</si>
  <si>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</si>
  <si>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</si>
  <si>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</si>
  <si>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</si>
  <si>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</si>
  <si>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</si>
  <si>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</si>
  <si>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</si>
  <si>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</si>
  <si>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</si>
  <si>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</si>
  <si>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</si>
  <si>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</si>
  <si>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</si>
  <si>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</si>
  <si>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</si>
  <si>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</si>
  <si>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</si>
  <si>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</si>
  <si>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</si>
  <si>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</si>
  <si>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</si>
  <si>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</si>
  <si>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</si>
  <si>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</si>
  <si>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</si>
  <si>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</si>
  <si>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</si>
  <si>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</si>
  <si>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</si>
  <si>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</si>
  <si>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</si>
  <si>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</si>
  <si>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</si>
  <si>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</si>
  <si>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</si>
  <si>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</si>
  <si>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</si>
  <si>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</si>
  <si>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</si>
  <si>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</si>
  <si>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</si>
  <si>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</si>
  <si>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</si>
  <si>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</si>
  <si>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</si>
  <si>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</si>
  <si>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</si>
  <si>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</si>
  <si>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</si>
  <si>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</si>
  <si>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</si>
  <si>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</si>
  <si>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</si>
  <si>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</si>
  <si>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</si>
  <si>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</si>
  <si>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</si>
  <si>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</si>
  <si>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</si>
  <si>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</si>
  <si>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</si>
  <si>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</si>
  <si>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</si>
  <si>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</si>
  <si>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</si>
  <si>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</si>
  <si>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</si>
  <si>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</si>
  <si>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</si>
  <si>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</si>
  <si>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</si>
  <si>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</si>
  <si>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</si>
  <si>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</si>
  <si>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</si>
  <si>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</si>
  <si>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</si>
  <si>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</si>
  <si>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</si>
  <si>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</si>
  <si>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</si>
  <si>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</si>
  <si>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</si>
  <si>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</si>
  <si>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</si>
  <si>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</si>
  <si>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</si>
  <si>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</si>
  <si>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</si>
  <si>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</si>
  <si>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</si>
  <si>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</si>
  <si>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</si>
  <si>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</si>
  <si>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</si>
  <si>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</si>
  <si>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</si>
  <si>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</si>
  <si>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</si>
  <si>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</si>
  <si>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</si>
  <si>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</si>
  <si>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</si>
  <si>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</si>
  <si>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</si>
  <si>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</si>
  <si>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</si>
  <si>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</si>
  <si>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</si>
  <si>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</si>
  <si>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</si>
  <si>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</si>
  <si>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</si>
  <si>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</si>
  <si>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</si>
  <si>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</si>
  <si>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</si>
  <si>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</si>
  <si>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</si>
  <si>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</si>
  <si>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</si>
  <si>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</si>
  <si>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</si>
  <si>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</si>
  <si>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</si>
  <si>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</si>
  <si>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</si>
  <si>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</si>
  <si>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</si>
  <si>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</si>
  <si>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</si>
  <si>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</si>
  <si>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</si>
  <si>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</si>
  <si>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</si>
  <si>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</si>
  <si>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</si>
  <si>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</si>
  <si>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</si>
  <si>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</si>
  <si>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</si>
  <si>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</si>
  <si>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</si>
  <si>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</si>
  <si>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</si>
  <si>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</si>
  <si>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</si>
  <si>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</si>
  <si>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</si>
  <si>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</si>
  <si>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</si>
  <si>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</si>
  <si>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</si>
  <si>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</si>
  <si>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</si>
  <si>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</si>
  <si>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</si>
  <si>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</si>
  <si>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</si>
  <si>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</si>
  <si>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</si>
  <si>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</si>
  <si>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</si>
  <si>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</si>
  <si>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</si>
  <si>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</si>
  <si>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</si>
  <si>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</si>
  <si>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</si>
  <si>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</si>
  <si>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</si>
  <si>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</si>
  <si>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</si>
  <si>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</si>
  <si>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</si>
  <si>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</si>
  <si>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</si>
  <si>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</si>
  <si>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</si>
  <si>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</si>
  <si>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</si>
  <si>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</si>
  <si>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</si>
  <si>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</si>
  <si>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</si>
  <si>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</si>
  <si>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</si>
  <si>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</si>
  <si>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</si>
  <si>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</si>
  <si>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</si>
  <si>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</si>
  <si>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</si>
  <si>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</si>
  <si>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</si>
  <si>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</si>
  <si>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</si>
  <si>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</si>
  <si>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</si>
  <si>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</si>
  <si>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</si>
  <si>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</si>
  <si>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</si>
  <si>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</si>
  <si>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</si>
  <si>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</si>
  <si>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</si>
  <si>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</si>
  <si>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</si>
  <si>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</si>
  <si>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</si>
  <si>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</si>
  <si>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</si>
  <si>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</si>
  <si>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</si>
  <si>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</si>
  <si>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</si>
  <si>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</si>
  <si>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</si>
  <si>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</si>
  <si>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</si>
  <si>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</si>
  <si>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</si>
  <si>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</si>
  <si>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</si>
  <si>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</si>
  <si>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</si>
  <si>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</si>
  <si>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</si>
  <si>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</si>
  <si>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</si>
  <si>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</si>
  <si>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</si>
  <si>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</si>
  <si>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</si>
  <si>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</si>
  <si>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</si>
  <si>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</si>
  <si>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</si>
  <si>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</si>
  <si>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</si>
  <si>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</si>
  <si>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</si>
  <si>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</si>
  <si>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</si>
  <si>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</si>
  <si>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</si>
  <si>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</si>
  <si>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</si>
  <si>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</si>
  <si>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</si>
  <si>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</si>
  <si>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</si>
  <si>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</si>
  <si>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</si>
  <si>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</si>
  <si>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</si>
  <si>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</si>
  <si>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</si>
  <si>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</si>
  <si>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</si>
  <si>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</si>
  <si>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</si>
  <si>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</si>
  <si>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</si>
  <si>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</si>
  <si>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</si>
  <si>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</si>
  <si>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</si>
  <si>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</si>
  <si>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</si>
  <si>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</si>
  <si>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</si>
  <si>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</si>
  <si>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</si>
  <si>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</si>
  <si>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</si>
  <si>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</si>
  <si>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</si>
  <si>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</si>
  <si>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</si>
  <si>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</si>
  <si>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</si>
  <si>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</si>
  <si>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</si>
  <si>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</si>
  <si>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</si>
  <si>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</si>
  <si>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</si>
  <si>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</si>
  <si>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</si>
  <si>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</si>
  <si>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</si>
  <si>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</si>
  <si>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</si>
  <si>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</si>
  <si>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</si>
  <si>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</si>
  <si>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</si>
  <si>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</si>
  <si>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</si>
  <si>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</si>
  <si>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</si>
  <si>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</si>
  <si>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</si>
  <si>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</si>
  <si>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</si>
  <si>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</si>
  <si>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</si>
  <si>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</si>
  <si>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</si>
  <si>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</si>
  <si>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</si>
  <si>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</si>
  <si>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</si>
  <si>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</si>
  <si>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</si>
  <si>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</si>
  <si>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</si>
  <si>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</si>
  <si>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</si>
  <si>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</si>
  <si>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</si>
  <si>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</si>
  <si>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</si>
  <si>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</si>
  <si>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</si>
  <si>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</si>
  <si>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</si>
  <si>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</si>
  <si>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</si>
  <si>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</si>
  <si>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</si>
  <si>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</si>
  <si>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</si>
  <si>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</si>
  <si>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</si>
  <si>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</si>
  <si>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</si>
  <si>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</si>
  <si>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</si>
  <si>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</si>
  <si>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</si>
  <si>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</si>
  <si>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</si>
  <si>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</si>
  <si>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</si>
  <si>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</si>
  <si>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</si>
  <si>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</si>
  <si>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</si>
  <si>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</si>
  <si>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</si>
  <si>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</si>
  <si>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</si>
  <si>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</si>
  <si>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</si>
  <si>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</si>
  <si>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</si>
  <si>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</si>
  <si>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</si>
  <si>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</si>
  <si>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</si>
  <si>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</si>
  <si>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</si>
  <si>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</si>
  <si>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</si>
  <si>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</si>
  <si>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</si>
  <si>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</si>
  <si>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</si>
  <si>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</si>
  <si>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</si>
  <si>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</si>
  <si>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</si>
  <si>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</si>
  <si>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</si>
  <si>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</si>
  <si>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</si>
  <si>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</si>
  <si>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</si>
  <si>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</si>
  <si>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</si>
  <si>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</si>
  <si>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</si>
  <si>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</si>
  <si>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</si>
  <si>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</si>
  <si>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</si>
  <si>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</si>
  <si>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</si>
  <si>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</si>
  <si>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</si>
  <si>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</si>
  <si>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</si>
  <si>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</si>
  <si>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</si>
  <si>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</si>
  <si>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</si>
  <si>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</si>
  <si>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</si>
  <si>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</si>
  <si>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</si>
  <si>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</si>
  <si>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</si>
  <si>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</si>
  <si>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</si>
  <si>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</si>
  <si>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</si>
  <si>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</si>
  <si>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</si>
  <si>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</si>
  <si>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</si>
  <si>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</si>
  <si>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</si>
  <si>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</si>
  <si>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</si>
  <si>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</si>
  <si>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</si>
  <si>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</si>
  <si>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</si>
  <si>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</si>
  <si>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</si>
  <si>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</si>
  <si>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</si>
  <si>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</si>
  <si>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</si>
  <si>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</si>
  <si>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</si>
  <si>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</si>
  <si>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</si>
  <si>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</si>
  <si>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</si>
  <si>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</si>
  <si>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</si>
  <si>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</si>
  <si>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</si>
  <si>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</si>
  <si>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</si>
  <si>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</si>
  <si>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</si>
  <si>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</si>
  <si>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</si>
  <si>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</si>
  <si>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</si>
  <si>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</si>
  <si>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</si>
  <si>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</si>
  <si>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</si>
  <si>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</si>
  <si>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</si>
  <si>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</si>
  <si>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</si>
  <si>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</si>
  <si>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</si>
  <si>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</si>
  <si>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</si>
  <si>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</si>
  <si>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</si>
  <si>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</si>
  <si>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</si>
  <si>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</si>
  <si>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</si>
  <si>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</si>
  <si>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</si>
  <si>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</si>
  <si>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</si>
  <si>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</si>
  <si>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</si>
  <si>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</si>
  <si>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</si>
  <si>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</si>
  <si>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</si>
  <si>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</si>
  <si>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</si>
  <si>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</si>
  <si>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</si>
  <si>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</si>
  <si>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</si>
  <si>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</si>
  <si>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</si>
  <si>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</si>
  <si>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</si>
  <si>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</si>
  <si>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</si>
  <si>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</si>
  <si>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</si>
  <si>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</si>
  <si>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</si>
  <si>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</si>
  <si>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</si>
  <si>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</si>
  <si>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</si>
  <si>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</si>
  <si>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</si>
  <si>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</si>
  <si>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</si>
  <si>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</si>
  <si>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</si>
  <si>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</si>
  <si>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</si>
  <si>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</si>
  <si>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</si>
  <si>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</si>
  <si>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</si>
  <si>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</si>
  <si>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</si>
  <si>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</si>
  <si>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</si>
  <si>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</si>
  <si>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</si>
  <si>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</si>
  <si>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</si>
  <si>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</si>
  <si>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</si>
  <si>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</si>
  <si>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</si>
  <si>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</si>
  <si>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</si>
  <si>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</si>
  <si>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</si>
  <si>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</si>
  <si>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</si>
  <si>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</si>
  <si>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</si>
  <si>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</si>
  <si>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</si>
  <si>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</si>
  <si>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</si>
  <si>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</si>
  <si>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</si>
  <si>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</si>
  <si>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</si>
  <si>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</si>
  <si>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</si>
  <si>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</si>
  <si>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</si>
  <si>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</si>
  <si>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</si>
  <si>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</si>
  <si>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</si>
  <si>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</si>
  <si>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</si>
  <si>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</si>
  <si>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</si>
  <si>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</si>
  <si>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</si>
  <si>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</si>
  <si>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</si>
  <si>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</si>
  <si>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</si>
  <si>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</si>
  <si>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</si>
  <si>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</si>
  <si>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</si>
  <si>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</si>
  <si>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</si>
  <si>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</si>
  <si>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</si>
  <si>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</si>
  <si>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</si>
  <si>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</si>
  <si>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</si>
  <si>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</si>
  <si>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</si>
  <si>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</si>
  <si>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</si>
  <si>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</si>
  <si>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</si>
  <si>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</si>
  <si>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</si>
  <si>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</si>
  <si>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</si>
  <si>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</si>
  <si>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</si>
  <si>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</si>
  <si>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</si>
  <si>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</si>
  <si>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</si>
  <si>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</si>
  <si>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</si>
  <si>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</si>
  <si>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</si>
  <si>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</si>
  <si>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</si>
  <si>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</si>
  <si>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</si>
  <si>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</si>
  <si>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</si>
  <si>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</si>
  <si>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</si>
  <si>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</si>
  <si>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</si>
  <si>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</si>
  <si>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</si>
  <si>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</si>
  <si>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</si>
  <si>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</si>
  <si>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</si>
  <si>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</si>
  <si>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</si>
  <si>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</si>
  <si>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</si>
  <si>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</si>
  <si>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</si>
  <si>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</si>
  <si>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</si>
  <si>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</si>
  <si>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</si>
  <si>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</si>
  <si>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</si>
  <si>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</si>
  <si>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</si>
  <si>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</si>
  <si>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</si>
  <si>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</si>
  <si>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</si>
  <si>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</si>
  <si>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</si>
  <si>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</si>
  <si>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</si>
  <si>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</si>
  <si>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</si>
  <si>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</si>
  <si>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</si>
  <si>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</si>
  <si>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</si>
  <si>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</si>
  <si>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</si>
  <si>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</si>
  <si>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</si>
  <si>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</si>
  <si>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</si>
  <si>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</si>
  <si>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</si>
  <si>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</si>
  <si>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</si>
  <si>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</si>
  <si>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</si>
  <si>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</si>
  <si>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</si>
  <si>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</si>
  <si>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</si>
  <si>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</si>
  <si>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</si>
  <si>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</si>
  <si>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</si>
  <si>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</si>
  <si>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</si>
  <si>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</si>
  <si>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</si>
  <si>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</si>
  <si>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</si>
  <si>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</si>
  <si>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</si>
  <si>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</si>
  <si>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</si>
  <si>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</si>
  <si>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</si>
  <si>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</si>
  <si>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</si>
  <si>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</si>
  <si>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</si>
  <si>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</si>
  <si>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</si>
  <si>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</si>
  <si>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</si>
  <si>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</si>
  <si>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</si>
  <si>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</si>
  <si>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</si>
  <si>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</si>
  <si>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</si>
  <si>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</si>
  <si>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</si>
  <si>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</si>
  <si>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</si>
  <si>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</si>
  <si>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</si>
  <si>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</si>
  <si>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</si>
  <si>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</si>
  <si>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</si>
  <si>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</si>
  <si>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</si>
  <si>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</si>
  <si>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</si>
  <si>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</si>
  <si>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</si>
  <si>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</si>
  <si>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</si>
  <si>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</si>
  <si>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</si>
  <si>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</si>
  <si>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</si>
  <si>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</si>
  <si>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</si>
  <si>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</si>
  <si>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</si>
  <si>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</si>
  <si>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</si>
  <si>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</si>
  <si>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</si>
  <si>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</si>
  <si>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</si>
  <si>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</si>
  <si>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</si>
  <si>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</si>
  <si>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</si>
  <si>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</si>
  <si>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</si>
  <si>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</si>
  <si>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</si>
  <si>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</si>
  <si>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</si>
  <si>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</si>
  <si>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</si>
  <si>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</si>
  <si>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</si>
  <si>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</si>
  <si>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</si>
  <si>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</si>
  <si>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</si>
  <si>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</si>
  <si>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</si>
  <si>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</si>
  <si>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</si>
  <si>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</si>
  <si>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</si>
  <si>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</si>
  <si>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</si>
  <si>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</si>
  <si>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</si>
  <si>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</si>
  <si>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</si>
  <si>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</si>
  <si>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</si>
  <si>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</si>
  <si>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</si>
  <si>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</si>
  <si>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</si>
  <si>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</si>
  <si>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</si>
  <si>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</si>
  <si>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</si>
  <si>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</si>
  <si>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</si>
  <si>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</si>
  <si>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</si>
  <si>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</si>
  <si>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</si>
  <si>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</si>
  <si>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</si>
  <si>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</si>
  <si>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</si>
  <si>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</si>
  <si>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</si>
  <si>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</si>
  <si>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</si>
  <si>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</si>
  <si>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</si>
  <si>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</si>
  <si>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</si>
  <si>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</si>
  <si>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</si>
  <si>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</si>
  <si>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</si>
  <si>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</si>
  <si>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</si>
  <si>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</si>
  <si>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</si>
  <si>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</si>
  <si>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</si>
  <si>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</si>
  <si>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</si>
  <si>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</si>
  <si>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</si>
  <si>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</si>
  <si>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</si>
  <si>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</si>
  <si>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</si>
  <si>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</si>
  <si>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</si>
  <si>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</si>
  <si>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</si>
  <si>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</si>
  <si>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</si>
  <si>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</si>
  <si>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</si>
  <si>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</si>
  <si>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</si>
  <si>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</si>
  <si>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</si>
  <si>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</si>
  <si>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</si>
  <si>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</si>
  <si>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</si>
  <si>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</si>
  <si>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</si>
  <si>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</si>
  <si>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</si>
  <si>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</si>
  <si>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</si>
  <si>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</si>
  <si>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</si>
  <si>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</si>
  <si>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</si>
  <si>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</si>
  <si>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</si>
  <si>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</si>
  <si>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</si>
  <si>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</si>
  <si>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</si>
  <si>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</si>
  <si>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</si>
  <si>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</si>
  <si>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</si>
  <si>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</si>
  <si>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</si>
  <si>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</si>
  <si>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</si>
  <si>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</si>
  <si>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</si>
  <si>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</si>
  <si>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</si>
  <si>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</si>
  <si>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</si>
  <si>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</si>
  <si>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</si>
  <si>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</si>
  <si>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</si>
  <si>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</si>
  <si>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</si>
  <si>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</si>
  <si>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</si>
  <si>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</si>
  <si>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</si>
  <si>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</si>
  <si>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</si>
  <si>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</si>
  <si>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</si>
  <si>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</si>
  <si>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</si>
  <si>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</si>
  <si>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</si>
  <si>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</si>
  <si>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</si>
  <si>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</si>
  <si>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</si>
  <si>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</si>
  <si>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</si>
  <si>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</si>
  <si>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</si>
  <si>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</si>
  <si>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</si>
  <si>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</si>
  <si>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</si>
  <si>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</si>
  <si>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</si>
  <si>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</si>
  <si>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</si>
  <si>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</si>
  <si>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</si>
  <si>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</si>
  <si>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</si>
  <si>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</si>
  <si>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</si>
  <si>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</si>
  <si>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</si>
  <si>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</si>
  <si>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</si>
  <si>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</si>
  <si>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</si>
  <si>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</si>
  <si>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</si>
  <si>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</si>
  <si>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</si>
  <si>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</si>
  <si>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</si>
  <si>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</si>
  <si>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</si>
  <si>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</si>
  <si>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</si>
  <si>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</si>
  <si>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</si>
  <si>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</si>
  <si>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</si>
  <si>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</si>
  <si>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</si>
  <si>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</si>
  <si>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</si>
  <si>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</si>
  <si>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</si>
  <si>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</si>
  <si>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</si>
  <si>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</si>
  <si>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</si>
  <si>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</si>
  <si>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</si>
  <si>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</si>
  <si>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</si>
  <si>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</si>
  <si>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</si>
  <si>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</si>
  <si>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</si>
  <si>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</si>
  <si>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</si>
  <si>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</si>
  <si>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</si>
  <si>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</si>
  <si>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</si>
  <si>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</si>
  <si>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</si>
  <si>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</si>
  <si>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</si>
  <si>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</si>
  <si>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</si>
  <si>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</si>
  <si>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</si>
  <si>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</si>
  <si>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</si>
  <si>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</si>
  <si>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</si>
  <si>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</si>
  <si>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</si>
  <si>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</si>
  <si>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</si>
  <si>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</si>
  <si>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</si>
  <si>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</si>
  <si>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</si>
  <si>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</si>
  <si>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</si>
  <si>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</si>
  <si>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</si>
  <si>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</si>
  <si>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</si>
  <si>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</si>
  <si>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</si>
  <si>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</si>
  <si>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</si>
  <si>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</si>
  <si>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</si>
  <si>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</si>
  <si>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</si>
  <si>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</si>
  <si>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</si>
  <si>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</si>
  <si>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</si>
  <si>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</si>
  <si>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</si>
  <si>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</si>
  <si>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</si>
  <si>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</si>
  <si>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</si>
  <si>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</si>
  <si>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</si>
  <si>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</si>
  <si>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</si>
  <si>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</si>
  <si>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</si>
  <si>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</si>
  <si>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</si>
  <si>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</si>
  <si>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</si>
  <si>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</si>
  <si>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</si>
  <si>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</si>
  <si>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</si>
  <si>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</si>
  <si>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</si>
  <si>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</si>
  <si>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</si>
  <si>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</si>
  <si>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</si>
  <si>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</si>
  <si>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</si>
  <si>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</si>
  <si>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</si>
  <si>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</si>
  <si>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</si>
  <si>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</si>
  <si>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</si>
  <si>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</si>
  <si>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</si>
  <si>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</si>
  <si>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</si>
  <si>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</si>
  <si>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</si>
  <si>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</si>
  <si>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</si>
  <si>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</si>
  <si>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</si>
  <si>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</si>
  <si>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</si>
  <si>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</si>
  <si>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</si>
  <si>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</si>
  <si>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</si>
  <si>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</si>
  <si>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</si>
  <si>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</si>
  <si>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</si>
  <si>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</si>
  <si>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</si>
  <si>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</si>
  <si>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</si>
  <si>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</si>
  <si>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</si>
  <si>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</si>
  <si>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</si>
  <si>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</si>
  <si>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</si>
  <si>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</si>
  <si>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</si>
  <si>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</si>
  <si>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</si>
  <si>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</si>
  <si>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</si>
  <si>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</si>
  <si>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</si>
  <si>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</si>
  <si>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</si>
  <si>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</si>
  <si>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</si>
  <si>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</si>
  <si>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</si>
  <si>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</si>
  <si>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</si>
  <si>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</si>
  <si>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</si>
  <si>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</si>
  <si>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</si>
  <si>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</si>
  <si>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</si>
  <si>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</si>
  <si>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</si>
  <si>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</si>
  <si>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</si>
  <si>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</si>
  <si>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</si>
  <si>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</si>
  <si>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</si>
  <si>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</si>
  <si>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</si>
  <si>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</si>
  <si>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</si>
  <si>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</si>
  <si>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</si>
  <si>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</si>
  <si>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</si>
  <si>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</si>
  <si>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</si>
  <si>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</si>
  <si>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</si>
  <si>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</si>
  <si>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</si>
  <si>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</si>
  <si>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</si>
  <si>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</si>
  <si>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</si>
  <si>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</si>
  <si>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</si>
  <si>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</si>
  <si>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</si>
  <si>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</si>
  <si>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</si>
  <si>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</si>
  <si>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</si>
  <si>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</si>
  <si>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</si>
  <si>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</si>
  <si>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</si>
  <si>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</si>
  <si>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</si>
  <si>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</si>
  <si>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</si>
  <si>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</si>
  <si>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</si>
  <si>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</si>
  <si>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</si>
  <si>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</si>
  <si>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</si>
  <si>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</si>
  <si>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</si>
  <si>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</si>
  <si>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</si>
  <si>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</si>
  <si>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</si>
  <si>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</si>
  <si>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</si>
  <si>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</si>
  <si>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</si>
  <si>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</si>
  <si>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</si>
  <si>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</si>
  <si>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</si>
  <si>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</si>
  <si>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</si>
  <si>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</si>
  <si>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</si>
  <si>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</si>
  <si>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</si>
  <si>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</si>
  <si>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</si>
  <si>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</si>
  <si>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</si>
  <si>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</si>
  <si>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</si>
  <si>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</si>
  <si>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</si>
  <si>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</si>
  <si>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</si>
  <si>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</si>
  <si>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</si>
  <si>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</si>
  <si>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</si>
  <si>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</si>
  <si>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</si>
  <si>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</si>
  <si>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</si>
  <si>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</si>
  <si>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</si>
  <si>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</si>
  <si>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</si>
  <si>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</si>
  <si>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</si>
  <si>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</si>
  <si>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</si>
  <si>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</si>
  <si>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</si>
  <si>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</si>
  <si>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</si>
  <si>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</si>
  <si>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</si>
  <si>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</si>
  <si>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</si>
  <si>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</si>
  <si>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</si>
  <si>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</si>
  <si>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</si>
  <si>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</si>
  <si>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</si>
  <si>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</si>
  <si>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</si>
  <si>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</si>
  <si>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</si>
  <si>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</si>
  <si>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</si>
  <si>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</si>
  <si>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</si>
  <si>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</si>
  <si>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</si>
  <si>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</si>
  <si>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</si>
  <si>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</si>
  <si>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</si>
  <si>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</si>
  <si>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</si>
  <si>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</si>
  <si>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</si>
  <si>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</si>
  <si>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</si>
  <si>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</si>
  <si>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</si>
  <si>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</si>
  <si>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</si>
  <si>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</si>
  <si>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</si>
  <si>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</si>
  <si>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</si>
  <si>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</si>
  <si>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</si>
  <si>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</si>
  <si>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</si>
  <si>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</si>
  <si>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</si>
  <si>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</si>
  <si>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</si>
  <si>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</si>
  <si>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</si>
  <si>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</si>
  <si>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</si>
  <si>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</si>
  <si>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</si>
  <si>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</si>
  <si>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</si>
  <si>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</si>
  <si>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</si>
  <si>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</si>
  <si>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</si>
  <si>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</si>
  <si>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</si>
  <si>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</si>
  <si>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</si>
  <si>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</si>
  <si>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</si>
  <si>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</si>
  <si>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</si>
  <si>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</si>
  <si>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</si>
  <si>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</si>
  <si>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</si>
  <si>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</si>
  <si>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</si>
  <si>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</si>
  <si>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</si>
  <si>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</si>
  <si>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</si>
  <si>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</si>
  <si>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</si>
  <si>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</si>
  <si>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</si>
  <si>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</si>
  <si>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</si>
  <si>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</si>
  <si>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</si>
  <si>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</si>
  <si>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</si>
  <si>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</si>
  <si>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</si>
  <si>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</si>
  <si>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</si>
  <si>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</si>
  <si>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</si>
  <si>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</si>
  <si>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</si>
  <si>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</si>
  <si>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</si>
  <si>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</si>
  <si>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</si>
  <si>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</si>
  <si>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</si>
  <si>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</si>
  <si>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</si>
  <si>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</si>
  <si>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</si>
  <si>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</si>
  <si>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</si>
  <si>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</si>
  <si>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</si>
  <si>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</si>
  <si>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</si>
  <si>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</si>
  <si>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</si>
  <si>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</si>
  <si>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</si>
  <si>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</si>
  <si>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</si>
  <si>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</si>
  <si>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</si>
  <si>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</si>
  <si>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</si>
  <si>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</si>
  <si>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</si>
  <si>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</si>
  <si>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</si>
  <si>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</si>
  <si>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</si>
  <si>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</si>
  <si>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</si>
  <si>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</si>
  <si>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</si>
  <si>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</si>
  <si>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</si>
  <si>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</si>
  <si>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</si>
  <si>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</si>
  <si>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</si>
  <si>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</si>
  <si>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</si>
  <si>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</si>
  <si>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</si>
  <si>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</si>
  <si>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</si>
  <si>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</si>
  <si>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</si>
  <si>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</si>
  <si>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</si>
  <si>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</si>
  <si>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</si>
  <si>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</si>
  <si>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</si>
  <si>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</si>
  <si>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</si>
  <si>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</si>
  <si>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</si>
  <si>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</si>
  <si>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</si>
  <si>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</si>
  <si>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</si>
  <si>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</si>
  <si>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</si>
  <si>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</si>
  <si>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</si>
  <si>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</si>
  <si>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</si>
  <si>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</si>
  <si>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</si>
  <si>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</si>
  <si>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</si>
  <si>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</si>
  <si>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</si>
  <si>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</si>
  <si>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</si>
  <si>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</si>
  <si>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</si>
  <si>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</si>
  <si>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</si>
  <si>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</si>
  <si>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</si>
  <si>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</si>
  <si>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</si>
  <si>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</si>
  <si>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</si>
  <si>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</si>
  <si>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</si>
  <si>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</si>
  <si>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</si>
  <si>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</si>
  <si>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</si>
  <si>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</si>
  <si>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</si>
  <si>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</si>
  <si>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</si>
  <si>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</si>
  <si>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</si>
  <si>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</si>
  <si>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</si>
  <si>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</si>
  <si>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</si>
  <si>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</si>
  <si>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</si>
  <si>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</si>
  <si>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</si>
  <si>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</si>
  <si>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</si>
  <si>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</si>
  <si>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</si>
  <si>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</si>
  <si>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</si>
  <si>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</si>
  <si>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</si>
  <si>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</si>
  <si>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</si>
  <si>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</si>
  <si>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</si>
  <si>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</si>
  <si>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</si>
  <si>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</si>
  <si>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</si>
  <si>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</si>
  <si>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</si>
  <si>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</si>
  <si>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</si>
  <si>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</si>
  <si>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</si>
  <si>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</si>
  <si>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</si>
  <si>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</si>
  <si>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</si>
  <si>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</si>
  <si>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</si>
  <si>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</si>
  <si>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</si>
  <si>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</si>
  <si>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</si>
  <si>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</si>
  <si>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</si>
  <si>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</si>
  <si>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</si>
  <si>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</si>
  <si>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</si>
  <si>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</si>
  <si>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</si>
  <si>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</si>
  <si>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</si>
  <si>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</si>
  <si>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</si>
  <si>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</si>
  <si>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</si>
  <si>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</si>
  <si>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</si>
  <si>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</si>
  <si>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</si>
  <si>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</si>
  <si>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</si>
  <si>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</si>
  <si>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</si>
  <si>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</si>
  <si>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</si>
  <si>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</si>
  <si>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</si>
  <si>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</si>
  <si>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</si>
  <si>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</si>
  <si>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</si>
  <si>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</si>
  <si>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</si>
  <si>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</si>
  <si>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</si>
  <si>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</si>
  <si>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</si>
  <si>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</si>
  <si>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</si>
  <si>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</si>
  <si>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</si>
  <si>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</si>
  <si>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</si>
  <si>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</si>
  <si>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</si>
  <si>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</si>
  <si>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</si>
  <si>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</si>
  <si>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</si>
  <si>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</si>
  <si>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</si>
  <si>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</si>
  <si>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</si>
  <si>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</si>
  <si>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</si>
  <si>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</si>
  <si>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</si>
  <si>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</si>
  <si>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</si>
  <si>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</si>
  <si>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</si>
  <si>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</si>
  <si>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</si>
  <si>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</si>
  <si>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</si>
  <si>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</si>
  <si>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</si>
  <si>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</si>
  <si>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</si>
  <si>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</si>
  <si>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</si>
  <si>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</si>
  <si>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</si>
  <si>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</si>
  <si>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</si>
  <si>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</si>
  <si>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</si>
  <si>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</si>
  <si>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</si>
  <si>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</si>
  <si>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</si>
  <si>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</si>
  <si>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</si>
  <si>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</si>
  <si>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</si>
  <si>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</si>
  <si>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</si>
  <si>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</si>
  <si>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</si>
  <si>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</si>
  <si>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</si>
  <si>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</si>
  <si>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</si>
  <si>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</si>
  <si>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</si>
  <si>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</si>
  <si>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</si>
  <si>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</si>
  <si>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</si>
  <si>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</si>
  <si>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</si>
  <si>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</si>
  <si>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</si>
  <si>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</si>
  <si>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</si>
  <si>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</si>
  <si>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</si>
  <si>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</si>
  <si>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</si>
  <si>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</si>
  <si>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</si>
  <si>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</si>
  <si>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</si>
  <si>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</si>
  <si>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</si>
  <si>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</si>
  <si>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</si>
  <si>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</si>
  <si>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</si>
  <si>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</si>
  <si>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</si>
  <si>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</si>
  <si>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</si>
  <si>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</si>
  <si>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</si>
  <si>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</si>
  <si>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</si>
  <si>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</si>
  <si>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</si>
  <si>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</si>
  <si>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</si>
  <si>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</si>
  <si>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</si>
  <si>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</si>
  <si>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</si>
  <si>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</si>
  <si>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</si>
  <si>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</si>
  <si>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</si>
  <si>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</si>
  <si>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</si>
  <si>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</si>
  <si>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</si>
  <si>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</si>
  <si>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</si>
  <si>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</si>
  <si>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</si>
  <si>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</si>
  <si>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</si>
  <si>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</si>
  <si>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</si>
  <si>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</si>
  <si>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</si>
  <si>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</si>
  <si>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</si>
  <si>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</si>
  <si>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</si>
  <si>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</si>
  <si>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</si>
  <si>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</si>
  <si>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</si>
  <si>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</si>
  <si>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</si>
  <si>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</si>
  <si>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</si>
  <si>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</si>
  <si>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</si>
  <si>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</si>
  <si>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</si>
  <si>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</si>
  <si>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</si>
  <si>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</si>
  <si>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</si>
  <si>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</si>
  <si>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</si>
  <si>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</si>
  <si>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</si>
  <si>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</si>
  <si>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</si>
  <si>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</si>
  <si>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</si>
  <si>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</si>
  <si>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</si>
  <si>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</si>
  <si>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</si>
  <si>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</si>
  <si>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</si>
  <si>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</si>
  <si>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</si>
  <si>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</si>
  <si>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</si>
  <si>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</si>
  <si>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</si>
  <si>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</si>
  <si>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</si>
  <si>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</si>
  <si>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</si>
  <si>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</si>
  <si>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</si>
  <si>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</si>
  <si>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</si>
  <si>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</si>
  <si>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</si>
  <si>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</si>
  <si>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</si>
  <si>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</si>
  <si>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</si>
  <si>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</si>
  <si>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</si>
  <si>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</si>
  <si>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</si>
  <si>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</si>
  <si>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</si>
  <si>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</si>
  <si>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</si>
  <si>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</si>
  <si>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</si>
  <si>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</si>
  <si>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</si>
  <si>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</si>
  <si>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</si>
  <si>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</si>
  <si>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</si>
  <si>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</si>
  <si>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</si>
  <si>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</si>
  <si>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</si>
  <si>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</si>
  <si>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</si>
  <si>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</si>
  <si>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</si>
  <si>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</si>
  <si>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</si>
  <si>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</si>
  <si>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</si>
  <si>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</si>
  <si>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</si>
  <si>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</si>
  <si>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</si>
  <si>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</si>
  <si>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</si>
  <si>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</si>
  <si>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</si>
  <si>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</si>
  <si>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</si>
  <si>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</si>
  <si>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</si>
  <si>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</si>
  <si>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</si>
  <si>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</si>
  <si>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</si>
  <si>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</si>
  <si>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</si>
  <si>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</si>
  <si>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</si>
  <si>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</si>
  <si>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</si>
  <si>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</si>
  <si>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</si>
  <si>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</si>
  <si>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</si>
  <si>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</si>
  <si>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</si>
  <si>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</si>
  <si>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</si>
  <si>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</si>
  <si>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</si>
  <si>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</si>
  <si>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</si>
  <si>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</si>
  <si>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</si>
  <si>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</si>
  <si>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</si>
  <si>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</si>
  <si>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</si>
  <si>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</si>
  <si>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</si>
  <si>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</si>
  <si>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</si>
  <si>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</si>
  <si>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</si>
  <si>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</si>
  <si>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</si>
  <si>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</si>
  <si>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</si>
  <si>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</si>
  <si>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</si>
  <si>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</si>
  <si>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</si>
  <si>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</si>
  <si>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</si>
  <si>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</si>
  <si>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</si>
  <si>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</si>
  <si>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</si>
  <si>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</si>
  <si>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</si>
  <si>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</si>
  <si>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</si>
  <si>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</si>
  <si>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</si>
  <si>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</si>
  <si>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</si>
  <si>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</si>
  <si>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</si>
  <si>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</si>
  <si>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</si>
  <si>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</si>
  <si>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</si>
  <si>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</si>
  <si>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</si>
  <si>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</si>
  <si>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</si>
  <si>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</si>
  <si>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</si>
  <si>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</si>
  <si>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</si>
  <si>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</si>
  <si>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</si>
  <si>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</si>
  <si>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</si>
  <si>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</si>
  <si>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</si>
  <si>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</si>
  <si>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</si>
  <si>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</si>
  <si>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</si>
  <si>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</si>
  <si>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</si>
  <si>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</si>
  <si>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</si>
  <si>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</si>
  <si>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</si>
  <si>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</si>
  <si>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</si>
  <si>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</si>
  <si>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</si>
  <si>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</si>
  <si>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</si>
  <si>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</si>
  <si>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</si>
  <si>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</si>
  <si>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</si>
  <si>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</si>
  <si>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</si>
  <si>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</si>
  <si>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</si>
  <si>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</si>
  <si>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</si>
  <si>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</si>
  <si>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</si>
  <si>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</si>
  <si>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</si>
  <si>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</si>
  <si>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</si>
  <si>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</si>
  <si>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</si>
  <si>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</si>
  <si>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</si>
  <si>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</si>
  <si>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</si>
  <si>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</si>
  <si>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</si>
  <si>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</si>
  <si>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</si>
  <si>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</si>
  <si>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</si>
  <si>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</si>
  <si>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</si>
  <si>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</si>
  <si>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</si>
  <si>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</si>
  <si>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</si>
  <si>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</si>
  <si>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</si>
  <si>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</si>
  <si>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</si>
  <si>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</si>
  <si>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</si>
  <si>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</si>
  <si>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</si>
  <si>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</si>
  <si>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</si>
  <si>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</si>
  <si>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</si>
  <si>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</si>
  <si>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</si>
  <si>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</si>
  <si>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</si>
  <si>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</si>
  <si>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</si>
  <si>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</si>
  <si>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</si>
  <si>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</si>
  <si>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</si>
  <si>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</si>
  <si>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</si>
  <si>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</si>
  <si>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</si>
  <si>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</si>
  <si>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</si>
  <si>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</si>
  <si>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</si>
  <si>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</si>
  <si>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</si>
  <si>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</si>
  <si>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</si>
  <si>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</si>
  <si>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</si>
  <si>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</si>
  <si>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</si>
  <si>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</si>
  <si>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</si>
  <si>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</si>
  <si>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</si>
  <si>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</si>
  <si>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</si>
  <si>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</si>
  <si>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</si>
  <si>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</si>
  <si>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</si>
  <si>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</si>
  <si>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</si>
  <si>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</si>
  <si>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</si>
  <si>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</si>
  <si>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</si>
  <si>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</si>
  <si>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</si>
  <si>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</si>
  <si>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</si>
  <si>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</si>
  <si>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</si>
  <si>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</si>
  <si>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</si>
  <si>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</si>
  <si>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</si>
  <si>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</si>
  <si>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</si>
  <si>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</si>
  <si>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</si>
  <si>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</si>
  <si>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</si>
  <si>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</si>
  <si>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</si>
  <si>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</si>
  <si>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</si>
  <si>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</si>
  <si>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</si>
  <si>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</si>
  <si>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</si>
  <si>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</si>
  <si>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</si>
  <si>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</si>
  <si>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</si>
  <si>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</si>
  <si>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</si>
  <si>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</si>
  <si>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</si>
  <si>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</si>
  <si>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</si>
  <si>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</si>
  <si>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</si>
  <si>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</si>
  <si>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</si>
  <si>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</si>
  <si>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</si>
  <si>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</si>
  <si>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</si>
  <si>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</si>
  <si>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</si>
  <si>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</si>
  <si>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</si>
  <si>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</si>
  <si>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</si>
  <si>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</si>
  <si>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</si>
  <si>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</si>
  <si>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</si>
  <si>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</si>
  <si>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</si>
  <si>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</si>
  <si>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</si>
  <si>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</si>
  <si>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</si>
  <si>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</si>
  <si>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</si>
  <si>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</si>
  <si>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</si>
  <si>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</si>
  <si>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</si>
  <si>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</si>
  <si>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</si>
  <si>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</si>
  <si>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</si>
  <si>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</si>
  <si>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</si>
  <si>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</si>
  <si>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</si>
  <si>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</si>
  <si>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</si>
  <si>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</si>
  <si>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</si>
  <si>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</si>
  <si>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</si>
  <si>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</si>
  <si>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</si>
  <si>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</si>
  <si>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</si>
  <si>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</si>
  <si>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</si>
  <si>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</si>
  <si>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</si>
  <si>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</si>
  <si>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</si>
  <si>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</si>
  <si>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</si>
  <si>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</si>
  <si>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</si>
  <si>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</si>
  <si>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</si>
  <si>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</si>
  <si>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</si>
  <si>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</si>
  <si>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</si>
  <si>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</si>
  <si>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</si>
  <si>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</si>
  <si>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</si>
  <si>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</si>
  <si>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</si>
  <si>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</si>
  <si>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</si>
  <si>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</si>
  <si>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</si>
  <si>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</si>
  <si>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</si>
  <si>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</si>
  <si>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</si>
  <si>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</si>
  <si>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</si>
  <si>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</si>
  <si>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</si>
  <si>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</si>
  <si>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</si>
  <si>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</si>
  <si>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</si>
  <si>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</si>
  <si>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</si>
  <si>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</si>
  <si>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</si>
  <si>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</si>
  <si>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</si>
  <si>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</si>
  <si>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</si>
  <si>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</si>
  <si>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</si>
  <si>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</si>
  <si>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</si>
  <si>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</si>
  <si>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</si>
  <si>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</si>
  <si>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</si>
  <si>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</si>
  <si>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</si>
  <si>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</si>
  <si>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</si>
  <si>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</si>
  <si>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</si>
  <si>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</si>
  <si>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</si>
  <si>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</si>
  <si>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</si>
  <si>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</si>
  <si>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</si>
  <si>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</si>
  <si>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</si>
  <si>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</si>
  <si>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</si>
  <si>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</si>
  <si>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</si>
  <si>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</si>
  <si>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</si>
  <si>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</si>
  <si>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</si>
  <si>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</si>
  <si>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</si>
  <si>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</si>
  <si>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</si>
  <si>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</si>
  <si>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</si>
  <si>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</si>
  <si>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</si>
  <si>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</si>
  <si>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</si>
  <si>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</si>
  <si>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</si>
  <si>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</si>
  <si>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</si>
  <si>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</si>
  <si>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</si>
  <si>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</si>
  <si>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</si>
  <si>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</si>
  <si>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</si>
  <si>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</si>
  <si>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</si>
  <si>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</si>
  <si>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</si>
  <si>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</si>
  <si>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</si>
  <si>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</si>
  <si>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</si>
  <si>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</si>
  <si>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</si>
  <si>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</si>
  <si>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</si>
  <si>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</si>
  <si>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</si>
  <si>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</si>
  <si>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</si>
  <si>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</si>
  <si>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</si>
  <si>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</si>
  <si>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</si>
  <si>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</si>
  <si>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</si>
  <si>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</si>
  <si>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</si>
  <si>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</si>
  <si>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</si>
  <si>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</si>
  <si>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</si>
  <si>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</si>
  <si>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</si>
  <si>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</si>
  <si>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</si>
  <si>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</si>
  <si>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</si>
  <si>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</si>
  <si>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</si>
  <si>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</si>
  <si>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</si>
  <si>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</si>
  <si>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</si>
  <si>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</si>
  <si>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</si>
  <si>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</si>
  <si>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</si>
  <si>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</si>
  <si>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</si>
  <si>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</si>
  <si>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</si>
  <si>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</si>
  <si>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</si>
  <si>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</si>
  <si>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</si>
  <si>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</si>
  <si>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</si>
  <si>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</si>
  <si>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</si>
  <si>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</si>
  <si>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</si>
  <si>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</si>
  <si>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</si>
  <si>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</si>
  <si>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</si>
  <si>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</si>
  <si>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</si>
  <si>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</si>
  <si>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</si>
  <si>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</si>
  <si>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</si>
  <si>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</si>
  <si>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</si>
  <si>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</si>
  <si>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</si>
  <si>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</si>
  <si>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</si>
  <si>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</si>
  <si>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</si>
  <si>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</si>
  <si>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</si>
  <si>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</si>
  <si>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</si>
  <si>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</si>
  <si>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</si>
  <si>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</si>
  <si>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</si>
  <si>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</si>
  <si>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</si>
  <si>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</si>
  <si>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</si>
  <si>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</si>
  <si>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</si>
  <si>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</si>
  <si>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</si>
  <si>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</si>
  <si>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</si>
  <si>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</si>
  <si>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</si>
  <si>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</si>
  <si>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</si>
  <si>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</si>
  <si>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</si>
  <si>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</si>
  <si>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</si>
  <si>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</si>
  <si>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</si>
  <si>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</si>
  <si>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</si>
  <si>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</si>
  <si>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</si>
  <si>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</si>
  <si>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</si>
  <si>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</si>
  <si>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</si>
  <si>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</si>
  <si>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</si>
  <si>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</si>
  <si>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</si>
  <si>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</si>
  <si>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</si>
  <si>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</si>
  <si>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</si>
  <si>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</si>
  <si>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</si>
  <si>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</si>
  <si>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</si>
  <si>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</si>
  <si>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</si>
  <si>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</si>
  <si>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</si>
  <si>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</si>
  <si>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</si>
  <si>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</si>
  <si>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</si>
  <si>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</si>
  <si>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</si>
  <si>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</si>
  <si>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</si>
  <si>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</si>
  <si>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</si>
  <si>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</si>
  <si>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</si>
  <si>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</si>
  <si>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</si>
  <si>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</si>
  <si>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</si>
  <si>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</si>
  <si>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</si>
  <si>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</si>
  <si>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</si>
  <si>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</si>
  <si>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</si>
  <si>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</si>
  <si>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</si>
  <si>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</si>
  <si>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</si>
  <si>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</si>
  <si>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</si>
  <si>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</si>
  <si>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</si>
  <si>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</si>
  <si>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</si>
  <si>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</si>
  <si>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</si>
  <si>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</si>
  <si>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</si>
  <si>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</si>
  <si>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</si>
  <si>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</si>
  <si>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</si>
  <si>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</si>
  <si>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</si>
  <si>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</si>
  <si>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</si>
  <si>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</si>
  <si>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</si>
  <si>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</si>
  <si>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</si>
  <si>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</si>
  <si>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</si>
  <si>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</si>
  <si>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</si>
  <si>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</si>
  <si>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</si>
  <si>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</si>
  <si>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</si>
  <si>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</si>
  <si>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</si>
  <si>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</si>
  <si>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</si>
  <si>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</si>
  <si>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</si>
  <si>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</si>
  <si>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</si>
  <si>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</si>
  <si>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</si>
  <si>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</si>
  <si>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</si>
  <si>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</si>
  <si>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</si>
  <si>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</si>
  <si>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</si>
  <si>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</si>
  <si>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</si>
  <si>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</si>
  <si>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</si>
  <si>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</si>
  <si>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</si>
  <si>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</si>
  <si>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</si>
  <si>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</si>
  <si>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</si>
  <si>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</si>
  <si>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</si>
  <si>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</si>
  <si>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</si>
  <si>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</si>
  <si>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</si>
  <si>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</si>
  <si>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</si>
  <si>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</si>
  <si>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</si>
  <si>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</si>
  <si>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</si>
  <si>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</si>
  <si>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</si>
  <si>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</si>
  <si>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</si>
  <si>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</si>
  <si>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</si>
  <si>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</si>
  <si>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</si>
  <si>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</si>
  <si>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</si>
  <si>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</si>
  <si>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</si>
  <si>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</si>
  <si>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</si>
  <si>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</si>
  <si>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</si>
  <si>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</si>
  <si>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</si>
  <si>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</si>
  <si>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</si>
  <si>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</si>
  <si>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</si>
  <si>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</si>
  <si>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</si>
  <si>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</si>
  <si>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</si>
  <si>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</si>
  <si>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</si>
  <si>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</si>
  <si>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</si>
  <si>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</si>
  <si>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</si>
  <si>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</si>
  <si>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</si>
  <si>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</si>
  <si>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</si>
  <si>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</si>
  <si>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</si>
  <si>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</si>
  <si>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</si>
  <si>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</si>
  <si>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</si>
  <si>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</si>
  <si>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</si>
  <si>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</si>
  <si>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</si>
  <si>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</si>
  <si>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</si>
  <si>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</si>
  <si>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</si>
  <si>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</si>
  <si>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</si>
  <si>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</si>
  <si>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</si>
  <si>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</si>
  <si>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</si>
  <si>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</si>
  <si>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</si>
  <si>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</si>
  <si>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</si>
  <si>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</si>
  <si>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</si>
  <si>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</si>
  <si>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</si>
  <si>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</si>
  <si>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</si>
  <si>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</si>
  <si>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</si>
  <si>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</si>
  <si>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</si>
  <si>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</si>
  <si>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</si>
  <si>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</si>
  <si>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</si>
  <si>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</si>
  <si>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</si>
  <si>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</si>
  <si>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</si>
  <si>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</si>
  <si>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</si>
  <si>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</si>
  <si>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</si>
  <si>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</si>
  <si>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</si>
  <si>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</si>
  <si>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</si>
  <si>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</si>
  <si>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</si>
  <si>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</si>
  <si>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</si>
  <si>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</si>
  <si>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</si>
  <si>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</si>
  <si>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</si>
  <si>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</si>
  <si>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</si>
  <si>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</si>
  <si>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</si>
  <si>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</si>
  <si>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</si>
  <si>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</si>
  <si>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</si>
  <si>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</si>
  <si>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</si>
  <si>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</si>
  <si>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</si>
  <si>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</si>
  <si>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</si>
  <si>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</si>
  <si>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</si>
  <si>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</si>
  <si>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</si>
  <si>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</si>
  <si>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</si>
  <si>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</si>
  <si>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</si>
  <si>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</si>
  <si>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</si>
  <si>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</si>
  <si>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</si>
  <si>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</si>
  <si>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</si>
  <si>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</si>
  <si>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</si>
  <si>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</si>
  <si>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</si>
  <si>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</si>
  <si>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</si>
  <si>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</si>
  <si>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</si>
  <si>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</si>
  <si>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</si>
  <si>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</si>
  <si>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</si>
  <si>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</si>
  <si>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</si>
  <si>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</si>
  <si>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</si>
  <si>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</si>
  <si>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</si>
  <si>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</si>
  <si>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</si>
  <si>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</si>
  <si>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</si>
  <si>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</si>
  <si>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</si>
  <si>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</si>
  <si>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</si>
  <si>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</si>
  <si>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</si>
  <si>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</si>
  <si>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</si>
  <si>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</si>
  <si>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</si>
  <si>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</si>
  <si>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</si>
  <si>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</si>
  <si>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</si>
  <si>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</si>
  <si>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</si>
  <si>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</si>
  <si>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</si>
  <si>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</si>
  <si>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</si>
  <si>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</si>
  <si>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</si>
  <si>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</si>
  <si>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</si>
  <si>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</si>
  <si>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</si>
  <si>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</si>
  <si>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</si>
  <si>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</si>
  <si>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</si>
  <si>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</si>
  <si>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</si>
  <si>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</si>
  <si>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</si>
  <si>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</si>
  <si>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</si>
  <si>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</si>
  <si>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</si>
  <si>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</si>
  <si>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</si>
  <si>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</si>
  <si>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</si>
  <si>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</si>
  <si>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</si>
  <si>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</si>
  <si>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</si>
  <si>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</si>
  <si>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</si>
  <si>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</si>
  <si>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</si>
  <si>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</si>
  <si>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</si>
  <si>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</si>
  <si>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</si>
  <si>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</si>
  <si>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</si>
  <si>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</si>
  <si>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</si>
  <si>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</si>
  <si>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</si>
  <si>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</si>
  <si>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</si>
  <si>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</si>
  <si>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</si>
  <si>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</si>
  <si>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</si>
  <si>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</si>
  <si>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</si>
  <si>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</si>
  <si>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</si>
  <si>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</si>
  <si>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</si>
  <si>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</si>
  <si>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</si>
  <si>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</si>
  <si>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</si>
  <si>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</si>
  <si>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</si>
  <si>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</si>
  <si>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</si>
  <si>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</si>
  <si>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</si>
  <si>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</si>
  <si>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</si>
  <si>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</si>
  <si>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</si>
  <si>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</si>
  <si>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</si>
  <si>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</si>
  <si>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</si>
  <si>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</si>
  <si>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</si>
  <si>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</si>
  <si>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</si>
  <si>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</si>
  <si>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</si>
  <si>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</si>
  <si>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</si>
  <si>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</si>
  <si>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</si>
  <si>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</si>
  <si>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</si>
  <si>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</si>
  <si>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</si>
  <si>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</si>
  <si>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</si>
  <si>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</si>
  <si>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</si>
  <si>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</si>
  <si>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</si>
  <si>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</si>
  <si>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</si>
  <si>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</si>
  <si>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</si>
  <si>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</si>
  <si>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</si>
  <si>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</si>
  <si>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</si>
  <si>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</si>
  <si>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</si>
  <si>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</si>
  <si>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</si>
  <si>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</si>
  <si>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</si>
  <si>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</si>
  <si>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</si>
  <si>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</si>
  <si>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</si>
  <si>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</si>
  <si>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</si>
  <si>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</si>
  <si>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</si>
  <si>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</si>
  <si>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</si>
  <si>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</si>
  <si>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</si>
  <si>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</si>
  <si>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</si>
  <si>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</si>
  <si>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</si>
  <si>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</si>
  <si>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</si>
  <si>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</si>
  <si>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</si>
  <si>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</si>
  <si>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</si>
  <si>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</si>
  <si>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</si>
  <si>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</si>
  <si>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</si>
  <si>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</si>
  <si>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</si>
  <si>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</si>
  <si>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</si>
  <si>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</si>
  <si>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</si>
  <si>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</si>
  <si>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</si>
  <si>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</si>
  <si>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</si>
  <si>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</si>
  <si>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</si>
  <si>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</si>
  <si>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</si>
  <si>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</si>
  <si>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</si>
  <si>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</si>
  <si>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</si>
  <si>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</si>
  <si>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</si>
  <si>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</si>
  <si>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</si>
  <si>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</si>
  <si>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</si>
  <si>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</si>
  <si>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</si>
  <si>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</si>
  <si>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</si>
  <si>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</si>
  <si>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</si>
  <si>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</si>
  <si>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</si>
  <si>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</si>
  <si>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</si>
  <si>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</si>
  <si>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</si>
  <si>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</si>
  <si>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</si>
  <si>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</si>
  <si>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</si>
  <si>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</si>
  <si>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</si>
  <si>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</si>
  <si>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</si>
  <si>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</si>
  <si>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</si>
  <si>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</si>
  <si>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</si>
  <si>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</si>
  <si>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</si>
  <si>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</si>
  <si>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</si>
  <si>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</si>
  <si>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</si>
  <si>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</si>
  <si>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</si>
  <si>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</si>
  <si>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</si>
  <si>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</si>
  <si>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</si>
  <si>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</si>
  <si>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</si>
  <si>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</si>
  <si>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</si>
  <si>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</si>
  <si>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</si>
  <si>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</si>
  <si>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</si>
  <si>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</si>
  <si>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</si>
  <si>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</si>
  <si>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</si>
  <si>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</si>
  <si>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</si>
  <si>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</si>
  <si>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</si>
  <si>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</si>
  <si>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</si>
  <si>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</si>
  <si>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</si>
  <si>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</si>
  <si>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</si>
  <si>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</si>
  <si>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</si>
  <si>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</si>
  <si>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</si>
  <si>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</si>
  <si>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</si>
  <si>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</si>
  <si>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</si>
  <si>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</si>
  <si>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</si>
  <si>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</si>
  <si>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</si>
  <si>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</si>
  <si>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</si>
  <si>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</si>
  <si>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</si>
  <si>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</si>
  <si>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</si>
  <si>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</si>
  <si>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</si>
  <si>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</si>
  <si>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</si>
  <si>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</si>
  <si>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</si>
  <si>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</si>
  <si>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</si>
  <si>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</si>
  <si>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</si>
  <si>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</si>
  <si>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</si>
  <si>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</si>
  <si>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</si>
  <si>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</si>
  <si>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</si>
  <si>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</si>
  <si>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</si>
  <si>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</si>
  <si>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</si>
  <si>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</si>
  <si>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</si>
  <si>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</si>
  <si>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</si>
  <si>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</si>
  <si>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</si>
  <si>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</si>
  <si>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</si>
  <si>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</si>
  <si>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</si>
  <si>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</si>
  <si>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</si>
  <si>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</si>
  <si>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</si>
  <si>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</si>
  <si>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</si>
  <si>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</si>
  <si>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</si>
  <si>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</si>
  <si>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</si>
  <si>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</si>
  <si>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</si>
  <si>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</si>
  <si>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</si>
  <si>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</si>
  <si>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</si>
  <si>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</si>
  <si>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</si>
  <si>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</si>
  <si>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</si>
  <si>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</si>
  <si>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</si>
  <si>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</si>
  <si>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</si>
  <si>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</si>
  <si>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</si>
  <si>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</si>
  <si>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</si>
  <si>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</si>
  <si>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</si>
  <si>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</si>
  <si>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</si>
  <si>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</si>
  <si>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</si>
  <si>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</si>
  <si>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</si>
  <si>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</si>
  <si>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</si>
  <si>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</si>
  <si>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</si>
  <si>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</si>
  <si>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</si>
  <si>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</si>
  <si>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</si>
  <si>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</si>
  <si>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</si>
  <si>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</si>
  <si>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</si>
  <si>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</si>
  <si>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</si>
  <si>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</si>
  <si>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</si>
  <si>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</si>
  <si>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</si>
  <si>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</si>
  <si>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</si>
  <si>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</si>
  <si>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</si>
  <si>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</si>
  <si>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</si>
  <si>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</si>
  <si>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</si>
  <si>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</si>
  <si>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</si>
  <si>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</si>
  <si>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</si>
  <si>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</si>
  <si>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</si>
  <si>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</si>
  <si>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</si>
  <si>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</si>
  <si>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</si>
  <si>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</si>
  <si>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</si>
  <si>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</si>
  <si>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</si>
  <si>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</si>
  <si>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</si>
  <si>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</si>
  <si>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</si>
  <si>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</si>
  <si>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</si>
  <si>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</si>
  <si>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</si>
  <si>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</si>
  <si>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</si>
  <si>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</si>
  <si>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</si>
  <si>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</si>
  <si>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</si>
  <si>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</si>
  <si>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</si>
  <si>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</si>
  <si>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</si>
  <si>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</si>
  <si>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</si>
  <si>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</si>
  <si>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</si>
  <si>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</si>
  <si>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</si>
  <si>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</si>
  <si>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</si>
  <si>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</si>
  <si>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</si>
  <si>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</si>
  <si>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</si>
  <si>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</si>
  <si>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</si>
  <si>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</si>
  <si>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</si>
  <si>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</si>
  <si>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</si>
  <si>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</si>
  <si>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</si>
  <si>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</si>
  <si>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</si>
  <si>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</si>
  <si>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</si>
  <si>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</si>
  <si>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</si>
  <si>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</si>
  <si>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</si>
  <si>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</si>
  <si>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</si>
  <si>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</si>
  <si>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</si>
  <si>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</si>
  <si>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</si>
  <si>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</si>
  <si>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</si>
  <si>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</si>
  <si>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</si>
  <si>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</si>
  <si>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</si>
  <si>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</si>
  <si>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</si>
  <si>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</si>
  <si>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</si>
  <si>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</si>
  <si>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</si>
  <si>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</si>
  <si>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</si>
  <si>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</si>
  <si>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</si>
  <si>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</si>
  <si>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</si>
  <si>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</si>
  <si>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</si>
  <si>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</si>
  <si>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</si>
  <si>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</si>
  <si>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</si>
  <si>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</si>
  <si>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</si>
  <si>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</si>
  <si>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</si>
  <si>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</si>
  <si>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</si>
  <si>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</si>
  <si>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</si>
  <si>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</si>
  <si>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</si>
  <si>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</si>
  <si>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</si>
  <si>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</si>
  <si>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</si>
  <si>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</si>
  <si>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</si>
  <si>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</si>
  <si>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</si>
  <si>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</si>
  <si>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</si>
  <si>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</si>
  <si>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</si>
  <si>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</si>
  <si>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</si>
  <si>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</si>
  <si>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</si>
  <si>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</si>
  <si>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</si>
  <si>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</si>
  <si>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</si>
  <si>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</si>
  <si>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</si>
  <si>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</si>
  <si>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</si>
  <si>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</si>
  <si>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</si>
  <si>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</si>
  <si>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</si>
  <si>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</si>
  <si>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</si>
  <si>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</si>
  <si>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</si>
  <si>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</si>
  <si>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</si>
  <si>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</si>
  <si>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</si>
  <si>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</si>
  <si>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</si>
  <si>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</si>
  <si>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</si>
  <si>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</si>
  <si>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</si>
  <si>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</si>
  <si>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</si>
  <si>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</si>
  <si>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</si>
  <si>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</si>
  <si>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</si>
  <si>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</si>
  <si>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</si>
  <si>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</si>
  <si>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</si>
  <si>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</si>
  <si>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</si>
  <si>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</si>
  <si>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</si>
  <si>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</si>
  <si>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</si>
  <si>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</si>
  <si>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</si>
  <si>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</si>
  <si>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</si>
  <si>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</si>
  <si>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</si>
  <si>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</si>
  <si>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</si>
  <si>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</si>
  <si>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</si>
  <si>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</si>
  <si>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</si>
  <si>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</si>
  <si>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</si>
  <si>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</si>
  <si>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</si>
  <si>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</si>
  <si>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</si>
  <si>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</si>
  <si>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</si>
  <si>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</si>
  <si>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</si>
  <si>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</si>
  <si>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</si>
  <si>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</si>
  <si>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</si>
  <si>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</si>
  <si>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</si>
  <si>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</si>
  <si>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</si>
  <si>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</si>
  <si>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</si>
  <si>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</si>
  <si>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</si>
  <si>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</si>
  <si>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</si>
  <si>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</si>
  <si>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</si>
  <si>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</si>
  <si>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</si>
  <si>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</si>
  <si>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</si>
  <si>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</si>
  <si>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</si>
  <si>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</si>
  <si>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</si>
  <si>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</si>
  <si>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</si>
  <si>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</si>
  <si>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</si>
  <si>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</si>
  <si>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</si>
  <si>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</si>
  <si>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</si>
  <si>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</si>
  <si>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</si>
  <si>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</si>
  <si>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</si>
  <si>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</si>
  <si>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</si>
  <si>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</si>
  <si>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</si>
  <si>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</si>
  <si>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</si>
  <si>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</si>
  <si>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</si>
  <si>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</si>
  <si>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</si>
  <si>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</si>
  <si>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</si>
  <si>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</si>
  <si>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</si>
  <si>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</si>
  <si>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</si>
  <si>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</si>
  <si>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</si>
  <si>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</si>
  <si>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</si>
  <si>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</si>
  <si>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</si>
  <si>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</si>
  <si>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</si>
  <si>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</si>
  <si>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</si>
  <si>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</si>
  <si>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</si>
  <si>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</si>
  <si>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</si>
  <si>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</si>
  <si>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</si>
  <si>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</si>
  <si>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</si>
  <si>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</si>
  <si>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</si>
  <si>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</si>
  <si>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</si>
  <si>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</si>
  <si>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</si>
  <si>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</si>
  <si>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</si>
  <si>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</si>
  <si>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</si>
  <si>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</si>
  <si>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</si>
  <si>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</si>
  <si>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</si>
  <si>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</si>
  <si>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</si>
  <si>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</si>
  <si>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</si>
  <si>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</si>
  <si>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</si>
  <si>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</si>
  <si>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</si>
  <si>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</si>
  <si>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</si>
  <si>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</si>
  <si>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</si>
  <si>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</si>
  <si>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</si>
  <si>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</si>
  <si>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</si>
  <si>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</si>
  <si>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</si>
  <si>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</si>
  <si>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</si>
  <si>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</si>
  <si>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</si>
  <si>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</si>
  <si>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</si>
  <si>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</si>
  <si>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</si>
  <si>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</si>
  <si>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</si>
  <si>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</si>
  <si>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</si>
  <si>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</si>
  <si>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</si>
  <si>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</si>
  <si>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</si>
  <si>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</si>
  <si>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</si>
  <si>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</si>
  <si>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</si>
  <si>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</si>
  <si>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</si>
  <si>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</si>
  <si>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</si>
  <si>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</si>
  <si>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</si>
  <si>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</si>
  <si>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</si>
  <si>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</si>
  <si>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</si>
  <si>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</si>
  <si>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</si>
  <si>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</si>
  <si>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</si>
  <si>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</si>
  <si>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</si>
  <si>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</si>
  <si>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</si>
  <si>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</si>
  <si>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</si>
  <si>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</si>
  <si>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</si>
  <si>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</si>
  <si>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</si>
  <si>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</si>
  <si>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</si>
  <si>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</si>
  <si>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</si>
  <si>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</si>
  <si>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</si>
  <si>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</si>
  <si>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</si>
  <si>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</si>
  <si>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</si>
  <si>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</si>
  <si>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</si>
  <si>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</si>
  <si>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</si>
  <si>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</si>
  <si>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</si>
  <si>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</si>
  <si>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</si>
  <si>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</si>
  <si>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</si>
  <si>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</si>
  <si>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</si>
  <si>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</si>
  <si>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</si>
  <si>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</si>
  <si>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</si>
  <si>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</si>
  <si>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</si>
  <si>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</si>
  <si>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</si>
  <si>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</si>
  <si>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</si>
  <si>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</si>
  <si>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</si>
  <si>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</si>
  <si>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</si>
  <si>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</si>
  <si>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</si>
  <si>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</si>
  <si>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</si>
  <si>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</si>
  <si>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</si>
  <si>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</si>
  <si>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</si>
  <si>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</si>
  <si>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</si>
  <si>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</si>
  <si>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</si>
  <si>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</si>
  <si>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</si>
  <si>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</si>
  <si>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</si>
  <si>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</si>
  <si>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</si>
  <si>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</si>
  <si>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</si>
  <si>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</si>
  <si>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</si>
  <si>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</si>
  <si>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</si>
  <si>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</si>
  <si>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</si>
  <si>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</si>
  <si>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</si>
  <si>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</si>
  <si>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</si>
  <si>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</si>
  <si>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</si>
  <si>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</si>
  <si>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</si>
  <si>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</si>
  <si>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</si>
  <si>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</si>
  <si>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</si>
  <si>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</si>
  <si>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</si>
  <si>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</si>
  <si>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</si>
  <si>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</si>
  <si>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</si>
  <si>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</si>
  <si>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</si>
  <si>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</si>
  <si>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</si>
  <si>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</si>
  <si>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</si>
  <si>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</si>
  <si>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</si>
  <si>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</si>
  <si>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</si>
  <si>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</si>
  <si>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</si>
  <si>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</si>
  <si>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</si>
  <si>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</si>
  <si>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</si>
  <si>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</si>
  <si>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</si>
  <si>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</si>
  <si>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</si>
  <si>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</si>
  <si>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</si>
  <si>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</si>
  <si>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</si>
  <si>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</si>
  <si>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</si>
  <si>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</si>
  <si>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</si>
  <si>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</si>
  <si>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</si>
  <si>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</si>
  <si>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</si>
  <si>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</si>
  <si>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</si>
  <si>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</si>
  <si>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</si>
  <si>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</si>
  <si>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</si>
  <si>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</si>
  <si>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</si>
  <si>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</si>
  <si>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</si>
  <si>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</si>
  <si>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</si>
  <si>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</si>
  <si>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</si>
  <si>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</si>
  <si>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</si>
  <si>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</si>
  <si>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</si>
  <si>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</si>
  <si>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</si>
  <si>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</si>
  <si>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</si>
  <si>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</si>
  <si>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</si>
  <si>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</si>
  <si>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</si>
  <si>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</si>
  <si>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</si>
  <si>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</si>
  <si>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</si>
  <si>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</si>
  <si>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</si>
  <si>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</si>
  <si>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</si>
  <si>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</si>
  <si>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</si>
  <si>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</si>
  <si>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</si>
  <si>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</si>
  <si>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</si>
  <si>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</si>
  <si>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</si>
  <si>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</si>
  <si>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</si>
  <si>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</si>
  <si>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</si>
  <si>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</si>
  <si>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</si>
  <si>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</si>
  <si>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</si>
  <si>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</si>
  <si>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</si>
  <si>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</si>
  <si>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</si>
  <si>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</si>
  <si>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</si>
  <si>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</si>
  <si>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</si>
  <si>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</si>
  <si>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</si>
  <si>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</si>
  <si>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</si>
  <si>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</si>
  <si>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</si>
  <si>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</si>
  <si>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</si>
  <si>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</si>
  <si>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</si>
  <si>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</si>
  <si>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</si>
  <si>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</si>
  <si>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</si>
  <si>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</si>
  <si>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</si>
  <si>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</si>
  <si>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</si>
  <si>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</si>
  <si>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</si>
  <si>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</si>
  <si>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</si>
  <si>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</si>
  <si>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</si>
  <si>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</si>
  <si>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</si>
  <si>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</si>
  <si>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</si>
  <si>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</si>
  <si>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</si>
  <si>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</si>
  <si>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</si>
  <si>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</si>
  <si>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</si>
  <si>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</si>
  <si>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</si>
  <si>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</si>
  <si>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</si>
  <si>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</si>
  <si>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</si>
  <si>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</si>
  <si>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</si>
  <si>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</si>
  <si>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</si>
  <si>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</si>
  <si>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</si>
  <si>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</si>
  <si>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</si>
  <si>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</si>
  <si>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</si>
  <si>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</si>
  <si>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</si>
  <si>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</si>
  <si>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</si>
  <si>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</si>
  <si>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</si>
  <si>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</si>
  <si>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</si>
  <si>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</si>
  <si>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</si>
  <si>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</si>
  <si>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</si>
  <si>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</si>
  <si>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</si>
  <si>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</si>
  <si>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</si>
  <si>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</si>
  <si>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</si>
  <si>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</si>
  <si>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</si>
  <si>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</si>
  <si>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</si>
  <si>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</si>
  <si>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</si>
  <si>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</si>
  <si>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</si>
  <si>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</si>
  <si>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</si>
  <si>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</si>
  <si>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</si>
  <si>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</si>
  <si>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</si>
  <si>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</si>
  <si>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</si>
  <si>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</si>
  <si>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</si>
  <si>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</si>
  <si>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</si>
  <si>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</si>
  <si>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</si>
  <si>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</si>
  <si>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</si>
  <si>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</si>
  <si>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</si>
  <si>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</si>
  <si>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</si>
  <si>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</si>
  <si>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</si>
  <si>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</si>
  <si>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</si>
  <si>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</si>
  <si>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</si>
  <si>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</si>
  <si>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</si>
  <si>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</si>
  <si>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</si>
  <si>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</si>
  <si>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</si>
  <si>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</si>
  <si>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</si>
  <si>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</si>
  <si>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</si>
  <si>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</si>
  <si>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</si>
  <si>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</si>
  <si>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</si>
  <si>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</si>
  <si>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</si>
  <si>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</si>
  <si>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</si>
  <si>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</si>
  <si>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</si>
  <si>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</si>
  <si>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</si>
  <si>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</si>
  <si>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</si>
  <si>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</si>
  <si>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</si>
  <si>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</si>
  <si>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</si>
  <si>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</si>
  <si>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</si>
  <si>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</si>
  <si>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</si>
  <si>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</si>
  <si>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</si>
  <si>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</si>
  <si>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</si>
  <si>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</si>
  <si>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</si>
  <si>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</si>
  <si>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</si>
  <si>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</si>
  <si>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</si>
  <si>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</si>
  <si>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</si>
  <si>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</si>
  <si>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</si>
  <si>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</si>
  <si>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</si>
  <si>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</si>
  <si>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</si>
  <si>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</si>
  <si>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</si>
  <si>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</si>
  <si>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</si>
  <si>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</si>
  <si>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</si>
  <si>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</si>
  <si>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</si>
  <si>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</si>
  <si>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</si>
  <si>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</si>
  <si>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</si>
  <si>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</si>
  <si>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</si>
  <si>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</si>
  <si>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</si>
  <si>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</si>
  <si>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</si>
  <si>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</si>
  <si>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</si>
  <si>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</si>
  <si>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</si>
  <si>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</si>
  <si>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</si>
  <si>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</si>
  <si>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</si>
  <si>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</si>
  <si>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</si>
  <si>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</si>
  <si>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</si>
  <si>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</si>
  <si>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</si>
  <si>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</si>
  <si>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</si>
  <si>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</si>
  <si>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</si>
  <si>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</si>
  <si>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</si>
  <si>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</si>
  <si>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</si>
  <si>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</si>
  <si>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</si>
  <si>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</si>
  <si>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</si>
  <si>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</si>
  <si>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</si>
  <si>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</si>
  <si>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</si>
  <si>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</si>
  <si>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</si>
  <si>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</si>
  <si>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</si>
  <si>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</si>
  <si>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</si>
  <si>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</si>
  <si>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</si>
  <si>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</si>
  <si>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</si>
  <si>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</si>
  <si>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</si>
  <si>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</si>
  <si>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</si>
  <si>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</si>
  <si>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</si>
  <si>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</si>
  <si>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</si>
  <si>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</si>
  <si>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</si>
  <si>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</si>
  <si>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</si>
  <si>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</si>
  <si>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</si>
  <si>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</si>
  <si>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</si>
  <si>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</si>
  <si>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</si>
  <si>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</si>
  <si>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</si>
  <si>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</si>
  <si>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</si>
  <si>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</si>
  <si>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</si>
  <si>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</si>
  <si>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</si>
  <si>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</si>
  <si>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</si>
  <si>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</si>
  <si>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</si>
  <si>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</si>
  <si>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</si>
  <si>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</si>
  <si>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</si>
  <si>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</si>
  <si>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</si>
  <si>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</si>
  <si>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</si>
  <si>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</si>
  <si>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</si>
  <si>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</si>
  <si>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</si>
  <si>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</si>
  <si>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</si>
  <si>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</si>
  <si>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</si>
  <si>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</si>
  <si>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</si>
  <si>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</si>
  <si>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</si>
  <si>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</si>
  <si>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</si>
  <si>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</si>
  <si>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</si>
  <si>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</si>
  <si>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</si>
  <si>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</si>
  <si>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</si>
  <si>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</si>
  <si>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</si>
  <si>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</si>
  <si>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</si>
  <si>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</si>
  <si>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</si>
  <si>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</si>
  <si>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</si>
  <si>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</si>
  <si>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</si>
  <si>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</si>
  <si>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</si>
  <si>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</si>
  <si>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</si>
  <si>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</si>
  <si>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</si>
  <si>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</si>
  <si>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</si>
  <si>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</si>
  <si>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</si>
  <si>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</si>
  <si>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</si>
  <si>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</si>
  <si>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</si>
  <si>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</si>
  <si>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</si>
  <si>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</si>
  <si>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</si>
  <si>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</si>
  <si>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</si>
  <si>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</si>
  <si>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</si>
  <si>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</si>
  <si>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</si>
  <si>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</si>
  <si>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</si>
  <si>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</si>
  <si>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</si>
  <si>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</si>
  <si>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</si>
  <si>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</si>
  <si>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</si>
  <si>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</si>
  <si>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</si>
  <si>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</si>
  <si>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</si>
  <si>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</si>
  <si>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</si>
  <si>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</si>
  <si>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</si>
  <si>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</si>
  <si>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</si>
  <si>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</si>
  <si>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</si>
  <si>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</si>
  <si>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</si>
  <si>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</si>
  <si>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</si>
  <si>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</si>
  <si>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</si>
  <si>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</si>
  <si>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</si>
  <si>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</si>
  <si>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</si>
  <si>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</si>
  <si>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</si>
  <si>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</si>
  <si>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</si>
  <si>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</si>
  <si>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</si>
  <si>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</si>
  <si>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</si>
  <si>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</si>
  <si>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</si>
  <si>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</si>
  <si>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</si>
  <si>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</si>
  <si>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</si>
  <si>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</si>
  <si>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</si>
  <si>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</si>
  <si>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</si>
  <si>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</si>
  <si>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</si>
  <si>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</si>
  <si>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</si>
  <si>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</si>
  <si>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</si>
  <si>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</si>
  <si>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</si>
  <si>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</si>
  <si>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</si>
  <si>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</si>
  <si>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</si>
  <si>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</si>
  <si>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</si>
  <si>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</si>
  <si>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</si>
  <si>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</si>
  <si>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</si>
  <si>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</si>
  <si>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</si>
  <si>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</si>
  <si>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</si>
  <si>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</si>
  <si>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</si>
  <si>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</si>
  <si>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</si>
  <si>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</si>
  <si>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</si>
  <si>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</si>
  <si>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</si>
  <si>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</si>
  <si>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</si>
  <si>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</si>
  <si>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</si>
  <si>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</si>
  <si>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</si>
  <si>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</si>
  <si>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</si>
  <si>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</si>
  <si>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</si>
  <si>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</si>
  <si>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</si>
  <si>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</si>
  <si>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</si>
  <si>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</si>
  <si>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</si>
  <si>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</si>
  <si>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</si>
  <si>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</si>
  <si>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</si>
  <si>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</si>
  <si>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</si>
  <si>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</si>
  <si>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</si>
  <si>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</si>
  <si>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</si>
  <si>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</si>
  <si>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</si>
  <si>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</si>
  <si>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</si>
  <si>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</si>
  <si>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</si>
  <si>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</si>
  <si>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</si>
  <si>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</si>
  <si>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</si>
  <si>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</si>
  <si>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</si>
  <si>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</si>
  <si>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</si>
  <si>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</si>
  <si>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</si>
  <si>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</si>
  <si>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</si>
  <si>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</si>
  <si>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</si>
  <si>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</si>
  <si>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</si>
  <si>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</si>
  <si>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</si>
  <si>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</si>
  <si>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</si>
  <si>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</si>
  <si>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</si>
  <si>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</si>
  <si>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</si>
  <si>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</si>
  <si>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</si>
  <si>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</si>
  <si>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</si>
  <si>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</si>
  <si>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</si>
  <si>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</si>
  <si>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</si>
  <si>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</si>
  <si>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</si>
  <si>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</si>
  <si>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</si>
  <si>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</si>
  <si>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</si>
  <si>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</si>
  <si>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</si>
  <si>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</si>
  <si>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</si>
  <si>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</si>
  <si>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</si>
  <si>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</si>
  <si>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</si>
  <si>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</si>
  <si>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</si>
  <si>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</si>
  <si>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</si>
  <si>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</si>
  <si>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</si>
  <si>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</si>
  <si>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</si>
  <si>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</si>
  <si>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</si>
  <si>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</si>
  <si>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</si>
  <si>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</si>
  <si>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</si>
  <si>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</si>
  <si>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</si>
  <si>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</si>
  <si>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</si>
  <si>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</si>
  <si>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</si>
  <si>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</si>
  <si>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</si>
  <si>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</si>
  <si>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</si>
  <si>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</si>
  <si>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</si>
  <si>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</si>
  <si>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</si>
  <si>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</si>
  <si>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</si>
  <si>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</si>
  <si>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</si>
  <si>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</si>
  <si>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</si>
  <si>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</si>
  <si>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</si>
  <si>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</si>
  <si>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</si>
  <si>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</si>
  <si>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</si>
  <si>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</si>
  <si>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</si>
  <si>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</si>
  <si>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</si>
  <si>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</si>
  <si>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</si>
  <si>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</si>
  <si>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</si>
  <si>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</si>
  <si>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</si>
  <si>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</si>
  <si>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</si>
  <si>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</si>
  <si>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</si>
  <si>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</si>
  <si>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</si>
  <si>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</si>
  <si>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</si>
  <si>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</si>
  <si>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</si>
  <si>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</si>
  <si>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</si>
  <si>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</si>
  <si>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</si>
  <si>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</si>
  <si>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</si>
  <si>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</si>
  <si>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</si>
  <si>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</si>
  <si>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</si>
  <si>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</si>
  <si>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</si>
  <si>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</si>
  <si>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</si>
  <si>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</si>
  <si>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</si>
  <si>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</si>
  <si>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</si>
  <si>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</si>
  <si>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</si>
  <si>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</si>
  <si>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</si>
  <si>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</si>
  <si>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</si>
  <si>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</si>
  <si>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</si>
  <si>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</si>
  <si>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</si>
  <si>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</si>
  <si>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</si>
  <si>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</si>
  <si>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</si>
  <si>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</si>
  <si>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</si>
  <si>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</si>
  <si>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</si>
  <si>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</si>
  <si>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</si>
  <si>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</si>
  <si>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</si>
  <si>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</si>
  <si>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</si>
  <si>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</si>
  <si>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</si>
  <si>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</si>
  <si>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</si>
  <si>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</si>
  <si>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</si>
  <si>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</si>
  <si>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</si>
  <si>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</si>
  <si>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</si>
  <si>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</si>
  <si>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</si>
  <si>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</si>
  <si>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</si>
  <si>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</si>
  <si>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</si>
  <si>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</si>
  <si>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</si>
  <si>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</si>
  <si>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</si>
  <si>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</si>
  <si>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</si>
  <si>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</si>
  <si>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</si>
  <si>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</si>
  <si>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</si>
  <si>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</si>
  <si>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</si>
  <si>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</si>
  <si>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</si>
  <si>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</si>
  <si>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</si>
  <si>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</si>
  <si>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</si>
  <si>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</si>
  <si>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</si>
  <si>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</si>
  <si>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</si>
  <si>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</si>
  <si>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</si>
  <si>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</si>
  <si>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</si>
  <si>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</si>
  <si>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</si>
  <si>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</si>
  <si>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</si>
  <si>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</si>
  <si>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</si>
  <si>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</si>
  <si>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</si>
  <si>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</si>
  <si>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</si>
  <si>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</si>
  <si>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</si>
  <si>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</si>
  <si>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</si>
  <si>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</si>
  <si>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</si>
  <si>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</si>
  <si>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</si>
  <si>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</si>
  <si>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</si>
  <si>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</si>
  <si>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</si>
  <si>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</si>
  <si>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</si>
  <si>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</si>
  <si>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</si>
  <si>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</si>
  <si>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</si>
  <si>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</si>
  <si>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</si>
  <si>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</si>
  <si>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</si>
  <si>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</si>
  <si>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</si>
  <si>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</si>
  <si>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</si>
  <si>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</si>
  <si>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</si>
  <si>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</si>
  <si>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</si>
  <si>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</si>
  <si>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</si>
  <si>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</si>
  <si>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</si>
  <si>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</si>
  <si>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</si>
  <si>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</si>
  <si>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</si>
  <si>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</si>
  <si>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</si>
  <si>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</si>
  <si>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</si>
  <si>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</si>
  <si>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</si>
  <si>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</si>
  <si>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</si>
  <si>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</si>
  <si>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</si>
  <si>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</si>
  <si>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</si>
  <si>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</si>
  <si>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</si>
  <si>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</si>
  <si>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</si>
  <si>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</si>
  <si>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</si>
  <si>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</si>
  <si>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</si>
  <si>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</si>
  <si>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</si>
  <si>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</si>
  <si>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</si>
  <si>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</si>
  <si>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</si>
  <si>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</si>
  <si>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</si>
  <si>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</si>
  <si>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</si>
  <si>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</si>
  <si>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</si>
  <si>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</si>
  <si>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</si>
  <si>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</si>
  <si>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</si>
  <si>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</si>
  <si>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</si>
  <si>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</si>
  <si>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</si>
  <si>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</si>
  <si>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</si>
  <si>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</si>
  <si>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</si>
  <si>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</si>
  <si>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</si>
  <si>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</si>
  <si>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</si>
  <si>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</si>
  <si>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</si>
  <si>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</si>
  <si>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</si>
  <si>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</si>
  <si>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</si>
  <si>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</si>
  <si>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</si>
  <si>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</si>
  <si>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</si>
  <si>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</si>
  <si>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</si>
  <si>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</si>
  <si>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</si>
  <si>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</si>
  <si>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</si>
  <si>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</si>
  <si>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</si>
  <si>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</si>
  <si>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</si>
  <si>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</si>
  <si>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</si>
  <si>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</si>
  <si>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</si>
  <si>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</si>
  <si>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</si>
  <si>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</si>
  <si>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</si>
  <si>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</si>
  <si>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</si>
  <si>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</si>
  <si>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</si>
  <si>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</si>
  <si>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</si>
  <si>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</si>
  <si>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</si>
  <si>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</si>
  <si>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</si>
  <si>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</si>
  <si>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</si>
  <si>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</si>
  <si>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</si>
  <si>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</si>
  <si>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</si>
  <si>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</si>
  <si>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</si>
  <si>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</si>
  <si>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</si>
  <si>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</si>
  <si>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</si>
  <si>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</si>
  <si>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</si>
  <si>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</si>
  <si>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</si>
  <si>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</si>
  <si>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</si>
  <si>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</si>
  <si>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</si>
  <si>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</si>
  <si>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</si>
  <si>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</si>
  <si>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</si>
  <si>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</si>
  <si>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</si>
  <si>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</si>
  <si>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</si>
  <si>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</si>
  <si>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</si>
  <si>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</si>
  <si>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</si>
  <si>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</si>
  <si>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</si>
  <si>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</si>
  <si>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</si>
  <si>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</si>
  <si>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</si>
  <si>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</si>
  <si>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</si>
  <si>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</si>
  <si>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</si>
  <si>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</si>
  <si>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</si>
  <si>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</si>
  <si>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</si>
  <si>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</si>
  <si>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</si>
  <si>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</si>
  <si>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</si>
  <si>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</si>
  <si>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</si>
  <si>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</si>
  <si>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</si>
  <si>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</si>
  <si>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</si>
  <si>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</si>
  <si>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</si>
  <si>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</si>
  <si>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</si>
  <si>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</si>
  <si>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</si>
  <si>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</si>
  <si>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</si>
  <si>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</si>
  <si>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</si>
  <si>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</si>
  <si>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</si>
  <si>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</si>
  <si>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</si>
  <si>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</si>
  <si>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</si>
  <si>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</si>
  <si>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</si>
  <si>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</si>
  <si>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</si>
  <si>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</si>
  <si>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</si>
  <si>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</si>
  <si>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</si>
  <si>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</si>
  <si>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</si>
  <si>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</si>
  <si>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</si>
  <si>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</si>
  <si>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</si>
  <si>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</si>
  <si>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</si>
  <si>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</si>
  <si>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</si>
  <si>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</si>
  <si>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</si>
  <si>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</si>
  <si>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</si>
  <si>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</si>
  <si>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</si>
  <si>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</si>
  <si>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</si>
  <si>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</si>
  <si>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</si>
  <si>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</si>
  <si>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</si>
  <si>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</si>
  <si>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</si>
  <si>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</si>
  <si>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</si>
  <si>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</si>
  <si>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</si>
  <si>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</si>
  <si>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</si>
  <si>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</si>
  <si>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</si>
  <si>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</si>
  <si>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</si>
  <si>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</si>
  <si>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</si>
  <si>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</si>
  <si>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</si>
  <si>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</si>
  <si>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</si>
  <si>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</si>
  <si>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</si>
  <si>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</si>
  <si>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</si>
  <si>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</si>
  <si>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</si>
  <si>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</si>
  <si>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</si>
  <si>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</si>
  <si>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</si>
  <si>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</si>
  <si>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</si>
  <si>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</si>
  <si>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</si>
  <si>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</si>
  <si>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</si>
  <si>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</si>
  <si>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</si>
  <si>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</si>
  <si>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</si>
  <si>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</si>
  <si>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</si>
  <si>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</si>
  <si>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</si>
  <si>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</si>
  <si>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</si>
  <si>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</si>
  <si>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</si>
  <si>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</si>
  <si>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</si>
  <si>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</si>
  <si>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</si>
  <si>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</si>
  <si>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</si>
  <si>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</si>
  <si>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</si>
  <si>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</si>
  <si>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</si>
  <si>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</si>
  <si>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</si>
  <si>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</si>
  <si>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</si>
  <si>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</si>
  <si>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</si>
  <si>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</si>
  <si>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</si>
  <si>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</si>
  <si>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</si>
  <si>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</si>
  <si>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</si>
  <si>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</si>
  <si>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</si>
  <si>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</si>
  <si>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</si>
  <si>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</si>
  <si>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</si>
  <si>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</si>
  <si>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</si>
  <si>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</si>
  <si>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</si>
  <si>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</si>
  <si>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</si>
  <si>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</si>
  <si>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</si>
  <si>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</si>
  <si>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</si>
  <si>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</si>
  <si>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</si>
  <si>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</si>
  <si>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</si>
  <si>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</si>
  <si>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</si>
  <si>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</si>
  <si>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</si>
  <si>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</si>
  <si>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</si>
  <si>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</si>
  <si>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</si>
  <si>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</si>
  <si>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</si>
  <si>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</si>
  <si>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</si>
  <si>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</si>
  <si>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</si>
  <si>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</si>
  <si>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</si>
  <si>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</si>
  <si>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</si>
  <si>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</si>
  <si>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</si>
  <si>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</si>
  <si>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</si>
  <si>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</si>
  <si>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</si>
  <si>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</si>
  <si>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</si>
  <si>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</si>
  <si>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</si>
  <si>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</si>
  <si>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</si>
  <si>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</si>
  <si>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</si>
  <si>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</si>
  <si>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</si>
  <si>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</si>
  <si>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</si>
  <si>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</si>
  <si>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</si>
  <si>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</si>
  <si>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</si>
  <si>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</si>
  <si>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</si>
  <si>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</si>
  <si>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</si>
  <si>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</si>
  <si>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</si>
  <si>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</si>
  <si>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</si>
  <si>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</si>
  <si>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</si>
  <si>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</si>
  <si>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</si>
  <si>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</si>
  <si>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</si>
  <si>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</si>
  <si>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</si>
  <si>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</si>
  <si>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</si>
  <si>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</si>
  <si>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</si>
  <si>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</si>
  <si>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</si>
  <si>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</si>
  <si>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</si>
  <si>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</si>
  <si>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</si>
  <si>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</si>
  <si>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</si>
  <si>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</si>
  <si>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</si>
  <si>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</si>
  <si>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</si>
  <si>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</si>
  <si>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</si>
  <si>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</si>
  <si>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</si>
  <si>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</si>
  <si>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</si>
  <si>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</si>
  <si>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</si>
  <si>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</si>
  <si>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</si>
  <si>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</si>
  <si>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</si>
  <si>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</si>
  <si>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</si>
  <si>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</si>
  <si>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</si>
  <si>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</si>
  <si>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</si>
  <si>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</si>
  <si>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</si>
  <si>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</si>
  <si>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</si>
  <si>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</si>
  <si>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</si>
  <si>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</si>
  <si>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</si>
  <si>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</si>
  <si>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</si>
  <si>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</si>
  <si>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</si>
  <si>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</si>
  <si>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</si>
  <si>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</si>
  <si>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</si>
  <si>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</si>
  <si>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</si>
  <si>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</si>
  <si>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</si>
  <si>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</si>
  <si>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</si>
  <si>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</si>
  <si>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</si>
  <si>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</si>
  <si>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</si>
  <si>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</si>
  <si>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</si>
  <si>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</si>
  <si>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</si>
  <si>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</si>
  <si>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</si>
  <si>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</si>
  <si>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</si>
  <si>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</si>
  <si>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</si>
  <si>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</si>
  <si>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</si>
  <si>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</si>
  <si>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</si>
  <si>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</si>
  <si>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</si>
  <si>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</si>
  <si>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</si>
  <si>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</si>
  <si>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</si>
  <si>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</si>
  <si>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</si>
  <si>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</si>
  <si>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</si>
  <si>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</si>
  <si>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</si>
  <si>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</si>
  <si>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</si>
  <si>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</si>
  <si>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</si>
  <si>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</si>
  <si>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</si>
  <si>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</si>
  <si>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</si>
  <si>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</si>
  <si>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</si>
  <si>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</si>
  <si>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</si>
  <si>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</si>
  <si>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</si>
  <si>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</si>
  <si>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</si>
  <si>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</si>
  <si>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</si>
  <si>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</si>
  <si>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</si>
  <si>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</si>
  <si>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</si>
  <si>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</si>
  <si>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</si>
  <si>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</si>
  <si>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</si>
  <si>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</si>
  <si>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</si>
  <si>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</si>
  <si>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</si>
  <si>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</si>
  <si>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</si>
  <si>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</si>
  <si>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</si>
  <si>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</si>
  <si>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</si>
  <si>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</si>
  <si>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</si>
  <si>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</si>
  <si>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</si>
  <si>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</si>
  <si>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</si>
  <si>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</si>
  <si>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</si>
  <si>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</si>
  <si>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</si>
  <si>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</si>
  <si>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</si>
  <si>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</si>
  <si>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</si>
  <si>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</si>
  <si>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</si>
  <si>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</si>
  <si>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</si>
  <si>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</si>
  <si>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</si>
  <si>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</si>
  <si>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</si>
  <si>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</si>
  <si>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</si>
  <si>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</si>
  <si>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</si>
  <si>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</si>
  <si>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</si>
  <si>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</si>
  <si>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</si>
  <si>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</si>
  <si>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</si>
  <si>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</si>
  <si>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</si>
  <si>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</si>
  <si>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</si>
  <si>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</si>
  <si>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</si>
  <si>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</si>
  <si>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</si>
  <si>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</si>
  <si>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</si>
  <si>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</si>
  <si>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</si>
  <si>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</si>
  <si>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</si>
  <si>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</si>
  <si>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</si>
  <si>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</si>
  <si>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</si>
  <si>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</si>
  <si>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</si>
  <si>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</si>
  <si>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</si>
  <si>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</si>
  <si>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</si>
  <si>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</si>
  <si>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</si>
  <si>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</si>
  <si>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</si>
  <si>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</si>
  <si>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</si>
  <si>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</si>
  <si>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</si>
  <si>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</si>
  <si>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</si>
  <si>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</si>
  <si>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</si>
  <si>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</si>
  <si>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</si>
  <si>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</si>
  <si>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</si>
  <si>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</si>
  <si>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</si>
  <si>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</si>
  <si>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</si>
  <si>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</si>
  <si>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</si>
  <si>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</si>
  <si>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</si>
  <si>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</si>
  <si>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</si>
  <si>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</si>
  <si>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</si>
  <si>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</si>
  <si>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</si>
  <si>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</si>
  <si>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</si>
  <si>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</si>
  <si>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</si>
  <si>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</si>
  <si>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</si>
  <si>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</si>
  <si>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</si>
  <si>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</si>
  <si>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</si>
  <si>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</si>
  <si>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</si>
  <si>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</si>
  <si>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</si>
  <si>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</si>
  <si>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</si>
  <si>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</si>
  <si>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</si>
  <si>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</si>
  <si>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</si>
  <si>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</si>
  <si>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</si>
  <si>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</si>
  <si>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</si>
  <si>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</si>
  <si>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</si>
  <si>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</si>
  <si>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</si>
  <si>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</si>
  <si>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</si>
  <si>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</si>
  <si>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</si>
  <si>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</si>
  <si>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</si>
  <si>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</si>
  <si>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</si>
  <si>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</si>
  <si>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</si>
  <si>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</si>
  <si>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</si>
  <si>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</si>
  <si>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</si>
  <si>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</si>
  <si>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</si>
  <si>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</si>
  <si>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</si>
  <si>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</si>
  <si>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</si>
  <si>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</si>
  <si>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</si>
  <si>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</si>
  <si>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</si>
  <si>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</si>
  <si>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</si>
  <si>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</si>
  <si>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</si>
  <si>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</si>
  <si>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</si>
  <si>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</si>
  <si>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</si>
  <si>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</si>
  <si>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</si>
  <si>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</si>
  <si>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</si>
  <si>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</si>
  <si>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</si>
  <si>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</si>
  <si>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</si>
  <si>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</si>
  <si>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</si>
  <si>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</si>
  <si>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</si>
  <si>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</si>
  <si>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</si>
  <si>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</si>
  <si>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</si>
  <si>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</si>
  <si>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</si>
  <si>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</si>
  <si>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</si>
  <si>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</si>
  <si>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</si>
  <si>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</si>
  <si>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</si>
  <si>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</si>
  <si>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</si>
  <si>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</si>
  <si>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</si>
  <si>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</si>
  <si>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</si>
  <si>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</si>
  <si>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</si>
  <si>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</si>
  <si>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</si>
  <si>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</si>
  <si>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</si>
  <si>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</si>
  <si>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</si>
  <si>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</si>
  <si>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</si>
  <si>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</si>
  <si>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</si>
  <si>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</si>
  <si>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</si>
  <si>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</si>
  <si>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</si>
  <si>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</si>
  <si>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</si>
  <si>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</si>
  <si>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</si>
  <si>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</si>
  <si>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</si>
  <si>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</si>
  <si>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</si>
  <si>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</si>
  <si>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</si>
  <si>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</si>
  <si>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</si>
  <si>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</si>
  <si>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</si>
  <si>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</si>
  <si>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</si>
  <si>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</si>
  <si>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</si>
  <si>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</si>
  <si>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</si>
  <si>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</si>
  <si>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</si>
  <si>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</si>
  <si>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</si>
  <si>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</si>
  <si>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</si>
  <si>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</si>
  <si>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</si>
  <si>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</si>
  <si>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</si>
  <si>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</si>
  <si>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</si>
  <si>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</si>
  <si>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</si>
  <si>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</si>
  <si>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</si>
  <si>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</si>
  <si>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</si>
  <si>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</si>
  <si>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</si>
  <si>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</si>
  <si>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</si>
  <si>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</si>
  <si>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</si>
  <si>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</si>
  <si>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</si>
  <si>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</si>
  <si>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</si>
  <si>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</si>
  <si>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</si>
  <si>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</si>
  <si>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</si>
  <si>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</si>
  <si>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</si>
  <si>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</si>
  <si>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</si>
  <si>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</si>
  <si>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</si>
  <si>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</si>
  <si>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</si>
  <si>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</si>
  <si>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</si>
  <si>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</si>
  <si>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</si>
  <si>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</si>
  <si>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</si>
  <si>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</si>
  <si>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</si>
  <si>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</si>
  <si>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</si>
  <si>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</si>
  <si>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</si>
  <si>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</si>
  <si>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</si>
  <si>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</si>
  <si>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</si>
  <si>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</si>
  <si>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</si>
  <si>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</si>
  <si>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</si>
  <si>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</si>
  <si>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</si>
  <si>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</si>
  <si>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</si>
  <si>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</si>
  <si>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</si>
  <si>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</si>
  <si>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</si>
  <si>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</si>
  <si>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</si>
  <si>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</si>
  <si>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</si>
  <si>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</si>
  <si>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</si>
  <si>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</si>
  <si>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</si>
  <si>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</si>
  <si>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</si>
  <si>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</si>
  <si>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</si>
  <si>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</si>
  <si>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</si>
  <si>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</si>
  <si>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</si>
  <si>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</si>
  <si>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</si>
  <si>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</si>
  <si>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</si>
  <si>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</si>
  <si>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</si>
  <si>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</si>
  <si>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</si>
  <si>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</si>
  <si>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</si>
  <si>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</si>
  <si>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</si>
  <si>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</si>
  <si>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</si>
  <si>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</si>
  <si>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</si>
  <si>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</si>
  <si>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</si>
  <si>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</si>
  <si>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</si>
  <si>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</si>
  <si>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</si>
  <si>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</si>
  <si>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</si>
  <si>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</si>
  <si>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</si>
  <si>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</si>
  <si>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</si>
  <si>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</si>
  <si>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</si>
  <si>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</si>
  <si>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</si>
  <si>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</si>
  <si>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</si>
  <si>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</si>
  <si>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</si>
  <si>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</si>
  <si>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</si>
  <si>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</si>
  <si>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</si>
  <si>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</si>
  <si>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</si>
  <si>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</si>
  <si>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</si>
  <si>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</si>
  <si>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</si>
  <si>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</si>
  <si>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</si>
  <si>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</si>
  <si>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</si>
  <si>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</si>
  <si>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</si>
  <si>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</si>
  <si>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</si>
  <si>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</si>
  <si>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</si>
  <si>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</si>
  <si>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</si>
  <si>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</si>
  <si>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</si>
  <si>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</si>
  <si>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</si>
  <si>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</si>
  <si>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</si>
  <si>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</si>
  <si>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</si>
  <si>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</si>
  <si>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</si>
  <si>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</si>
  <si>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</si>
  <si>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</si>
  <si>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</si>
  <si>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</si>
  <si>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</si>
  <si>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</si>
  <si>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</si>
  <si>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</si>
  <si>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</si>
  <si>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</si>
  <si>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</si>
  <si>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</si>
  <si>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</si>
  <si>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</si>
  <si>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</si>
  <si>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</si>
  <si>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</si>
  <si>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</si>
  <si>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</si>
  <si>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</si>
  <si>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</si>
  <si>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</si>
  <si>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</si>
  <si>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</si>
  <si>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</si>
  <si>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</si>
  <si>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</si>
  <si>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</si>
  <si>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</si>
  <si>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</si>
  <si>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</si>
  <si>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</si>
  <si>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</si>
  <si>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</si>
  <si>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</si>
  <si>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</si>
  <si>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</si>
  <si>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</si>
  <si>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</si>
  <si>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</si>
  <si>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</si>
  <si>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</si>
  <si>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</si>
  <si>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</si>
  <si>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</si>
  <si>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</si>
  <si>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</si>
  <si>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</si>
  <si>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</si>
  <si>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</si>
  <si>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</si>
  <si>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</si>
  <si>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</si>
  <si>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</si>
  <si>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</si>
  <si>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</si>
  <si>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</si>
  <si>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</si>
  <si>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</si>
  <si>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</si>
  <si>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</si>
  <si>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</si>
  <si>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</si>
  <si>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</si>
  <si>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</si>
  <si>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</si>
  <si>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</si>
  <si>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</si>
  <si>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</si>
  <si>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</si>
  <si>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</si>
  <si>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</si>
  <si>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</si>
  <si>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</si>
  <si>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</si>
  <si>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</si>
  <si>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</si>
  <si>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</si>
  <si>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</si>
  <si>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</si>
  <si>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</si>
  <si>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</si>
  <si>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</si>
  <si>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</si>
  <si>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</si>
  <si>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</si>
  <si>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</si>
  <si>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</si>
  <si>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</si>
  <si>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</si>
  <si>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</si>
  <si>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</si>
  <si>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</si>
  <si>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</si>
  <si>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</si>
  <si>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</si>
  <si>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</si>
  <si>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</si>
  <si>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</si>
  <si>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</si>
  <si>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</si>
  <si>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</si>
  <si>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</si>
  <si>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</si>
  <si>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</si>
  <si>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</si>
  <si>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</si>
  <si>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</si>
  <si>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</si>
  <si>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</si>
  <si>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</si>
  <si>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</si>
  <si>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</si>
  <si>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</si>
  <si>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</si>
  <si>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</si>
  <si>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</si>
  <si>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</si>
  <si>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</si>
  <si>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</si>
  <si>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</si>
  <si>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</si>
  <si>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</si>
  <si>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</si>
  <si>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</si>
  <si>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</si>
  <si>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</si>
  <si>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</si>
  <si>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</si>
  <si>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</si>
  <si>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</si>
  <si>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</si>
  <si>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</si>
  <si>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</si>
  <si>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</si>
  <si>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</si>
  <si>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</si>
  <si>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</si>
  <si>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</si>
  <si>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</si>
  <si>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</si>
  <si>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</si>
  <si>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</si>
  <si>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</si>
  <si>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</si>
  <si>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</si>
  <si>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</si>
  <si>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</si>
  <si>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</si>
  <si>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</si>
  <si>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</si>
  <si>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</si>
  <si>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</si>
  <si>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</si>
  <si>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</si>
  <si>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</si>
  <si>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</si>
  <si>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</si>
  <si>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</si>
  <si>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</si>
  <si>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</si>
  <si>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</si>
  <si>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</si>
  <si>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</si>
  <si>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</si>
  <si>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</si>
  <si>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</si>
  <si>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</si>
  <si>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</si>
  <si>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</si>
  <si>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</si>
  <si>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</si>
  <si>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</si>
  <si>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</si>
  <si>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</si>
  <si>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</si>
  <si>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</si>
  <si>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</si>
  <si>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</si>
  <si>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</si>
  <si>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</si>
  <si>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</si>
  <si>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</si>
  <si>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</si>
  <si>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</si>
  <si>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</si>
  <si>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</si>
  <si>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</si>
  <si>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</si>
  <si>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</si>
  <si>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</si>
  <si>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</si>
  <si>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</si>
  <si>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</si>
  <si>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</si>
  <si>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</si>
  <si>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</si>
  <si>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</si>
  <si>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</si>
  <si>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</si>
  <si>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</si>
  <si>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</si>
  <si>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</si>
  <si>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</si>
  <si>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</si>
  <si>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</si>
  <si>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</si>
  <si>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</si>
  <si>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</si>
  <si>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</si>
  <si>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</si>
  <si>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</si>
  <si>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</si>
  <si>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</si>
  <si>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</si>
  <si>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</si>
  <si>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</si>
  <si>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</si>
  <si>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</si>
  <si>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</si>
  <si>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</si>
  <si>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</si>
  <si>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</si>
  <si>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</si>
  <si>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</si>
  <si>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</si>
  <si>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</si>
  <si>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</si>
  <si>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</si>
  <si>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</si>
  <si>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</si>
  <si>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</si>
  <si>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</si>
  <si>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</si>
  <si>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</si>
  <si>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</si>
  <si>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</si>
  <si>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</si>
  <si>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</si>
  <si>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</si>
  <si>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</si>
  <si>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</si>
  <si>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</si>
  <si>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</si>
  <si>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</si>
  <si>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</si>
  <si>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</si>
  <si>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</si>
  <si>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</si>
  <si>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</si>
  <si>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</si>
  <si>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</si>
  <si>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</si>
  <si>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</si>
  <si>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</si>
  <si>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</si>
  <si>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</si>
  <si>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</si>
  <si>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</si>
  <si>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</si>
  <si>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</si>
  <si>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</si>
  <si>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</si>
  <si>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</si>
  <si>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</si>
  <si>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</si>
  <si>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</si>
  <si>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</si>
  <si>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</si>
  <si>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</si>
  <si>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</si>
  <si>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</si>
  <si>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</si>
  <si>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</si>
  <si>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</si>
  <si>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</si>
  <si>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</si>
  <si>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</si>
  <si>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</si>
  <si>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</si>
  <si>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</si>
  <si>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</si>
  <si>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</si>
  <si>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</si>
  <si>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</si>
  <si>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</si>
  <si>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</si>
  <si>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</si>
  <si>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</si>
  <si>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</si>
  <si>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</si>
  <si>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</si>
  <si>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</si>
  <si>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</si>
  <si>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</si>
  <si>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</si>
  <si>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</si>
  <si>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</si>
  <si>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</si>
  <si>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</si>
  <si>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</si>
  <si>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</si>
  <si>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</si>
  <si>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</si>
  <si>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</si>
  <si>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</si>
  <si>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</si>
  <si>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</si>
  <si>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</si>
  <si>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</si>
  <si>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</si>
  <si>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</si>
  <si>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</si>
  <si>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</si>
  <si>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</si>
  <si>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</si>
  <si>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</si>
  <si>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</si>
  <si>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</si>
  <si>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</si>
  <si>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</si>
  <si>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</si>
  <si>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</si>
  <si>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</si>
  <si>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</si>
  <si>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</si>
  <si>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</si>
  <si>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</si>
  <si>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</si>
  <si>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</si>
  <si>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</si>
  <si>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</si>
  <si>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</si>
  <si>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</si>
  <si>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</si>
  <si>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</si>
  <si>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</si>
  <si>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</si>
  <si>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</si>
  <si>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</si>
  <si>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</si>
  <si>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</si>
  <si>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</si>
  <si>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</si>
  <si>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</si>
  <si>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</si>
  <si>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</si>
  <si>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</si>
  <si>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</si>
  <si>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</si>
  <si>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</si>
  <si>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</si>
  <si>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</si>
  <si>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</si>
  <si>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</si>
  <si>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</si>
  <si>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</si>
  <si>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</si>
  <si>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</si>
  <si>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</si>
  <si>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</si>
  <si>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</si>
  <si>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</si>
  <si>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</si>
  <si>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</si>
  <si>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</si>
  <si>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</si>
  <si>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</si>
  <si>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</si>
  <si>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</si>
  <si>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</si>
  <si>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</si>
  <si>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</si>
  <si>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</si>
  <si>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</si>
  <si>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</si>
  <si>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</si>
  <si>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</si>
  <si>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</si>
  <si>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</si>
  <si>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</si>
  <si>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</si>
  <si>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</si>
  <si>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</si>
  <si>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</si>
  <si>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</si>
  <si>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</si>
  <si>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</si>
  <si>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</si>
  <si>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</si>
  <si>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</si>
  <si>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</si>
  <si>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</si>
  <si>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</si>
  <si>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</si>
  <si>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</si>
  <si>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</si>
  <si>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</si>
  <si>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</si>
  <si>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</si>
  <si>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</si>
  <si>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</si>
  <si>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</si>
  <si>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</si>
  <si>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</si>
  <si>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</si>
  <si>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</si>
  <si>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</si>
  <si>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</si>
  <si>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</si>
  <si>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</si>
  <si>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</si>
  <si>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</si>
  <si>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</si>
  <si>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</si>
  <si>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</si>
  <si>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</si>
  <si>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</si>
  <si>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</si>
  <si>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</si>
  <si>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</si>
  <si>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</si>
  <si>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</si>
  <si>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</si>
  <si>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</si>
  <si>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</si>
  <si>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</si>
  <si>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</si>
  <si>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</si>
  <si>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</si>
  <si>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</si>
  <si>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</si>
  <si>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</si>
  <si>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</si>
  <si>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</si>
  <si>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</si>
  <si>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</si>
  <si>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</si>
  <si>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</si>
  <si>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</si>
  <si>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</si>
  <si>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</si>
  <si>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</si>
  <si>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</si>
  <si>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</si>
  <si>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</si>
  <si>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</si>
  <si>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</si>
  <si>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</si>
  <si>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</si>
  <si>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</si>
  <si>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</si>
  <si>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</si>
  <si>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</si>
  <si>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</si>
  <si>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</si>
  <si>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</si>
  <si>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</si>
  <si>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</si>
  <si>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</si>
  <si>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</si>
  <si>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</si>
  <si>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</si>
  <si>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</si>
  <si>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</si>
  <si>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</si>
  <si>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</si>
  <si>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</si>
  <si>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</si>
  <si>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</si>
  <si>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</si>
  <si>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</si>
  <si>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</si>
  <si>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</si>
  <si>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</si>
  <si>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</si>
  <si>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</si>
  <si>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</si>
  <si>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</si>
  <si>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</si>
  <si>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</si>
  <si>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</si>
  <si>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</si>
  <si>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</si>
  <si>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</si>
  <si>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</si>
  <si>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</si>
  <si>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</si>
  <si>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</si>
  <si>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</si>
  <si>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</si>
  <si>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</si>
  <si>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</si>
  <si>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</si>
  <si>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</si>
  <si>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</si>
  <si>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</si>
  <si>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</si>
  <si>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</si>
  <si>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</si>
  <si>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</si>
  <si>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</si>
  <si>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</si>
  <si>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</si>
  <si>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</si>
  <si>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</si>
  <si>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</si>
  <si>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</si>
  <si>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</si>
  <si>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</si>
  <si>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</si>
  <si>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</si>
  <si>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</si>
  <si>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</si>
  <si>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</si>
  <si>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</si>
  <si>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</si>
  <si>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</si>
  <si>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</si>
  <si>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</si>
  <si>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</si>
  <si>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</si>
  <si>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</si>
  <si>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</si>
  <si>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</si>
  <si>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</si>
  <si>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</si>
  <si>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</si>
  <si>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</si>
  <si>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</si>
  <si>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</si>
  <si>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</si>
  <si>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</si>
  <si>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</si>
  <si>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</si>
  <si>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</si>
  <si>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</si>
  <si>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</si>
  <si>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</si>
  <si>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</si>
  <si>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</si>
  <si>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</si>
  <si>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</si>
  <si>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</si>
  <si>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</si>
  <si>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</si>
  <si>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</si>
  <si>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</si>
  <si>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</si>
  <si>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</si>
  <si>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</si>
  <si>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</si>
  <si>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</si>
  <si>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</si>
  <si>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</si>
  <si>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</si>
  <si>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</si>
  <si>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</si>
  <si>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</si>
  <si>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</si>
  <si>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</si>
  <si>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</si>
  <si>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</si>
  <si>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</si>
  <si>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</si>
  <si>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</si>
  <si>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</si>
  <si>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</si>
  <si>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</si>
  <si>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</si>
  <si>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</si>
  <si>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</si>
  <si>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</si>
  <si>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</si>
  <si>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</si>
  <si>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</si>
  <si>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</si>
  <si>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</si>
  <si>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</si>
  <si>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</si>
  <si>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</si>
  <si>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</si>
  <si>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</si>
  <si>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</si>
  <si>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</si>
  <si>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</si>
  <si>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</si>
  <si>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</si>
  <si>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</si>
  <si>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</si>
  <si>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</si>
  <si>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</si>
  <si>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</si>
  <si>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</si>
  <si>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</si>
  <si>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</si>
  <si>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</si>
  <si>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</si>
  <si>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</si>
  <si>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</si>
  <si>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</si>
  <si>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</si>
  <si>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</si>
  <si>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</si>
  <si>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</si>
  <si>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</si>
  <si>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</si>
  <si>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</si>
  <si>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</si>
  <si>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</si>
  <si>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</si>
  <si>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</si>
  <si>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</si>
  <si>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</si>
  <si>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</si>
  <si>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</si>
  <si>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</si>
  <si>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</si>
  <si>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</si>
  <si>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</si>
  <si>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</si>
  <si>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</si>
  <si>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</si>
  <si>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</si>
  <si>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</si>
  <si>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</si>
  <si>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</si>
  <si>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</si>
  <si>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</si>
  <si>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</si>
  <si>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</si>
  <si>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</si>
  <si>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</si>
  <si>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</si>
  <si>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</si>
  <si>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</si>
  <si>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</si>
  <si>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</si>
  <si>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</si>
  <si>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</si>
  <si>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</si>
  <si>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</si>
  <si>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</si>
  <si>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</si>
  <si>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</si>
  <si>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</si>
  <si>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</si>
  <si>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</si>
  <si>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</si>
  <si>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</si>
  <si>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</si>
  <si>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</si>
  <si>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</si>
  <si>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</si>
  <si>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</si>
  <si>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</si>
  <si>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</si>
  <si>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</si>
  <si>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</si>
  <si>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</si>
  <si>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</si>
  <si>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</si>
  <si>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</si>
  <si>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</si>
  <si>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</si>
  <si>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</si>
  <si>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</si>
  <si>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</si>
  <si>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</si>
  <si>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</si>
  <si>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</si>
  <si>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</si>
  <si>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</si>
  <si>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</si>
  <si>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</si>
  <si>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</si>
  <si>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</si>
  <si>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</si>
  <si>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</si>
  <si>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</si>
  <si>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</si>
  <si>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</si>
  <si>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</si>
  <si>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</si>
  <si>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</si>
  <si>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</si>
  <si>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</si>
  <si>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</si>
  <si>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</si>
  <si>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</si>
  <si>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</si>
  <si>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</si>
  <si>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</si>
  <si>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</si>
  <si>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</si>
  <si>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</si>
  <si>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</si>
  <si>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</si>
  <si>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</si>
  <si>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</si>
  <si>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</si>
  <si>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</si>
  <si>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</si>
  <si>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</si>
  <si>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</si>
  <si>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</si>
  <si>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</si>
  <si>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</si>
  <si>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</si>
  <si>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</si>
  <si>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</si>
  <si>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</si>
  <si>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</si>
  <si>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</si>
  <si>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</si>
  <si>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</si>
  <si>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</si>
  <si>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</si>
  <si>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</si>
  <si>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</si>
  <si>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</si>
  <si>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</si>
  <si>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</si>
  <si>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</si>
  <si>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</si>
  <si>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</si>
  <si>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</si>
  <si>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</si>
  <si>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</si>
  <si>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</si>
  <si>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</si>
  <si>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</si>
  <si>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</si>
  <si>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</si>
  <si>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</si>
  <si>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</si>
  <si>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</si>
  <si>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</si>
  <si>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</si>
  <si>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</si>
  <si>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</si>
  <si>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</si>
  <si>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</si>
  <si>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</si>
  <si>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</si>
  <si>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</si>
  <si>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</si>
  <si>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</si>
  <si>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</si>
  <si>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</si>
  <si>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</si>
  <si>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</si>
  <si>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</si>
  <si>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</si>
  <si>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</si>
  <si>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</si>
  <si>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</si>
  <si>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</si>
  <si>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</si>
  <si>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</si>
  <si>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</si>
  <si>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</si>
  <si>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</si>
  <si>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</si>
  <si>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</si>
  <si>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</si>
  <si>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</si>
  <si>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</si>
  <si>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</si>
  <si>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</si>
  <si>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</si>
  <si>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</si>
  <si>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</si>
  <si>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</si>
  <si>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</si>
  <si>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</si>
  <si>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</si>
  <si>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</si>
  <si>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</si>
  <si>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</si>
  <si>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</si>
  <si>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</si>
  <si>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</si>
  <si>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</si>
  <si>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</si>
  <si>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</si>
  <si>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</si>
  <si>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</si>
  <si>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</si>
  <si>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</si>
  <si>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</si>
  <si>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</si>
  <si>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</si>
  <si>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</si>
  <si>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</si>
  <si>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</si>
  <si>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</si>
  <si>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</si>
  <si>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</si>
  <si>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</si>
  <si>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</si>
  <si>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</si>
  <si>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</si>
  <si>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</si>
  <si>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</si>
  <si>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</si>
  <si>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</si>
  <si>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</si>
  <si>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</si>
  <si>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</si>
  <si>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</si>
  <si>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</si>
  <si>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</si>
  <si>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</si>
  <si>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</si>
  <si>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</si>
  <si>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</si>
  <si>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</si>
  <si>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</si>
  <si>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</si>
  <si>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</si>
  <si>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</si>
  <si>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</si>
  <si>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</si>
  <si>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</si>
  <si>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</si>
  <si>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</si>
  <si>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</si>
  <si>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</si>
  <si>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</si>
  <si>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</si>
  <si>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</si>
  <si>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</si>
  <si>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</si>
  <si>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</si>
  <si>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</si>
  <si>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</si>
  <si>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</si>
  <si>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</si>
  <si>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</si>
  <si>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</si>
  <si>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</si>
  <si>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</si>
  <si>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</si>
  <si>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</si>
  <si>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</si>
  <si>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</si>
  <si>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</si>
  <si>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</si>
  <si>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</si>
  <si>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</si>
  <si>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</si>
  <si>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</si>
  <si>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</si>
  <si>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</si>
  <si>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</si>
  <si>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</si>
  <si>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</si>
  <si>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</si>
  <si>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</si>
  <si>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</si>
  <si>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</si>
  <si>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</si>
  <si>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</si>
  <si>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</si>
  <si>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</si>
  <si>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</si>
  <si>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</si>
  <si>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</si>
  <si>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</si>
  <si>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</si>
  <si>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</si>
  <si>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</si>
  <si>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</si>
  <si>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</si>
  <si>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</si>
  <si>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</si>
  <si>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</si>
  <si>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</si>
  <si>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</si>
  <si>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</si>
  <si>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</si>
  <si>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</si>
  <si>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</si>
  <si>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</si>
  <si>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</si>
  <si>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</si>
  <si>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</si>
  <si>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</si>
  <si>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</si>
  <si>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</si>
  <si>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</si>
  <si>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</si>
  <si>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</si>
  <si>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</si>
  <si>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</si>
  <si>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</si>
  <si>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</si>
  <si>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</si>
  <si>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</si>
  <si>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</si>
  <si>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</si>
  <si>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</si>
  <si>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</si>
  <si>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</si>
  <si>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</si>
  <si>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</si>
  <si>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</si>
  <si>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</si>
  <si>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</si>
  <si>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</si>
  <si>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</si>
  <si>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</si>
  <si>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</si>
  <si>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</si>
  <si>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</si>
  <si>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</si>
  <si>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</si>
  <si>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</si>
  <si>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</si>
  <si>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</si>
  <si>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</si>
  <si>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</si>
  <si>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</si>
  <si>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</si>
  <si>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</si>
  <si>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</si>
  <si>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</si>
  <si>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</si>
  <si>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</si>
  <si>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</si>
  <si>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</si>
  <si>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</si>
  <si>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</si>
  <si>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</si>
  <si>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</si>
  <si>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</si>
  <si>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</si>
  <si>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</si>
  <si>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</si>
  <si>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</si>
  <si>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</si>
  <si>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</si>
  <si>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</si>
  <si>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</si>
  <si>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</si>
  <si>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</si>
  <si>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</si>
  <si>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</si>
  <si>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</si>
  <si>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</si>
  <si>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</si>
  <si>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</si>
  <si>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</si>
  <si>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</si>
  <si>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</si>
  <si>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</si>
  <si>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</si>
  <si>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</si>
  <si>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</si>
  <si>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</si>
  <si>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</si>
  <si>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</si>
  <si>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</si>
  <si>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</si>
  <si>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</si>
  <si>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</si>
  <si>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</si>
  <si>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</si>
  <si>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</si>
  <si>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</si>
  <si>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</si>
  <si>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</si>
  <si>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</si>
  <si>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</si>
  <si>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</si>
  <si>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</si>
  <si>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</si>
  <si>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</si>
  <si>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</si>
  <si>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</si>
  <si>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</si>
  <si>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</si>
  <si>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</si>
  <si>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</si>
  <si>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</si>
  <si>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</si>
  <si>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</si>
  <si>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</si>
  <si>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</si>
  <si>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</si>
  <si>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</si>
  <si>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</si>
  <si>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</si>
  <si>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</si>
  <si>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</si>
  <si>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</si>
  <si>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</si>
  <si>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</si>
  <si>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</si>
  <si>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</si>
  <si>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</si>
  <si>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</si>
  <si>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</si>
  <si>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</si>
  <si>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</si>
  <si>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</si>
  <si>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</si>
  <si>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</si>
  <si>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</si>
  <si>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</si>
  <si>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</si>
  <si>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</si>
  <si>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</si>
  <si>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</si>
  <si>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</si>
  <si>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</si>
  <si>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</si>
  <si>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</si>
  <si>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</si>
  <si>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</si>
  <si>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</si>
  <si>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</si>
  <si>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</si>
  <si>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</si>
  <si>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</si>
  <si>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</si>
  <si>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</si>
  <si>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</si>
  <si>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</si>
  <si>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</si>
  <si>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</si>
  <si>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</si>
  <si>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</si>
  <si>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</si>
  <si>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</si>
  <si>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</si>
  <si>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</si>
  <si>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</si>
  <si>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</si>
  <si>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</si>
  <si>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</si>
  <si>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</si>
  <si>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</si>
  <si>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</si>
  <si>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</si>
  <si>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</si>
  <si>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</si>
  <si>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</si>
  <si>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</si>
  <si>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</si>
  <si>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</si>
  <si>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</si>
  <si>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</si>
  <si>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</si>
  <si>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</si>
  <si>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</si>
  <si>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</si>
  <si>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</si>
  <si>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</si>
  <si>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</si>
  <si>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</si>
  <si>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</si>
  <si>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</si>
  <si>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</si>
  <si>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</si>
  <si>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</si>
  <si>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</si>
  <si>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</si>
  <si>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</si>
  <si>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</si>
  <si>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</si>
  <si>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</si>
  <si>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</si>
  <si>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</si>
  <si>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</si>
  <si>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</si>
  <si>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</si>
  <si>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</si>
  <si>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</si>
  <si>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</si>
  <si>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</si>
  <si>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</si>
  <si>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</si>
  <si>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</si>
  <si>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</si>
  <si>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</si>
  <si>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</si>
  <si>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</si>
  <si>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</si>
  <si>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</si>
  <si>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</si>
  <si>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</si>
  <si>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</si>
  <si>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</si>
  <si>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</si>
  <si>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</si>
  <si>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</si>
  <si>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</si>
  <si>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</si>
  <si>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</si>
  <si>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</si>
  <si>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</si>
  <si>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</si>
  <si>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</si>
  <si>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</si>
  <si>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</si>
  <si>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</si>
  <si>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</si>
  <si>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</si>
  <si>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</si>
  <si>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</si>
  <si>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</si>
  <si>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</si>
  <si>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</si>
  <si>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</si>
  <si>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</si>
  <si>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</si>
  <si>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</si>
  <si>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</si>
  <si>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</si>
  <si>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</si>
  <si>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</si>
  <si>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</si>
  <si>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</si>
  <si>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</si>
  <si>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</si>
  <si>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</si>
  <si>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</si>
  <si>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</si>
  <si>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</si>
  <si>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</si>
  <si>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</si>
  <si>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</si>
  <si>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</si>
  <si>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</si>
  <si>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</si>
  <si>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</si>
  <si>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</si>
  <si>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</si>
  <si>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</si>
  <si>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</si>
  <si>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</si>
  <si>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</si>
  <si>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</si>
  <si>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</si>
  <si>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</si>
  <si>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</si>
  <si>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</si>
  <si>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</si>
  <si>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</si>
  <si>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</si>
  <si>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</si>
  <si>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</si>
  <si>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</si>
  <si>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</si>
  <si>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</si>
  <si>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</si>
  <si>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</si>
  <si>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</si>
  <si>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</si>
  <si>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</si>
  <si>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</si>
  <si>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</si>
  <si>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</si>
  <si>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</si>
  <si>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</si>
  <si>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</si>
  <si>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</si>
  <si>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</si>
  <si>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</si>
  <si>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</si>
  <si>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</si>
  <si>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</si>
  <si>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</si>
  <si>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</si>
  <si>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</si>
  <si>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</si>
  <si>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</si>
  <si>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</si>
  <si>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</si>
  <si>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</si>
  <si>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</si>
  <si>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</si>
  <si>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</si>
  <si>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</si>
  <si>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</si>
  <si>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</si>
  <si>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</si>
  <si>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</si>
  <si>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</si>
  <si>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</si>
  <si>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</si>
  <si>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</si>
  <si>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</si>
  <si>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</si>
  <si>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</si>
  <si>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</si>
  <si>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</si>
  <si>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</si>
  <si>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</si>
  <si>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</si>
  <si>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</si>
  <si>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</si>
  <si>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</si>
  <si>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</si>
  <si>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</si>
  <si>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</si>
  <si>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</si>
  <si>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</si>
  <si>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</si>
  <si>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</si>
  <si>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</si>
  <si>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</si>
  <si>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</si>
  <si>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</si>
  <si>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</si>
  <si>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</si>
  <si>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</si>
  <si>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</si>
  <si>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</si>
  <si>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</si>
  <si>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</si>
  <si>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</si>
  <si>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</si>
  <si>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</si>
  <si>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</si>
  <si>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</si>
  <si>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</si>
  <si>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</si>
  <si>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</si>
  <si>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</si>
  <si>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</si>
  <si>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</si>
  <si>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</si>
  <si>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</si>
  <si>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</si>
  <si>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</si>
  <si>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</si>
  <si>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</si>
  <si>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</si>
  <si>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</si>
  <si>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</si>
  <si>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</si>
  <si>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</si>
  <si>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</si>
  <si>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</si>
  <si>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</si>
  <si>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</si>
  <si>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</si>
  <si>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</si>
  <si>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</si>
  <si>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</si>
  <si>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</si>
  <si>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</si>
  <si>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</si>
  <si>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</si>
  <si>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</si>
  <si>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</si>
  <si>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</si>
  <si>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</si>
  <si>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</si>
  <si>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</si>
  <si>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</si>
  <si>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</si>
  <si>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</si>
  <si>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</si>
  <si>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</si>
  <si>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</si>
  <si>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</si>
  <si>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</si>
  <si>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</si>
  <si>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</si>
  <si>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</si>
  <si>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</si>
  <si>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</si>
  <si>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</si>
  <si>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</si>
  <si>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</si>
  <si>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</si>
  <si>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</si>
  <si>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</si>
  <si>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</si>
  <si>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</si>
  <si>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</si>
  <si>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</si>
  <si>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</si>
  <si>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</si>
  <si>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</si>
  <si>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</si>
  <si>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</si>
  <si>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</si>
  <si>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</si>
  <si>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</si>
  <si>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</si>
  <si>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</si>
  <si>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</si>
  <si>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</si>
  <si>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</si>
  <si>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</si>
  <si>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</si>
  <si>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</si>
  <si>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</si>
  <si>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</si>
  <si>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</si>
  <si>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</si>
  <si>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</si>
  <si>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</si>
  <si>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</si>
  <si>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</si>
  <si>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</si>
  <si>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</si>
  <si>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</si>
  <si>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</si>
  <si>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</si>
  <si>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</si>
  <si>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</si>
  <si>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</si>
  <si>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</si>
  <si>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</si>
  <si>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</si>
  <si>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</si>
  <si>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</si>
  <si>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</si>
  <si>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</si>
  <si>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</si>
  <si>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</si>
  <si>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</si>
  <si>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</si>
  <si>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</si>
  <si>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</si>
  <si>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</si>
  <si>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</si>
  <si>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</si>
  <si>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</si>
  <si>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</si>
  <si>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</si>
  <si>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</si>
  <si>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</si>
  <si>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</si>
  <si>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</si>
  <si>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</si>
  <si>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</si>
  <si>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</si>
  <si>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</si>
  <si>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</si>
  <si>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</si>
  <si>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</si>
  <si>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</si>
  <si>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</si>
  <si>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</si>
  <si>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</si>
  <si>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</si>
  <si>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</si>
  <si>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</si>
  <si>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</si>
  <si>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</si>
  <si>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</si>
  <si>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</si>
  <si>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</si>
  <si>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</si>
  <si>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</si>
  <si>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</si>
  <si>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</si>
  <si>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</si>
  <si>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</si>
  <si>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</si>
  <si>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</si>
  <si>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</si>
  <si>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</si>
  <si>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</si>
  <si>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</si>
  <si>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</si>
  <si>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</si>
  <si>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</si>
  <si>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</si>
  <si>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</si>
  <si>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</si>
  <si>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</si>
  <si>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</si>
  <si>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</si>
  <si>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</si>
  <si>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</si>
  <si>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</si>
  <si>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</si>
  <si>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</si>
  <si>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</si>
  <si>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</si>
  <si>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</si>
  <si>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</si>
  <si>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</si>
  <si>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</si>
  <si>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</si>
  <si>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</si>
  <si>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</si>
  <si>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</si>
  <si>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</si>
  <si>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</si>
  <si>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</si>
  <si>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</si>
  <si>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</si>
  <si>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</si>
  <si>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</si>
  <si>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</si>
  <si>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</si>
  <si>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</si>
  <si>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</si>
  <si>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</si>
  <si>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</si>
  <si>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</si>
  <si>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</si>
  <si>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</si>
  <si>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</si>
  <si>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</si>
  <si>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</si>
  <si>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</si>
  <si>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</si>
  <si>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</si>
  <si>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</si>
  <si>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</si>
  <si>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</si>
  <si>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</si>
  <si>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</si>
  <si>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</si>
  <si>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</si>
  <si>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</si>
  <si>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</si>
  <si>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</si>
  <si>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</si>
  <si>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</si>
  <si>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</si>
  <si>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</si>
  <si>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</si>
  <si>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</si>
  <si>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</si>
  <si>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</si>
  <si>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</si>
  <si>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</si>
  <si>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</si>
  <si>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</si>
  <si>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</si>
  <si>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</si>
  <si>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</si>
  <si>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</si>
  <si>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</si>
  <si>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</si>
  <si>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</si>
  <si>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</si>
  <si>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</si>
  <si>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</si>
  <si>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</si>
  <si>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</si>
  <si>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</si>
  <si>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</si>
  <si>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</si>
  <si>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</si>
  <si>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</si>
  <si>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</si>
  <si>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</si>
  <si>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</si>
  <si>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</si>
  <si>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</si>
  <si>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</si>
  <si>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</si>
  <si>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</si>
  <si>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</si>
  <si>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</si>
  <si>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</si>
  <si>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</si>
  <si>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</si>
  <si>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</si>
  <si>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</si>
  <si>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</si>
  <si>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</si>
  <si>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</si>
  <si>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</si>
  <si>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</si>
  <si>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</si>
  <si>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</si>
  <si>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</si>
  <si>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</si>
  <si>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</si>
  <si>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</si>
  <si>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</si>
  <si>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</si>
  <si>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</si>
  <si>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</si>
  <si>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</si>
  <si>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</si>
  <si>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</si>
  <si>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</si>
  <si>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</si>
  <si>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</si>
  <si>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</si>
  <si>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</si>
  <si>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</si>
  <si>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</si>
  <si>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</si>
  <si>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</si>
  <si>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</si>
  <si>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</si>
  <si>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</si>
  <si>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</si>
  <si>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</si>
  <si>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</si>
  <si>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</si>
  <si>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</si>
  <si>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</si>
  <si>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</si>
  <si>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</si>
  <si>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</si>
  <si>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</si>
  <si>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</si>
  <si>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</si>
  <si>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</si>
  <si>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</si>
  <si>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</si>
  <si>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</si>
  <si>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</si>
  <si>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</si>
  <si>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</si>
  <si>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</si>
  <si>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</si>
  <si>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</si>
  <si>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</si>
  <si>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</si>
  <si>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</si>
  <si>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</si>
  <si>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</si>
  <si>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</si>
  <si>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</si>
  <si>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</si>
  <si>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</si>
  <si>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</si>
  <si>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</si>
  <si>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</si>
  <si>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</si>
  <si>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</si>
  <si>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</si>
  <si>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</si>
  <si>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</si>
  <si>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</si>
  <si>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</si>
  <si>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</si>
  <si>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</si>
  <si>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</si>
  <si>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</si>
  <si>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</si>
  <si>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</si>
  <si>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</si>
  <si>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</si>
  <si>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</si>
  <si>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</si>
  <si>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</si>
  <si>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</si>
  <si>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</si>
  <si>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</si>
  <si>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</si>
  <si>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</si>
  <si>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</si>
  <si>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</si>
  <si>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</si>
  <si>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</si>
  <si>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</si>
  <si>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</si>
  <si>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</si>
  <si>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</si>
  <si>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</si>
  <si>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</si>
  <si>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</si>
  <si>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</si>
  <si>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</si>
  <si>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</si>
  <si>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</si>
  <si>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</si>
  <si>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</si>
  <si>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</si>
  <si>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</si>
  <si>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</si>
  <si>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</si>
  <si>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</si>
  <si>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</si>
  <si>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</si>
  <si>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</si>
  <si>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</si>
  <si>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</si>
  <si>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</si>
  <si>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</si>
  <si>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</si>
  <si>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</si>
  <si>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</si>
  <si>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</si>
  <si>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</si>
  <si>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</si>
  <si>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</si>
  <si>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</si>
  <si>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</si>
  <si>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</si>
  <si>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</si>
  <si>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</si>
  <si>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</si>
  <si>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</si>
  <si>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</si>
  <si>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</si>
  <si>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</si>
  <si>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</si>
  <si>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</si>
  <si>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</si>
  <si>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</si>
  <si>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</si>
  <si>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</si>
  <si>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</si>
  <si>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</si>
  <si>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</si>
  <si>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</si>
  <si>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</si>
  <si>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</si>
  <si>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</si>
  <si>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</si>
  <si>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</si>
  <si>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</si>
  <si>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</si>
  <si>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</si>
  <si>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</si>
  <si>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</si>
  <si>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</si>
  <si>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</si>
  <si>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</si>
  <si>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</si>
  <si>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</si>
  <si>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</si>
  <si>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</si>
  <si>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</si>
  <si>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</si>
  <si>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</si>
  <si>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</si>
  <si>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</si>
  <si>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</si>
  <si>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</si>
  <si>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</si>
  <si>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</si>
  <si>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</si>
  <si>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</si>
  <si>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</si>
  <si>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</si>
  <si>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</si>
  <si>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</si>
  <si>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</si>
  <si>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</si>
  <si>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</si>
  <si>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</si>
  <si>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</si>
  <si>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</si>
  <si>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</si>
  <si>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</si>
  <si>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</si>
  <si>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</si>
  <si>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</si>
  <si>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</si>
  <si>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</si>
  <si>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</si>
  <si>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</si>
  <si>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</si>
  <si>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</si>
  <si>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</si>
  <si>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</si>
  <si>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</si>
  <si>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</si>
  <si>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</si>
  <si>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</si>
  <si>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</si>
  <si>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</si>
  <si>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</si>
  <si>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</si>
  <si>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</si>
  <si>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</si>
  <si>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</si>
  <si>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</si>
  <si>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</si>
  <si>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</si>
  <si>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</si>
  <si>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</si>
  <si>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</si>
  <si>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</si>
  <si>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</si>
  <si>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</si>
  <si>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</si>
  <si>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</si>
  <si>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</si>
  <si>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</si>
  <si>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</si>
  <si>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</si>
  <si>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</si>
  <si>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</si>
  <si>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</si>
  <si>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</si>
  <si>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</si>
  <si>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</si>
  <si>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</si>
  <si>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</si>
  <si>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</si>
  <si>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</si>
  <si>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</si>
  <si>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</si>
  <si>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</si>
  <si>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</si>
  <si>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</si>
  <si>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</si>
  <si>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</si>
  <si>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</si>
  <si>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</si>
  <si>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</si>
  <si>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</si>
  <si>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</si>
  <si>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</si>
  <si>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</si>
  <si>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</si>
  <si>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</si>
  <si>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</si>
  <si>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</si>
  <si>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</si>
  <si>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</si>
  <si>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</si>
  <si>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</si>
  <si>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</si>
  <si>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</si>
  <si>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</si>
  <si>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</si>
  <si>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</si>
  <si>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</si>
  <si>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</si>
  <si>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</si>
  <si>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</si>
  <si>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</si>
  <si>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</si>
  <si>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</si>
  <si>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</si>
  <si>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</si>
  <si>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</si>
  <si>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</si>
  <si>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</si>
  <si>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</si>
  <si>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</si>
  <si>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</si>
  <si>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</si>
  <si>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</si>
  <si>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</si>
  <si>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</si>
  <si>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</si>
  <si>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</si>
  <si>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</si>
  <si>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</si>
  <si>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</si>
  <si>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</si>
  <si>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</si>
  <si>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</si>
  <si>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</si>
  <si>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</si>
  <si>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</si>
  <si>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</si>
  <si>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</si>
  <si>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</si>
  <si>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</si>
  <si>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</si>
  <si>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</si>
  <si>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</si>
  <si>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</si>
  <si>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</si>
  <si>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</si>
  <si>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</si>
  <si>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</si>
  <si>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</si>
  <si>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</si>
  <si>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</si>
  <si>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</si>
  <si>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</si>
  <si>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</si>
  <si>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</si>
  <si>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</si>
  <si>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</si>
  <si>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</si>
  <si>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</si>
  <si>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</si>
  <si>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</si>
  <si>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</si>
  <si>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</si>
  <si>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</si>
  <si>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</si>
  <si>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</si>
  <si>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</si>
  <si>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</si>
  <si>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</si>
  <si>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</si>
  <si>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</si>
  <si>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</si>
  <si>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</si>
  <si>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</si>
  <si>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</si>
  <si>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</si>
  <si>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</si>
  <si>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</si>
  <si>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</si>
  <si>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</si>
  <si>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</si>
  <si>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</si>
  <si>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</si>
  <si>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</si>
  <si>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</si>
  <si>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</si>
  <si>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</si>
  <si>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</si>
  <si>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</si>
  <si>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</si>
  <si>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</si>
  <si>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</si>
  <si>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</si>
  <si>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</si>
  <si>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</si>
  <si>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</si>
  <si>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</si>
  <si>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</si>
  <si>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</si>
  <si>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</si>
  <si>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</si>
  <si>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</si>
  <si>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</si>
  <si>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</si>
  <si>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</si>
  <si>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</si>
  <si>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</si>
  <si>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</si>
  <si>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</si>
  <si>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</si>
  <si>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</si>
  <si>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</si>
  <si>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</si>
  <si>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</si>
  <si>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</si>
  <si>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</si>
  <si>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</si>
  <si>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</si>
  <si>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</si>
  <si>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</si>
  <si>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</si>
  <si>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</si>
  <si>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</si>
  <si>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</si>
  <si>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</si>
  <si>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</si>
  <si>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</si>
  <si>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</si>
  <si>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</si>
  <si>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</si>
  <si>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</si>
  <si>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</si>
  <si>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</si>
  <si>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</si>
  <si>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</si>
  <si>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</si>
  <si>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</si>
  <si>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</si>
  <si>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</si>
  <si>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</si>
  <si>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</si>
  <si>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</si>
  <si>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</si>
  <si>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</si>
  <si>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</si>
  <si>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</si>
  <si>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</si>
  <si>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</si>
  <si>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</si>
  <si>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</si>
  <si>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</si>
  <si>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</si>
  <si>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</si>
  <si>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</si>
  <si>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</si>
  <si>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</si>
  <si>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</si>
  <si>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</si>
  <si>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</si>
  <si>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</si>
  <si>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</si>
  <si>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</si>
  <si>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</si>
  <si>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</si>
  <si>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</si>
  <si>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</si>
  <si>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</si>
  <si>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</si>
  <si>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</si>
  <si>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</si>
  <si>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</si>
  <si>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</si>
  <si>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</si>
  <si>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</si>
  <si>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</si>
  <si>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</si>
  <si>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</si>
  <si>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</si>
  <si>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</si>
  <si>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</si>
  <si>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</si>
  <si>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</si>
  <si>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</si>
  <si>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</si>
  <si>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</si>
  <si>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</si>
  <si>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</si>
  <si>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</si>
  <si>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</si>
  <si>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</si>
  <si>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</si>
  <si>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</si>
  <si>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</si>
  <si>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</si>
  <si>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</si>
  <si>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</si>
  <si>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</si>
  <si>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</si>
  <si>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</si>
  <si>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</si>
  <si>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</si>
  <si>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</si>
  <si>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</si>
  <si>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</si>
  <si>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</si>
  <si>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</si>
  <si>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</si>
  <si>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</si>
  <si>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</si>
  <si>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</si>
  <si>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</si>
  <si>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</si>
  <si>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</si>
  <si>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</si>
  <si>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</si>
  <si>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</si>
  <si>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</si>
  <si>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</si>
  <si>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</si>
  <si>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</si>
  <si>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</si>
  <si>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</si>
  <si>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</si>
  <si>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</si>
  <si>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</si>
  <si>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</si>
  <si>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</si>
  <si>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</si>
  <si>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</si>
  <si>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</si>
  <si>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</si>
  <si>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</si>
  <si>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</si>
  <si>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</si>
  <si>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</si>
  <si>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</si>
  <si>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</si>
  <si>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</si>
  <si>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</si>
  <si>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</si>
  <si>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</si>
  <si>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</si>
  <si>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</si>
  <si>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</si>
  <si>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</si>
  <si>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</si>
  <si>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</si>
  <si>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</si>
  <si>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</si>
  <si>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</si>
  <si>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</si>
  <si>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</si>
  <si>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</si>
  <si>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</si>
  <si>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</si>
  <si>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</si>
  <si>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</si>
  <si>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</si>
  <si>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</si>
  <si>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</si>
  <si>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</si>
  <si>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</si>
  <si>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</si>
  <si>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</si>
  <si>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</si>
  <si>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</si>
  <si>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</si>
  <si>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</si>
  <si>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</si>
  <si>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</si>
  <si>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</si>
  <si>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</si>
  <si>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</si>
  <si>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</si>
  <si>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</si>
  <si>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</si>
  <si>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</si>
  <si>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</si>
  <si>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</si>
  <si>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</si>
  <si>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</si>
  <si>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</si>
  <si>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</si>
  <si>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</si>
  <si>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</si>
  <si>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</si>
  <si>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</si>
  <si>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</si>
  <si>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</si>
  <si>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</si>
  <si>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</si>
  <si>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</si>
  <si>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</si>
  <si>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</si>
  <si>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</si>
  <si>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</si>
  <si>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</si>
  <si>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</si>
  <si>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</si>
  <si>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</si>
  <si>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</si>
  <si>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</si>
  <si>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</si>
  <si>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</si>
  <si>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</si>
  <si>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</si>
  <si>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</si>
  <si>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</si>
  <si>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</si>
  <si>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</si>
  <si>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</si>
  <si>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</si>
  <si>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</si>
  <si>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</si>
  <si>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</si>
  <si>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</si>
  <si>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</si>
  <si>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</si>
  <si>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</si>
  <si>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</si>
  <si>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</si>
  <si>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</si>
  <si>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</si>
  <si>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</si>
  <si>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</si>
  <si>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</si>
  <si>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</si>
  <si>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</si>
  <si>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</si>
  <si>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</si>
  <si>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</si>
  <si>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</si>
  <si>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</si>
  <si>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</si>
  <si>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</si>
  <si>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</si>
  <si>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</si>
  <si>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</si>
  <si>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</si>
  <si>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</si>
  <si>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</si>
  <si>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</si>
  <si>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</si>
  <si>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</si>
  <si>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</si>
  <si>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</si>
  <si>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</si>
  <si>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</si>
  <si>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</si>
  <si>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</si>
  <si>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</si>
  <si>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</si>
  <si>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</si>
  <si>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</si>
  <si>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</si>
  <si>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</si>
  <si>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</si>
  <si>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</si>
  <si>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</si>
  <si>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</si>
  <si>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</si>
  <si>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</si>
  <si>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</si>
  <si>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</si>
  <si>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</si>
  <si>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</si>
  <si>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</si>
  <si>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</si>
  <si>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</si>
  <si>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</si>
  <si>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</si>
  <si>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</si>
  <si>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</si>
  <si>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</si>
  <si>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</si>
  <si>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</si>
  <si>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</si>
  <si>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</si>
  <si>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</si>
  <si>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</si>
  <si>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</si>
  <si>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</si>
  <si>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</si>
  <si>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</si>
  <si>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</si>
  <si>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</si>
  <si>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</si>
  <si>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</si>
  <si>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</si>
  <si>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</si>
  <si>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</si>
  <si>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</si>
  <si>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</si>
  <si>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</si>
  <si>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</si>
  <si>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</si>
  <si>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</si>
  <si>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</si>
  <si>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</si>
  <si>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</si>
  <si>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</si>
  <si>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</si>
  <si>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</si>
  <si>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</si>
  <si>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</si>
  <si>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</si>
  <si>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</si>
  <si>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</si>
  <si>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</si>
  <si>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</si>
  <si>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</si>
  <si>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</si>
  <si>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</si>
  <si>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</si>
  <si>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</si>
  <si>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</si>
  <si>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</si>
  <si>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</si>
  <si>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</si>
  <si>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</si>
  <si>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</si>
  <si>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</si>
  <si>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</si>
  <si>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</si>
  <si>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</si>
  <si>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</si>
  <si>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</si>
  <si>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</si>
  <si>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</si>
  <si>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</si>
  <si>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</si>
  <si>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</si>
  <si>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</si>
  <si>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</si>
  <si>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</si>
  <si>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</si>
  <si>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</si>
  <si>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</si>
  <si>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</si>
  <si>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</si>
  <si>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</si>
  <si>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</si>
  <si>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</si>
  <si>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</si>
  <si>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</si>
  <si>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</si>
  <si>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</si>
  <si>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</si>
  <si>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</si>
  <si>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</si>
  <si>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</si>
  <si>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</si>
  <si>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</si>
  <si>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</si>
  <si>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</si>
  <si>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</si>
  <si>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</si>
  <si>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</si>
  <si>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</si>
  <si>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</si>
  <si>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</si>
  <si>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</si>
  <si>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</si>
  <si>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</si>
  <si>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</si>
  <si>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</si>
  <si>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</si>
  <si>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</si>
  <si>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</si>
  <si>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</si>
  <si>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</si>
  <si>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</si>
  <si>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</si>
  <si>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</si>
  <si>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</si>
  <si>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</si>
  <si>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</si>
  <si>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</si>
  <si>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</si>
  <si>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</si>
  <si>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</si>
  <si>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</si>
  <si>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</si>
  <si>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</si>
  <si>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</si>
  <si>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</si>
  <si>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</si>
  <si>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</si>
  <si>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</si>
  <si>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</si>
  <si>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</si>
  <si>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</si>
  <si>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</si>
  <si>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</si>
  <si>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</si>
  <si>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</si>
  <si>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</si>
  <si>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</si>
  <si>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</si>
  <si>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</si>
  <si>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</si>
  <si>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</si>
  <si>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</si>
  <si>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</si>
  <si>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</si>
  <si>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</si>
  <si>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</si>
  <si>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</si>
  <si>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</si>
  <si>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</si>
  <si>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</si>
  <si>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</si>
  <si>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</si>
  <si>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</si>
  <si>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</si>
  <si>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</si>
  <si>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</si>
  <si>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</si>
  <si>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</si>
  <si>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</si>
  <si>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</si>
  <si>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</si>
  <si>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</si>
  <si>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</si>
  <si>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</si>
  <si>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</si>
  <si>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</si>
  <si>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</si>
  <si>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</si>
  <si>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</si>
  <si>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</si>
  <si>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</si>
  <si>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</si>
  <si>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</si>
  <si>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</si>
  <si>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</si>
  <si>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</si>
  <si>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</si>
  <si>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</si>
  <si>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</si>
  <si>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</si>
  <si>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</si>
  <si>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</si>
  <si>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</si>
  <si>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</si>
  <si>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</si>
  <si>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</si>
  <si>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</si>
  <si>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</si>
  <si>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</si>
  <si>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</si>
  <si>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</si>
  <si>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</si>
  <si>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</si>
  <si>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</si>
  <si>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</si>
  <si>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</si>
  <si>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</si>
  <si>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</si>
  <si>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</si>
  <si>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</si>
  <si>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</si>
  <si>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</si>
  <si>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</si>
  <si>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</si>
  <si>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</si>
  <si>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</si>
  <si>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</si>
  <si>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</si>
  <si>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</si>
  <si>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</si>
  <si>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</si>
  <si>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</si>
  <si>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</si>
  <si>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</si>
  <si>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</si>
  <si>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</si>
  <si>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</si>
  <si>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</si>
  <si>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</si>
  <si>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</si>
  <si>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</si>
  <si>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</si>
  <si>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</si>
  <si>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</si>
  <si>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</si>
  <si>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</si>
  <si>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</si>
  <si>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</si>
  <si>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</si>
  <si>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</si>
  <si>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</si>
  <si>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</si>
  <si>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</si>
  <si>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</si>
  <si>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</si>
  <si>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</si>
  <si>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</si>
  <si>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</si>
  <si>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</si>
  <si>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</si>
  <si>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</si>
  <si>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</si>
  <si>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</si>
  <si>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</si>
  <si>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</si>
  <si>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</si>
  <si>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</si>
  <si>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</si>
  <si>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</si>
  <si>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</si>
  <si>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</si>
  <si>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</si>
  <si>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</si>
  <si>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</si>
  <si>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</si>
  <si>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</si>
  <si>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</si>
  <si>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</si>
  <si>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</si>
  <si>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</si>
  <si>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</si>
  <si>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</si>
  <si>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</si>
  <si>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</si>
  <si>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</si>
  <si>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</si>
  <si>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</si>
  <si>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</si>
  <si>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</si>
  <si>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</si>
  <si>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</si>
  <si>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</si>
  <si>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</si>
  <si>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</si>
  <si>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</si>
  <si>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</si>
  <si>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</si>
  <si>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</si>
  <si>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</si>
  <si>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</si>
  <si>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</si>
  <si>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</si>
  <si>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</si>
  <si>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</si>
  <si>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</si>
  <si>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</si>
  <si>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</si>
  <si>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</si>
  <si>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</si>
  <si>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</si>
  <si>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</si>
  <si>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</si>
  <si>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</si>
  <si>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</si>
  <si>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</si>
  <si>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</si>
  <si>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</si>
  <si>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</si>
  <si>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</si>
  <si>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</si>
  <si>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</si>
  <si>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</si>
  <si>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</si>
  <si>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</si>
  <si>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</si>
  <si>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</si>
  <si>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</si>
  <si>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</si>
  <si>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</si>
  <si>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</si>
  <si>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</si>
  <si>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</si>
  <si>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</si>
  <si>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</si>
  <si>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</si>
  <si>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</si>
  <si>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</si>
  <si>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</si>
  <si>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</si>
  <si>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</si>
  <si>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</si>
  <si>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</si>
  <si>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</si>
  <si>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</si>
  <si>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</si>
  <si>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</si>
  <si>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</si>
  <si>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</si>
  <si>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</si>
  <si>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</si>
  <si>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</si>
  <si>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</si>
  <si>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</si>
  <si>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</si>
  <si>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</si>
  <si>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</si>
  <si>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</si>
  <si>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</si>
  <si>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</si>
  <si>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</si>
  <si>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</si>
  <si>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</si>
  <si>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</si>
  <si>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</si>
  <si>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</si>
  <si>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</si>
  <si>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</si>
  <si>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</si>
  <si>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</si>
  <si>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</si>
  <si>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</si>
  <si>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</si>
  <si>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</si>
  <si>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</si>
  <si>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</si>
  <si>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</si>
  <si>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</si>
  <si>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</si>
  <si>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</si>
  <si>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</si>
  <si>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</si>
  <si>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</si>
  <si>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</si>
  <si>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</si>
  <si>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</si>
  <si>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</si>
  <si>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</si>
  <si>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</si>
  <si>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</si>
  <si>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</si>
  <si>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</si>
  <si>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</si>
  <si>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</si>
  <si>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</si>
  <si>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</si>
  <si>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</si>
  <si>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</si>
  <si>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</si>
  <si>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</si>
  <si>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</si>
  <si>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</si>
  <si>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</si>
  <si>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</si>
  <si>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</si>
  <si>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</si>
  <si>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</si>
  <si>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</si>
  <si>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</si>
  <si>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</si>
  <si>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</si>
  <si>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</si>
  <si>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</si>
  <si>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</si>
  <si>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</si>
  <si>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</si>
  <si>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</si>
  <si>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</si>
  <si>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</si>
  <si>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</si>
  <si>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</si>
  <si>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</si>
  <si>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</si>
  <si>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</si>
  <si>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</si>
  <si>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</si>
  <si>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</si>
  <si>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</si>
  <si>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</si>
  <si>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</si>
  <si>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</si>
  <si>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</si>
  <si>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</si>
  <si>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</si>
  <si>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</si>
  <si>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</si>
  <si>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</si>
  <si>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</si>
  <si>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</si>
  <si>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</si>
  <si>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</si>
  <si>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</si>
  <si>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</si>
  <si>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</si>
  <si>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</si>
  <si>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</si>
  <si>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</si>
  <si>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</si>
  <si>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</si>
  <si>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</si>
  <si>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</si>
  <si>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</si>
  <si>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</si>
  <si>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</si>
  <si>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</si>
  <si>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</si>
  <si>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</si>
  <si>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</si>
  <si>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</si>
  <si>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</si>
  <si>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</si>
  <si>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</si>
  <si>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</si>
  <si>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</si>
  <si>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</si>
  <si>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</si>
  <si>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</si>
  <si>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</si>
  <si>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</si>
  <si>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</si>
  <si>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</si>
  <si>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</si>
  <si>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</si>
  <si>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</si>
  <si>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</si>
  <si>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</si>
  <si>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</si>
  <si>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</si>
  <si>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</si>
  <si>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</si>
  <si>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</si>
  <si>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</si>
  <si>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</si>
  <si>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</si>
  <si>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</si>
  <si>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</si>
  <si>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</si>
  <si>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</si>
  <si>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</si>
  <si>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</si>
  <si>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</si>
  <si>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</si>
  <si>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</si>
  <si>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</si>
  <si>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</si>
  <si>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</si>
  <si>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</si>
  <si>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</si>
  <si>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</si>
  <si>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</si>
  <si>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</si>
  <si>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</si>
  <si>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</si>
  <si>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</si>
  <si>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</si>
  <si>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</si>
  <si>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</si>
  <si>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</si>
  <si>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</si>
  <si>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</si>
  <si>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</si>
  <si>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</si>
  <si>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</si>
  <si>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</si>
  <si>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</si>
  <si>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</si>
  <si>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</si>
  <si>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</si>
  <si>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</si>
  <si>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</si>
  <si>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</si>
  <si>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</si>
  <si>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</si>
  <si>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</si>
  <si>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</si>
  <si>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</si>
  <si>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</si>
  <si>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</si>
  <si>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</si>
  <si>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</si>
  <si>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</si>
  <si>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</si>
  <si>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</si>
  <si>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</si>
  <si>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</si>
  <si>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</si>
  <si>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</si>
  <si>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</si>
  <si>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</si>
  <si>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</si>
  <si>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</si>
  <si>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</si>
  <si>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</si>
  <si>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</si>
  <si>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</si>
  <si>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</si>
  <si>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</si>
  <si>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</si>
  <si>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</si>
  <si>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</si>
  <si>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</si>
  <si>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</si>
  <si>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</si>
  <si>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</si>
  <si>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</si>
  <si>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</si>
  <si>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</si>
  <si>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</si>
  <si>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</si>
  <si>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</si>
  <si>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</si>
  <si>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</si>
  <si>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</si>
  <si>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</si>
  <si>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</si>
  <si>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</si>
  <si>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</si>
  <si>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</si>
  <si>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</si>
  <si>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</si>
  <si>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</si>
  <si>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</si>
  <si>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</si>
  <si>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</si>
  <si>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</si>
  <si>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</si>
  <si>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</si>
  <si>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</si>
  <si>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</si>
  <si>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</si>
  <si>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</si>
  <si>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</si>
  <si>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</si>
  <si>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</si>
  <si>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</si>
  <si>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</si>
  <si>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</si>
  <si>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</si>
  <si>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</si>
  <si>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</si>
  <si>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</si>
  <si>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</si>
  <si>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</si>
  <si>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</si>
  <si>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</si>
  <si>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</si>
  <si>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</si>
  <si>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</si>
  <si>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</si>
  <si>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</si>
  <si>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</si>
  <si>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</si>
  <si>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</si>
  <si>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</si>
  <si>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</si>
  <si>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</si>
  <si>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</si>
  <si>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</si>
  <si>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</si>
  <si>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</si>
  <si>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</si>
  <si>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</si>
  <si>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</si>
  <si>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</si>
  <si>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</si>
  <si>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</si>
  <si>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</si>
  <si>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</si>
  <si>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</si>
  <si>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</si>
  <si>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</si>
  <si>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</si>
  <si>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</si>
  <si>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</si>
  <si>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</si>
  <si>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</si>
  <si>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</si>
  <si>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</si>
  <si>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</si>
  <si>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</si>
  <si>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</si>
  <si>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</si>
  <si>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</si>
  <si>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</si>
  <si>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</si>
  <si>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</si>
  <si>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</si>
  <si>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</si>
  <si>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</si>
  <si>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</si>
  <si>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</si>
  <si>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</si>
  <si>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</si>
  <si>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</si>
  <si>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</si>
  <si>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</si>
  <si>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</si>
  <si>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</si>
  <si>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</si>
  <si>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</si>
  <si>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</si>
  <si>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</si>
  <si>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</si>
  <si>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</si>
  <si>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</si>
  <si>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</si>
  <si>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</si>
  <si>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</si>
  <si>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</si>
  <si>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</si>
  <si>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</si>
  <si>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</si>
  <si>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</si>
  <si>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</si>
  <si>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</si>
  <si>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</si>
  <si>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</si>
  <si>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</si>
  <si>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</si>
  <si>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</si>
  <si>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</si>
  <si>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</si>
  <si>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</si>
  <si>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</si>
  <si>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</si>
  <si>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</si>
  <si>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</si>
  <si>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</si>
  <si>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</si>
  <si>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</si>
  <si>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</si>
  <si>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</si>
  <si>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</si>
  <si>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</si>
  <si>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</si>
  <si>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</si>
  <si>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</si>
  <si>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</si>
  <si>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</si>
  <si>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</si>
  <si>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</si>
  <si>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</si>
  <si>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</si>
  <si>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</si>
  <si>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</si>
  <si>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</si>
  <si>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</si>
  <si>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</si>
  <si>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</si>
  <si>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</si>
  <si>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</si>
  <si>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</si>
  <si>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</si>
  <si>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</si>
  <si>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</si>
  <si>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</si>
  <si>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</si>
  <si>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</si>
  <si>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hades_ll---tabletop_tavern</t>
  </si>
  <si>
    <t>balatro---tabletop_tavern</t>
  </si>
  <si>
    <t>into_the_breach---dungeon_deathball</t>
  </si>
  <si>
    <t>https://www.youtube.com/watch?v=k0nC4o912Ys</t>
  </si>
  <si>
    <t>https://www.gamebanshee.com/news/104059-dungeons-of-dredmor-review-interview-and-patch-update.html</t>
  </si>
  <si>
    <t>dwarf_fortress---dungeons_of_dredmor</t>
  </si>
  <si>
    <t>linley's_crawl---dungeons_of_dredmor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</si>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</sst>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24</c:v>
                </c:pt>
                <c:pt idx="41">
                  <c:v>39</c:v>
                </c:pt>
                <c:pt idx="42">
                  <c:v>51</c:v>
                </c:pt>
                <c:pt idx="43">
                  <c:v>44</c:v>
                </c:pt>
                <c:pt idx="44">
                  <c:v>70</c:v>
                </c:pt>
                <c:pt idx="45">
                  <c:v>97</c:v>
                </c:pt>
                <c:pt idx="46">
                  <c:v>101</c:v>
                </c:pt>
                <c:pt idx="47">
                  <c:v>155</c:v>
                </c:pt>
                <c:pt idx="48">
                  <c:v>110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17</c:v>
                </c:pt>
                <c:pt idx="41">
                  <c:v>27</c:v>
                </c:pt>
                <c:pt idx="42">
                  <c:v>43</c:v>
                </c:pt>
                <c:pt idx="43">
                  <c:v>38</c:v>
                </c:pt>
                <c:pt idx="44">
                  <c:v>57</c:v>
                </c:pt>
                <c:pt idx="45">
                  <c:v>78</c:v>
                </c:pt>
                <c:pt idx="46">
                  <c:v>60</c:v>
                </c:pt>
                <c:pt idx="47">
                  <c:v>80</c:v>
                </c:pt>
                <c:pt idx="48">
                  <c:v>19</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3</c:v>
                </c:pt>
                <c:pt idx="6">
                  <c:v>6</c:v>
                </c:pt>
                <c:pt idx="7">
                  <c:v>0</c:v>
                </c:pt>
                <c:pt idx="8">
                  <c:v>1</c:v>
                </c:pt>
                <c:pt idx="9">
                  <c:v>38</c:v>
                </c:pt>
                <c:pt idx="10">
                  <c:v>0</c:v>
                </c:pt>
                <c:pt idx="11">
                  <c:v>0</c:v>
                </c:pt>
                <c:pt idx="12">
                  <c:v>12</c:v>
                </c:pt>
                <c:pt idx="13">
                  <c:v>2</c:v>
                </c:pt>
                <c:pt idx="14">
                  <c:v>2</c:v>
                </c:pt>
                <c:pt idx="15">
                  <c:v>22</c:v>
                </c:pt>
                <c:pt idx="16">
                  <c:v>21</c:v>
                </c:pt>
                <c:pt idx="17">
                  <c:v>14</c:v>
                </c:pt>
                <c:pt idx="18">
                  <c:v>30</c:v>
                </c:pt>
                <c:pt idx="19">
                  <c:v>4</c:v>
                </c:pt>
                <c:pt idx="20">
                  <c:v>12</c:v>
                </c:pt>
                <c:pt idx="21">
                  <c:v>2</c:v>
                </c:pt>
                <c:pt idx="22">
                  <c:v>4</c:v>
                </c:pt>
                <c:pt idx="23">
                  <c:v>3</c:v>
                </c:pt>
                <c:pt idx="24">
                  <c:v>11</c:v>
                </c:pt>
                <c:pt idx="25">
                  <c:v>4</c:v>
                </c:pt>
                <c:pt idx="26">
                  <c:v>0</c:v>
                </c:pt>
                <c:pt idx="27">
                  <c:v>7</c:v>
                </c:pt>
                <c:pt idx="28">
                  <c:v>18</c:v>
                </c:pt>
                <c:pt idx="29">
                  <c:v>4</c:v>
                </c:pt>
                <c:pt idx="30">
                  <c:v>46</c:v>
                </c:pt>
                <c:pt idx="31">
                  <c:v>9</c:v>
                </c:pt>
                <c:pt idx="32">
                  <c:v>21</c:v>
                </c:pt>
                <c:pt idx="33">
                  <c:v>78</c:v>
                </c:pt>
                <c:pt idx="34">
                  <c:v>45</c:v>
                </c:pt>
                <c:pt idx="35">
                  <c:v>37</c:v>
                </c:pt>
                <c:pt idx="36">
                  <c:v>15</c:v>
                </c:pt>
                <c:pt idx="37">
                  <c:v>79</c:v>
                </c:pt>
                <c:pt idx="38">
                  <c:v>38</c:v>
                </c:pt>
                <c:pt idx="39">
                  <c:v>158</c:v>
                </c:pt>
                <c:pt idx="40">
                  <c:v>75</c:v>
                </c:pt>
                <c:pt idx="41">
                  <c:v>103</c:v>
                </c:pt>
                <c:pt idx="42">
                  <c:v>61</c:v>
                </c:pt>
                <c:pt idx="43">
                  <c:v>176</c:v>
                </c:pt>
                <c:pt idx="44">
                  <c:v>78</c:v>
                </c:pt>
                <c:pt idx="45">
                  <c:v>95</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326</c:v>
                </c:pt>
                <c:pt idx="2">
                  <c:v>209</c:v>
                </c:pt>
                <c:pt idx="3">
                  <c:v>133</c:v>
                </c:pt>
                <c:pt idx="4">
                  <c:v>63</c:v>
                </c:pt>
                <c:pt idx="5">
                  <c:v>30</c:v>
                </c:pt>
                <c:pt idx="6">
                  <c:v>41</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198</c:v>
                </c:pt>
                <c:pt idx="2">
                  <c:v>120</c:v>
                </c:pt>
                <c:pt idx="3">
                  <c:v>93</c:v>
                </c:pt>
                <c:pt idx="4">
                  <c:v>40</c:v>
                </c:pt>
                <c:pt idx="5">
                  <c:v>14</c:v>
                </c:pt>
                <c:pt idx="6">
                  <c:v>32</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388</c:v>
                </c:pt>
                <c:pt idx="1">
                  <c:v>158</c:v>
                </c:pt>
                <c:pt idx="2">
                  <c:v>186</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261</c:v>
                </c:pt>
                <c:pt idx="1">
                  <c:v>101</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158</c:v>
                </c:pt>
                <c:pt idx="1">
                  <c:v>96</c:v>
                </c:pt>
                <c:pt idx="2">
                  <c:v>80</c:v>
                </c:pt>
                <c:pt idx="3">
                  <c:v>70</c:v>
                </c:pt>
                <c:pt idx="4">
                  <c:v>61</c:v>
                </c:pt>
                <c:pt idx="5">
                  <c:v>45</c:v>
                </c:pt>
                <c:pt idx="6">
                  <c:v>44</c:v>
                </c:pt>
                <c:pt idx="7">
                  <c:v>36</c:v>
                </c:pt>
                <c:pt idx="8">
                  <c:v>35</c:v>
                </c:pt>
                <c:pt idx="9">
                  <c:v>34</c:v>
                </c:pt>
                <c:pt idx="10">
                  <c:v>31</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158</c:v>
                </c:pt>
                <c:pt idx="1">
                  <c:v>96</c:v>
                </c:pt>
                <c:pt idx="2">
                  <c:v>80</c:v>
                </c:pt>
                <c:pt idx="3">
                  <c:v>70</c:v>
                </c:pt>
                <c:pt idx="4">
                  <c:v>61</c:v>
                </c:pt>
                <c:pt idx="5">
                  <c:v>45</c:v>
                </c:pt>
                <c:pt idx="6">
                  <c:v>44</c:v>
                </c:pt>
                <c:pt idx="7">
                  <c:v>36</c:v>
                </c:pt>
                <c:pt idx="8">
                  <c:v>35</c:v>
                </c:pt>
                <c:pt idx="9">
                  <c:v>34</c:v>
                </c:pt>
                <c:pt idx="10">
                  <c:v>31</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13</c:v>
                </c:pt>
                <c:pt idx="1">
                  <c:v>111</c:v>
                </c:pt>
                <c:pt idx="2">
                  <c:v>177</c:v>
                </c:pt>
                <c:pt idx="3">
                  <c:v>166</c:v>
                </c:pt>
                <c:pt idx="4">
                  <c:v>161</c:v>
                </c:pt>
                <c:pt idx="5">
                  <c:v>137</c:v>
                </c:pt>
                <c:pt idx="6">
                  <c:v>104</c:v>
                </c:pt>
                <c:pt idx="7">
                  <c:v>97</c:v>
                </c:pt>
                <c:pt idx="8">
                  <c:v>76</c:v>
                </c:pt>
                <c:pt idx="9">
                  <c:v>68</c:v>
                </c:pt>
                <c:pt idx="10">
                  <c:v>33</c:v>
                </c:pt>
                <c:pt idx="11">
                  <c:v>149</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2026</c:v>
                </c:pt>
                <c:pt idx="897">
                  <c:v>#N/A</c:v>
                </c:pt>
                <c:pt idx="898">
                  <c:v>2026</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1.3220000000000001</c:v>
                </c:pt>
                <c:pt idx="898">
                  <c:v>#N/A</c:v>
                </c:pt>
                <c:pt idx="899">
                  <c:v>1.3679999999999999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2024</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2.2989999999999999</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2018</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4.3449999999999998</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00" totalsRowShown="0">
  <autoFilter ref="A1:J900"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496" totalsRowShown="0">
  <autoFilter ref="A1:G1496" xr:uid="{00000000-0009-0000-0100-000002000000}"/>
  <sortState xmlns:xlrd2="http://schemas.microsoft.com/office/spreadsheetml/2017/richdata2" ref="A2:F1471">
    <sortCondition ref="B1440:B1471"/>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table" Target="../tables/table1.xm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80.lv/articles/making-hack-and-slash-action-rpg-voin-as-solo-developer" TargetMode="External"/><Relationship Id="rId769" Type="http://schemas.openxmlformats.org/officeDocument/2006/relationships/hyperlink" Target="https://cliqist.com/2015/01/30/children-morta-interview/"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store.steampowered.com/app/2113040/RUNGORE/" TargetMode="External"/><Relationship Id="rId629" Type="http://schemas.openxmlformats.org/officeDocument/2006/relationships/hyperlink" Target="https://steamcommunity.com/app/2563800/discussions/0/4756451565242385846/"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design/road-to-the-igf-spry-fox-s-and-wild-shadow-studios-i-realm-of-the-mad-god-i-"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kickstarter.com/projects/hibernian-workshop/astral-ascent"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screenhype.co.uk/undermine-2-interview-thorium-entertainment-exclusiv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en.touhouwiki.net/wiki/Touhou:_Lost_Branch_of_Legend%20%20(also%20just%20look%20at%20i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u78c4e/2_years_later_my_solo_pinball_roguelike_project/" TargetMode="External"/><Relationship Id="rId847" Type="http://schemas.openxmlformats.org/officeDocument/2006/relationships/hyperlink" Target="https://itch.io/t/9805/immortal-redneck-the-definitive-redneck-fps-roguelite"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caifuhao.eastmoney.com/news/20260725235351583816280"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www.gamedeveloper.com/business/i-am-overburdened-recap-and-numb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gamerant.com/lone-ruin-interview-roguelike-indie-game-design-inspirations-visuals-coding/"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roguebasin.com/index.php/Haque" TargetMode="External"/><Relationship Id="rId858" Type="http://schemas.openxmlformats.org/officeDocument/2006/relationships/hyperlink" Target="https://spacemyfriend.itch.io/cavity-busters" TargetMode="External"/><Relationship Id="rId497" Type="http://schemas.openxmlformats.org/officeDocument/2006/relationships/hyperlink" Target="https://www.gamespress.com/Die-For-The-Lich-is-coming-to-Early-Access-on-November-10th-2025" TargetMode="External"/><Relationship Id="rId620" Type="http://schemas.openxmlformats.org/officeDocument/2006/relationships/hyperlink" Target="https://youtu.be/G_Oc86mFc8A"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youtube.com/watch?v=cX-tottt9i0"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monstervine.com/ic/IC-LR-Interview.mp3"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steamcommunity.com/app/1425000/discussions/0/595137684887848950/" TargetMode="External"/><Relationship Id="rId631" Type="http://schemas.openxmlformats.org/officeDocument/2006/relationships/hyperlink" Target="https://www.terribleposture.com/tower-of-guns/"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roguebasin.com/index.php/ZMAngband"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zenorogue.blogspot.com/search/label/sources" TargetMode="External"/><Relationship Id="rId575" Type="http://schemas.openxmlformats.org/officeDocument/2006/relationships/hyperlink" Target="https://www.reddit.com/r/nintendo/comments/691a58/we_are_team_tumbleseed_and_we_launched_tumbleseed/"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honestgamers.com/15273/game-boy/cave-noire/review.html%20(not%20an%20actual%20source,%20just%20an%20informed%20speculation)" TargetMode="External"/><Relationship Id="rId642" Type="http://schemas.openxmlformats.org/officeDocument/2006/relationships/hyperlink" Target="https://www.dualshockers.com/touhou-genso-wanderer-interview-director-jyunya-talks-about-the-best-rouge-like-game-in-japan/"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www.reddit.com/r/NintendoSwitch/comments/trax0e/hi_im_the_developer_of_for_the_warp_a_scifi/"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reddit.com/r/WazHack/comments/2dgp8s/question_is_wazhack_based_of_of_nethack/" TargetMode="External"/><Relationship Id="rId586" Type="http://schemas.openxmlformats.org/officeDocument/2006/relationships/hyperlink" Target="https://www.youtube.com/watch?v=JXv8hQguGCI"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www.roguebasin.com/index.php/Sword_of_the_Stars:_The_Pit" TargetMode="External"/><Relationship Id="rId653" Type="http://schemas.openxmlformats.org/officeDocument/2006/relationships/hyperlink" Target="https://x.com/ArturSmiarowski/status/1870390372389597210"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www.quartertothree.com/fp/2013/07/30/ten-things-you-should-know-about-sunless-sea/"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x.com/imgame_official/status/1925464077654249724" TargetMode="External"/><Relationship Id="rId597" Type="http://schemas.openxmlformats.org/officeDocument/2006/relationships/hyperlink" Target="https://www.reddit.com/r/IAmA/comments/4po4pn/i_am_the_developer_of_20xx_the_megaman_xinspired/"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www.reddit.com/r/roguelites/comments/m2341u/space_gladiators_my_isaac_inspired_grotesque/" TargetMode="External"/><Relationship Id="rId664" Type="http://schemas.openxmlformats.org/officeDocument/2006/relationships/hyperlink" Target="https://www.reddit.com/r/shmups/comments/y3uhl5/i_just_released_my_game_icewall_an_action/" TargetMode="External"/><Relationship Id="rId871" Type="http://schemas.openxmlformats.org/officeDocument/2006/relationships/hyperlink" Target="https://steamcommunity.com/games/981430/announcements/detail/3728349046587300862"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x.com/brainoidgames/status/1925653290278121609"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s://roguebasin.com/index.php/LambdaRogue" TargetMode="External"/><Relationship Id="rId829" Type="http://schemas.openxmlformats.org/officeDocument/2006/relationships/hyperlink" Target="https://www.gamespark.jp/article/2025/12/23/160936.html"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youtube.com/watch?v=9fxnPkfyHuA" TargetMode="External"/><Relationship Id="rId675" Type="http://schemas.openxmlformats.org/officeDocument/2006/relationships/hyperlink" Target="https://roguebasin.com/index.php/PernAngband"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www.reddit.com/r/slaythespire/comments/1g25q6g/design_lessons_from_sts_or_how_i_got_inspired_to/"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steamcommunity.com/app/3808690/discussions/0/574921459914426009/" TargetMode="External"/><Relationship Id="rId602" Type="http://schemas.openxmlformats.org/officeDocument/2006/relationships/hyperlink" Target="https://steamcommunity.com/app/1734320/discussions/0/598515896185532848/"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gamingonlinux.com/2024/07/bite-sized-roguelike-tower-defense-game-bella-wants-blood-releases-july-24/"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www.reddit.com/r/Games/comments/w6vkdf/tape_to_tape_a_roguelite_hockey_gam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mcvuk.com/business-news/when-we-made-wildfrost/"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app/2902440/Steves_Warehouse_Physics_Roguelike_Chaos/" TargetMode="External"/><Relationship Id="rId392" Type="http://schemas.openxmlformats.org/officeDocument/2006/relationships/hyperlink" Target="https://www.reddit.com/r/Games/comments/ziyl7m/this_is_alchemy_sheep_the_studio_behind_a/" TargetMode="External"/><Relationship Id="rId613" Type="http://schemas.openxmlformats.org/officeDocument/2006/relationships/hyperlink" Target="https://x.com/MasksOfTheVoid/status/2084174185505448157?s=2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732090/announcements/detail/3328736922033412095"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x.com/cleanfallgame/status/1958500517597876299?s=20" TargetMode="External"/><Relationship Id="rId764" Type="http://schemas.openxmlformats.org/officeDocument/2006/relationships/hyperlink" Target="https://toogytime.wordpress.com/2014/12/16/toogy-talk-crawl-an-interview-with-barney-cumming-of-powerhoof/"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screenrant.com/shape-of-dreams-eunseop-shim-interview/" TargetMode="External"/><Relationship Id="rId624" Type="http://schemas.openxmlformats.org/officeDocument/2006/relationships/hyperlink" Target="https://en.wikipedia.org/wiki/Rogue_Legacy" TargetMode="External"/><Relationship Id="rId831" Type="http://schemas.openxmlformats.org/officeDocument/2006/relationships/hyperlink" Target="https://dtf.ru/gamedev/141739-otzyvy-i-obshenie-na-meropriyatiyah-uchat-luchshe-lyubyh-kursov-beseda-s-avtorom-rogalika-despots-game"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creators.spotify.com/pod/show/the-indie-diarist/episodes/Indie-Diary-5-Enrique-Dryere-Triple-B-Titles---Creativity-as-Sacrifice--Secrets-of-Inspiration--DnD-and----Poker-e207m5b" TargetMode="External"/><Relationship Id="rId929" Type="http://schemas.openxmlformats.org/officeDocument/2006/relationships/hyperlink" Target="https://www.reddit.com/r/nintendo/comments/6k942k/comment/djkavl3/"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www.youtube.com/watch?v=DASCE8BbvOI&amp;t=1s"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www.reddit.com/r/pcgaming/comments/1f9y4d8/weve_been_making_our_totally_normal_coop_shooter/" TargetMode="External"/><Relationship Id="rId635" Type="http://schemas.openxmlformats.org/officeDocument/2006/relationships/hyperlink" Target="https://www.reddit.com/r/JRPG/comments/1k54nny/lets_discover_rogue_hearts_dungeon_jun_ota_and/" TargetMode="External"/><Relationship Id="rId842" Type="http://schemas.openxmlformats.org/officeDocument/2006/relationships/hyperlink" Target="https://www.gamegrin.com/articles/developer-interview-neon-abyss-2-veewo-games/" TargetMode="External"/><Relationship Id="rId274" Type="http://schemas.openxmlformats.org/officeDocument/2006/relationships/hyperlink" Target="https://youtu.be/HyhYA69y62c" TargetMode="External"/><Relationship Id="rId481" Type="http://schemas.openxmlformats.org/officeDocument/2006/relationships/hyperlink" Target="https://youtu.be/HyhYA69y62c"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youtube.com/watch?v=7SjRhK9wdEE" TargetMode="External"/><Relationship Id="rId786" Type="http://schemas.openxmlformats.org/officeDocument/2006/relationships/hyperlink" Target="https://steamcommunity.com/games/1619520/announcements/detail/369243429731694051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zenorogue.blogspot.com/search/label/sources" TargetMode="External"/><Relationship Id="rId646" Type="http://schemas.openxmlformats.org/officeDocument/2006/relationships/hyperlink" Target="https://store.steampowered.com/app/2102320/MISTROGUE_Mist_and_the_Living_Dungeons/"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ign.com/articles/claim-a-key-for-hellcard-the-turn-based-deckbuilding-rogue-lite-from-book-of-demons-developer"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youtu.be/VGMszILvj78" TargetMode="External"/><Relationship Id="rId713" Type="http://schemas.openxmlformats.org/officeDocument/2006/relationships/hyperlink" Target="https://www.reddit.com/r/IndieDev/comments/1ow9lo4/my_first_game_on_steam_is_finally_out_shard_squad/" TargetMode="External"/><Relationship Id="rId797" Type="http://schemas.openxmlformats.org/officeDocument/2006/relationships/hyperlink" Target="https://steamcommunity.com/games/2068280/announcements/detail/5301322539098227375" TargetMode="External"/><Relationship Id="rId920" Type="http://schemas.openxmlformats.org/officeDocument/2006/relationships/hyperlink" Target="https://web.archive.org/web/20230609153941/https:/www.thecgview.com/p/roboquest-developer-intervie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www.youtube.com/watch?v=dfLSGkKC2ug"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sd5hUMAT8" TargetMode="External"/><Relationship Id="rId724" Type="http://schemas.openxmlformats.org/officeDocument/2006/relationships/hyperlink" Target="https://steamcommunity.com/app/4283360/discussions/0/842879193508271024/" TargetMode="External"/><Relationship Id="rId931" Type="http://schemas.openxmlformats.org/officeDocument/2006/relationships/hyperlink" Target="https://youtu.be/wJ2cgBoxsi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fanbyte.com/legacy/shovel-knight-dig-interview"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rogueliker.com/vellum-inspirations/" TargetMode="External"/><Relationship Id="rId668" Type="http://schemas.openxmlformats.org/officeDocument/2006/relationships/hyperlink" Target="https://store.epicgames.com/news/terratech-legion-interview-russ-clark-car-building-freedom-bullet-heaven?lang=hi" TargetMode="External"/><Relationship Id="rId875" Type="http://schemas.openxmlformats.org/officeDocument/2006/relationships/hyperlink" Target="https://www.thegamer.com/moonlighter-2-the-endless-vault-preview-inteview-hades-inspired/"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godot/comments/1lo0rfm/14_months_of_work_on_my_1st_game_demo_is_now/" TargetMode="External"/><Relationship Id="rId735" Type="http://schemas.openxmlformats.org/officeDocument/2006/relationships/hyperlink" Target="https://www.reddit.com/r/roguelikes/comments/13qgts/new_roguelike_legend_of_dungeon_inspired_by_my/"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crpgaddict.blogspot.com/2020/02/game-354-ragnarok-1992.html" TargetMode="External"/><Relationship Id="rId581" Type="http://schemas.openxmlformats.org/officeDocument/2006/relationships/hyperlink" Target="https://x.com/CLLC_studio/status/1925866594078453892"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bsky.app/profile/vfqd.itch.io/post/3mjfbk36e6k22" TargetMode="External"/><Relationship Id="rId802" Type="http://schemas.openxmlformats.org/officeDocument/2006/relationships/hyperlink" Target="https://steamcommunity.com/games/262790/announcements/detail/1694779751808309596" TargetMode="External"/><Relationship Id="rId886" Type="http://schemas.openxmlformats.org/officeDocument/2006/relationships/hyperlink" Target="https://nervetower.neocities.org/int_yonemitsu_p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roguebasin.com/index.php/Moria" TargetMode="External"/><Relationship Id="rId539" Type="http://schemas.openxmlformats.org/officeDocument/2006/relationships/hyperlink" Target="https://www.reddit.com/r/slaythespire/comments/173zdvp/i_am_a_solo_developer_working_on_the_last_flame_a/" TargetMode="External"/><Relationship Id="rId746" Type="http://schemas.openxmlformats.org/officeDocument/2006/relationships/hyperlink" Target="https://www.reddit.com/r/IndieGaming/comments/1h0xiwq/been_working_on_pebble_knights_a_mix_of_survival/"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953" Type="http://schemas.openxmlformats.org/officeDocument/2006/relationships/hyperlink" Target="https://github.com/HappyAlfred/fushigi-no-pixel-dungeon"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v2kcsr/ama_were_the_team_behind_akxolotl_a_cute_but/" TargetMode="External"/><Relationship Id="rId592" Type="http://schemas.openxmlformats.org/officeDocument/2006/relationships/hyperlink" Target="https://www.reddit.com/r/IndieGaming/comments/1iooyqr/roguelike_autobattler_cute_creatures_what_do_you/" TargetMode="External"/><Relationship Id="rId606" Type="http://schemas.openxmlformats.org/officeDocument/2006/relationships/hyperlink" Target="https://www.reddit.com/r/Games/comments/2e7eti/hello_rgames_we_are_the_creators_of_the_roguelike/"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IndieGaming/comments/1pji5gu/dunjungle_the_monkey_action_roguelite_is_out_on/" TargetMode="External"/><Relationship Id="rId897" Type="http://schemas.openxmlformats.org/officeDocument/2006/relationships/hyperlink" Target="https://www.reddit.com/r/roguelites/comments/1t6eumj/we_spent_2_years_making_a_coop_action_roguelite/"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eb.archive.org/web/20230609153941/https:/www.thecgview.com/p/roboquest-developer-interview" TargetMode="External"/><Relationship Id="rId617" Type="http://schemas.openxmlformats.org/officeDocument/2006/relationships/hyperlink" Target="https://blog.novadrift.io/nova-drift-frequently-asked-questions/" TargetMode="External"/><Relationship Id="rId824" Type="http://schemas.openxmlformats.org/officeDocument/2006/relationships/hyperlink" Target="https://steamcommunity.com/games/2066020/announcements/detail/538872373928001896"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www.reddit.com/r/iosgaming/comments/1hjehh9/lost_for_swords_a_dungeon_crawler_focusing_on/" TargetMode="External"/><Relationship Id="rId670" Type="http://schemas.openxmlformats.org/officeDocument/2006/relationships/hyperlink" Target="https://tonemadison.com/articles/whisker-squadron-survivor-takes-aim-at-its-pain-points/"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deckbuildingroguelike/comments/1qszp8o/runeveil_sts_meets_balatro_is_on_steam/" TargetMode="External"/><Relationship Id="rId768" Type="http://schemas.openxmlformats.org/officeDocument/2006/relationships/hyperlink" Target="https://steamcommunity.com/games/2835570/announcements/detail/4181107834755509907"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emuglx.org/reportaze/interview/exclusive-switchcars-interview/"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 TargetMode="External"/><Relationship Id="rId474" Type="http://schemas.openxmlformats.org/officeDocument/2006/relationships/hyperlink" Target="https://www.reddit.com/r/roguelites/comments/1ic44r5/my_angry_bird_roguelike_is_finally_out_on_stea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turtlefoxgames.itch.io/talented/devlog/354683/devlog-17-experimentation"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store.steampowered.com/app/3333700/The_Royal_Writ/" TargetMode="External"/><Relationship Id="rId639" Type="http://schemas.openxmlformats.org/officeDocument/2006/relationships/hyperlink" Target="https://youtu.be/VGMszILvj7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roguelites/comments/1ic44r5/my_angry_bird_roguelike_is_finally_out_on_steam/" TargetMode="External"/><Relationship Id="rId846" Type="http://schemas.openxmlformats.org/officeDocument/2006/relationships/hyperlink" Target="https://www.gamedeveloper.com/design/-play-86-interview-with-adom-creator-dr-thomas-biskup" TargetMode="External"/><Relationship Id="rId485" Type="http://schemas.openxmlformats.org/officeDocument/2006/relationships/hyperlink" Target="https://www.youtube.com/watch?v=SI0_xHvFIKM" TargetMode="External"/><Relationship Id="rId692" Type="http://schemas.openxmlformats.org/officeDocument/2006/relationships/hyperlink" Target="https://x.com/Mickanio/status/1555411757409001472" TargetMode="External"/><Relationship Id="rId706" Type="http://schemas.openxmlformats.org/officeDocument/2006/relationships/hyperlink" Target="https://www.reddit.com/r/Games/comments/1v0h3jp/pass_the_fear_playmud_studio_gungeonlike_with/" TargetMode="External"/><Relationship Id="rId913" Type="http://schemas.openxmlformats.org/officeDocument/2006/relationships/hyperlink" Target="https://www.indiegamesdeveloper.com/showcases-and-interviews/developer-interview/noisy-head-games-interview-beyond-the-long-night/"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app/2308000/Centipede_Gun/"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www.siliconera.com/catacomb-kids-interview-spelunky-comparisons-and-the-early-access-gamble/" TargetMode="External"/><Relationship Id="rId857" Type="http://schemas.openxmlformats.org/officeDocument/2006/relationships/hyperlink" Target="https://valleesdeletrange.wordpress.com/2026/03/09/sol-cesto-le-bandit-manchot-et-ses-deux-tetes-entretien-avec-chariospirale-et-docgeraud/"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www.nintendolife.com/features/only-pokemon-can-make-pokemon-dicefolk-devs-on-finding-a-voice-in-a-crowded-genre" TargetMode="External"/><Relationship Id="rId717" Type="http://schemas.openxmlformats.org/officeDocument/2006/relationships/hyperlink" Target="https://www.reddit.com/r/indiegames/comments/1sc54y5/batomon_showdown_a_casual_autobattler_inspired_by/" TargetMode="External"/><Relationship Id="rId924" Type="http://schemas.openxmlformats.org/officeDocument/2006/relationships/hyperlink" Target="https://www.reddit.com/r/pcgaming/comments/1ix1kj1/comment/meiosvh/"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gamingbolt.com/gonner-interview-a-colorful-and-challenging-ride"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x.com/MirariRelics/status/2083184893182489017?s=2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nme.com/news/gaming-news/crossy-road-creator-announces-space-western-shooter-tombstar-3258744"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store.steampowered.com/app/1890310/Rogue_Blight/"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frozendepths.net/roguelike/info.php" TargetMode="External"/><Relationship Id="rId574" Type="http://schemas.openxmlformats.org/officeDocument/2006/relationships/hyperlink" Target="https://www.emuglx.org/reportaze/interview/exclusive-switchcars-interview/"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roguebasin.com/index.php/Brogue" TargetMode="External"/><Relationship Id="rId641" Type="http://schemas.openxmlformats.org/officeDocument/2006/relationships/hyperlink" Target="https://baldis-basics-in-education-and-learning.fandom.com/wiki/Inspiration_and_reference"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www.reddit.com/r/Games/comments/1kjulpf/fogpiercer_mad_cookies_train_building_roguelike/"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www.roguelikeradio.com/2013/09/this-is-episode-80-of-roguelike-radio.html" TargetMode="External"/><Relationship Id="rId585" Type="http://schemas.openxmlformats.org/officeDocument/2006/relationships/hyperlink" Target="https://www.roguelikeradio.com/2011/10/interview-with-ido-yehieli.html" TargetMode="External"/><Relationship Id="rId792" Type="http://schemas.openxmlformats.org/officeDocument/2006/relationships/hyperlink" Target="https://steamcommunity.com/games/2342950/announcements/detail/524208404882784298" TargetMode="External"/><Relationship Id="rId806" Type="http://schemas.openxmlformats.org/officeDocument/2006/relationships/hyperlink" Target="https://steamcommunity.com/games/1494560/announcements/detail/4187858160655360600"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oguebasin.com/index.php/Rogue's_Tale" TargetMode="External"/><Relationship Id="rId652" Type="http://schemas.openxmlformats.org/officeDocument/2006/relationships/hyperlink" Target="https://www.youtube.com/watch?v=5fR9VYTfm2A&amp;t=1s"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www.sohu.com/a/740136808_204824"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gamingbolt.com/gonner-interview-a-colorful-and-challenging-ride" TargetMode="External"/><Relationship Id="rId596" Type="http://schemas.openxmlformats.org/officeDocument/2006/relationships/hyperlink" Target="https://youtu.be/DY-KwfFTU9g"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www.facebook.com/DreamHack/videos/rogue-heroes-ruins-of-tasos-developers-explain-how-why-the-game-came-together-go/440879170356208/" TargetMode="External"/><Relationship Id="rId663" Type="http://schemas.openxmlformats.org/officeDocument/2006/relationships/hyperlink" Target="https://www.indie-games.eu/hell-maiden-touhou-meets-vampire-survivors-interview/"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pokevoid.com/"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youtu.be/O8FIzwdfuzs" TargetMode="External"/><Relationship Id="rId828" Type="http://schemas.openxmlformats.org/officeDocument/2006/relationships/hyperlink" Target="https://www.gamecast-blog.com/archives/66001023.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rogueliker.com/realm-of-ink-interview/" TargetMode="External"/><Relationship Id="rId674" Type="http://schemas.openxmlformats.org/officeDocument/2006/relationships/hyperlink" Target="https://www.roguebasin.com/index.php/Cth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store.steampowered.com/app/3496890/Slot_or_Not/"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sohu.com/a/740136808_204824" TargetMode="External"/><Relationship Id="rId601"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x.com/Mudita_Games/status/198817940045450079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creators.spotify.com/pod/profile/openindie/episodes/29---Pixlpunk---Tiny-Rogues---RubyDev---Austria-e2ainqm/a-aafpjfq"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automaton-media.com/en/interviews/interview-koei-tecmos-warriors-abyss-is-a-major-japanese-developers-take-on-the-roguelite-genre-made-by-a-hardcore-roguelite-lover/"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s://gamerant.com/lone-ruin-interview-roguelike-indie-game-design-inspirations-visuals-coding/" TargetMode="External"/><Relationship Id="rId405" Type="http://schemas.openxmlformats.org/officeDocument/2006/relationships/hyperlink" Target="https://www.reddit.com/r/Games/comments/1ker0jk/rune_dice_smart_raven_studio_peglininspired/" TargetMode="External"/><Relationship Id="rId612" Type="http://schemas.openxmlformats.org/officeDocument/2006/relationships/hyperlink" Target="https://wesleyjkurtz.wixsite.com/orangedrop/post/mana-spark-kishimoto-studios-indie-devs-behemutt-an-in-depth-interview"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games.gg/news/wanderburg-trailers-drive-150k-steam-wishlists/"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en.wikipedia.org/wiki/Caveblazers"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zenorogue.blogspot.com/search/label/sources" TargetMode="External"/><Relationship Id="rId623" Type="http://schemas.openxmlformats.org/officeDocument/2006/relationships/hyperlink" Target="https://games.tiscali.cz/novinky/cesky-tym-rake-in-grass-se-hlasi-se-slibnou-arkadou-rampage-knights-240475" TargetMode="External"/><Relationship Id="rId830" Type="http://schemas.openxmlformats.org/officeDocument/2006/relationships/hyperlink" Target="https://bbs.ruliweb.com/news/read/152932"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ww.gamedeveloper.com/business/road-to-the-igf-2023-kenny-sun-s-mr-sun-s-hatbox"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Games/comments/16x0fkk/shape_shifter_formations_castec_studios_an_action/" TargetMode="External"/><Relationship Id="rId634" Type="http://schemas.openxmlformats.org/officeDocument/2006/relationships/hyperlink" Target="https://www.shacknews.com/article/110700/undermine-dev-unearths-roguelike-rpg-info-in-interview"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steamcommunity.com/app/1803400/discussions/0/3883848697076653164/?l=hungarian"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youtube.com/watch?v=l-aec7fgtb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steamcommunity.com/app/1823390/discussions/2/6893400166994423780/" TargetMode="External"/><Relationship Id="rId785" Type="http://schemas.openxmlformats.org/officeDocument/2006/relationships/hyperlink" Target="https://store.steampowered.com/app/3494210/Choo_Choo_Survivor_2/"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dev/comments/o8bzkt/one_year_into_early_access_for_golden_light_lets/" TargetMode="External"/><Relationship Id="rId645" Type="http://schemas.openxmlformats.org/officeDocument/2006/relationships/hyperlink" Target="https://www.reddit.com/r/roguelikes/comments/1iyzkws/house_of_necrosis_demo_is_out_now_on_steam/"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eamcommunity.com/app/1016730/discussions/0/1814296907961762044/" TargetMode="External"/><Relationship Id="rId505" Type="http://schemas.openxmlformats.org/officeDocument/2006/relationships/hyperlink" Target="https://x.com/hellmaidengame/status/1929946431311241324" TargetMode="External"/><Relationship Id="rId712" Type="http://schemas.openxmlformats.org/officeDocument/2006/relationships/hyperlink" Target="https://youtu.be/pkhzUQ39ts4"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patreon.com/roguempire/about"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en.wikipedia.org/wiki/Torneko%27s_Great_Adventure" TargetMode="External"/><Relationship Id="rId656" Type="http://schemas.openxmlformats.org/officeDocument/2006/relationships/hyperlink" Target="https://youtu.be/HyhYA69y62c"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x.com/PlayMontabi/status/2084484478647595121?s=20" TargetMode="External"/><Relationship Id="rId723" Type="http://schemas.openxmlformats.org/officeDocument/2006/relationships/hyperlink" Target="https://www.theastronauts.com/2022/10/redesigning-one-witchfire-feature/" TargetMode="External"/><Relationship Id="rId930" Type="http://schemas.openxmlformats.org/officeDocument/2006/relationships/hyperlink" Target="https://brubomb.itch.io/dunjungle/devlog/579365/dunjungle-demo-is-available"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indiegraph.wordpress.com/2013/12/11/interview-with-the-creator-of-barony/" TargetMode="External"/><Relationship Id="rId222" Type="http://schemas.openxmlformats.org/officeDocument/2006/relationships/hyperlink" Target="https://www.reddit.com/r/roguelites/comments/r8cay9/weve_been_developing_the_roguelite_escape_the_mad/" TargetMode="External"/><Relationship Id="rId667" Type="http://schemas.openxmlformats.org/officeDocument/2006/relationships/hyperlink" Target="https://www.reddit.com/r/Games/comments/196wldd/swarm_grinder_last_bite_games_a_roguelite_game/" TargetMode="External"/><Relationship Id="rId874" Type="http://schemas.openxmlformats.org/officeDocument/2006/relationships/hyperlink" Target="https://www.gamedeveloper.com/production/prototyping-i-let-s-revolution-i-transforming-i-minesweeper-i-into-a-turn-based-strategy-roguelike"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steamcommunity.com/app/1494560/discussions/0/4335355681660890217/" TargetMode="External"/><Relationship Id="rId734" Type="http://schemas.openxmlformats.org/officeDocument/2006/relationships/hyperlink" Target="https://youtu.be/O8FIzwdfuzs"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73" Type="http://schemas.openxmlformats.org/officeDocument/2006/relationships/hyperlink" Target="https://roguebasin.com/index.php/POWDER" TargetMode="External"/><Relationship Id="rId580" Type="http://schemas.openxmlformats.org/officeDocument/2006/relationships/hyperlink" Target="https://www.reddit.com/r/IndieGaming/comments/1iooyqr/roguelike_autobattler_cute_creatures_what_do_you/"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roguebasin.com/index.php/Larn"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zenorogue.blogspot.com/search/label/sources" TargetMode="External"/><Relationship Id="rId538" Type="http://schemas.openxmlformats.org/officeDocument/2006/relationships/hyperlink" Target="https://x.com/Talespinner_/status/1925872666474401877?s=20"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www.youtube.com/watch?v=JXv8hQguGCI" TargetMode="External"/><Relationship Id="rId384" Type="http://schemas.openxmlformats.org/officeDocument/2006/relationships/hyperlink" Target="https://x.com/MrMorrisGames/status/2030327854383190254"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conanchopchop.fandom.com/wiki/Conan_Chop_Chop" TargetMode="External"/><Relationship Id="rId812" Type="http://schemas.openxmlformats.org/officeDocument/2006/relationships/hyperlink" Target="https://store.steampowered.com/app/2060750/Star_Survivor/" TargetMode="External"/><Relationship Id="rId202" Type="http://schemas.openxmlformats.org/officeDocument/2006/relationships/hyperlink" Target="https://roguebasin.com/index.php/ZMAngband" TargetMode="External"/><Relationship Id="rId244" Type="http://schemas.openxmlformats.org/officeDocument/2006/relationships/hyperlink" Target="https://switchplayer.net/2017/05/08/grabbing-a-frozenbyte-with-some-has-been-heroes/" TargetMode="External"/><Relationship Id="rId647" Type="http://schemas.openxmlformats.org/officeDocument/2006/relationships/hyperlink" Target="https://store.steampowered.com/app/1229260/Monster_Girls_and_the_Mysterious_Adventure/" TargetMode="External"/><Relationship Id="rId689" Type="http://schemas.openxmlformats.org/officeDocument/2006/relationships/hyperlink" Target="https://store.steampowered.com/app/4195110/Ultrapool/" TargetMode="External"/><Relationship Id="rId854" Type="http://schemas.openxmlformats.org/officeDocument/2006/relationships/hyperlink" Target="https://web.archive.org/web/20250319160658/https:/www.whatsitlike.com.au/interview-with-tiago-zaidan-vampire-hunters/" TargetMode="External"/><Relationship Id="rId896" Type="http://schemas.openxmlformats.org/officeDocument/2006/relationships/hyperlink" Target="https://rogueliker.com/shadowveil-legend-of-the-five-rings-interview/"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www.polygon.com/gaming/610928/lost-random-eternal-die-roguelike-developer-insights/" TargetMode="External"/><Relationship Id="rId451" Type="http://schemas.openxmlformats.org/officeDocument/2006/relationships/hyperlink" Target="https://youtu.be/0MY03yNkuFI" TargetMode="External"/><Relationship Id="rId493" Type="http://schemas.openxmlformats.org/officeDocument/2006/relationships/hyperlink" Target="https://indiegamepicks.wordpress.com/2023/10/18/deepest-chamber-resurrection-interview/" TargetMode="External"/><Relationship Id="rId507" Type="http://schemas.openxmlformats.org/officeDocument/2006/relationships/hyperlink" Target="https://www.digitallydownloaded.net/2021/10/four-quick-questions-for-developer-of.html" TargetMode="External"/><Relationship Id="rId549" Type="http://schemas.openxmlformats.org/officeDocument/2006/relationships/hyperlink" Target="https://www.reddit.com/r/Games/comments/r4a4sv/words_can_kill_typing_monkey_slay_the_spire/" TargetMode="External"/><Relationship Id="rId714" Type="http://schemas.openxmlformats.org/officeDocument/2006/relationships/hyperlink" Target="https://www.pokecommunity.com/threads/pok%C3%A9mon-survivor-burst-multi-languages.543514/" TargetMode="External"/><Relationship Id="rId756" Type="http://schemas.openxmlformats.org/officeDocument/2006/relationships/hyperlink" Target="https://youtu.be/_Ner8cAfsBg" TargetMode="External"/><Relationship Id="rId921" Type="http://schemas.openxmlformats.org/officeDocument/2006/relationships/hyperlink" Target="https://www.reddit.com/r/godot/comments/1lo0rfm/14_months_of_work_on_my_1st_game_demo_is_now/"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en.wikipedia.org/wiki/Windblown"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53" Type="http://schemas.openxmlformats.org/officeDocument/2006/relationships/hyperlink" Target="https://roguebasin.com/index.php?title=Diablo" TargetMode="External"/><Relationship Id="rId395" Type="http://schemas.openxmlformats.org/officeDocument/2006/relationships/hyperlink" Target="https://www.gamedeveloper.com/design/ram-random-access-mayhem-s-body-swapping-mechanic-was-born-from-challenges-playing-roguelikes" TargetMode="External"/><Relationship Id="rId409" Type="http://schemas.openxmlformats.org/officeDocument/2006/relationships/hyperlink" Target="https://www.akuparagames.com/2026/06/09/meeting-mankibo-the-team-behind-montabi/" TargetMode="External"/><Relationship Id="rId560" Type="http://schemas.openxmlformats.org/officeDocument/2006/relationships/hyperlink" Target="https://en.wikipedia.org/wiki/Downwell_(video_game)" TargetMode="External"/><Relationship Id="rId798" Type="http://schemas.openxmlformats.org/officeDocument/2006/relationships/hyperlink" Target="https://steamcommunity.com/games/2105840/announcements/detail/670626757615813587"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www.julianedisonart.com/icov" TargetMode="External"/><Relationship Id="rId616" Type="http://schemas.openxmlformats.org/officeDocument/2006/relationships/hyperlink" Target="https://store.steampowered.com/app/2225960/Noobs_Are_Coming/" TargetMode="External"/><Relationship Id="rId658" Type="http://schemas.openxmlformats.org/officeDocument/2006/relationships/hyperlink" Target="https://steamcommunity.com/app/3088070/discussions/0/562532756309055685/" TargetMode="External"/><Relationship Id="rId823" Type="http://schemas.openxmlformats.org/officeDocument/2006/relationships/hyperlink" Target="https://steamcommunity.com/games/2088570/announcements/detail/6770639657665738311" TargetMode="External"/><Relationship Id="rId865" Type="http://schemas.openxmlformats.org/officeDocument/2006/relationships/hyperlink" Target="https://newsletter.gamediscover.co/p/how-sulfur-sold-50k-real-fast-and"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x.com/AntennaGames/status/2062052913199956449" TargetMode="External"/><Relationship Id="rId518" Type="http://schemas.openxmlformats.org/officeDocument/2006/relationships/hyperlink" Target="https://x.com/NadirTheGame/status/1585925975115702273?s=20"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www.reddit.com/r/iosgaming/comments/1hjehh9/comment/mbg6to4/"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steamcommunity.com/games/3123120/announcements/detail/502834694432228039"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store.steampowered.com/app/1078200/Spirits_Abyss/" TargetMode="External"/><Relationship Id="rId627" Type="http://schemas.openxmlformats.org/officeDocument/2006/relationships/hyperlink" Target="https://github.com/ScottBurger/going_rogue_podcast/blob/master/docs/providence.md" TargetMode="External"/><Relationship Id="rId669" Type="http://schemas.openxmlformats.org/officeDocument/2006/relationships/hyperlink" Target="https://www.reddit.com/r/DestroyMyGame/comments/119wet3/looking_for_feedback_on_this_vs_inspired/" TargetMode="External"/><Relationship Id="rId834" Type="http://schemas.openxmlformats.org/officeDocument/2006/relationships/hyperlink" Target="https://www.gamedeveloper.com/business/paper-heroes-colm-larkin-and-guild-of-dungeoneering" TargetMode="External"/><Relationship Id="rId876" Type="http://schemas.openxmlformats.org/officeDocument/2006/relationships/hyperlink" Target="https://gamingbolt.com/morbid-metal-interview-shapeshifting-level-design-combat-and-mor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www.gamingfurever.com/news/editorials/brew-interview-with-ceo-of-snow-leaf-studios-isak-wahl" TargetMode="External"/><Relationship Id="rId473" Type="http://schemas.openxmlformats.org/officeDocument/2006/relationships/hyperlink" Target="https://www.reddit.com/r/WebGames/comments/1m6esqf/archon_soul_its_been_a_year_and_a_half_of_hard/" TargetMode="External"/><Relationship Id="rId529" Type="http://schemas.openxmlformats.org/officeDocument/2006/relationships/hyperlink" Target="https://x.com/CLLC_studio/status/1925866594078453892"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www.gamedeveloper.com/game-platforms/eugene-paik-talks-about-vagante-a-roguelite-8-years-in-the-making"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store.steampowered.com/app/3035330/Dicealo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fCUbwNqQzWg"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youtube.com/watch?v=xsmbVWflwpw" TargetMode="External"/><Relationship Id="rId582" Type="http://schemas.openxmlformats.org/officeDocument/2006/relationships/hyperlink" Target="https://x.com/mumpitzgames/status/1925572756806017381" TargetMode="External"/><Relationship Id="rId638" Type="http://schemas.openxmlformats.org/officeDocument/2006/relationships/hyperlink" Target="https://store.steampowered.com/news/app/3618850/view/527612739964633653?l=english" TargetMode="External"/><Relationship Id="rId803" Type="http://schemas.openxmlformats.org/officeDocument/2006/relationships/hyperlink" Target="https://store.steampowered.com/app/2088840/Picayune_Dreams/"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s://www.reddit.com/r/Games/comments/10uappd/the_ouroboros_king_oriol_cosp_chess_based/" TargetMode="External"/><Relationship Id="rId442" Type="http://schemas.openxmlformats.org/officeDocument/2006/relationships/hyperlink" Target="https://www.youtube.com/watch?v=DASCE8BbvOI&amp;t=1s" TargetMode="External"/><Relationship Id="rId484" Type="http://schemas.openxmlformats.org/officeDocument/2006/relationships/hyperlink" Target="https://hardcoregamer.com/chaos-zero-nightmare-director-interview-tgs-2025/" TargetMode="External"/><Relationship Id="rId705" Type="http://schemas.openxmlformats.org/officeDocument/2006/relationships/hyperlink" Target="https://www.youtube.com/watch?v=5xuW5r3ww6Y"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store.steampowered.com/app/2796640/The_Magus_Circle/" TargetMode="External"/><Relationship Id="rId789" Type="http://schemas.openxmlformats.org/officeDocument/2006/relationships/hyperlink" Target="https://www.nintendolife.com/news/2021/02/feature_curse_of_the_dead_gods_devs_on_early_access_switch_challenges_and_hades_comparisons"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table" Target="../tables/table2.xm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czn9i5/were_the_developers_of_atomicrops_an_action/" TargetMode="External"/><Relationship Id="rId551" Type="http://schemas.openxmlformats.org/officeDocument/2006/relationships/hyperlink" Target="https://forum.gamemaker.io/index.php?threads/cats-dice-a-big-number-dice-building-roguelike-inspired-by-games-such-as-balatro-and-slice-dice.114871/" TargetMode="External"/><Relationship Id="rId593" Type="http://schemas.openxmlformats.org/officeDocument/2006/relationships/hyperlink" Target="https://forum.godotengine.org/t/seedborne-soldiers-an-auto-battler-roguelike-demo-now-available-on-steam/83974" TargetMode="External"/><Relationship Id="rId607" Type="http://schemas.openxmlformats.org/officeDocument/2006/relationships/hyperlink" Target="https://x.com/2_left_thumbs/status/1625686255093813249?s=20" TargetMode="External"/><Relationship Id="rId649" Type="http://schemas.openxmlformats.org/officeDocument/2006/relationships/hyperlink" Target="https://www.moguragames.com/smokingwolfinterview/"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www.gamedeveloper.com/business/marketing-on-the-app-store-the-cautionary-tale-of-i-100-rogues-i-" TargetMode="External"/><Relationship Id="rId453" Type="http://schemas.openxmlformats.org/officeDocument/2006/relationships/hyperlink" Target="https://store.steampowered.com/app/465200/Fury_Unleashed/" TargetMode="External"/><Relationship Id="rId509" Type="http://schemas.openxmlformats.org/officeDocument/2006/relationships/hyperlink" Target="https://www.reddit.com/r/iosgaming/comments/1hjehh9/lost_for_swords_a_dungeon_crawler_focusing_on/" TargetMode="External"/><Relationship Id="rId660" Type="http://schemas.openxmlformats.org/officeDocument/2006/relationships/hyperlink" Target="https://www.reddit.com/r/IndieGaming/comments/1dnw8jb/been_working_on_an_experimental_survivorslike/" TargetMode="External"/><Relationship Id="rId898" Type="http://schemas.openxmlformats.org/officeDocument/2006/relationships/hyperlink" Target="https://www.demonlore.com/"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www.reddit.com/r/slaythespire/comments/1mqcqmg/dice_legends_a_love_letter_and_homage_to_slay_the/" TargetMode="External"/><Relationship Id="rId716" Type="http://schemas.openxmlformats.org/officeDocument/2006/relationships/hyperlink" Target="https://www.youtube.com/watch?v=L0Yg-sCCPEo" TargetMode="External"/><Relationship Id="rId758" Type="http://schemas.openxmlformats.org/officeDocument/2006/relationships/hyperlink" Target="https://www.inven.co.kr/webzine/news/?news=194987" TargetMode="External"/><Relationship Id="rId923" Type="http://schemas.openxmlformats.org/officeDocument/2006/relationships/hyperlink" Target="https://www.reddit.com/r/pcgaming/comments/1ix1kj1/comment/meiosvh/"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store.steampowered.com/app/512900/Streets_of_Rogue/" TargetMode="External"/><Relationship Id="rId520" Type="http://schemas.openxmlformats.org/officeDocument/2006/relationships/hyperlink" Target="https://www.reddit.com/r/Games/comments/vftn02/pawnbarian_j4nw_a_chessinspired_tactical_puzzle/" TargetMode="External"/><Relationship Id="rId562" Type="http://schemas.openxmlformats.org/officeDocument/2006/relationships/hyperlink" Target="https://bsky.app/profile/dphrygian.com/post/3mgga4hmbg22r" TargetMode="External"/><Relationship Id="rId618" Type="http://schemas.openxmlformats.org/officeDocument/2006/relationships/hyperlink" Target="https://youtu.be/lr9xu3YNwZE" TargetMode="External"/><Relationship Id="rId825" Type="http://schemas.openxmlformats.org/officeDocument/2006/relationships/hyperlink" Target="https://steamcommunity.com/app/3228590/discussions/0/591779267908673222/"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reddit.com/r/IAmA/comments/9m53vr/after_a_failed_kickstarter_and_3_years_of_working/" TargetMode="External"/><Relationship Id="rId464" Type="http://schemas.openxmlformats.org/officeDocument/2006/relationships/hyperlink" Target="https://steamcommunity.com/app/242680/discussions/0/648811852292061582/"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steamcommunity.com/games/2530490/announcements/detail/365866617835917070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darkrpgs.home.blog/2019/03/08/interview-with-miro-haverinen-the-creator-of-the-dark-rpg-fear-hunger/" TargetMode="External"/><Relationship Id="rId573" Type="http://schemas.openxmlformats.org/officeDocument/2006/relationships/hyperlink" Target="https://en.wikipedia.org/wiki/Streets_of_Rogue"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edeveloper.com/design/how-michael-brough-s-love-of-exploring-a-single-game-mechanic-beget-i-cinco-paus-i-"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steamcommunity.com/app/2563800/discussions/0/4756451565242385846/"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s://www.roguebasin.com/index.php/Sword_of_the_Stars:_The_Pit" TargetMode="External"/><Relationship Id="rId500" Type="http://schemas.openxmlformats.org/officeDocument/2006/relationships/hyperlink" Target="https://youtu.be/zLmdMjZtDs4" TargetMode="External"/><Relationship Id="rId584" Type="http://schemas.openxmlformats.org/officeDocument/2006/relationships/hyperlink" Target="https://www.gameskinny.com/culture/interview-with-colin-day-creator-of-rogue-wizards-and-founder-of-spellbind-studios/"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steamcommunity.com/games/2342950/announcements/detail/3801662447199262264"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roguebasin.com/index.php/ROGUE-FP" TargetMode="External"/><Relationship Id="rId651" Type="http://schemas.openxmlformats.org/officeDocument/2006/relationships/hyperlink" Target="https://x.com/kagaya_wqy/status/1152559201945677825"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en.wikipedia.org/wiki/Enter_the_Gungeon" TargetMode="External"/><Relationship Id="rId511" Type="http://schemas.openxmlformats.org/officeDocument/2006/relationships/hyperlink" Target="https://en.wikipedia.org/wiki/Luck_Be_a_Landlord" TargetMode="External"/><Relationship Id="rId609" Type="http://schemas.openxmlformats.org/officeDocument/2006/relationships/hyperlink" Target="https://www.reddit.com/r/gamedev/comments/o8bzkt/one_year_into_early_access_for_golden_light_let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x.com/mumpitzgames/status/1925572756806017381"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mcvuk.com/development-news/when-we-made-moonlighter/" TargetMode="External"/><Relationship Id="rId662" Type="http://schemas.openxmlformats.org/officeDocument/2006/relationships/hyperlink" Target="https://store.steampowered.com/app/2218400/Greedland/"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pokemon/comments/1rp0vq7/i_made_a_roguelike_pokemon_autobattler/"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www.roguelikeradio.com/2013/09/this-is-episode-80-of-roguelike-radio.html" TargetMode="External"/><Relationship Id="rId827" Type="http://schemas.openxmlformats.org/officeDocument/2006/relationships/hyperlink" Target="https://v.daum.net/v/pIwu8NNfMg?f=p"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www.reddit.com/r/Games/comments/10uappd/the_ouroboros_king_oriol_cosp_chess_based/" TargetMode="External"/><Relationship Id="rId673" Type="http://schemas.openxmlformats.org/officeDocument/2006/relationships/hyperlink" Target="https://www.scousegamer88.com/2021/03/31/astral-ascent-hibernian-workshop-interview/"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x.com/sparklewing925/status/1926056500113346640"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reviewfix.com/2018/08/review-fix-exclusive-inside-caves-of-qud/"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reddit.com/r/Games/comments/czn9i5/were_the_developers_of_atomicrops_an_action/" TargetMode="External"/><Relationship Id="rId600" Type="http://schemas.openxmlformats.org/officeDocument/2006/relationships/hyperlink" Target="https://x.com/AnAmazingWizard/status/1489554155597352962?s=20"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show/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youtu.be/VGMszILvj78"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reviewfix.com/2018/03/review-fix-exclusive-inside-immortal-redneck/"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www.roguelikeradio.com/2019/02/episode-151-haque.html" TargetMode="External"/><Relationship Id="rId404" Type="http://schemas.openxmlformats.org/officeDocument/2006/relationships/hyperlink" Target="https://x.com/MrMorrisGames/status/2030327854383190254" TargetMode="External"/><Relationship Id="rId611" Type="http://schemas.openxmlformats.org/officeDocument/2006/relationships/hyperlink" Target="https://www.sohu.com/a/740136808_204824"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www.reddit.com/r/TowerDefense/comments/epx1qr/ive_just_released_core_defense_a_very_difficul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www.siliconera.com/catacomb-kids-interview-spelunky-comparisons-and-the-early-access-gamble/" TargetMode="External"/><Relationship Id="rId762" Type="http://schemas.openxmlformats.org/officeDocument/2006/relationships/hyperlink" Target="https://cheerfulghost.com/jdodson/posts/1590/interview-with-death-road-to-canada-s-kepa-auwae"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title=Wayward" TargetMode="External"/><Relationship Id="rId622" Type="http://schemas.openxmlformats.org/officeDocument/2006/relationships/hyperlink" Target="https://store.steampowered.com/news/app/3618850/view/527614642864786784?l=english"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store.steampowered.com/app/3548520/DOG_WITCH/" TargetMode="External"/><Relationship Id="rId927" Type="http://schemas.openxmlformats.org/officeDocument/2006/relationships/hyperlink" Target="https://store.steampowered.com/news/app/3430340/view/521993383330187163?l=english"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forums.tigsource.com/index.php?topic=41609.0"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youtu.be/GWc7QppCPHM" TargetMode="External"/><Relationship Id="rId633" Type="http://schemas.openxmlformats.org/officeDocument/2006/relationships/hyperlink" Target="https://www.youtube.com/watch?v=giIIoIKntnw" TargetMode="External"/><Relationship Id="rId840" Type="http://schemas.openxmlformats.org/officeDocument/2006/relationships/hyperlink" Target="https://www.theyoungfolks.com/video-games/154551/interview-joris-dormans-details-the-gameplay-and-story-of-unexplored-2/" TargetMode="External"/><Relationship Id="rId938" Type="http://schemas.openxmlformats.org/officeDocument/2006/relationships/hyperlink" Target="https://www.youtube.com/watch?v=QZU3KnG_XTU"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roguelikes/comments/5zi6kq/y&#333;danji_coffeebreak_mobile_roguelike_themed_after/" TargetMode="External"/><Relationship Id="rId700" Type="http://schemas.openxmlformats.org/officeDocument/2006/relationships/hyperlink" Target="https://x.com/Handmancers/status/2038942935211798568?s=20"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923750/announcements/detail/503962497384974869" TargetMode="External"/><Relationship Id="rId437" Type="http://schemas.openxmlformats.org/officeDocument/2006/relationships/hyperlink" Target="https://segadoes.com/2017/06/16/fatal-labyrinth/"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youtube.com/watch?v=7SjRhK9wdEE" TargetMode="External"/><Relationship Id="rId504" Type="http://schemas.openxmlformats.org/officeDocument/2006/relationships/hyperlink" Target="https://www.pocketgamer.com/gordian-quest/interview/"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xsmbVWflwpw" TargetMode="External"/><Relationship Id="rId795" Type="http://schemas.openxmlformats.org/officeDocument/2006/relationships/hyperlink" Target="https://steamcommunity.com/games/1914580/announcements/detail/3096792662638547858" TargetMode="External"/><Relationship Id="rId809" Type="http://schemas.openxmlformats.org/officeDocument/2006/relationships/hyperlink" Target="https://store.steampowered.com/app/1271280/Rift_Wizard/"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en.wikipedia.org/wiki/ToeJam_%26_Earl" TargetMode="External"/><Relationship Id="rId655" Type="http://schemas.openxmlformats.org/officeDocument/2006/relationships/hyperlink" Target="https://youtu.be/VGMszILvj78"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youtu.be/VGMszILvj78" TargetMode="External"/><Relationship Id="rId722" Type="http://schemas.openxmlformats.org/officeDocument/2006/relationships/hyperlink" Target="https://80.lv/articles/making-hack-and-slash-action-rpg-voin-as-solo-developer"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NintendoSwitch/comments/8jv8rd/im_matt_bitner_sole_developer_of_a_robot_named/" TargetMode="External"/><Relationship Id="rId459" Type="http://schemas.openxmlformats.org/officeDocument/2006/relationships/hyperlink" Target="https://steamcommunity.com/app/3226530/discussions/0/592890533790115891/" TargetMode="External"/><Relationship Id="rId666" Type="http://schemas.openxmlformats.org/officeDocument/2006/relationships/hyperlink" Target="https://store.steampowered.com/app/2479320/Pesticide_Not_Required/"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steamcommunity.com/app/1461910/discussions/0/3363649332031630216/?l=finnish" TargetMode="External"/><Relationship Id="rId733" Type="http://schemas.openxmlformats.org/officeDocument/2006/relationships/hyperlink" Target="https://x.com/NaiiveStudio/status/1986888642565193932?s=20" TargetMode="External"/><Relationship Id="rId940" Type="http://schemas.openxmlformats.org/officeDocument/2006/relationships/hyperlink" Target="https://www.shacknews.com/article/127385/rogue-lords-interview-running-with-the-devil"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www.roguebasin.com/index.php/Pathos:_NetHack_Codex" TargetMode="External"/><Relationship Id="rId677" Type="http://schemas.openxmlformats.org/officeDocument/2006/relationships/hyperlink" Target="https://rogueliker.com/vellum-inspirations/" TargetMode="External"/><Relationship Id="rId800" Type="http://schemas.openxmlformats.org/officeDocument/2006/relationships/hyperlink" Target="https://steamcommunity.com/games/2105840/announcements/detail/526488742956893954"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eamcommunity.com/games/2400160/announcements/detail/4686648941196507636"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eamcommunity.com/app/1199030/discussions/0/5011908545188375361/?ctp=2" TargetMode="External"/><Relationship Id="rId744" Type="http://schemas.openxmlformats.org/officeDocument/2006/relationships/hyperlink" Target="https://www.reddit.com/r/Games/comments/17dw9zh/trash_of_the_titans_tabagain_its_into_the_breach/"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www.youtube.com/watch?v=7SjRhK9wdEE" TargetMode="External"/><Relationship Id="rId590" Type="http://schemas.openxmlformats.org/officeDocument/2006/relationships/hyperlink" Target="https://www.reddit.com/r/Games/comments/7ukbl1/im_the_lead_developer_of_tangledeep_a_roguelike/" TargetMode="External"/><Relationship Id="rId604" Type="http://schemas.openxmlformats.org/officeDocument/2006/relationships/hyperlink" Target="https://caifuhao.eastmoney.com/news/2026072523535158381628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www.reddit.com/r/Games/comments/2e7eti/hello_rgames_we_are_the_creators_of_the_roguelike/"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shmuplations.com/chunsoft30th/"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www.reddit.com/r/IndieGame/comments/1s28b5c/we_have_such_a_game_do_you_think_people_will_like/" TargetMode="External"/><Relationship Id="rId755" Type="http://schemas.openxmlformats.org/officeDocument/2006/relationships/hyperlink" Target="https://youtu.be/_Ner8cAfsB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x.com/AntennaGames/status/2062052913199956449" TargetMode="External"/><Relationship Id="rId408" Type="http://schemas.openxmlformats.org/officeDocument/2006/relationships/hyperlink" Target="https://www.reddit.com/r/indiegames/comments/1kfcwzq/i_worked_4_years_fulltime_on_my_dream_game/" TargetMode="External"/><Relationship Id="rId615" Type="http://schemas.openxmlformats.org/officeDocument/2006/relationships/hyperlink" Target="https://mcvuk.com/development-news/when-we-made-moonlighter/" TargetMode="External"/><Relationship Id="rId822" Type="http://schemas.openxmlformats.org/officeDocument/2006/relationships/hyperlink" Target="https://steamcommunity.com/games/1105670/announcements/detail/2996568545566483264" TargetMode="External"/><Relationship Id="rId254" Type="http://schemas.openxmlformats.org/officeDocument/2006/relationships/hyperlink" Target="https://youtu.be/j6rOHgGxdHY" TargetMode="External"/><Relationship Id="rId699" Type="http://schemas.openxmlformats.org/officeDocument/2006/relationships/hyperlink" Target="https://store.steampowered.com/app/943140/Sparklit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games/2904290/announcements/detail/4185610799649293674" TargetMode="External"/><Relationship Id="rId559" Type="http://schemas.openxmlformats.org/officeDocument/2006/relationships/hyperlink" Target="https://www.reddit.com/r/Games/comments/2e7eti/hello_rgames_we_are_the_creators_of_the_roguelike/" TargetMode="External"/><Relationship Id="rId766" Type="http://schemas.openxmlformats.org/officeDocument/2006/relationships/hyperlink" Target="https://steamcommunity.com/games/1000010/announcements/detail/1712958942358263915"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www.reddit.com/r/pcgaming/comments/1f9y4d8/weve_been_making_our_totally_normal_coop_shooter/" TargetMode="External"/><Relationship Id="rId626" Type="http://schemas.openxmlformats.org/officeDocument/2006/relationships/hyperlink" Target="https://www.reddit.com/r/roguelites/comments/m2341u/space_gladiators_my_isaac_inspired_grotesque/"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ADOM" TargetMode="External"/><Relationship Id="rId472" Type="http://schemas.openxmlformats.org/officeDocument/2006/relationships/hyperlink" Target="https://arcanium-rise-of-akhan.xsollasitebuilder.com/" TargetMode="External"/><Relationship Id="rId900" Type="http://schemas.openxmlformats.org/officeDocument/2006/relationships/hyperlink" Target="https://crpgaddict.blogspot.com/2011/05/omega-everything-is-reference.html"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eamcommunity.com/app/1734320/discussions/0/598515896185532848/" TargetMode="External"/><Relationship Id="rId844" Type="http://schemas.openxmlformats.org/officeDocument/2006/relationships/hyperlink" Target="https://www.gamespark.jp/article/2023/02/15/127110.html"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steamcommunity.com/app/2118810/discussions/1/3980680532379147080/" TargetMode="External"/><Relationship Id="rId690" Type="http://schemas.openxmlformats.org/officeDocument/2006/relationships/hyperlink" Target="https://rogueliker.com/guntouchables-interview/%20and%20also%20talked%20about%20nuclear%20throne%20in%20the%20discord"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store.steampowered.com/news/app/1434540/view/2939150821227809707" TargetMode="External"/><Relationship Id="rId788" Type="http://schemas.openxmlformats.org/officeDocument/2006/relationships/hyperlink" Target="https://steamcommunity.com/games/1123770/announcements/detail/1697231221626410268"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nichegamer.com/patch-quest-interview/"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pokevoid.com/" TargetMode="External"/><Relationship Id="rId494" Type="http://schemas.openxmlformats.org/officeDocument/2006/relationships/hyperlink" Target="https://x.com/dicefold/status/1805536239212544285" TargetMode="External"/><Relationship Id="rId508" Type="http://schemas.openxmlformats.org/officeDocument/2006/relationships/hyperlink" Target="https://iratus.org/faq" TargetMode="External"/><Relationship Id="rId715" Type="http://schemas.openxmlformats.org/officeDocument/2006/relationships/hyperlink" Target="https://www.youtube.com/watch?v=L0Yg-sCCPEo" TargetMode="External"/><Relationship Id="rId922" Type="http://schemas.openxmlformats.org/officeDocument/2006/relationships/hyperlink" Target="https://steamcommunity.com/games/2742830/announcements/detail/572625355297261274"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IndieGaming/comments/1pji5gu/dunjungle_the_monkey_action_roguelite_is_out_on/" TargetMode="External"/><Relationship Id="rId659" Type="http://schemas.openxmlformats.org/officeDocument/2006/relationships/hyperlink" Target="https://www.youtube.com/watch?v=mGVNTEOoBXc" TargetMode="External"/><Relationship Id="rId866" Type="http://schemas.openxmlformats.org/officeDocument/2006/relationships/hyperlink" Target="https://www.gamedeveloper.com/design/building-i-enter-the-gungeon-i-s-dungeon-climbing-spin-off-i-exit-the-gungeon-i-"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lr9xu3YNwZ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x.com/CodeRed_dev/status/1925987988565074114?s=20"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youtu.be/zKQl9Xp3dxo"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737" Type="http://schemas.openxmlformats.org/officeDocument/2006/relationships/hyperlink" Target="https://www.reddit.com/r/roguelites/comments/1t6eumj/we_spent_2_years_making_a_coop_action_roguelite/" TargetMode="External"/><Relationship Id="rId944" Type="http://schemas.openxmlformats.org/officeDocument/2006/relationships/hyperlink" Target="https://www.youtube.com/watch?v=k0nC4o912Y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gamedeveloper.com/design/making-a-case-for-short-games" TargetMode="External"/><Relationship Id="rId583" Type="http://schemas.openxmlformats.org/officeDocument/2006/relationships/hyperlink" Target="https://gamingbolt.com/gonner-interview-a-colorful-and-challenging-ride" TargetMode="External"/><Relationship Id="rId790" Type="http://schemas.openxmlformats.org/officeDocument/2006/relationships/hyperlink" Target="https://steamcommunity.com/games/1637320/announcements/detail/4673137508062083951" TargetMode="External"/><Relationship Id="rId804" Type="http://schemas.openxmlformats.org/officeDocument/2006/relationships/hyperlink" Target="https://steamcommunity.com/games/692890/announcements/detail/4599817768902300278"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www.reddit.com/r/JRPG/comments/1k54nny/lets_discover_rogue_hearts_dungeon_jun_ota_and/" TargetMode="External"/><Relationship Id="rId650" Type="http://schemas.openxmlformats.org/officeDocument/2006/relationships/hyperlink" Target="https://www.simplelove.co/entry/20141209/1418122763"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youtu.be/HyhYA69y62c" TargetMode="External"/><Relationship Id="rId748" Type="http://schemas.openxmlformats.org/officeDocument/2006/relationships/hyperlink" Target="https://www.youtube.com/watch?v=uKyeo6l_pAQ"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milkbar-lads.itch.io/dead-estate" TargetMode="External"/><Relationship Id="rId510" Type="http://schemas.openxmlformats.org/officeDocument/2006/relationships/hyperlink" Target="https://steamcommunity.com/app/1266430/discussions/0/3194745319517826630/" TargetMode="External"/><Relationship Id="rId594" Type="http://schemas.openxmlformats.org/officeDocument/2006/relationships/hyperlink" Target="https://gamestudio.n-ix.com/case-study/the-bazaar-game-development-story/" TargetMode="External"/><Relationship Id="rId608" Type="http://schemas.openxmlformats.org/officeDocument/2006/relationships/hyperlink" Target="https://steamcommunity.com/app/225280/discussions/0/846961716374404705/"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tech4gamers.com/heading-out-interview/"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gamerheadquarters.com/articles/immortal-redneck-interview.html" TargetMode="External"/><Relationship Id="rId661" Type="http://schemas.openxmlformats.org/officeDocument/2006/relationships/hyperlink" Target="https://xuanmingzhou.com/blog/glyphica-a-solo-dev-retrospective/" TargetMode="External"/><Relationship Id="rId759" Type="http://schemas.openxmlformats.org/officeDocument/2006/relationships/hyperlink" Target="https://rogueliker.com/footgun-underground-interview/"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www.shadowofthewyrm.org/about.html" TargetMode="External"/><Relationship Id="rId521" Type="http://schemas.openxmlformats.org/officeDocument/2006/relationships/hyperlink" Target="https://en.wikipedia.org/wiki/Peglin" TargetMode="External"/><Relationship Id="rId619" Type="http://schemas.openxmlformats.org/officeDocument/2006/relationships/hyperlink" Target="https://www.polygon.com/2013/6/20/4439320/our-darker-purpose-kickstarter-avidly-wild-game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www.gamespark.jp/article/2025/07/24/155340.html" TargetMode="External"/><Relationship Id="rId258" Type="http://schemas.openxmlformats.org/officeDocument/2006/relationships/hyperlink" Target="https://youtu.be/-I__TxhbQgw" TargetMode="External"/><Relationship Id="rId465" Type="http://schemas.openxmlformats.org/officeDocument/2006/relationships/hyperlink" Target="https://www.youtube.com/watch?v=dfLSGkKC2ug" TargetMode="External"/><Relationship Id="rId672" Type="http://schemas.openxmlformats.org/officeDocument/2006/relationships/hyperlink" Target="https://www.reddit.com/r/playmygame/comments/sqb852/our_spellcasting_roguelike_abandoned_archive_no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forum.godotengine.org/t/seedborne-soldiers-an-auto-battler-roguelike-demo-now-available-on-steam/83974"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rpgcodex.net/content.php?id=8133" TargetMode="External"/><Relationship Id="rId269" Type="http://schemas.openxmlformats.org/officeDocument/2006/relationships/hyperlink" Target="https://roguebasin.com/index.php/NetHack" TargetMode="External"/><Relationship Id="rId476" Type="http://schemas.openxmlformats.org/officeDocument/2006/relationships/hyperlink" Target="https://indiecator.org/2022/09/26/astrea-six-sided-oracles-interview/"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www.youtube.com/watch?v=txv0XsRrFwo"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www.reddit.com/r/roguelites/comments/1djfzyz/started_as_a_solodev_with_no_programming/"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facebook.com/reel/931892201606258"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switchplayer.net/2017/05/08/grabbing-a-frozenbyte-with-some-has-been-heroes/" TargetMode="External"/><Relationship Id="rId694" Type="http://schemas.openxmlformats.org/officeDocument/2006/relationships/hyperlink" Target="https://store.steampowered.com/app/3484940/Curse_of_Pirate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youtu.be/6jw72rP6Zmk"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indiegraph.wordpress.com/2013/12/11/interview-with-the-creator-of-barony/"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www.rpgsite.net/interview/20000-brian-bucklew-caves-of-qud-interview-expansions-switch-port-unity-controller-support-coffee"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roguebasin.com/index.php/The_Ground_Gives_Way" TargetMode="External"/><Relationship Id="rId498" Type="http://schemas.openxmlformats.org/officeDocument/2006/relationships/hyperlink" Target="https://x.com/dieinthedungeon/status/1829950757699010949" TargetMode="External"/><Relationship Id="rId621" Type="http://schemas.openxmlformats.org/officeDocument/2006/relationships/hyperlink" Target="https://www.reddit.com/r/Spore/comments/1uz4aye/just_released_my_game_pathogenic_its_basically/"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www.gamebusiness.jp/article/2022/06/15/20252.html"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wesleyjkurtz.wixsite.com/orangedrop/post/mana-spark-kishimoto-studios-indie-devs-behemutt-an-in-depth-interview"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www.reddit.com/r/pcgaming/comments/1p30oqw/were_big_distraction_an_indie_studio_founded_by/" TargetMode="External"/><Relationship Id="rId632" Type="http://schemas.openxmlformats.org/officeDocument/2006/relationships/hyperlink" Target="https://www.reddit.com/r/nintendo/comments/691a58/we_are_team_tumbleseed_and_we_launched_tumbleseed/" TargetMode="External"/><Relationship Id="rId271" Type="http://schemas.openxmlformats.org/officeDocument/2006/relationships/hyperlink" Target="https://x.com/AnAmazingWizard/status/1489554155597352962?s=20"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roguebasin.com/index.php/IVAN" TargetMode="External"/><Relationship Id="rId576" Type="http://schemas.openxmlformats.org/officeDocument/2006/relationships/hyperlink" Target="https://www.gamedeveloper.com/game-platforms/eugene-paik-talks-about-vagante-a-roguelite-8-years-in-the-making"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www.reddit.com/r/Games/comments/2e7eti/hello_rgames_we_are_the_creators_of_the_roguelike/"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www.gamebanshee.com/news/104059-dungeons-of-dredmor-review-interview-and-patch-update.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twotinydice.itch.io/forward/devlog/355393/development-update-2-new-game-mode-cool-features" TargetMode="External"/><Relationship Id="rId587" Type="http://schemas.openxmlformats.org/officeDocument/2006/relationships/hyperlink" Target="https://roguebasin.com/index.php/Labyrinth_of_Legendary_Loot" TargetMode="External"/><Relationship Id="rId710" Type="http://schemas.openxmlformats.org/officeDocument/2006/relationships/hyperlink" Target="https://www.reddit.com/r/roguelikedev/comments/1tbz50j/hello_made_a_3d_asciisprite_roguelike_called/" TargetMode="External"/><Relationship Id="rId808" Type="http://schemas.openxmlformats.org/officeDocument/2006/relationships/hyperlink" Target="https://steamcommunity.com/games/2067920/announcements/detail/3908626109457877555"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ore.steampowered.com/app/2420510/HoloCure__Save_the_Fans/" TargetMode="External"/><Relationship Id="rId654" Type="http://schemas.openxmlformats.org/officeDocument/2006/relationships/hyperlink" Target="https://steamcommunity.com/app/3100310/discussions/0/735910198043224446/" TargetMode="External"/><Relationship Id="rId861" Type="http://schemas.openxmlformats.org/officeDocument/2006/relationships/hyperlink" Target="https://www.gamedeveloper.com/game-platforms/playing-catch-up-i-castle-of-the-winds-i-rick-saada"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store.steampowered.com/app/3035330/Dicealot/"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wJ2cgBoxsi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steamcommunity.com/app/535480/discussions/0/1693785035806645807/" TargetMode="External"/><Relationship Id="rId665" Type="http://schemas.openxmlformats.org/officeDocument/2006/relationships/hyperlink" Target="https://store.steampowered.com/news/app/2934220/view/698764742929416235?l=english" TargetMode="External"/><Relationship Id="rId872" Type="http://schemas.openxmlformats.org/officeDocument/2006/relationships/hyperlink" Target="https://rubberchickengames.com/2014/10/14/entrevista-a-terri-vellmann-criador-de-heavy-bullets/"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www.reddit.com/r/NintendoSwitch/comments/10q0wez/ama_the_roguelike_that_is_played_using_only_two/"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inley%27s_Dungeon_Crawl" TargetMode="External"/><Relationship Id="rId469" Type="http://schemas.openxmlformats.org/officeDocument/2006/relationships/hyperlink" Target="https://youtu.be/VGMszILvj78" TargetMode="External"/><Relationship Id="rId676" Type="http://schemas.openxmlformats.org/officeDocument/2006/relationships/hyperlink" Target="https://roguebasin.com/index.php/ZMAngband" TargetMode="External"/><Relationship Id="rId883" Type="http://schemas.openxmlformats.org/officeDocument/2006/relationships/hyperlink" Target="https://www.screenhype.co.uk/undermine-2-interview-thorium-entertainment-exclusive/"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x.com/tjgamedev/status/1850115152118796296"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facebook.com/groups/132728896890594/posts/2551615688335224/" TargetMode="External"/><Relationship Id="rId950" Type="http://schemas.openxmlformats.org/officeDocument/2006/relationships/hyperlink" Target="https://store.steampowered.com/news/app/2002220/view/3716075659957435965?l=english" TargetMode="External"/><Relationship Id="rId382" Type="http://schemas.openxmlformats.org/officeDocument/2006/relationships/hyperlink" Target="https://youtu.be/3C_nZPTNy4E" TargetMode="External"/><Relationship Id="rId603" Type="http://schemas.openxmlformats.org/officeDocument/2006/relationships/hyperlink" Target="https://www.reddit.com/r/bindingofisaac/comments/icvtkc/cavity_busters_toothpunk_roguelite_with_some/" TargetMode="External"/><Relationship Id="rId687" Type="http://schemas.openxmlformats.org/officeDocument/2006/relationships/hyperlink" Target="https://www.ign.com/articles/city-of-balls-was-the-original-title-and-somehow-ball-x-pit-got-even-weirder-from-there"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shacknews.com/article/135007/tape-to-tape-interview-with-lead-game-designer-hugo-julien"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rpgcodex.net/content.php?id=102"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youtu.be/cX-tottt9i0" TargetMode="External"/><Relationship Id="rId754" Type="http://schemas.openxmlformats.org/officeDocument/2006/relationships/hyperlink" Target="https://www.youtube.com/watch?v=uKyeo6l_pAQ"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fextralife.com/odinfall-a-new-viking-themed-roguelite-coming-to-early-access/" TargetMode="External"/><Relationship Id="rId407" Type="http://schemas.openxmlformats.org/officeDocument/2006/relationships/hyperlink" Target="https://youtu.be/ShnrIAmnN8I" TargetMode="External"/><Relationship Id="rId614" Type="http://schemas.openxmlformats.org/officeDocument/2006/relationships/hyperlink" Target="https://forums.tigsource.com/index.php?topic=41609.0" TargetMode="External"/><Relationship Id="rId821" Type="http://schemas.openxmlformats.org/officeDocument/2006/relationships/hyperlink" Target="https://steamcommunity.com/games/1227280/announcements/detail/4522268823003961902"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youtu.be/MgSjfLOYMXg" TargetMode="External"/><Relationship Id="rId698" Type="http://schemas.openxmlformats.org/officeDocument/2006/relationships/hyperlink" Target="https://nintendoeverything.com/interview-sparklite-dev-on-zelda-inspirations-art-style-possible-post-launch-additions-more/"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dumbandfat.com/coincrypt/" TargetMode="External"/><Relationship Id="rId765" Type="http://schemas.openxmlformats.org/officeDocument/2006/relationships/hyperlink" Target="https://www.pentadact.com/2015-09-25-natural-numbers-in-game-design/" TargetMode="External"/><Relationship Id="rId197" Type="http://schemas.openxmlformats.org/officeDocument/2006/relationships/hyperlink" Target="https://www.qcfdesign.com/wiki/DesktopDungeons/index.php?title=Desktop_Dungeons" TargetMode="External"/><Relationship Id="rId418" Type="http://schemas.openxmlformats.org/officeDocument/2006/relationships/hyperlink" Target="https://x.com/search?q=from%3AMiraricogames%20survivors&amp;src=typed_query" TargetMode="External"/><Relationship Id="rId625" Type="http://schemas.openxmlformats.org/officeDocument/2006/relationships/hyperlink" Target="https://podcasts.apple.com/us/podcast/slay-the-spire-with-anthony-giovannetti/id1435365252?i=1000447140877" TargetMode="External"/><Relationship Id="rId832" Type="http://schemas.openxmlformats.org/officeDocument/2006/relationships/hyperlink" Target="https://www.gamespark.jp/article/2026/05/10/166209.html"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store.steampowered.com/app/1668690/Alina_of_the_Arena/"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en.wikipedia.org/wiki/Rogue_Legacy"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x.com/sparklewing925/status/1926056500113346640" TargetMode="External"/><Relationship Id="rId429" Type="http://schemas.openxmlformats.org/officeDocument/2006/relationships/hyperlink" Target="https://youtu.be/Jn9yS2eSJzg" TargetMode="External"/><Relationship Id="rId636" Type="http://schemas.openxmlformats.org/officeDocument/2006/relationships/hyperlink" Target="https://roguebasin.com/index.php/ZMAngband"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www.gamingfurever.com/news/editorials/brew-interview-with-ceo-of-snow-leaf-studios-isak-wahl" TargetMode="External"/><Relationship Id="rId482" Type="http://schemas.openxmlformats.org/officeDocument/2006/relationships/hyperlink" Target="https://www.reddit.com/r/Games/comments/s5izbt/breach_wanderers_baronnerie_games_roguelike/" TargetMode="External"/><Relationship Id="rId703" Type="http://schemas.openxmlformats.org/officeDocument/2006/relationships/hyperlink" Target="https://steamcommunity.com/app/1721110/discussions/0/600775708393865281/"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store.steampowered.com/app/2902440/Steves_Warehouse_Physics_Roguelike_Chaos/" TargetMode="External"/><Relationship Id="rId787" Type="http://schemas.openxmlformats.org/officeDocument/2006/relationships/hyperlink" Target="https://steamcommunity.com/games/1123770/announcements/detail/1697231221626410268"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00"/>
  <sheetViews>
    <sheetView tabSelected="1" topLeftCell="A863" zoomScaleNormal="100" workbookViewId="0">
      <selection activeCell="D906" sqref="D90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8356</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7914</v>
      </c>
      <c r="B18">
        <v>2025</v>
      </c>
      <c r="C18" t="s">
        <v>176</v>
      </c>
      <c r="D18" t="b">
        <f>TRUE()</f>
        <v>1</v>
      </c>
      <c r="E18" t="b">
        <f>COUNTIF(connections!A:A, A18) &gt; 0</f>
        <v>0</v>
      </c>
      <c r="G18" t="s">
        <v>7915</v>
      </c>
      <c r="H18" t="s">
        <v>187</v>
      </c>
      <c r="I18" t="s">
        <v>7921</v>
      </c>
      <c r="J18" s="10" t="s">
        <v>7916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8120</v>
      </c>
      <c r="B27">
        <v>2024</v>
      </c>
      <c r="C27" t="s">
        <v>222</v>
      </c>
      <c r="D27" t="b">
        <f>TRUE()</f>
        <v>1</v>
      </c>
      <c r="E27" t="b">
        <f>COUNTIF(connections!A:A, A27) &gt; 0</f>
        <v>0</v>
      </c>
      <c r="G27" t="s">
        <v>8121</v>
      </c>
      <c r="J27" s="10" t="s">
        <v>8122</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8329</v>
      </c>
      <c r="J38" s="10" t="s">
        <v>8330</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8146</v>
      </c>
      <c r="J53" s="10" t="s">
        <v>8147</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7952</v>
      </c>
      <c r="B65">
        <v>2026</v>
      </c>
      <c r="C65" t="s">
        <v>222</v>
      </c>
      <c r="D65" t="b">
        <f>TRUE()</f>
        <v>1</v>
      </c>
      <c r="E65" t="b">
        <f>COUNTIF(connections!A:A, A65) &gt; 0</f>
        <v>0</v>
      </c>
      <c r="G65" t="s">
        <v>7953</v>
      </c>
      <c r="H65" t="s">
        <v>187</v>
      </c>
      <c r="I65" t="s">
        <v>8145</v>
      </c>
      <c r="J65" s="10" t="s">
        <v>7954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7830</v>
      </c>
      <c r="B101">
        <v>2019</v>
      </c>
      <c r="C101" t="s">
        <v>179</v>
      </c>
      <c r="D101" t="b">
        <f>TRUE()</f>
        <v>1</v>
      </c>
      <c r="E101" t="b">
        <f>COUNTIF(connections!A:A, A101) &gt; 0</f>
        <v>0</v>
      </c>
      <c r="G101" t="s">
        <v>7831</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7476</v>
      </c>
    </row>
    <row r="111" spans="1:10" ht="15" customHeight="1" x14ac:dyDescent="0.25">
      <c r="A111" t="s">
        <v>536</v>
      </c>
      <c r="B111">
        <v>2013</v>
      </c>
      <c r="C111" t="s">
        <v>179</v>
      </c>
      <c r="D111" t="b">
        <f>TRUE()</f>
        <v>1</v>
      </c>
      <c r="E111" t="b">
        <f>COUNTIF(connections!A:A, A111) &gt; 0</f>
        <v>1</v>
      </c>
      <c r="F111" t="s">
        <v>458</v>
      </c>
      <c r="G111" t="s">
        <v>537</v>
      </c>
      <c r="H111" t="s">
        <v>187</v>
      </c>
      <c r="I111" t="s">
        <v>7477</v>
      </c>
    </row>
    <row r="112" spans="1:10" ht="15" customHeight="1" x14ac:dyDescent="0.25">
      <c r="A112" t="s">
        <v>538</v>
      </c>
      <c r="B112">
        <v>2025</v>
      </c>
      <c r="C112" t="s">
        <v>179</v>
      </c>
      <c r="D112" t="b">
        <f>TRUE()</f>
        <v>1</v>
      </c>
      <c r="E112" t="b">
        <f>COUNTIF(connections!A:A, A112) &gt; 0</f>
        <v>0</v>
      </c>
      <c r="F112" t="s">
        <v>458</v>
      </c>
      <c r="G112" t="s">
        <v>539</v>
      </c>
      <c r="H112" t="s">
        <v>187</v>
      </c>
      <c r="I112" t="s">
        <v>7478</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8353</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8331</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8136</v>
      </c>
      <c r="J132" s="10" t="s">
        <v>8137</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7651</v>
      </c>
      <c r="B141">
        <v>2026</v>
      </c>
      <c r="C141" t="s">
        <v>222</v>
      </c>
      <c r="D141" t="b">
        <f>TRUE()</f>
        <v>1</v>
      </c>
      <c r="E141" t="b">
        <f>COUNTIF(connections!A:A, A141) &gt; 0</f>
        <v>0</v>
      </c>
      <c r="G141" t="s">
        <v>7650</v>
      </c>
      <c r="J141" s="10" t="s">
        <v>7649</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9474</v>
      </c>
      <c r="G147" t="s">
        <v>653</v>
      </c>
      <c r="H147" t="s">
        <v>187</v>
      </c>
      <c r="I147" t="s">
        <v>654</v>
      </c>
      <c r="J147" s="1" t="s">
        <v>655</v>
      </c>
    </row>
    <row r="148" spans="1:10" ht="15" customHeight="1" x14ac:dyDescent="0.25">
      <c r="A148" t="s">
        <v>656</v>
      </c>
      <c r="B148">
        <v>2025</v>
      </c>
      <c r="C148" t="s">
        <v>179</v>
      </c>
      <c r="D148" t="b">
        <f>TRUE()</f>
        <v>1</v>
      </c>
      <c r="E148" t="b">
        <f>COUNTIF(connections!A:A, A148) &gt; 0</f>
        <v>0</v>
      </c>
      <c r="F148" t="s">
        <v>6955</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7834</v>
      </c>
      <c r="B168">
        <v>2026</v>
      </c>
      <c r="C168" t="s">
        <v>176</v>
      </c>
      <c r="D168" t="b">
        <f>TRUE()</f>
        <v>1</v>
      </c>
      <c r="E168" t="b">
        <f>COUNTIF(connections!A:A, A168) &gt; 0</f>
        <v>0</v>
      </c>
      <c r="G168" t="s">
        <v>7835</v>
      </c>
      <c r="J168" s="10" t="s">
        <v>7836</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7955</v>
      </c>
      <c r="B192">
        <v>2026</v>
      </c>
      <c r="C192" t="s">
        <v>176</v>
      </c>
      <c r="D192" t="b">
        <f>TRUE()</f>
        <v>1</v>
      </c>
      <c r="E192" t="b">
        <f>COUNTIF(connections!A:A, A192) &gt; 0</f>
        <v>0</v>
      </c>
      <c r="F192" t="s">
        <v>617</v>
      </c>
      <c r="G192" t="s">
        <v>7956</v>
      </c>
      <c r="J192" s="10" t="s">
        <v>7957</v>
      </c>
    </row>
    <row r="193" spans="1:10" ht="15" customHeight="1" x14ac:dyDescent="0.25">
      <c r="A193" t="s">
        <v>811</v>
      </c>
      <c r="B193">
        <v>2024</v>
      </c>
      <c r="C193" t="s">
        <v>176</v>
      </c>
      <c r="D193" t="b">
        <f>TRUE()</f>
        <v>1</v>
      </c>
      <c r="E193" t="b">
        <f>COUNTIF(connections!A:A, A193) &gt; 0</f>
        <v>1</v>
      </c>
      <c r="F193" t="s">
        <v>617</v>
      </c>
      <c r="G193" t="s">
        <v>812</v>
      </c>
      <c r="H193" t="s">
        <v>187</v>
      </c>
      <c r="I193" t="s">
        <v>9976</v>
      </c>
      <c r="J193" s="10" t="s">
        <v>9977</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8402</v>
      </c>
      <c r="B203">
        <v>2018</v>
      </c>
      <c r="C203" t="s">
        <v>222</v>
      </c>
      <c r="D203" t="b">
        <v>1</v>
      </c>
      <c r="E203" t="b">
        <f>COUNTIF(connections!A:A, A203) &gt; 0</f>
        <v>1</v>
      </c>
      <c r="G203" t="s">
        <v>8404</v>
      </c>
      <c r="J203" s="10" t="s">
        <v>8403</v>
      </c>
    </row>
    <row r="204" spans="1:10" ht="15" customHeight="1" x14ac:dyDescent="0.25">
      <c r="A204" t="s">
        <v>8401</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8320</v>
      </c>
      <c r="B214">
        <v>2026</v>
      </c>
      <c r="C214" t="s">
        <v>182</v>
      </c>
      <c r="D214" t="b">
        <f>TRUE()</f>
        <v>1</v>
      </c>
      <c r="E214" t="b">
        <f>COUNTIF(connections!A:A, A214) &gt; 0</f>
        <v>0</v>
      </c>
      <c r="F214" t="s">
        <v>315</v>
      </c>
      <c r="G214" t="s">
        <v>8321</v>
      </c>
      <c r="J214" s="10" t="s">
        <v>8322</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7849</v>
      </c>
      <c r="B235">
        <v>2026</v>
      </c>
      <c r="C235" t="s">
        <v>179</v>
      </c>
      <c r="D235" t="b">
        <f>TRUE()</f>
        <v>1</v>
      </c>
      <c r="E235" t="b">
        <f>COUNTIF(connections!A:A, A235) &gt; 0</f>
        <v>0</v>
      </c>
      <c r="G235" t="s">
        <v>7863</v>
      </c>
      <c r="J235" s="10" t="s">
        <v>7850</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7991</v>
      </c>
      <c r="B242">
        <v>2026</v>
      </c>
      <c r="C242" t="s">
        <v>176</v>
      </c>
      <c r="D242" t="b">
        <f>TRUE()</f>
        <v>1</v>
      </c>
      <c r="E242" t="b">
        <f>COUNTIF(connections!A:A, A242) &gt; 0</f>
        <v>0</v>
      </c>
      <c r="G242" t="s">
        <v>7992</v>
      </c>
      <c r="J242" s="10" t="s">
        <v>7993</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v>1</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7874</v>
      </c>
      <c r="J254" s="10" t="s">
        <v>7875</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8332</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F275" t="s">
        <v>6955</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8333</v>
      </c>
      <c r="J287" s="10" t="s">
        <v>8334</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7707</v>
      </c>
      <c r="B340">
        <v>2025</v>
      </c>
      <c r="C340" t="s">
        <v>176</v>
      </c>
      <c r="D340" t="b">
        <f>TRUE()</f>
        <v>1</v>
      </c>
      <c r="E340" t="b">
        <f>COUNTIF(connections!A:A, A340) &gt; 0</f>
        <v>0</v>
      </c>
      <c r="G340" t="s">
        <v>7708</v>
      </c>
      <c r="H340" t="s">
        <v>187</v>
      </c>
      <c r="I340" t="s">
        <v>7711</v>
      </c>
      <c r="J340" s="10" t="s">
        <v>7709</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1</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8142</v>
      </c>
      <c r="J348" s="10" t="s">
        <v>8143</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7860</v>
      </c>
      <c r="B350">
        <v>2026</v>
      </c>
      <c r="C350" t="s">
        <v>182</v>
      </c>
      <c r="D350" t="b">
        <f>TRUE()</f>
        <v>1</v>
      </c>
      <c r="E350" t="b">
        <f>COUNTIF(connections!A:A, A350) &gt; 0</f>
        <v>0</v>
      </c>
      <c r="G350" t="s">
        <v>7861</v>
      </c>
      <c r="J350" s="10" t="s">
        <v>7862</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8427</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1</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7995</v>
      </c>
      <c r="B389">
        <v>2026</v>
      </c>
      <c r="C389" t="s">
        <v>182</v>
      </c>
      <c r="D389" t="b">
        <f>TRUE()</f>
        <v>1</v>
      </c>
      <c r="E389" t="b">
        <f>COUNTIF(connections!A:A, A389) &gt; 0</f>
        <v>0</v>
      </c>
      <c r="G389" t="s">
        <v>7996</v>
      </c>
      <c r="J389" s="10" t="s">
        <v>7997</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7986</v>
      </c>
      <c r="B405">
        <v>2026</v>
      </c>
      <c r="C405" t="s">
        <v>176</v>
      </c>
      <c r="D405" t="b">
        <f>TRUE()</f>
        <v>1</v>
      </c>
      <c r="E405" t="b">
        <f>COUNTIF(connections!A:A, A405) &gt; 0</f>
        <v>0</v>
      </c>
      <c r="G405" t="s">
        <v>7987</v>
      </c>
      <c r="J405" s="10" t="s">
        <v>7988</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8108</v>
      </c>
      <c r="B417">
        <v>2013</v>
      </c>
      <c r="C417" t="s">
        <v>176</v>
      </c>
      <c r="D417" t="b">
        <f>TRUE()</f>
        <v>1</v>
      </c>
      <c r="E417" t="b">
        <f>COUNTIF(connections!A:A, A417) &gt; 0</f>
        <v>0</v>
      </c>
      <c r="G417" t="s">
        <v>8109</v>
      </c>
      <c r="J417" s="10" t="s">
        <v>8110</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7961</v>
      </c>
      <c r="B419">
        <v>2026</v>
      </c>
      <c r="C419" t="s">
        <v>222</v>
      </c>
      <c r="D419" t="b">
        <f>TRUE()</f>
        <v>1</v>
      </c>
      <c r="E419" t="b">
        <f>COUNTIF(connections!A:A, A419) &gt; 0</f>
        <v>0</v>
      </c>
      <c r="G419" t="s">
        <v>7962</v>
      </c>
      <c r="J419" s="10" t="s">
        <v>7963</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7999</v>
      </c>
      <c r="B423">
        <v>2026</v>
      </c>
      <c r="C423" t="s">
        <v>182</v>
      </c>
      <c r="D423" t="b">
        <f>TRUE()</f>
        <v>1</v>
      </c>
      <c r="E423" t="b">
        <f>COUNTIF(connections!A:A, A423) &gt; 0</f>
        <v>0</v>
      </c>
      <c r="G423" t="s">
        <v>8000</v>
      </c>
      <c r="J423" s="10" t="s">
        <v>8001</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c r="H430" t="s">
        <v>187</v>
      </c>
      <c r="I430" t="s">
        <v>9979</v>
      </c>
      <c r="J430" s="10" t="s">
        <v>9980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7872</v>
      </c>
      <c r="J435" s="10" t="s">
        <v>7873</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7823</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7837</v>
      </c>
      <c r="B540">
        <v>2026</v>
      </c>
      <c r="C540" t="s">
        <v>182</v>
      </c>
      <c r="D540" t="b">
        <f>TRUE()</f>
        <v>1</v>
      </c>
      <c r="E540" t="b">
        <f>COUNTIF(connections!A:A, A540) &gt; 0</f>
        <v>0</v>
      </c>
      <c r="G540" t="s">
        <v>7820</v>
      </c>
      <c r="J540" s="10" t="s">
        <v>7821</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7924</v>
      </c>
      <c r="B548">
        <v>2026</v>
      </c>
      <c r="C548" t="s">
        <v>176</v>
      </c>
      <c r="D548" t="b">
        <f>TRUE()</f>
        <v>1</v>
      </c>
      <c r="E548" t="b">
        <f>COUNTIF(connections!A:A, A548) &gt; 0</f>
        <v>0</v>
      </c>
      <c r="G548" t="s">
        <v>7925</v>
      </c>
      <c r="J548" s="10" t="s">
        <v>7926</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8126</v>
      </c>
      <c r="B555">
        <v>2026</v>
      </c>
      <c r="C555" t="s">
        <v>176</v>
      </c>
      <c r="D555" t="b">
        <f>TRUE()</f>
        <v>1</v>
      </c>
      <c r="E555" t="b">
        <f>COUNTIF(connections!A:A, A555) &gt; 0</f>
        <v>0</v>
      </c>
      <c r="F555" t="s">
        <v>1030</v>
      </c>
      <c r="G555" t="s">
        <v>8127</v>
      </c>
      <c r="J555" s="10" t="s">
        <v>8128</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7652</v>
      </c>
      <c r="B558">
        <v>2026</v>
      </c>
      <c r="C558" t="s">
        <v>176</v>
      </c>
      <c r="D558" t="b">
        <f>TRUE()</f>
        <v>1</v>
      </c>
      <c r="E558" t="b">
        <f>COUNTIF(connections!A:A, A558) &gt; 0</f>
        <v>0</v>
      </c>
      <c r="G558" t="s">
        <v>7653</v>
      </c>
      <c r="J558" s="10" t="s">
        <v>7654</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8335</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8336</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7943</v>
      </c>
      <c r="B578">
        <v>2026</v>
      </c>
      <c r="C578" t="s">
        <v>176</v>
      </c>
      <c r="D578" t="b">
        <f>TRUE()</f>
        <v>1</v>
      </c>
      <c r="E578" t="b">
        <f>COUNTIF(connections!A:A, A578) &gt; 0</f>
        <v>0</v>
      </c>
      <c r="F578" t="s">
        <v>1985</v>
      </c>
      <c r="G578" t="s">
        <v>7944</v>
      </c>
      <c r="H578" t="s">
        <v>187</v>
      </c>
      <c r="I578" t="s">
        <v>7945</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8114</v>
      </c>
      <c r="B586">
        <v>2024</v>
      </c>
      <c r="C586" t="s">
        <v>182</v>
      </c>
      <c r="D586" t="b">
        <f>TRUE()</f>
        <v>1</v>
      </c>
      <c r="E586" t="b">
        <f>COUNTIF(connections!A:A, A586) &gt; 0</f>
        <v>0</v>
      </c>
      <c r="G586" t="s">
        <v>8115</v>
      </c>
      <c r="J586" s="10" t="s">
        <v>8116</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7876</v>
      </c>
      <c r="J589" s="10" t="s">
        <v>7877</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7928</v>
      </c>
      <c r="B595">
        <v>2026</v>
      </c>
      <c r="C595" t="s">
        <v>179</v>
      </c>
      <c r="D595" t="b">
        <f>TRUE()</f>
        <v>1</v>
      </c>
      <c r="E595" t="b">
        <f>COUNTIF(connections!A:A, A595) &gt; 0</f>
        <v>0</v>
      </c>
      <c r="G595" t="s">
        <v>7930</v>
      </c>
      <c r="J595" s="10" t="s">
        <v>7931</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7918</v>
      </c>
      <c r="B602">
        <v>2025</v>
      </c>
      <c r="C602" t="s">
        <v>176</v>
      </c>
      <c r="D602" t="b">
        <f>TRUE()</f>
        <v>1</v>
      </c>
      <c r="E602" t="b">
        <f>COUNTIF(connections!A:A, A602) &gt; 0</f>
        <v>0</v>
      </c>
      <c r="G602" t="s">
        <v>7919</v>
      </c>
      <c r="H602" t="s">
        <v>187</v>
      </c>
      <c r="I602" t="s">
        <v>7922</v>
      </c>
      <c r="J602" s="10" t="s">
        <v>7920</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7933</v>
      </c>
      <c r="B613">
        <v>2026</v>
      </c>
      <c r="C613" t="s">
        <v>176</v>
      </c>
      <c r="D613" t="b">
        <f>TRUE()</f>
        <v>1</v>
      </c>
      <c r="E613" t="b">
        <f>COUNTIF(connections!A:A, A613) &gt; 0</f>
        <v>0</v>
      </c>
      <c r="G613" t="s">
        <v>7934</v>
      </c>
      <c r="J613" s="10" t="s">
        <v>7935</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8383</v>
      </c>
      <c r="B652">
        <v>2022</v>
      </c>
      <c r="C652" t="s">
        <v>176</v>
      </c>
      <c r="D652" t="b">
        <f>TRUE()</f>
        <v>1</v>
      </c>
      <c r="E652" t="b">
        <f>COUNTIF(connections!A:A, A652) &gt; 0</f>
        <v>1</v>
      </c>
      <c r="G652" t="s">
        <v>8384</v>
      </c>
      <c r="H652" t="s">
        <v>187</v>
      </c>
      <c r="I652" t="s">
        <v>8426</v>
      </c>
      <c r="J652" s="10" t="s">
        <v>8385</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8144</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8354</v>
      </c>
      <c r="J666" s="10" t="s">
        <v>8355</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7941</v>
      </c>
      <c r="B668">
        <v>2025</v>
      </c>
      <c r="C668" t="s">
        <v>176</v>
      </c>
      <c r="D668" t="b">
        <f>TRUE()</f>
        <v>1</v>
      </c>
      <c r="E668" t="b">
        <f>COUNTIF(connections!A:A, A668) &gt; 0</f>
        <v>0</v>
      </c>
      <c r="G668" t="s">
        <v>7942</v>
      </c>
      <c r="J668" s="10" t="s">
        <v>7940</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7948</v>
      </c>
      <c r="B683">
        <v>2026</v>
      </c>
      <c r="C683" t="s">
        <v>182</v>
      </c>
      <c r="D683" t="b">
        <f>TRUE()</f>
        <v>1</v>
      </c>
      <c r="E683" t="b">
        <f>COUNTIF(connections!A:A, A683) &gt; 0</f>
        <v>0</v>
      </c>
      <c r="G683" t="s">
        <v>7949</v>
      </c>
      <c r="J683" s="10" t="s">
        <v>7950</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8351</v>
      </c>
      <c r="J687" s="10" t="s">
        <v>8352</v>
      </c>
    </row>
    <row r="688" spans="1:10" ht="15" customHeight="1" x14ac:dyDescent="0.25">
      <c r="A688" t="s">
        <v>2341</v>
      </c>
      <c r="B688">
        <v>2014</v>
      </c>
      <c r="C688" t="s">
        <v>176</v>
      </c>
      <c r="D688" t="b">
        <f>TRUE()</f>
        <v>1</v>
      </c>
      <c r="E688" t="b">
        <f>COUNTIF(connections!A:A, A688) &gt; 0</f>
        <v>0</v>
      </c>
      <c r="G688" t="s">
        <v>2342</v>
      </c>
      <c r="H688" t="s">
        <v>187</v>
      </c>
      <c r="I688" t="s">
        <v>8337</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8388</v>
      </c>
      <c r="B695">
        <v>2024</v>
      </c>
      <c r="C695" t="s">
        <v>176</v>
      </c>
      <c r="D695" t="b">
        <f>TRUE()</f>
        <v>1</v>
      </c>
      <c r="E695" t="b">
        <f>COUNTIF(connections!A:A, A695) &gt; 0</f>
        <v>0</v>
      </c>
      <c r="G695" t="s">
        <v>8389</v>
      </c>
      <c r="H695" t="s">
        <v>187</v>
      </c>
      <c r="I695" t="s">
        <v>8390</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8117</v>
      </c>
      <c r="B710">
        <v>2024</v>
      </c>
      <c r="C710" t="s">
        <v>222</v>
      </c>
      <c r="D710" t="b">
        <f>TRUE()</f>
        <v>1</v>
      </c>
      <c r="E710" t="b">
        <f>COUNTIF(connections!A:A, A710) &gt; 0</f>
        <v>0</v>
      </c>
      <c r="F710" t="s">
        <v>274</v>
      </c>
      <c r="G710" t="s">
        <v>8118</v>
      </c>
      <c r="H710" t="s">
        <v>187</v>
      </c>
      <c r="I710" t="s">
        <v>8338</v>
      </c>
      <c r="J710" s="10" t="s">
        <v>8119</v>
      </c>
    </row>
    <row r="711" spans="1:10" ht="15" customHeight="1" x14ac:dyDescent="0.25">
      <c r="A711" t="s">
        <v>7856</v>
      </c>
      <c r="B711">
        <v>2019</v>
      </c>
      <c r="C711" t="s">
        <v>176</v>
      </c>
      <c r="D711" t="b">
        <f>TRUE()</f>
        <v>1</v>
      </c>
      <c r="E711" t="b">
        <f>COUNTIF(connections!A:A, A711) &gt; 0</f>
        <v>0</v>
      </c>
      <c r="G711" t="s">
        <v>7857</v>
      </c>
      <c r="H711" t="s">
        <v>187</v>
      </c>
      <c r="I711" t="s">
        <v>8339</v>
      </c>
      <c r="J711" s="10" t="s">
        <v>7858</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7870</v>
      </c>
      <c r="J713" s="10" t="s">
        <v>7871</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8340</v>
      </c>
      <c r="B726">
        <v>2020</v>
      </c>
      <c r="C726" t="s">
        <v>222</v>
      </c>
      <c r="D726" t="b">
        <f>TRUE()</f>
        <v>1</v>
      </c>
      <c r="E726" t="b">
        <f>COUNTIF(connections!A:A, A726) &gt; 0</f>
        <v>0</v>
      </c>
      <c r="G726" t="s">
        <v>8341</v>
      </c>
      <c r="H726" t="s">
        <v>187</v>
      </c>
      <c r="I726" t="s">
        <v>8342</v>
      </c>
      <c r="J726" s="10" t="s">
        <v>8343</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8111</v>
      </c>
      <c r="B732">
        <v>2026</v>
      </c>
      <c r="C732" t="s">
        <v>176</v>
      </c>
      <c r="D732" t="b">
        <f>TRUE()</f>
        <v>1</v>
      </c>
      <c r="E732" t="b">
        <f>COUNTIF(connections!A:A, A732) &gt; 0</f>
        <v>0</v>
      </c>
      <c r="G732" t="s">
        <v>8112</v>
      </c>
      <c r="J732" s="10" t="s">
        <v>8113</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8344</v>
      </c>
      <c r="J734" s="10" t="s">
        <v>8345</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8138</v>
      </c>
      <c r="J745" s="10" t="s">
        <v>8139</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8346</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8347</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7936</v>
      </c>
      <c r="B787">
        <v>2026</v>
      </c>
      <c r="C787" t="s">
        <v>182</v>
      </c>
      <c r="D787" t="b">
        <f>TRUE()</f>
        <v>1</v>
      </c>
      <c r="E787" t="b">
        <f>COUNTIF(connections!A:A, A787) &gt; 0</f>
        <v>0</v>
      </c>
      <c r="G787" t="s">
        <v>7937</v>
      </c>
      <c r="J787" s="10" t="s">
        <v>7938</v>
      </c>
    </row>
    <row r="788" spans="1:10" x14ac:dyDescent="0.25">
      <c r="A788" t="s">
        <v>8148</v>
      </c>
      <c r="B788">
        <v>2026</v>
      </c>
      <c r="C788" t="s">
        <v>176</v>
      </c>
      <c r="D788" t="b">
        <f>TRUE()</f>
        <v>1</v>
      </c>
      <c r="E788" t="b">
        <f>COUNTIF(connections!A:A, A788) &gt; 0</f>
        <v>0</v>
      </c>
      <c r="G788" t="s">
        <v>8150</v>
      </c>
      <c r="J788" s="10" t="s">
        <v>8149</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8140</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H800" t="s">
        <v>187</v>
      </c>
      <c r="I800" t="s">
        <v>9978</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7965</v>
      </c>
      <c r="B802">
        <v>2026</v>
      </c>
      <c r="C802" t="s">
        <v>182</v>
      </c>
      <c r="D802" t="b">
        <f>TRUE()</f>
        <v>1</v>
      </c>
      <c r="E802" t="b">
        <f>COUNTIF(connections!A:A, A802) &gt; 0</f>
        <v>0</v>
      </c>
      <c r="G802" t="s">
        <v>7966</v>
      </c>
      <c r="J802" s="10" t="s">
        <v>7967</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8348</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8123</v>
      </c>
      <c r="B823">
        <v>2024</v>
      </c>
      <c r="C823" t="s">
        <v>222</v>
      </c>
      <c r="D823" t="b">
        <f>TRUE()</f>
        <v>1</v>
      </c>
      <c r="E823" t="b">
        <f>COUNTIF(connections!A:A, A823) &gt; 0</f>
        <v>0</v>
      </c>
      <c r="G823" t="s">
        <v>8124</v>
      </c>
      <c r="J823" s="10" t="s">
        <v>8125</v>
      </c>
    </row>
    <row r="824" spans="1:10" x14ac:dyDescent="0.25">
      <c r="A824" t="s">
        <v>2757</v>
      </c>
      <c r="B824">
        <v>2019</v>
      </c>
      <c r="C824" t="s">
        <v>182</v>
      </c>
      <c r="D824" t="b">
        <f>TRUE()</f>
        <v>1</v>
      </c>
      <c r="E824" t="b">
        <f>COUNTIF(connections!A:A, A824) &gt; 0</f>
        <v>0</v>
      </c>
      <c r="G824" t="s">
        <v>2758</v>
      </c>
      <c r="H824" t="s">
        <v>187</v>
      </c>
      <c r="I824" t="s">
        <v>8349</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8141</v>
      </c>
      <c r="J826" s="1" t="s">
        <v>2765</v>
      </c>
    </row>
    <row r="827" spans="1:10" x14ac:dyDescent="0.25">
      <c r="A827" t="s">
        <v>2766</v>
      </c>
      <c r="B827">
        <v>2025</v>
      </c>
      <c r="C827" t="s">
        <v>176</v>
      </c>
      <c r="D827" t="b">
        <f>TRUE()</f>
        <v>1</v>
      </c>
      <c r="E827" t="b">
        <f>COUNTIF(connections!A:A, A827) &gt; 0</f>
        <v>0</v>
      </c>
      <c r="G827" t="s">
        <v>2767</v>
      </c>
      <c r="H827" t="s">
        <v>187</v>
      </c>
      <c r="I827" t="s">
        <v>8135</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7705</v>
      </c>
      <c r="B830">
        <v>2026</v>
      </c>
      <c r="C830" t="s">
        <v>182</v>
      </c>
      <c r="D830" t="b">
        <f>TRUE()</f>
        <v>1</v>
      </c>
      <c r="E830" t="b">
        <f>COUNTIF(connections!A:A, A830) &gt; 0</f>
        <v>0</v>
      </c>
      <c r="G830" t="s">
        <v>7706</v>
      </c>
      <c r="J830" s="10" t="s">
        <v>7704</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7851</v>
      </c>
      <c r="B857">
        <v>2026</v>
      </c>
      <c r="C857" t="s">
        <v>176</v>
      </c>
      <c r="D857" t="b">
        <f>TRUE()</f>
        <v>1</v>
      </c>
      <c r="E857" t="b">
        <f>COUNTIF(connections!A:A, A857) &gt; 0</f>
        <v>0</v>
      </c>
      <c r="G857" t="s">
        <v>7852</v>
      </c>
      <c r="J857" s="10" t="s">
        <v>7853</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c r="H880" t="s">
        <v>187</v>
      </c>
      <c r="I880" t="s">
        <v>9981</v>
      </c>
      <c r="J880" s="10" t="s">
        <v>9982</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row r="897" spans="1:10" x14ac:dyDescent="0.25">
      <c r="A897" t="s">
        <v>9939</v>
      </c>
      <c r="B897">
        <v>2024</v>
      </c>
      <c r="C897" t="s">
        <v>222</v>
      </c>
      <c r="D897" t="b">
        <v>1</v>
      </c>
      <c r="E897" t="b">
        <f>COUNTIF(connections!A:A, A897) &gt; 0</f>
        <v>0</v>
      </c>
      <c r="G897" t="s">
        <v>9940</v>
      </c>
      <c r="J897" s="10" t="s">
        <v>9941</v>
      </c>
    </row>
    <row r="898" spans="1:10" x14ac:dyDescent="0.25">
      <c r="A898" t="s">
        <v>9945</v>
      </c>
      <c r="B898">
        <v>2026</v>
      </c>
      <c r="C898" t="s">
        <v>176</v>
      </c>
      <c r="D898" t="b">
        <v>1</v>
      </c>
      <c r="E898" t="b">
        <f>COUNTIF(connections!A:A, A898) &gt; 0</f>
        <v>0</v>
      </c>
      <c r="G898" t="s">
        <v>9946</v>
      </c>
      <c r="J898" s="10" t="s">
        <v>9947</v>
      </c>
    </row>
    <row r="899" spans="1:10" x14ac:dyDescent="0.25">
      <c r="A899" t="s">
        <v>9970</v>
      </c>
      <c r="B899">
        <v>2018</v>
      </c>
      <c r="C899" t="s">
        <v>179</v>
      </c>
      <c r="D899" t="b">
        <v>1</v>
      </c>
      <c r="E899" t="b">
        <f>COUNTIF(connections!A:A, A899) &gt; 0</f>
        <v>0</v>
      </c>
      <c r="G899" t="s">
        <v>9969</v>
      </c>
      <c r="H899" t="s">
        <v>187</v>
      </c>
      <c r="I899" t="s">
        <v>9975</v>
      </c>
    </row>
    <row r="900" spans="1:10" x14ac:dyDescent="0.25">
      <c r="A900" t="s">
        <v>9983</v>
      </c>
      <c r="B900">
        <v>2026</v>
      </c>
      <c r="C900" t="s">
        <v>176</v>
      </c>
      <c r="D900" t="b">
        <v>0</v>
      </c>
      <c r="E900" t="b">
        <f>COUNTIF(connections!A:A, A900) &gt; 0</f>
        <v>0</v>
      </c>
      <c r="G900" t="s">
        <v>9984</v>
      </c>
      <c r="H900" t="s">
        <v>187</v>
      </c>
      <c r="I900" t="s">
        <v>9985</v>
      </c>
      <c r="J900" s="10" t="s">
        <v>9986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 ref="J897" r:id="rId590" xr:uid="{3EB3F29A-8B57-4E1F-BCC9-816F798D197C}"/>
    <hyperlink ref="J898" r:id="rId591" xr:uid="{937F458A-2B3F-4299-90DC-7976DBDDA83D}"/>
    <hyperlink ref="J193" r:id="rId592" xr:uid="{5BBCD969-F4D0-43C8-86E1-73E3C4C7F278}"/>
    <hyperlink ref="J430" r:id="rId593" xr:uid="{88C9ED9A-015C-4625-830C-FFE63BAD81F8}"/>
    <hyperlink ref="J880" r:id="rId594" xr:uid="{CE05D1E9-F87C-4776-8FB8-5D6811A78005}"/>
    <hyperlink ref="J900" r:id="rId595" xr:uid="{E8712393-31BF-4385-BDC3-D2A89D7D6C28}"/>
  </hyperlinks>
  <pageMargins left="0.7" right="0.7" top="0.75" bottom="0.75" header="0.511811023622047" footer="0.511811023622047"/>
  <pageSetup orientation="portrait" horizontalDpi="300" verticalDpi="300"/>
  <tableParts count="1">
    <tablePart r:id="rId59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96"/>
  <sheetViews>
    <sheetView topLeftCell="A1461" zoomScaleNormal="100" workbookViewId="0">
      <selection activeCell="A1499" sqref="A1499"/>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8439</v>
      </c>
      <c r="G1" t="s">
        <v>9492</v>
      </c>
    </row>
    <row r="2" spans="1:7" x14ac:dyDescent="0.25">
      <c r="A2" t="s">
        <v>1294</v>
      </c>
      <c r="B2" t="s">
        <v>175</v>
      </c>
      <c r="C2">
        <v>2019</v>
      </c>
      <c r="E2" t="s">
        <v>3013</v>
      </c>
      <c r="F2" t="s">
        <v>9493</v>
      </c>
      <c r="G2" t="s">
        <v>187</v>
      </c>
    </row>
    <row r="3" spans="1:7" x14ac:dyDescent="0.25">
      <c r="A3" t="s">
        <v>1761</v>
      </c>
      <c r="B3" t="s">
        <v>178</v>
      </c>
      <c r="C3">
        <v>1995</v>
      </c>
      <c r="E3" t="s">
        <v>3272</v>
      </c>
      <c r="F3" t="s">
        <v>8934</v>
      </c>
      <c r="G3" t="s">
        <v>3996</v>
      </c>
    </row>
    <row r="4" spans="1:7" x14ac:dyDescent="0.25">
      <c r="A4" t="s">
        <v>2023</v>
      </c>
      <c r="B4" t="s">
        <v>178</v>
      </c>
      <c r="C4">
        <v>2003</v>
      </c>
      <c r="E4" t="s">
        <v>3272</v>
      </c>
      <c r="F4" t="s">
        <v>9434</v>
      </c>
      <c r="G4" t="s">
        <v>3996</v>
      </c>
    </row>
    <row r="5" spans="1:7" x14ac:dyDescent="0.25">
      <c r="A5" t="s">
        <v>1089</v>
      </c>
      <c r="B5" t="s">
        <v>181</v>
      </c>
      <c r="C5">
        <v>2021</v>
      </c>
      <c r="D5" t="s">
        <v>187</v>
      </c>
      <c r="F5" t="s">
        <v>9494</v>
      </c>
      <c r="G5" t="s">
        <v>3996</v>
      </c>
    </row>
    <row r="6" spans="1:7" x14ac:dyDescent="0.25">
      <c r="A6" t="s">
        <v>2804</v>
      </c>
      <c r="B6" t="s">
        <v>185</v>
      </c>
      <c r="C6">
        <v>2021</v>
      </c>
      <c r="E6" t="s">
        <v>3013</v>
      </c>
      <c r="F6" t="s">
        <v>9495</v>
      </c>
      <c r="G6" t="s">
        <v>3996</v>
      </c>
    </row>
    <row r="7" spans="1:7" x14ac:dyDescent="0.25">
      <c r="A7" t="s">
        <v>689</v>
      </c>
      <c r="B7" t="s">
        <v>190</v>
      </c>
      <c r="C7">
        <v>2015</v>
      </c>
      <c r="E7" t="s">
        <v>3083</v>
      </c>
      <c r="F7" t="s">
        <v>8591</v>
      </c>
      <c r="G7" t="s">
        <v>3996</v>
      </c>
    </row>
    <row r="8" spans="1:7" x14ac:dyDescent="0.25">
      <c r="A8" t="s">
        <v>160</v>
      </c>
      <c r="B8" t="s">
        <v>190</v>
      </c>
      <c r="C8">
        <v>2011</v>
      </c>
      <c r="E8" t="s">
        <v>3083</v>
      </c>
      <c r="F8" t="s">
        <v>9272</v>
      </c>
      <c r="G8" t="s">
        <v>3996</v>
      </c>
    </row>
    <row r="9" spans="1:7" x14ac:dyDescent="0.25">
      <c r="A9" t="s">
        <v>190</v>
      </c>
      <c r="B9" t="s">
        <v>194</v>
      </c>
      <c r="C9">
        <v>2017</v>
      </c>
      <c r="D9" t="s">
        <v>187</v>
      </c>
      <c r="F9" t="s">
        <v>9496</v>
      </c>
      <c r="G9" t="s">
        <v>3996</v>
      </c>
    </row>
    <row r="10" spans="1:7" x14ac:dyDescent="0.25">
      <c r="A10" t="s">
        <v>2073</v>
      </c>
      <c r="B10" t="s">
        <v>198</v>
      </c>
      <c r="C10">
        <v>2010</v>
      </c>
      <c r="E10" t="s">
        <v>2982</v>
      </c>
      <c r="F10" t="s">
        <v>9010</v>
      </c>
      <c r="G10" t="s">
        <v>3996</v>
      </c>
    </row>
    <row r="11" spans="1:7" x14ac:dyDescent="0.25">
      <c r="A11" t="s">
        <v>2498</v>
      </c>
      <c r="B11" t="s">
        <v>198</v>
      </c>
      <c r="C11">
        <v>2017</v>
      </c>
      <c r="D11" t="s">
        <v>187</v>
      </c>
      <c r="F11" t="s">
        <v>9497</v>
      </c>
      <c r="G11" t="s">
        <v>3996</v>
      </c>
    </row>
    <row r="12" spans="1:7" x14ac:dyDescent="0.25">
      <c r="A12" t="s">
        <v>205</v>
      </c>
      <c r="B12" t="s">
        <v>202</v>
      </c>
      <c r="C12">
        <v>2015</v>
      </c>
      <c r="D12" t="s">
        <v>187</v>
      </c>
      <c r="F12" t="s">
        <v>9498</v>
      </c>
      <c r="G12" t="s">
        <v>3996</v>
      </c>
    </row>
    <row r="13" spans="1:7" x14ac:dyDescent="0.25">
      <c r="A13" t="s">
        <v>2154</v>
      </c>
      <c r="B13" t="s">
        <v>205</v>
      </c>
      <c r="C13">
        <v>1980</v>
      </c>
      <c r="E13" t="s">
        <v>3319</v>
      </c>
      <c r="F13" t="s">
        <v>9040</v>
      </c>
      <c r="G13" t="s">
        <v>3996</v>
      </c>
    </row>
    <row r="14" spans="1:7" x14ac:dyDescent="0.25">
      <c r="A14" t="s">
        <v>2269</v>
      </c>
      <c r="B14" t="s">
        <v>209</v>
      </c>
      <c r="C14">
        <v>2022</v>
      </c>
      <c r="D14" t="s">
        <v>187</v>
      </c>
      <c r="F14" t="s">
        <v>9499</v>
      </c>
      <c r="G14" t="s">
        <v>3996</v>
      </c>
    </row>
    <row r="15" spans="1:7" x14ac:dyDescent="0.25">
      <c r="A15" t="s">
        <v>90</v>
      </c>
      <c r="B15" t="s">
        <v>209</v>
      </c>
      <c r="C15">
        <v>2017</v>
      </c>
      <c r="E15" t="s">
        <v>3342</v>
      </c>
      <c r="F15" t="s">
        <v>9500</v>
      </c>
      <c r="G15" t="s">
        <v>3996</v>
      </c>
    </row>
    <row r="16" spans="1:7" x14ac:dyDescent="0.25">
      <c r="A16" t="s">
        <v>2428</v>
      </c>
      <c r="B16" t="s">
        <v>213</v>
      </c>
      <c r="C16">
        <v>2008</v>
      </c>
      <c r="E16" s="10" t="s">
        <v>3390</v>
      </c>
      <c r="F16" t="s">
        <v>9501</v>
      </c>
      <c r="G16" t="s">
        <v>3996</v>
      </c>
    </row>
    <row r="17" spans="1:7" x14ac:dyDescent="0.25">
      <c r="A17" t="s">
        <v>160</v>
      </c>
      <c r="B17" t="s">
        <v>213</v>
      </c>
      <c r="C17">
        <v>2011</v>
      </c>
      <c r="E17" s="10" t="s">
        <v>3390</v>
      </c>
      <c r="F17" t="s">
        <v>9502</v>
      </c>
      <c r="G17" t="s">
        <v>3996</v>
      </c>
    </row>
    <row r="18" spans="1:7" x14ac:dyDescent="0.25">
      <c r="A18" t="s">
        <v>90</v>
      </c>
      <c r="B18" t="s">
        <v>215</v>
      </c>
      <c r="C18">
        <v>2017</v>
      </c>
      <c r="E18" t="s">
        <v>2982</v>
      </c>
      <c r="F18" t="s">
        <v>9089</v>
      </c>
      <c r="G18" t="s">
        <v>3996</v>
      </c>
    </row>
    <row r="19" spans="1:7" x14ac:dyDescent="0.25">
      <c r="A19" t="s">
        <v>160</v>
      </c>
      <c r="B19" t="s">
        <v>217</v>
      </c>
      <c r="C19">
        <v>2011</v>
      </c>
      <c r="E19" t="s">
        <v>3402</v>
      </c>
      <c r="F19" t="s">
        <v>9273</v>
      </c>
      <c r="G19" t="s">
        <v>3996</v>
      </c>
    </row>
    <row r="20" spans="1:7" x14ac:dyDescent="0.25">
      <c r="A20" t="s">
        <v>1144</v>
      </c>
      <c r="B20" t="s">
        <v>221</v>
      </c>
      <c r="C20">
        <v>2012</v>
      </c>
      <c r="E20" t="s">
        <v>3196</v>
      </c>
      <c r="F20" t="s">
        <v>8758</v>
      </c>
      <c r="G20" t="s">
        <v>3996</v>
      </c>
    </row>
    <row r="21" spans="1:7" x14ac:dyDescent="0.25">
      <c r="A21" t="s">
        <v>1046</v>
      </c>
      <c r="B21" t="s">
        <v>226</v>
      </c>
      <c r="C21">
        <v>2016</v>
      </c>
      <c r="E21" t="s">
        <v>3181</v>
      </c>
      <c r="F21" t="s">
        <v>8730</v>
      </c>
      <c r="G21" t="s">
        <v>3996</v>
      </c>
    </row>
    <row r="22" spans="1:7" x14ac:dyDescent="0.25">
      <c r="A22" t="s">
        <v>2906</v>
      </c>
      <c r="B22" t="s">
        <v>226</v>
      </c>
      <c r="C22">
        <v>2018</v>
      </c>
      <c r="E22" t="s">
        <v>3181</v>
      </c>
      <c r="F22" t="s">
        <v>9383</v>
      </c>
      <c r="G22" t="s">
        <v>3996</v>
      </c>
    </row>
    <row r="23" spans="1:7" x14ac:dyDescent="0.25">
      <c r="A23" t="s">
        <v>759</v>
      </c>
      <c r="B23" t="s">
        <v>228</v>
      </c>
      <c r="C23">
        <v>2018</v>
      </c>
      <c r="E23" t="s">
        <v>3110</v>
      </c>
      <c r="F23" t="s">
        <v>8627</v>
      </c>
      <c r="G23" t="s">
        <v>3996</v>
      </c>
    </row>
    <row r="24" spans="1:7" x14ac:dyDescent="0.25">
      <c r="A24" t="s">
        <v>1272</v>
      </c>
      <c r="B24" t="s">
        <v>7914</v>
      </c>
      <c r="C24">
        <v>2020</v>
      </c>
      <c r="E24" s="10" t="s">
        <v>7913</v>
      </c>
      <c r="F24" t="s">
        <v>8791</v>
      </c>
      <c r="G24" t="s">
        <v>3996</v>
      </c>
    </row>
    <row r="25" spans="1:7" x14ac:dyDescent="0.25">
      <c r="A25" t="s">
        <v>1855</v>
      </c>
      <c r="B25" t="s">
        <v>7914</v>
      </c>
      <c r="C25">
        <v>2015</v>
      </c>
      <c r="E25" s="10" t="s">
        <v>7913</v>
      </c>
      <c r="F25" t="s">
        <v>8974</v>
      </c>
      <c r="G25" t="s">
        <v>3996</v>
      </c>
    </row>
    <row r="26" spans="1:7" x14ac:dyDescent="0.25">
      <c r="A26" t="s">
        <v>2146</v>
      </c>
      <c r="B26" t="s">
        <v>7914</v>
      </c>
      <c r="C26">
        <v>2020</v>
      </c>
      <c r="E26" s="10" t="s">
        <v>7913</v>
      </c>
      <c r="F26" t="s">
        <v>9035</v>
      </c>
      <c r="G26" t="s">
        <v>3996</v>
      </c>
    </row>
    <row r="27" spans="1:7" x14ac:dyDescent="0.25">
      <c r="A27" t="s">
        <v>2021</v>
      </c>
      <c r="B27" t="s">
        <v>233</v>
      </c>
      <c r="C27">
        <v>2020</v>
      </c>
      <c r="D27" t="s">
        <v>187</v>
      </c>
      <c r="G27" t="s">
        <v>3996</v>
      </c>
    </row>
    <row r="28" spans="1:7" x14ac:dyDescent="0.25">
      <c r="A28" t="s">
        <v>90</v>
      </c>
      <c r="B28" t="s">
        <v>233</v>
      </c>
      <c r="C28">
        <v>2017</v>
      </c>
      <c r="E28" t="s">
        <v>3307</v>
      </c>
      <c r="F28" t="s">
        <v>9503</v>
      </c>
      <c r="G28" t="s">
        <v>3996</v>
      </c>
    </row>
    <row r="29" spans="1:7" x14ac:dyDescent="0.25">
      <c r="A29" t="s">
        <v>746</v>
      </c>
      <c r="B29" t="s">
        <v>237</v>
      </c>
      <c r="C29">
        <v>2015</v>
      </c>
      <c r="E29" t="s">
        <v>3093</v>
      </c>
      <c r="F29" t="s">
        <v>8605</v>
      </c>
      <c r="G29" t="s">
        <v>3996</v>
      </c>
    </row>
    <row r="30" spans="1:7" x14ac:dyDescent="0.25">
      <c r="A30" t="s">
        <v>90</v>
      </c>
      <c r="B30" t="s">
        <v>237</v>
      </c>
      <c r="C30">
        <v>2017</v>
      </c>
      <c r="E30" t="s">
        <v>3343</v>
      </c>
      <c r="F30" t="s">
        <v>9504</v>
      </c>
      <c r="G30" t="s">
        <v>187</v>
      </c>
    </row>
    <row r="31" spans="1:7" x14ac:dyDescent="0.25">
      <c r="A31" t="s">
        <v>759</v>
      </c>
      <c r="B31" t="s">
        <v>241</v>
      </c>
      <c r="C31">
        <v>2018</v>
      </c>
      <c r="E31" t="s">
        <v>2982</v>
      </c>
      <c r="F31" t="s">
        <v>8628</v>
      </c>
      <c r="G31" t="s">
        <v>3996</v>
      </c>
    </row>
    <row r="32" spans="1:7" x14ac:dyDescent="0.25">
      <c r="A32" t="s">
        <v>1046</v>
      </c>
      <c r="B32" t="s">
        <v>245</v>
      </c>
      <c r="C32">
        <v>2016</v>
      </c>
      <c r="E32" t="s">
        <v>3182</v>
      </c>
      <c r="F32" t="s">
        <v>8731</v>
      </c>
      <c r="G32" t="s">
        <v>3996</v>
      </c>
    </row>
    <row r="33" spans="1:7" x14ac:dyDescent="0.25">
      <c r="A33" t="s">
        <v>1855</v>
      </c>
      <c r="B33" t="s">
        <v>245</v>
      </c>
      <c r="C33">
        <v>2015</v>
      </c>
      <c r="E33" t="s">
        <v>3182</v>
      </c>
      <c r="F33" t="s">
        <v>8975</v>
      </c>
      <c r="G33" t="s">
        <v>3996</v>
      </c>
    </row>
    <row r="34" spans="1:7" x14ac:dyDescent="0.25">
      <c r="A34" t="s">
        <v>1443</v>
      </c>
      <c r="B34" t="s">
        <v>249</v>
      </c>
      <c r="C34">
        <v>2018</v>
      </c>
      <c r="E34" t="s">
        <v>3246</v>
      </c>
      <c r="F34" t="s">
        <v>8862</v>
      </c>
      <c r="G34" t="s">
        <v>3996</v>
      </c>
    </row>
    <row r="35" spans="1:7" x14ac:dyDescent="0.25">
      <c r="A35" t="s">
        <v>90</v>
      </c>
      <c r="B35" t="s">
        <v>249</v>
      </c>
      <c r="C35">
        <v>2017</v>
      </c>
      <c r="E35" t="s">
        <v>3246</v>
      </c>
      <c r="F35" t="s">
        <v>9090</v>
      </c>
      <c r="G35" t="s">
        <v>3996</v>
      </c>
    </row>
    <row r="36" spans="1:7" x14ac:dyDescent="0.25">
      <c r="A36" t="s">
        <v>759</v>
      </c>
      <c r="B36" t="s">
        <v>253</v>
      </c>
      <c r="C36">
        <v>2018</v>
      </c>
      <c r="E36" t="s">
        <v>3111</v>
      </c>
      <c r="F36" t="s">
        <v>8629</v>
      </c>
      <c r="G36" t="s">
        <v>3996</v>
      </c>
    </row>
    <row r="37" spans="1:7" x14ac:dyDescent="0.25">
      <c r="A37" t="s">
        <v>1294</v>
      </c>
      <c r="B37" t="s">
        <v>253</v>
      </c>
      <c r="C37">
        <v>2019</v>
      </c>
      <c r="E37" t="s">
        <v>3111</v>
      </c>
      <c r="F37" t="s">
        <v>8802</v>
      </c>
      <c r="G37" t="s">
        <v>3996</v>
      </c>
    </row>
    <row r="38" spans="1:7" x14ac:dyDescent="0.25">
      <c r="A38" t="s">
        <v>160</v>
      </c>
      <c r="B38" t="s">
        <v>253</v>
      </c>
      <c r="C38">
        <v>2011</v>
      </c>
      <c r="E38" t="s">
        <v>3111</v>
      </c>
      <c r="F38" t="s">
        <v>9274</v>
      </c>
      <c r="G38" t="s">
        <v>3996</v>
      </c>
    </row>
    <row r="39" spans="1:7" x14ac:dyDescent="0.25">
      <c r="A39" t="s">
        <v>1284</v>
      </c>
      <c r="B39" t="s">
        <v>256</v>
      </c>
      <c r="C39">
        <v>1984</v>
      </c>
      <c r="E39" t="s">
        <v>3220</v>
      </c>
      <c r="F39" t="s">
        <v>8795</v>
      </c>
      <c r="G39" t="s">
        <v>3996</v>
      </c>
    </row>
    <row r="40" spans="1:7" x14ac:dyDescent="0.25">
      <c r="A40" t="s">
        <v>1795</v>
      </c>
      <c r="B40" t="s">
        <v>256</v>
      </c>
      <c r="C40">
        <v>1987</v>
      </c>
      <c r="E40" s="10" t="s">
        <v>8413</v>
      </c>
      <c r="F40" t="s">
        <v>8940</v>
      </c>
      <c r="G40" t="s">
        <v>3996</v>
      </c>
    </row>
    <row r="41" spans="1:7" x14ac:dyDescent="0.25">
      <c r="A41" t="s">
        <v>2154</v>
      </c>
      <c r="B41" t="s">
        <v>256</v>
      </c>
      <c r="C41">
        <v>1980</v>
      </c>
      <c r="E41" s="10" t="s">
        <v>8413</v>
      </c>
      <c r="F41" t="s">
        <v>9041</v>
      </c>
      <c r="G41" t="s">
        <v>3996</v>
      </c>
    </row>
    <row r="42" spans="1:7" x14ac:dyDescent="0.25">
      <c r="A42" t="s">
        <v>1725</v>
      </c>
      <c r="B42" t="s">
        <v>260</v>
      </c>
      <c r="C42">
        <v>1983</v>
      </c>
      <c r="E42" t="s">
        <v>3270</v>
      </c>
      <c r="F42" t="s">
        <v>8930</v>
      </c>
      <c r="G42" t="s">
        <v>3996</v>
      </c>
    </row>
    <row r="43" spans="1:7" x14ac:dyDescent="0.25">
      <c r="A43" t="s">
        <v>746</v>
      </c>
      <c r="B43" t="s">
        <v>8120</v>
      </c>
      <c r="C43">
        <v>2015</v>
      </c>
      <c r="E43" s="10" t="s">
        <v>8132</v>
      </c>
      <c r="F43" t="s">
        <v>8606</v>
      </c>
      <c r="G43" t="s">
        <v>3996</v>
      </c>
    </row>
    <row r="44" spans="1:7" x14ac:dyDescent="0.25">
      <c r="A44" t="s">
        <v>1443</v>
      </c>
      <c r="B44" t="s">
        <v>8120</v>
      </c>
      <c r="C44">
        <v>2018</v>
      </c>
      <c r="E44" s="10" t="s">
        <v>8132</v>
      </c>
      <c r="F44" t="s">
        <v>8863</v>
      </c>
      <c r="G44" t="s">
        <v>3996</v>
      </c>
    </row>
    <row r="45" spans="1:7" x14ac:dyDescent="0.25">
      <c r="A45" t="s">
        <v>263</v>
      </c>
      <c r="B45" t="s">
        <v>268</v>
      </c>
      <c r="C45">
        <v>2022</v>
      </c>
      <c r="D45" t="s">
        <v>187</v>
      </c>
      <c r="F45" t="s">
        <v>9505</v>
      </c>
      <c r="G45" t="s">
        <v>3996</v>
      </c>
    </row>
    <row r="46" spans="1:7" x14ac:dyDescent="0.25">
      <c r="A46" t="s">
        <v>353</v>
      </c>
      <c r="B46" t="s">
        <v>270</v>
      </c>
      <c r="C46">
        <v>2023</v>
      </c>
      <c r="E46" s="10" t="s">
        <v>8367</v>
      </c>
      <c r="F46" t="s">
        <v>8510</v>
      </c>
      <c r="G46" t="s">
        <v>3996</v>
      </c>
    </row>
    <row r="47" spans="1:7" x14ac:dyDescent="0.25">
      <c r="A47" t="s">
        <v>1576</v>
      </c>
      <c r="B47" t="s">
        <v>270</v>
      </c>
      <c r="C47">
        <v>2021</v>
      </c>
      <c r="E47" s="10" t="s">
        <v>8367</v>
      </c>
      <c r="F47" t="s">
        <v>8891</v>
      </c>
      <c r="G47" t="s">
        <v>3996</v>
      </c>
    </row>
    <row r="48" spans="1:7" x14ac:dyDescent="0.25">
      <c r="A48" t="s">
        <v>1690</v>
      </c>
      <c r="B48" t="s">
        <v>270</v>
      </c>
      <c r="C48">
        <v>2020</v>
      </c>
      <c r="E48" s="10" t="s">
        <v>8367</v>
      </c>
      <c r="F48" t="s">
        <v>8918</v>
      </c>
      <c r="G48" t="s">
        <v>3996</v>
      </c>
    </row>
    <row r="49" spans="1:7" x14ac:dyDescent="0.25">
      <c r="A49" t="s">
        <v>90</v>
      </c>
      <c r="B49" t="s">
        <v>270</v>
      </c>
      <c r="C49">
        <v>2017</v>
      </c>
      <c r="E49" s="10" t="s">
        <v>8367</v>
      </c>
      <c r="F49" t="s">
        <v>9091</v>
      </c>
      <c r="G49" t="s">
        <v>3996</v>
      </c>
    </row>
    <row r="50" spans="1:7" x14ac:dyDescent="0.25">
      <c r="A50" t="s">
        <v>553</v>
      </c>
      <c r="B50" t="s">
        <v>273</v>
      </c>
      <c r="C50">
        <v>2010</v>
      </c>
      <c r="E50" t="s">
        <v>2982</v>
      </c>
      <c r="F50" t="s">
        <v>8584</v>
      </c>
      <c r="G50" t="s">
        <v>3996</v>
      </c>
    </row>
    <row r="51" spans="1:7" x14ac:dyDescent="0.25">
      <c r="A51" t="s">
        <v>1123</v>
      </c>
      <c r="B51" t="s">
        <v>276</v>
      </c>
      <c r="C51">
        <v>2020</v>
      </c>
      <c r="D51" t="s">
        <v>187</v>
      </c>
      <c r="F51" t="s">
        <v>9506</v>
      </c>
      <c r="G51" t="s">
        <v>3996</v>
      </c>
    </row>
    <row r="52" spans="1:7" x14ac:dyDescent="0.25">
      <c r="A52" t="s">
        <v>1443</v>
      </c>
      <c r="B52" t="s">
        <v>276</v>
      </c>
      <c r="C52">
        <v>2018</v>
      </c>
      <c r="E52" t="s">
        <v>3013</v>
      </c>
      <c r="F52" t="s">
        <v>9507</v>
      </c>
      <c r="G52" t="s">
        <v>187</v>
      </c>
    </row>
    <row r="53" spans="1:7" x14ac:dyDescent="0.25">
      <c r="A53" t="s">
        <v>1038</v>
      </c>
      <c r="B53" t="s">
        <v>281</v>
      </c>
      <c r="C53">
        <v>2023</v>
      </c>
      <c r="D53" t="s">
        <v>187</v>
      </c>
      <c r="F53" t="s">
        <v>9508</v>
      </c>
      <c r="G53" t="s">
        <v>3996</v>
      </c>
    </row>
    <row r="54" spans="1:7" x14ac:dyDescent="0.25">
      <c r="A54" t="s">
        <v>1144</v>
      </c>
      <c r="B54" t="s">
        <v>283</v>
      </c>
      <c r="C54">
        <v>2018</v>
      </c>
      <c r="E54" t="s">
        <v>3197</v>
      </c>
      <c r="F54" t="s">
        <v>8759</v>
      </c>
      <c r="G54" t="s">
        <v>3996</v>
      </c>
    </row>
    <row r="55" spans="1:7" x14ac:dyDescent="0.25">
      <c r="A55" t="s">
        <v>90</v>
      </c>
      <c r="B55" t="s">
        <v>283</v>
      </c>
      <c r="C55">
        <v>2017</v>
      </c>
      <c r="E55" t="s">
        <v>3197</v>
      </c>
      <c r="F55" t="s">
        <v>9092</v>
      </c>
      <c r="G55" t="s">
        <v>3996</v>
      </c>
    </row>
    <row r="56" spans="1:7" x14ac:dyDescent="0.25">
      <c r="A56" t="s">
        <v>873</v>
      </c>
      <c r="B56" t="s">
        <v>287</v>
      </c>
      <c r="C56">
        <v>2019</v>
      </c>
      <c r="E56" t="s">
        <v>3140</v>
      </c>
      <c r="F56" t="s">
        <v>9435</v>
      </c>
      <c r="G56" t="s">
        <v>3996</v>
      </c>
    </row>
    <row r="57" spans="1:7" x14ac:dyDescent="0.25">
      <c r="A57" t="s">
        <v>90</v>
      </c>
      <c r="B57" t="s">
        <v>287</v>
      </c>
      <c r="C57">
        <v>2017</v>
      </c>
      <c r="E57" t="s">
        <v>3140</v>
      </c>
      <c r="F57" t="s">
        <v>9436</v>
      </c>
      <c r="G57" t="s">
        <v>3996</v>
      </c>
    </row>
    <row r="58" spans="1:7" x14ac:dyDescent="0.25">
      <c r="A58" t="s">
        <v>2804</v>
      </c>
      <c r="B58" t="s">
        <v>290</v>
      </c>
      <c r="C58">
        <v>2021</v>
      </c>
      <c r="E58" t="s">
        <v>3013</v>
      </c>
      <c r="F58" t="s">
        <v>9509</v>
      </c>
      <c r="G58" t="s">
        <v>187</v>
      </c>
    </row>
    <row r="59" spans="1:7" x14ac:dyDescent="0.25">
      <c r="A59" t="s">
        <v>497</v>
      </c>
      <c r="B59" t="s">
        <v>294</v>
      </c>
      <c r="C59">
        <v>2022</v>
      </c>
      <c r="E59" t="s">
        <v>3065</v>
      </c>
      <c r="F59" t="s">
        <v>8563</v>
      </c>
      <c r="G59" t="s">
        <v>3996</v>
      </c>
    </row>
    <row r="60" spans="1:7" x14ac:dyDescent="0.25">
      <c r="A60" t="s">
        <v>847</v>
      </c>
      <c r="B60" t="s">
        <v>294</v>
      </c>
      <c r="C60">
        <v>1996</v>
      </c>
      <c r="E60" t="s">
        <v>3130</v>
      </c>
      <c r="F60" t="s">
        <v>8661</v>
      </c>
      <c r="G60" t="s">
        <v>3996</v>
      </c>
    </row>
    <row r="61" spans="1:7" x14ac:dyDescent="0.25">
      <c r="A61" t="s">
        <v>2804</v>
      </c>
      <c r="B61" t="s">
        <v>294</v>
      </c>
      <c r="C61">
        <v>2021</v>
      </c>
      <c r="E61" t="s">
        <v>3065</v>
      </c>
      <c r="F61" t="s">
        <v>9340</v>
      </c>
      <c r="G61" t="s">
        <v>3996</v>
      </c>
    </row>
    <row r="62" spans="1:7" x14ac:dyDescent="0.25">
      <c r="A62" t="s">
        <v>2804</v>
      </c>
      <c r="B62" t="s">
        <v>297</v>
      </c>
      <c r="C62">
        <v>2021</v>
      </c>
      <c r="E62" t="s">
        <v>2982</v>
      </c>
      <c r="F62" t="s">
        <v>9341</v>
      </c>
      <c r="G62" t="s">
        <v>3996</v>
      </c>
    </row>
    <row r="63" spans="1:7" x14ac:dyDescent="0.25">
      <c r="A63" t="s">
        <v>1951</v>
      </c>
      <c r="B63" t="s">
        <v>299</v>
      </c>
      <c r="C63">
        <v>2022</v>
      </c>
      <c r="E63" t="s">
        <v>3303</v>
      </c>
      <c r="F63" t="s">
        <v>8999</v>
      </c>
      <c r="G63" t="s">
        <v>3996</v>
      </c>
    </row>
    <row r="64" spans="1:7" x14ac:dyDescent="0.25">
      <c r="A64" t="s">
        <v>90</v>
      </c>
      <c r="B64" t="s">
        <v>299</v>
      </c>
      <c r="C64">
        <v>2017</v>
      </c>
      <c r="E64" t="s">
        <v>3303</v>
      </c>
      <c r="F64" t="s">
        <v>9093</v>
      </c>
      <c r="G64" t="s">
        <v>3996</v>
      </c>
    </row>
    <row r="65" spans="1:7" x14ac:dyDescent="0.25">
      <c r="A65" t="s">
        <v>746</v>
      </c>
      <c r="B65" t="s">
        <v>301</v>
      </c>
      <c r="C65">
        <v>2015</v>
      </c>
      <c r="D65" t="s">
        <v>3094</v>
      </c>
      <c r="E65" t="s">
        <v>3095</v>
      </c>
      <c r="F65" t="s">
        <v>8607</v>
      </c>
      <c r="G65" t="s">
        <v>3996</v>
      </c>
    </row>
    <row r="66" spans="1:7" x14ac:dyDescent="0.25">
      <c r="A66" t="s">
        <v>90</v>
      </c>
      <c r="B66" t="s">
        <v>301</v>
      </c>
      <c r="C66">
        <v>2017</v>
      </c>
      <c r="E66" t="s">
        <v>2982</v>
      </c>
      <c r="F66" t="s">
        <v>9094</v>
      </c>
      <c r="G66" t="s">
        <v>3996</v>
      </c>
    </row>
    <row r="67" spans="1:7" x14ac:dyDescent="0.25">
      <c r="A67" t="s">
        <v>1294</v>
      </c>
      <c r="B67" t="s">
        <v>303</v>
      </c>
      <c r="C67">
        <v>2019</v>
      </c>
      <c r="E67" t="s">
        <v>3225</v>
      </c>
      <c r="F67" t="s">
        <v>8803</v>
      </c>
      <c r="G67" t="s">
        <v>3996</v>
      </c>
    </row>
    <row r="68" spans="1:7" x14ac:dyDescent="0.25">
      <c r="A68" t="s">
        <v>2804</v>
      </c>
      <c r="B68" t="s">
        <v>303</v>
      </c>
      <c r="C68">
        <v>2021</v>
      </c>
      <c r="E68" t="s">
        <v>3013</v>
      </c>
      <c r="F68" t="s">
        <v>9510</v>
      </c>
      <c r="G68" t="s">
        <v>187</v>
      </c>
    </row>
    <row r="69" spans="1:7" x14ac:dyDescent="0.25">
      <c r="A69" t="s">
        <v>1046</v>
      </c>
      <c r="B69" t="s">
        <v>308</v>
      </c>
      <c r="C69">
        <v>2016</v>
      </c>
      <c r="E69" t="s">
        <v>3183</v>
      </c>
      <c r="F69" t="s">
        <v>9511</v>
      </c>
      <c r="G69" t="s">
        <v>187</v>
      </c>
    </row>
    <row r="70" spans="1:7" x14ac:dyDescent="0.25">
      <c r="A70" t="s">
        <v>160</v>
      </c>
      <c r="B70" t="s">
        <v>308</v>
      </c>
      <c r="C70">
        <v>2011</v>
      </c>
      <c r="E70" t="s">
        <v>3183</v>
      </c>
      <c r="F70" t="s">
        <v>9512</v>
      </c>
      <c r="G70" t="s">
        <v>187</v>
      </c>
    </row>
    <row r="71" spans="1:7" x14ac:dyDescent="0.25">
      <c r="A71" t="s">
        <v>574</v>
      </c>
      <c r="B71" t="s">
        <v>310</v>
      </c>
      <c r="C71">
        <v>2019</v>
      </c>
      <c r="E71" t="s">
        <v>3077</v>
      </c>
      <c r="F71" t="s">
        <v>8585</v>
      </c>
      <c r="G71" t="s">
        <v>3996</v>
      </c>
    </row>
    <row r="72" spans="1:7" x14ac:dyDescent="0.25">
      <c r="A72" t="s">
        <v>737</v>
      </c>
      <c r="B72" t="s">
        <v>310</v>
      </c>
      <c r="C72">
        <v>2019</v>
      </c>
      <c r="D72" t="s">
        <v>187</v>
      </c>
      <c r="E72" t="s">
        <v>3077</v>
      </c>
      <c r="F72" t="s">
        <v>8604</v>
      </c>
      <c r="G72" t="s">
        <v>3996</v>
      </c>
    </row>
    <row r="73" spans="1:7" x14ac:dyDescent="0.25">
      <c r="A73" t="s">
        <v>759</v>
      </c>
      <c r="B73" t="s">
        <v>310</v>
      </c>
      <c r="C73">
        <v>2018</v>
      </c>
      <c r="E73" t="s">
        <v>3077</v>
      </c>
      <c r="F73" t="s">
        <v>8630</v>
      </c>
      <c r="G73" t="s">
        <v>3996</v>
      </c>
    </row>
    <row r="74" spans="1:7" x14ac:dyDescent="0.25">
      <c r="A74" t="s">
        <v>1294</v>
      </c>
      <c r="B74" t="s">
        <v>310</v>
      </c>
      <c r="C74">
        <v>2019</v>
      </c>
      <c r="E74" t="s">
        <v>3077</v>
      </c>
      <c r="F74" t="s">
        <v>8804</v>
      </c>
      <c r="G74" t="s">
        <v>3996</v>
      </c>
    </row>
    <row r="75" spans="1:7" x14ac:dyDescent="0.25">
      <c r="A75" t="s">
        <v>90</v>
      </c>
      <c r="B75" t="s">
        <v>310</v>
      </c>
      <c r="C75">
        <v>2017</v>
      </c>
      <c r="E75" t="s">
        <v>3344</v>
      </c>
      <c r="F75" t="s">
        <v>9513</v>
      </c>
      <c r="G75" t="s">
        <v>3996</v>
      </c>
    </row>
    <row r="76" spans="1:7" x14ac:dyDescent="0.25">
      <c r="A76" t="s">
        <v>2906</v>
      </c>
      <c r="B76" t="s">
        <v>310</v>
      </c>
      <c r="C76">
        <v>2018</v>
      </c>
      <c r="E76" t="s">
        <v>3077</v>
      </c>
      <c r="F76" t="s">
        <v>9384</v>
      </c>
      <c r="G76" t="s">
        <v>3996</v>
      </c>
    </row>
    <row r="77" spans="1:7" x14ac:dyDescent="0.25">
      <c r="A77" t="s">
        <v>90</v>
      </c>
      <c r="B77" t="s">
        <v>314</v>
      </c>
      <c r="C77">
        <v>2017</v>
      </c>
      <c r="E77" t="s">
        <v>3345</v>
      </c>
      <c r="F77" t="s">
        <v>9095</v>
      </c>
      <c r="G77" t="s">
        <v>3996</v>
      </c>
    </row>
    <row r="78" spans="1:7" x14ac:dyDescent="0.25">
      <c r="A78" t="s">
        <v>497</v>
      </c>
      <c r="B78" t="s">
        <v>319</v>
      </c>
      <c r="C78">
        <v>2022</v>
      </c>
      <c r="E78" t="s">
        <v>2982</v>
      </c>
      <c r="F78" t="s">
        <v>8564</v>
      </c>
      <c r="G78" t="s">
        <v>3996</v>
      </c>
    </row>
    <row r="79" spans="1:7" x14ac:dyDescent="0.25">
      <c r="A79" t="s">
        <v>1046</v>
      </c>
      <c r="B79" t="s">
        <v>319</v>
      </c>
      <c r="C79">
        <v>2016</v>
      </c>
      <c r="E79" t="s">
        <v>2982</v>
      </c>
      <c r="F79" t="s">
        <v>8732</v>
      </c>
      <c r="G79" t="s">
        <v>3996</v>
      </c>
    </row>
    <row r="80" spans="1:7" x14ac:dyDescent="0.25">
      <c r="A80" t="s">
        <v>1594</v>
      </c>
      <c r="B80" t="s">
        <v>319</v>
      </c>
      <c r="C80">
        <v>2023</v>
      </c>
      <c r="E80" t="s">
        <v>2982</v>
      </c>
      <c r="F80" t="s">
        <v>8915</v>
      </c>
      <c r="G80" t="s">
        <v>3996</v>
      </c>
    </row>
    <row r="81" spans="1:7" x14ac:dyDescent="0.25">
      <c r="A81" t="s">
        <v>1855</v>
      </c>
      <c r="B81" t="s">
        <v>319</v>
      </c>
      <c r="C81">
        <v>2015</v>
      </c>
      <c r="E81" t="s">
        <v>2982</v>
      </c>
      <c r="F81" t="s">
        <v>8976</v>
      </c>
      <c r="G81" t="s">
        <v>3996</v>
      </c>
    </row>
    <row r="82" spans="1:7" x14ac:dyDescent="0.25">
      <c r="A82" t="s">
        <v>2804</v>
      </c>
      <c r="B82" t="s">
        <v>319</v>
      </c>
      <c r="C82">
        <v>2021</v>
      </c>
      <c r="E82" t="s">
        <v>2982</v>
      </c>
      <c r="F82" t="s">
        <v>9342</v>
      </c>
      <c r="G82" t="s">
        <v>3996</v>
      </c>
    </row>
    <row r="83" spans="1:7" x14ac:dyDescent="0.25">
      <c r="A83" t="s">
        <v>1155</v>
      </c>
      <c r="B83" t="s">
        <v>327</v>
      </c>
      <c r="C83">
        <v>2010</v>
      </c>
      <c r="D83" t="s">
        <v>187</v>
      </c>
      <c r="F83" t="s">
        <v>9514</v>
      </c>
      <c r="G83" t="s">
        <v>3996</v>
      </c>
    </row>
    <row r="84" spans="1:7" x14ac:dyDescent="0.25">
      <c r="A84" t="s">
        <v>759</v>
      </c>
      <c r="B84" t="s">
        <v>330</v>
      </c>
      <c r="C84">
        <v>2018</v>
      </c>
      <c r="E84" t="s">
        <v>3112</v>
      </c>
      <c r="F84" t="s">
        <v>8631</v>
      </c>
      <c r="G84" t="s">
        <v>3996</v>
      </c>
    </row>
    <row r="85" spans="1:7" x14ac:dyDescent="0.25">
      <c r="A85" t="s">
        <v>1046</v>
      </c>
      <c r="B85" t="s">
        <v>333</v>
      </c>
      <c r="C85">
        <v>2016</v>
      </c>
      <c r="E85" t="s">
        <v>3184</v>
      </c>
      <c r="F85" t="s">
        <v>8733</v>
      </c>
      <c r="G85" t="s">
        <v>3996</v>
      </c>
    </row>
    <row r="86" spans="1:7" x14ac:dyDescent="0.25">
      <c r="A86" t="s">
        <v>1855</v>
      </c>
      <c r="B86" t="s">
        <v>333</v>
      </c>
      <c r="C86">
        <v>2015</v>
      </c>
      <c r="E86" t="s">
        <v>3184</v>
      </c>
      <c r="F86" t="s">
        <v>8977</v>
      </c>
      <c r="G86" t="s">
        <v>3996</v>
      </c>
    </row>
    <row r="87" spans="1:7" x14ac:dyDescent="0.25">
      <c r="A87" t="s">
        <v>90</v>
      </c>
      <c r="B87" t="s">
        <v>333</v>
      </c>
      <c r="C87">
        <v>2017</v>
      </c>
      <c r="E87" t="s">
        <v>3184</v>
      </c>
      <c r="F87" t="s">
        <v>9096</v>
      </c>
      <c r="G87" t="s">
        <v>3996</v>
      </c>
    </row>
    <row r="88" spans="1:7" x14ac:dyDescent="0.25">
      <c r="A88" t="s">
        <v>178</v>
      </c>
      <c r="B88" t="s">
        <v>337</v>
      </c>
      <c r="C88">
        <v>2010</v>
      </c>
      <c r="D88" t="s">
        <v>187</v>
      </c>
      <c r="F88" t="s">
        <v>9515</v>
      </c>
      <c r="G88" t="s">
        <v>3996</v>
      </c>
    </row>
    <row r="89" spans="1:7" x14ac:dyDescent="0.25">
      <c r="A89" t="s">
        <v>2721</v>
      </c>
      <c r="B89" t="s">
        <v>341</v>
      </c>
      <c r="C89">
        <v>1993</v>
      </c>
      <c r="E89" t="s">
        <v>3013</v>
      </c>
      <c r="F89" t="s">
        <v>9516</v>
      </c>
      <c r="G89" t="s">
        <v>187</v>
      </c>
    </row>
    <row r="90" spans="1:7" x14ac:dyDescent="0.25">
      <c r="A90" t="s">
        <v>346</v>
      </c>
      <c r="B90" t="s">
        <v>344</v>
      </c>
      <c r="C90">
        <v>2022</v>
      </c>
      <c r="E90" t="s">
        <v>3015</v>
      </c>
      <c r="F90" t="s">
        <v>8502</v>
      </c>
      <c r="G90" t="s">
        <v>3996</v>
      </c>
    </row>
    <row r="91" spans="1:7" x14ac:dyDescent="0.25">
      <c r="A91" t="s">
        <v>2506</v>
      </c>
      <c r="B91" t="s">
        <v>344</v>
      </c>
      <c r="C91">
        <v>2021</v>
      </c>
      <c r="E91" t="s">
        <v>2982</v>
      </c>
      <c r="F91" t="s">
        <v>9247</v>
      </c>
      <c r="G91" t="s">
        <v>3996</v>
      </c>
    </row>
    <row r="92" spans="1:7" x14ac:dyDescent="0.25">
      <c r="A92" t="s">
        <v>873</v>
      </c>
      <c r="B92" t="s">
        <v>346</v>
      </c>
      <c r="C92">
        <v>2019</v>
      </c>
      <c r="E92" t="s">
        <v>2982</v>
      </c>
      <c r="F92" t="s">
        <v>8680</v>
      </c>
      <c r="G92" t="s">
        <v>3996</v>
      </c>
    </row>
    <row r="93" spans="1:7" x14ac:dyDescent="0.25">
      <c r="A93" t="s">
        <v>1435</v>
      </c>
      <c r="B93" t="s">
        <v>346</v>
      </c>
      <c r="C93">
        <v>2021</v>
      </c>
      <c r="E93" t="s">
        <v>2982</v>
      </c>
      <c r="F93" t="s">
        <v>8850</v>
      </c>
      <c r="G93" t="s">
        <v>3996</v>
      </c>
    </row>
    <row r="94" spans="1:7" x14ac:dyDescent="0.25">
      <c r="A94" t="s">
        <v>1443</v>
      </c>
      <c r="B94" t="s">
        <v>346</v>
      </c>
      <c r="C94">
        <v>2018</v>
      </c>
      <c r="E94" t="s">
        <v>3247</v>
      </c>
      <c r="F94" t="s">
        <v>8864</v>
      </c>
      <c r="G94" t="s">
        <v>3996</v>
      </c>
    </row>
    <row r="95" spans="1:7" x14ac:dyDescent="0.25">
      <c r="A95" t="s">
        <v>1576</v>
      </c>
      <c r="B95" t="s">
        <v>346</v>
      </c>
      <c r="C95">
        <v>2021</v>
      </c>
      <c r="E95" t="s">
        <v>2982</v>
      </c>
      <c r="F95" t="s">
        <v>8892</v>
      </c>
      <c r="G95" t="s">
        <v>3996</v>
      </c>
    </row>
    <row r="96" spans="1:7" x14ac:dyDescent="0.25">
      <c r="A96" t="s">
        <v>90</v>
      </c>
      <c r="B96" t="s">
        <v>346</v>
      </c>
      <c r="C96">
        <v>2017</v>
      </c>
      <c r="E96" t="s">
        <v>3247</v>
      </c>
      <c r="F96" t="s">
        <v>9097</v>
      </c>
      <c r="G96" t="s">
        <v>3996</v>
      </c>
    </row>
    <row r="97" spans="1:7" x14ac:dyDescent="0.25">
      <c r="A97" t="s">
        <v>1576</v>
      </c>
      <c r="B97" t="s">
        <v>353</v>
      </c>
      <c r="C97">
        <v>2021</v>
      </c>
      <c r="E97" t="s">
        <v>3261</v>
      </c>
      <c r="F97" t="s">
        <v>8893</v>
      </c>
      <c r="G97" t="s">
        <v>3996</v>
      </c>
    </row>
    <row r="98" spans="1:7" x14ac:dyDescent="0.25">
      <c r="A98" t="s">
        <v>2706</v>
      </c>
      <c r="B98" t="s">
        <v>358</v>
      </c>
      <c r="C98">
        <v>1991</v>
      </c>
      <c r="E98" s="10" t="s">
        <v>3419</v>
      </c>
      <c r="F98" t="s">
        <v>9437</v>
      </c>
      <c r="G98" t="s">
        <v>3996</v>
      </c>
    </row>
    <row r="99" spans="1:7" x14ac:dyDescent="0.25">
      <c r="A99" t="s">
        <v>811</v>
      </c>
      <c r="B99" t="s">
        <v>360</v>
      </c>
      <c r="C99">
        <v>2024</v>
      </c>
      <c r="E99" t="s">
        <v>7656</v>
      </c>
      <c r="F99" t="s">
        <v>8654</v>
      </c>
      <c r="G99" t="s">
        <v>3996</v>
      </c>
    </row>
    <row r="100" spans="1:7" x14ac:dyDescent="0.25">
      <c r="A100" t="s">
        <v>2804</v>
      </c>
      <c r="B100" t="s">
        <v>360</v>
      </c>
      <c r="C100">
        <v>2021</v>
      </c>
      <c r="E100" t="s">
        <v>7656</v>
      </c>
      <c r="F100" t="s">
        <v>9343</v>
      </c>
      <c r="G100" t="s">
        <v>3996</v>
      </c>
    </row>
    <row r="101" spans="1:7" x14ac:dyDescent="0.25">
      <c r="A101" t="s">
        <v>1576</v>
      </c>
      <c r="B101" t="s">
        <v>364</v>
      </c>
      <c r="C101">
        <v>2021</v>
      </c>
      <c r="E101" t="s">
        <v>2982</v>
      </c>
      <c r="F101" t="s">
        <v>8894</v>
      </c>
      <c r="G101" t="s">
        <v>3996</v>
      </c>
    </row>
    <row r="102" spans="1:7" x14ac:dyDescent="0.25">
      <c r="A102" t="s">
        <v>90</v>
      </c>
      <c r="B102" t="s">
        <v>368</v>
      </c>
      <c r="C102">
        <v>2017</v>
      </c>
      <c r="E102" t="s">
        <v>3013</v>
      </c>
      <c r="F102" t="s">
        <v>9517</v>
      </c>
      <c r="G102" t="s">
        <v>187</v>
      </c>
    </row>
    <row r="103" spans="1:7" x14ac:dyDescent="0.25">
      <c r="A103" t="s">
        <v>346</v>
      </c>
      <c r="B103" t="s">
        <v>372</v>
      </c>
      <c r="C103">
        <v>2022</v>
      </c>
      <c r="E103" t="s">
        <v>3016</v>
      </c>
      <c r="F103" t="s">
        <v>8503</v>
      </c>
      <c r="G103" t="s">
        <v>3996</v>
      </c>
    </row>
    <row r="104" spans="1:7" x14ac:dyDescent="0.25">
      <c r="A104" t="s">
        <v>90</v>
      </c>
      <c r="B104" t="s">
        <v>372</v>
      </c>
      <c r="C104">
        <v>2017</v>
      </c>
      <c r="E104" t="s">
        <v>3016</v>
      </c>
      <c r="F104" t="s">
        <v>9098</v>
      </c>
      <c r="G104" t="s">
        <v>3996</v>
      </c>
    </row>
    <row r="105" spans="1:7" x14ac:dyDescent="0.25">
      <c r="A105" t="s">
        <v>1795</v>
      </c>
      <c r="B105" t="s">
        <v>375</v>
      </c>
      <c r="C105">
        <v>1987</v>
      </c>
      <c r="E105" t="s">
        <v>3276</v>
      </c>
      <c r="F105" t="s">
        <v>8941</v>
      </c>
      <c r="G105" t="s">
        <v>3996</v>
      </c>
    </row>
    <row r="106" spans="1:7" x14ac:dyDescent="0.25">
      <c r="A106" t="s">
        <v>2428</v>
      </c>
      <c r="B106" t="s">
        <v>375</v>
      </c>
      <c r="C106">
        <v>2008</v>
      </c>
      <c r="E106" t="s">
        <v>3276</v>
      </c>
      <c r="F106" t="s">
        <v>9210</v>
      </c>
      <c r="G106" t="s">
        <v>3996</v>
      </c>
    </row>
    <row r="107" spans="1:7" x14ac:dyDescent="0.25">
      <c r="A107" t="s">
        <v>2154</v>
      </c>
      <c r="B107" t="s">
        <v>379</v>
      </c>
      <c r="C107">
        <v>1980</v>
      </c>
      <c r="E107" s="10" t="s">
        <v>8441</v>
      </c>
      <c r="F107" t="s">
        <v>8442</v>
      </c>
      <c r="G107" t="s">
        <v>3996</v>
      </c>
    </row>
    <row r="108" spans="1:7" x14ac:dyDescent="0.25">
      <c r="A108" t="s">
        <v>2721</v>
      </c>
      <c r="B108" t="s">
        <v>379</v>
      </c>
      <c r="C108">
        <v>1993</v>
      </c>
      <c r="E108" s="10" t="s">
        <v>8441</v>
      </c>
      <c r="F108" t="s">
        <v>8440</v>
      </c>
      <c r="G108" t="s">
        <v>3996</v>
      </c>
    </row>
    <row r="109" spans="1:7" x14ac:dyDescent="0.25">
      <c r="A109" t="s">
        <v>379</v>
      </c>
      <c r="B109" t="s">
        <v>381</v>
      </c>
      <c r="C109">
        <v>1998</v>
      </c>
      <c r="D109" t="s">
        <v>187</v>
      </c>
      <c r="F109" t="s">
        <v>9518</v>
      </c>
      <c r="G109" t="s">
        <v>3996</v>
      </c>
    </row>
    <row r="110" spans="1:7" x14ac:dyDescent="0.25">
      <c r="A110" t="s">
        <v>1863</v>
      </c>
      <c r="B110" t="s">
        <v>7952</v>
      </c>
      <c r="C110">
        <v>2026</v>
      </c>
      <c r="E110" t="s">
        <v>2982</v>
      </c>
      <c r="F110" t="s">
        <v>8994</v>
      </c>
      <c r="G110" t="s">
        <v>3996</v>
      </c>
    </row>
    <row r="111" spans="1:7" x14ac:dyDescent="0.25">
      <c r="A111" t="s">
        <v>2594</v>
      </c>
      <c r="B111" t="s">
        <v>7952</v>
      </c>
      <c r="C111">
        <v>2019</v>
      </c>
      <c r="E111" t="s">
        <v>2982</v>
      </c>
      <c r="F111" t="s">
        <v>9264</v>
      </c>
      <c r="G111" t="s">
        <v>3996</v>
      </c>
    </row>
    <row r="112" spans="1:7" x14ac:dyDescent="0.25">
      <c r="A112" t="s">
        <v>2614</v>
      </c>
      <c r="B112" t="s">
        <v>7952</v>
      </c>
      <c r="C112">
        <v>2025</v>
      </c>
      <c r="E112" s="10" t="s">
        <v>7951</v>
      </c>
      <c r="F112" t="s">
        <v>9270</v>
      </c>
      <c r="G112" t="s">
        <v>3996</v>
      </c>
    </row>
    <row r="113" spans="1:7" x14ac:dyDescent="0.25">
      <c r="A113" t="s">
        <v>759</v>
      </c>
      <c r="B113" t="s">
        <v>387</v>
      </c>
      <c r="C113">
        <v>2018</v>
      </c>
      <c r="E113" t="s">
        <v>3113</v>
      </c>
      <c r="F113" t="s">
        <v>8632</v>
      </c>
      <c r="G113" t="s">
        <v>3996</v>
      </c>
    </row>
    <row r="114" spans="1:7" x14ac:dyDescent="0.25">
      <c r="A114" t="s">
        <v>1294</v>
      </c>
      <c r="B114" t="s">
        <v>387</v>
      </c>
      <c r="C114">
        <v>2019</v>
      </c>
      <c r="E114" t="s">
        <v>3113</v>
      </c>
      <c r="F114" t="s">
        <v>8805</v>
      </c>
      <c r="G114" t="s">
        <v>3996</v>
      </c>
    </row>
    <row r="115" spans="1:7" x14ac:dyDescent="0.25">
      <c r="A115" t="s">
        <v>353</v>
      </c>
      <c r="B115" t="s">
        <v>391</v>
      </c>
      <c r="C115">
        <v>2023</v>
      </c>
      <c r="E115" t="s">
        <v>3018</v>
      </c>
      <c r="F115" t="s">
        <v>9519</v>
      </c>
      <c r="G115" t="s">
        <v>187</v>
      </c>
    </row>
    <row r="116" spans="1:7" x14ac:dyDescent="0.25">
      <c r="A116" t="s">
        <v>457</v>
      </c>
      <c r="B116" t="s">
        <v>394</v>
      </c>
      <c r="C116">
        <v>2022</v>
      </c>
      <c r="E116" s="10" t="s">
        <v>3056</v>
      </c>
      <c r="F116" t="s">
        <v>9520</v>
      </c>
      <c r="G116" t="s">
        <v>3996</v>
      </c>
    </row>
    <row r="117" spans="1:7" x14ac:dyDescent="0.25">
      <c r="A117" t="s">
        <v>778</v>
      </c>
      <c r="B117" t="s">
        <v>394</v>
      </c>
      <c r="C117">
        <v>2023</v>
      </c>
      <c r="E117" s="10" t="s">
        <v>3056</v>
      </c>
      <c r="F117" t="s">
        <v>9521</v>
      </c>
      <c r="G117" t="s">
        <v>3996</v>
      </c>
    </row>
    <row r="118" spans="1:7" x14ac:dyDescent="0.25">
      <c r="A118" t="s">
        <v>1302</v>
      </c>
      <c r="B118" t="s">
        <v>394</v>
      </c>
      <c r="C118">
        <v>2023</v>
      </c>
      <c r="E118" s="10" t="s">
        <v>3056</v>
      </c>
      <c r="F118" t="s">
        <v>9522</v>
      </c>
      <c r="G118" t="s">
        <v>3996</v>
      </c>
    </row>
    <row r="119" spans="1:7" x14ac:dyDescent="0.25">
      <c r="A119" t="s">
        <v>1779</v>
      </c>
      <c r="B119" t="s">
        <v>394</v>
      </c>
      <c r="C119">
        <v>2022</v>
      </c>
      <c r="E119" s="10" t="s">
        <v>3056</v>
      </c>
      <c r="F119" t="s">
        <v>9523</v>
      </c>
      <c r="G119" t="s">
        <v>3996</v>
      </c>
    </row>
    <row r="120" spans="1:7" x14ac:dyDescent="0.25">
      <c r="A120" t="s">
        <v>2675</v>
      </c>
      <c r="B120" t="s">
        <v>394</v>
      </c>
      <c r="C120">
        <v>2022</v>
      </c>
      <c r="E120" s="10" t="s">
        <v>3056</v>
      </c>
      <c r="F120" t="s">
        <v>9524</v>
      </c>
      <c r="G120" t="s">
        <v>3996</v>
      </c>
    </row>
    <row r="121" spans="1:7" x14ac:dyDescent="0.25">
      <c r="A121" t="s">
        <v>2804</v>
      </c>
      <c r="B121" t="s">
        <v>394</v>
      </c>
      <c r="C121">
        <v>2021</v>
      </c>
      <c r="E121" s="10" t="s">
        <v>3056</v>
      </c>
      <c r="F121" t="s">
        <v>9525</v>
      </c>
      <c r="G121" t="s">
        <v>3996</v>
      </c>
    </row>
    <row r="122" spans="1:7" x14ac:dyDescent="0.25">
      <c r="A122" t="s">
        <v>643</v>
      </c>
      <c r="B122" t="s">
        <v>403</v>
      </c>
      <c r="C122">
        <v>2020</v>
      </c>
      <c r="D122" t="s">
        <v>187</v>
      </c>
      <c r="F122" t="s">
        <v>9526</v>
      </c>
      <c r="G122" t="s">
        <v>3996</v>
      </c>
    </row>
    <row r="123" spans="1:7" x14ac:dyDescent="0.25">
      <c r="A123" t="s">
        <v>90</v>
      </c>
      <c r="B123" t="s">
        <v>403</v>
      </c>
      <c r="C123">
        <v>2017</v>
      </c>
      <c r="E123" t="s">
        <v>3346</v>
      </c>
      <c r="F123" t="s">
        <v>9099</v>
      </c>
      <c r="G123" t="s">
        <v>3996</v>
      </c>
    </row>
    <row r="124" spans="1:7" x14ac:dyDescent="0.25">
      <c r="A124" t="s">
        <v>90</v>
      </c>
      <c r="B124" t="s">
        <v>411</v>
      </c>
      <c r="C124">
        <v>2017</v>
      </c>
      <c r="E124" t="s">
        <v>3347</v>
      </c>
      <c r="F124" t="s">
        <v>9100</v>
      </c>
      <c r="G124" t="s">
        <v>3996</v>
      </c>
    </row>
    <row r="125" spans="1:7" x14ac:dyDescent="0.25">
      <c r="A125" t="s">
        <v>1046</v>
      </c>
      <c r="B125" t="s">
        <v>415</v>
      </c>
      <c r="C125">
        <v>2016</v>
      </c>
      <c r="E125" t="s">
        <v>3185</v>
      </c>
      <c r="F125" t="s">
        <v>9439</v>
      </c>
      <c r="G125" t="s">
        <v>3996</v>
      </c>
    </row>
    <row r="126" spans="1:7" x14ac:dyDescent="0.25">
      <c r="A126" t="s">
        <v>1144</v>
      </c>
      <c r="B126" t="s">
        <v>415</v>
      </c>
      <c r="C126">
        <v>2012</v>
      </c>
      <c r="E126" s="10" t="s">
        <v>9420</v>
      </c>
      <c r="F126" t="s">
        <v>9422</v>
      </c>
      <c r="G126" t="s">
        <v>3996</v>
      </c>
    </row>
    <row r="127" spans="1:7" x14ac:dyDescent="0.25">
      <c r="A127" t="s">
        <v>1294</v>
      </c>
      <c r="B127" t="s">
        <v>415</v>
      </c>
      <c r="C127">
        <v>2019</v>
      </c>
      <c r="E127" s="10" t="s">
        <v>9420</v>
      </c>
      <c r="F127" t="s">
        <v>9421</v>
      </c>
      <c r="G127" t="s">
        <v>3996</v>
      </c>
    </row>
    <row r="128" spans="1:7" x14ac:dyDescent="0.25">
      <c r="A128" t="s">
        <v>160</v>
      </c>
      <c r="B128" t="s">
        <v>415</v>
      </c>
      <c r="C128">
        <v>2011</v>
      </c>
      <c r="E128" t="s">
        <v>3185</v>
      </c>
      <c r="F128" t="s">
        <v>9438</v>
      </c>
      <c r="G128" t="s">
        <v>3996</v>
      </c>
    </row>
    <row r="129" spans="1:7" x14ac:dyDescent="0.25">
      <c r="A129" t="s">
        <v>353</v>
      </c>
      <c r="B129" t="s">
        <v>419</v>
      </c>
      <c r="C129">
        <v>2023</v>
      </c>
      <c r="E129" t="s">
        <v>3019</v>
      </c>
      <c r="F129" t="s">
        <v>8511</v>
      </c>
      <c r="G129" t="s">
        <v>3996</v>
      </c>
    </row>
    <row r="130" spans="1:7" x14ac:dyDescent="0.25">
      <c r="A130" t="s">
        <v>353</v>
      </c>
      <c r="B130" t="s">
        <v>421</v>
      </c>
      <c r="C130">
        <v>2023</v>
      </c>
      <c r="E130" t="s">
        <v>2982</v>
      </c>
      <c r="F130" t="s">
        <v>8512</v>
      </c>
      <c r="G130" t="s">
        <v>3996</v>
      </c>
    </row>
    <row r="131" spans="1:7" x14ac:dyDescent="0.25">
      <c r="A131" t="s">
        <v>1576</v>
      </c>
      <c r="B131" t="s">
        <v>421</v>
      </c>
      <c r="C131">
        <v>2021</v>
      </c>
      <c r="E131" t="s">
        <v>2982</v>
      </c>
      <c r="F131" t="s">
        <v>8895</v>
      </c>
      <c r="G131" t="s">
        <v>3996</v>
      </c>
    </row>
    <row r="132" spans="1:7" x14ac:dyDescent="0.25">
      <c r="A132" t="s">
        <v>2324</v>
      </c>
      <c r="B132" t="s">
        <v>421</v>
      </c>
      <c r="C132">
        <v>2022</v>
      </c>
      <c r="E132" t="s">
        <v>2982</v>
      </c>
      <c r="F132" t="s">
        <v>9085</v>
      </c>
      <c r="G132" t="s">
        <v>3996</v>
      </c>
    </row>
    <row r="133" spans="1:7" x14ac:dyDescent="0.25">
      <c r="A133" t="s">
        <v>2804</v>
      </c>
      <c r="B133" t="s">
        <v>425</v>
      </c>
      <c r="C133">
        <v>2021</v>
      </c>
      <c r="E133" t="s">
        <v>3013</v>
      </c>
      <c r="F133" t="s">
        <v>9527</v>
      </c>
      <c r="G133" t="s">
        <v>187</v>
      </c>
    </row>
    <row r="134" spans="1:7" x14ac:dyDescent="0.25">
      <c r="A134" t="s">
        <v>353</v>
      </c>
      <c r="B134" t="s">
        <v>428</v>
      </c>
      <c r="C134">
        <v>2023</v>
      </c>
      <c r="E134" t="s">
        <v>3020</v>
      </c>
      <c r="F134" t="s">
        <v>9528</v>
      </c>
      <c r="G134" t="s">
        <v>3996</v>
      </c>
    </row>
    <row r="135" spans="1:7" x14ac:dyDescent="0.25">
      <c r="A135" t="s">
        <v>1294</v>
      </c>
      <c r="B135" t="s">
        <v>428</v>
      </c>
      <c r="C135">
        <v>2019</v>
      </c>
      <c r="E135" t="s">
        <v>3020</v>
      </c>
      <c r="F135" t="s">
        <v>9529</v>
      </c>
      <c r="G135" t="s">
        <v>3996</v>
      </c>
    </row>
    <row r="136" spans="1:7" x14ac:dyDescent="0.25">
      <c r="A136" t="s">
        <v>1435</v>
      </c>
      <c r="B136" t="s">
        <v>428</v>
      </c>
      <c r="C136">
        <v>2021</v>
      </c>
      <c r="E136" t="s">
        <v>3020</v>
      </c>
      <c r="F136" t="s">
        <v>9530</v>
      </c>
      <c r="G136" t="s">
        <v>3996</v>
      </c>
    </row>
    <row r="137" spans="1:7" x14ac:dyDescent="0.25">
      <c r="A137" t="s">
        <v>90</v>
      </c>
      <c r="B137" t="s">
        <v>428</v>
      </c>
      <c r="C137">
        <v>2017</v>
      </c>
      <c r="E137" t="s">
        <v>3020</v>
      </c>
      <c r="F137" t="s">
        <v>9531</v>
      </c>
      <c r="G137" t="s">
        <v>3996</v>
      </c>
    </row>
    <row r="138" spans="1:7" x14ac:dyDescent="0.25">
      <c r="A138" t="s">
        <v>2804</v>
      </c>
      <c r="B138" t="s">
        <v>428</v>
      </c>
      <c r="C138">
        <v>2021</v>
      </c>
      <c r="E138" t="s">
        <v>3020</v>
      </c>
      <c r="F138" t="s">
        <v>9532</v>
      </c>
      <c r="G138" t="s">
        <v>3996</v>
      </c>
    </row>
    <row r="139" spans="1:7" x14ac:dyDescent="0.25">
      <c r="A139" t="s">
        <v>1855</v>
      </c>
      <c r="B139" t="s">
        <v>431</v>
      </c>
      <c r="C139">
        <v>2015</v>
      </c>
      <c r="E139" t="s">
        <v>2982</v>
      </c>
      <c r="F139" t="s">
        <v>8978</v>
      </c>
      <c r="G139" t="s">
        <v>3996</v>
      </c>
    </row>
    <row r="140" spans="1:7" x14ac:dyDescent="0.25">
      <c r="A140" t="s">
        <v>2428</v>
      </c>
      <c r="B140" t="s">
        <v>431</v>
      </c>
      <c r="C140">
        <v>2008</v>
      </c>
      <c r="E140" t="s">
        <v>2982</v>
      </c>
      <c r="F140" t="s">
        <v>9211</v>
      </c>
      <c r="G140" t="s">
        <v>3996</v>
      </c>
    </row>
    <row r="141" spans="1:7" x14ac:dyDescent="0.25">
      <c r="A141" t="s">
        <v>160</v>
      </c>
      <c r="B141" t="s">
        <v>431</v>
      </c>
      <c r="C141">
        <v>2011</v>
      </c>
      <c r="E141" t="s">
        <v>2982</v>
      </c>
      <c r="F141" t="s">
        <v>9275</v>
      </c>
      <c r="G141" t="s">
        <v>3996</v>
      </c>
    </row>
    <row r="142" spans="1:7" x14ac:dyDescent="0.25">
      <c r="A142" t="s">
        <v>439</v>
      </c>
      <c r="B142" t="s">
        <v>443</v>
      </c>
      <c r="C142">
        <v>2023</v>
      </c>
      <c r="D142" t="s">
        <v>187</v>
      </c>
      <c r="F142" t="s">
        <v>9533</v>
      </c>
      <c r="G142" t="s">
        <v>3996</v>
      </c>
    </row>
    <row r="143" spans="1:7" x14ac:dyDescent="0.25">
      <c r="A143" t="s">
        <v>1294</v>
      </c>
      <c r="B143" t="s">
        <v>447</v>
      </c>
      <c r="C143">
        <v>2019</v>
      </c>
      <c r="E143" t="s">
        <v>2982</v>
      </c>
      <c r="F143" t="s">
        <v>8806</v>
      </c>
      <c r="G143" t="s">
        <v>3996</v>
      </c>
    </row>
    <row r="144" spans="1:7" x14ac:dyDescent="0.25">
      <c r="A144" t="s">
        <v>2804</v>
      </c>
      <c r="B144" t="s">
        <v>447</v>
      </c>
      <c r="C144">
        <v>2021</v>
      </c>
      <c r="E144" t="s">
        <v>3013</v>
      </c>
      <c r="F144" t="s">
        <v>9534</v>
      </c>
      <c r="G144" t="s">
        <v>187</v>
      </c>
    </row>
    <row r="145" spans="1:7" x14ac:dyDescent="0.25">
      <c r="A145" t="s">
        <v>2804</v>
      </c>
      <c r="B145" t="s">
        <v>449</v>
      </c>
      <c r="C145">
        <v>2021</v>
      </c>
      <c r="E145" t="s">
        <v>3013</v>
      </c>
      <c r="F145" t="s">
        <v>9535</v>
      </c>
      <c r="G145" t="s">
        <v>187</v>
      </c>
    </row>
    <row r="146" spans="1:7" x14ac:dyDescent="0.25">
      <c r="A146" t="s">
        <v>2443</v>
      </c>
      <c r="B146" t="s">
        <v>457</v>
      </c>
      <c r="C146">
        <v>2019</v>
      </c>
      <c r="D146" t="s">
        <v>187</v>
      </c>
      <c r="F146" t="s">
        <v>9536</v>
      </c>
      <c r="G146" t="s">
        <v>3996</v>
      </c>
    </row>
    <row r="147" spans="1:7" x14ac:dyDescent="0.25">
      <c r="A147" t="s">
        <v>2804</v>
      </c>
      <c r="B147" t="s">
        <v>457</v>
      </c>
      <c r="C147">
        <v>2021</v>
      </c>
      <c r="E147" t="s">
        <v>3013</v>
      </c>
      <c r="F147" t="s">
        <v>9537</v>
      </c>
      <c r="G147" t="s">
        <v>187</v>
      </c>
    </row>
    <row r="148" spans="1:7" x14ac:dyDescent="0.25">
      <c r="A148" t="s">
        <v>847</v>
      </c>
      <c r="B148" t="s">
        <v>462</v>
      </c>
      <c r="C148">
        <v>1996</v>
      </c>
      <c r="E148" t="s">
        <v>3131</v>
      </c>
      <c r="F148" t="s">
        <v>8662</v>
      </c>
      <c r="G148" t="s">
        <v>3996</v>
      </c>
    </row>
    <row r="149" spans="1:7" x14ac:dyDescent="0.25">
      <c r="A149" t="s">
        <v>90</v>
      </c>
      <c r="B149" t="s">
        <v>464</v>
      </c>
      <c r="C149">
        <v>2017</v>
      </c>
      <c r="E149" t="s">
        <v>2982</v>
      </c>
      <c r="F149" t="s">
        <v>9101</v>
      </c>
      <c r="G149" t="s">
        <v>3996</v>
      </c>
    </row>
    <row r="150" spans="1:7" x14ac:dyDescent="0.25">
      <c r="A150" t="s">
        <v>2804</v>
      </c>
      <c r="B150" t="s">
        <v>464</v>
      </c>
      <c r="C150">
        <v>2021</v>
      </c>
      <c r="E150" t="s">
        <v>3013</v>
      </c>
      <c r="F150" t="s">
        <v>9538</v>
      </c>
      <c r="G150" t="s">
        <v>187</v>
      </c>
    </row>
    <row r="151" spans="1:7" x14ac:dyDescent="0.25">
      <c r="A151" t="s">
        <v>1707</v>
      </c>
      <c r="B151" t="s">
        <v>469</v>
      </c>
      <c r="C151">
        <v>2016</v>
      </c>
      <c r="D151" t="s">
        <v>187</v>
      </c>
      <c r="F151" t="s">
        <v>9539</v>
      </c>
      <c r="G151" t="s">
        <v>3996</v>
      </c>
    </row>
    <row r="152" spans="1:7" x14ac:dyDescent="0.25">
      <c r="A152" t="s">
        <v>689</v>
      </c>
      <c r="B152" t="s">
        <v>473</v>
      </c>
      <c r="C152">
        <v>2015</v>
      </c>
      <c r="E152" t="s">
        <v>3084</v>
      </c>
      <c r="F152" t="s">
        <v>8592</v>
      </c>
      <c r="G152" t="s">
        <v>3996</v>
      </c>
    </row>
    <row r="153" spans="1:7" x14ac:dyDescent="0.25">
      <c r="A153" t="s">
        <v>90</v>
      </c>
      <c r="B153" t="s">
        <v>477</v>
      </c>
      <c r="C153">
        <v>2017</v>
      </c>
      <c r="E153" t="s">
        <v>2982</v>
      </c>
      <c r="F153" t="s">
        <v>9102</v>
      </c>
      <c r="G153" t="s">
        <v>3996</v>
      </c>
    </row>
    <row r="154" spans="1:7" x14ac:dyDescent="0.25">
      <c r="A154" t="s">
        <v>2751</v>
      </c>
      <c r="B154" t="s">
        <v>477</v>
      </c>
      <c r="C154">
        <v>2021</v>
      </c>
      <c r="D154" t="s">
        <v>187</v>
      </c>
      <c r="F154" t="s">
        <v>9540</v>
      </c>
      <c r="G154" t="s">
        <v>3996</v>
      </c>
    </row>
    <row r="155" spans="1:7" x14ac:dyDescent="0.25">
      <c r="A155" t="s">
        <v>90</v>
      </c>
      <c r="B155" t="s">
        <v>480</v>
      </c>
      <c r="C155">
        <v>2017</v>
      </c>
      <c r="E155" t="s">
        <v>3348</v>
      </c>
      <c r="F155" t="s">
        <v>9103</v>
      </c>
      <c r="G155" t="s">
        <v>3996</v>
      </c>
    </row>
    <row r="156" spans="1:7" x14ac:dyDescent="0.25">
      <c r="A156" t="s">
        <v>1144</v>
      </c>
      <c r="B156" t="s">
        <v>484</v>
      </c>
      <c r="C156">
        <v>2012</v>
      </c>
      <c r="E156" t="s">
        <v>3198</v>
      </c>
      <c r="F156" t="s">
        <v>8760</v>
      </c>
      <c r="G156" t="s">
        <v>3996</v>
      </c>
    </row>
    <row r="157" spans="1:7" x14ac:dyDescent="0.25">
      <c r="A157" t="s">
        <v>90</v>
      </c>
      <c r="B157" t="s">
        <v>484</v>
      </c>
      <c r="C157">
        <v>2017</v>
      </c>
      <c r="E157" t="s">
        <v>3198</v>
      </c>
      <c r="F157" t="s">
        <v>9104</v>
      </c>
      <c r="G157" t="s">
        <v>3996</v>
      </c>
    </row>
    <row r="158" spans="1:7" x14ac:dyDescent="0.25">
      <c r="A158" t="s">
        <v>1272</v>
      </c>
      <c r="B158" t="s">
        <v>488</v>
      </c>
      <c r="C158">
        <v>2020</v>
      </c>
      <c r="E158" t="s">
        <v>3218</v>
      </c>
      <c r="F158" t="s">
        <v>8792</v>
      </c>
      <c r="G158" t="s">
        <v>3996</v>
      </c>
    </row>
    <row r="159" spans="1:7" x14ac:dyDescent="0.25">
      <c r="A159" t="s">
        <v>1294</v>
      </c>
      <c r="B159" t="s">
        <v>488</v>
      </c>
      <c r="C159">
        <v>2019</v>
      </c>
      <c r="E159" t="s">
        <v>3218</v>
      </c>
      <c r="F159" t="s">
        <v>8807</v>
      </c>
      <c r="G159" t="s">
        <v>3996</v>
      </c>
    </row>
    <row r="160" spans="1:7" x14ac:dyDescent="0.25">
      <c r="A160" t="s">
        <v>2146</v>
      </c>
      <c r="B160" t="s">
        <v>488</v>
      </c>
      <c r="C160">
        <v>2020</v>
      </c>
      <c r="E160" t="s">
        <v>3218</v>
      </c>
      <c r="F160" t="s">
        <v>9036</v>
      </c>
      <c r="G160" t="s">
        <v>3996</v>
      </c>
    </row>
    <row r="161" spans="1:7" x14ac:dyDescent="0.25">
      <c r="A161" t="s">
        <v>2154</v>
      </c>
      <c r="B161" t="s">
        <v>490</v>
      </c>
      <c r="C161">
        <v>1980</v>
      </c>
      <c r="E161" t="s">
        <v>3320</v>
      </c>
      <c r="F161" t="s">
        <v>9042</v>
      </c>
      <c r="G161" t="s">
        <v>3996</v>
      </c>
    </row>
    <row r="162" spans="1:7" x14ac:dyDescent="0.25">
      <c r="A162" t="s">
        <v>826</v>
      </c>
      <c r="B162" t="s">
        <v>493</v>
      </c>
      <c r="C162">
        <v>2019</v>
      </c>
      <c r="E162" t="s">
        <v>2982</v>
      </c>
      <c r="F162" t="s">
        <v>8658</v>
      </c>
      <c r="G162" t="s">
        <v>3996</v>
      </c>
    </row>
    <row r="163" spans="1:7" x14ac:dyDescent="0.25">
      <c r="A163" t="s">
        <v>1144</v>
      </c>
      <c r="B163" t="s">
        <v>493</v>
      </c>
      <c r="C163">
        <v>2012</v>
      </c>
      <c r="E163" t="s">
        <v>2982</v>
      </c>
      <c r="F163" t="s">
        <v>8761</v>
      </c>
      <c r="G163" t="s">
        <v>3996</v>
      </c>
    </row>
    <row r="164" spans="1:7" x14ac:dyDescent="0.25">
      <c r="A164" t="s">
        <v>1576</v>
      </c>
      <c r="B164" t="s">
        <v>493</v>
      </c>
      <c r="C164">
        <v>2021</v>
      </c>
      <c r="E164" t="s">
        <v>2982</v>
      </c>
      <c r="F164" t="s">
        <v>8896</v>
      </c>
      <c r="G164" t="s">
        <v>3996</v>
      </c>
    </row>
    <row r="165" spans="1:7" x14ac:dyDescent="0.25">
      <c r="A165" t="s">
        <v>90</v>
      </c>
      <c r="B165" t="s">
        <v>493</v>
      </c>
      <c r="C165">
        <v>2017</v>
      </c>
      <c r="E165" t="s">
        <v>2982</v>
      </c>
      <c r="F165" t="s">
        <v>9105</v>
      </c>
      <c r="G165" t="s">
        <v>3996</v>
      </c>
    </row>
    <row r="166" spans="1:7" x14ac:dyDescent="0.25">
      <c r="A166" t="s">
        <v>2403</v>
      </c>
      <c r="B166" t="s">
        <v>497</v>
      </c>
      <c r="C166">
        <v>2019</v>
      </c>
      <c r="D166" t="s">
        <v>187</v>
      </c>
      <c r="F166" t="s">
        <v>9541</v>
      </c>
      <c r="G166" t="s">
        <v>3996</v>
      </c>
    </row>
    <row r="167" spans="1:7" x14ac:dyDescent="0.25">
      <c r="A167" t="s">
        <v>2804</v>
      </c>
      <c r="B167" t="s">
        <v>497</v>
      </c>
      <c r="C167">
        <v>2021</v>
      </c>
      <c r="E167" t="s">
        <v>3013</v>
      </c>
      <c r="F167" t="s">
        <v>9542</v>
      </c>
      <c r="G167" t="s">
        <v>187</v>
      </c>
    </row>
    <row r="168" spans="1:7" x14ac:dyDescent="0.25">
      <c r="A168" t="s">
        <v>1046</v>
      </c>
      <c r="B168" t="s">
        <v>501</v>
      </c>
      <c r="C168">
        <v>2016</v>
      </c>
      <c r="E168" t="s">
        <v>3186</v>
      </c>
      <c r="F168" t="s">
        <v>8734</v>
      </c>
      <c r="G168" t="s">
        <v>3996</v>
      </c>
    </row>
    <row r="169" spans="1:7" x14ac:dyDescent="0.25">
      <c r="A169" t="s">
        <v>160</v>
      </c>
      <c r="B169" t="s">
        <v>501</v>
      </c>
      <c r="C169">
        <v>2011</v>
      </c>
      <c r="E169" t="s">
        <v>3186</v>
      </c>
      <c r="F169" t="s">
        <v>9276</v>
      </c>
      <c r="G169" t="s">
        <v>3996</v>
      </c>
    </row>
    <row r="170" spans="1:7" x14ac:dyDescent="0.25">
      <c r="A170" t="s">
        <v>2652</v>
      </c>
      <c r="B170" t="s">
        <v>501</v>
      </c>
      <c r="C170">
        <v>2019</v>
      </c>
      <c r="E170" t="s">
        <v>3186</v>
      </c>
      <c r="F170" t="s">
        <v>9329</v>
      </c>
      <c r="G170" t="s">
        <v>3996</v>
      </c>
    </row>
    <row r="171" spans="1:7" x14ac:dyDescent="0.25">
      <c r="A171" t="s">
        <v>1435</v>
      </c>
      <c r="B171" t="s">
        <v>505</v>
      </c>
      <c r="C171">
        <v>2021</v>
      </c>
      <c r="E171" s="10" t="s">
        <v>8364</v>
      </c>
      <c r="F171" t="s">
        <v>8851</v>
      </c>
      <c r="G171" t="s">
        <v>3996</v>
      </c>
    </row>
    <row r="172" spans="1:7" x14ac:dyDescent="0.25">
      <c r="A172" t="s">
        <v>689</v>
      </c>
      <c r="B172" t="s">
        <v>7830</v>
      </c>
      <c r="C172">
        <v>2015</v>
      </c>
      <c r="D172" t="s">
        <v>187</v>
      </c>
      <c r="F172" t="s">
        <v>9543</v>
      </c>
      <c r="G172" t="s">
        <v>3996</v>
      </c>
    </row>
    <row r="173" spans="1:7" x14ac:dyDescent="0.25">
      <c r="A173" t="s">
        <v>260</v>
      </c>
      <c r="B173" t="s">
        <v>517</v>
      </c>
      <c r="C173">
        <v>1990</v>
      </c>
      <c r="E173" t="s">
        <v>3000</v>
      </c>
      <c r="F173" t="s">
        <v>8483</v>
      </c>
      <c r="G173" t="s">
        <v>3996</v>
      </c>
    </row>
    <row r="174" spans="1:7" x14ac:dyDescent="0.25">
      <c r="A174" t="s">
        <v>490</v>
      </c>
      <c r="B174" t="s">
        <v>517</v>
      </c>
      <c r="C174">
        <v>2009</v>
      </c>
      <c r="E174" s="10" t="s">
        <v>8444</v>
      </c>
      <c r="F174" t="s">
        <v>8446</v>
      </c>
      <c r="G174" t="s">
        <v>3996</v>
      </c>
    </row>
    <row r="175" spans="1:7" x14ac:dyDescent="0.25">
      <c r="A175" t="s">
        <v>836</v>
      </c>
      <c r="B175" t="s">
        <v>517</v>
      </c>
      <c r="C175">
        <v>2010</v>
      </c>
      <c r="E175" s="10" t="s">
        <v>8444</v>
      </c>
      <c r="F175" t="s">
        <v>8445</v>
      </c>
      <c r="G175" t="s">
        <v>3996</v>
      </c>
    </row>
    <row r="176" spans="1:7" x14ac:dyDescent="0.25">
      <c r="A176" t="s">
        <v>847</v>
      </c>
      <c r="B176" t="s">
        <v>517</v>
      </c>
      <c r="C176">
        <v>1996</v>
      </c>
      <c r="E176" t="s">
        <v>3000</v>
      </c>
      <c r="F176" t="s">
        <v>8663</v>
      </c>
      <c r="G176" t="s">
        <v>3996</v>
      </c>
    </row>
    <row r="177" spans="1:7" x14ac:dyDescent="0.25">
      <c r="A177" t="s">
        <v>922</v>
      </c>
      <c r="B177" t="s">
        <v>517</v>
      </c>
      <c r="C177">
        <v>2002</v>
      </c>
      <c r="E177" t="s">
        <v>3149</v>
      </c>
      <c r="F177" t="s">
        <v>9544</v>
      </c>
      <c r="G177" t="s">
        <v>187</v>
      </c>
    </row>
    <row r="178" spans="1:7" x14ac:dyDescent="0.25">
      <c r="A178" t="s">
        <v>2428</v>
      </c>
      <c r="B178" t="s">
        <v>517</v>
      </c>
      <c r="C178">
        <v>2008</v>
      </c>
      <c r="E178" s="10" t="s">
        <v>8444</v>
      </c>
      <c r="F178" t="s">
        <v>8443</v>
      </c>
      <c r="G178" t="s">
        <v>3996</v>
      </c>
    </row>
    <row r="179" spans="1:7" x14ac:dyDescent="0.25">
      <c r="A179" t="s">
        <v>2571</v>
      </c>
      <c r="B179" t="s">
        <v>517</v>
      </c>
      <c r="C179">
        <v>1998</v>
      </c>
      <c r="E179" t="s">
        <v>3149</v>
      </c>
      <c r="F179" t="s">
        <v>9545</v>
      </c>
      <c r="G179" t="s">
        <v>187</v>
      </c>
    </row>
    <row r="180" spans="1:7" x14ac:dyDescent="0.25">
      <c r="A180" t="s">
        <v>517</v>
      </c>
      <c r="B180" t="s">
        <v>519</v>
      </c>
      <c r="C180">
        <v>2010</v>
      </c>
      <c r="D180" t="s">
        <v>187</v>
      </c>
      <c r="F180" t="s">
        <v>9546</v>
      </c>
      <c r="G180" t="s">
        <v>3996</v>
      </c>
    </row>
    <row r="181" spans="1:7" x14ac:dyDescent="0.25">
      <c r="A181" t="s">
        <v>1523</v>
      </c>
      <c r="B181" t="s">
        <v>522</v>
      </c>
      <c r="C181">
        <v>1986</v>
      </c>
      <c r="E181" s="10" t="s">
        <v>8423</v>
      </c>
      <c r="F181" t="s">
        <v>8884</v>
      </c>
      <c r="G181" t="s">
        <v>3996</v>
      </c>
    </row>
    <row r="182" spans="1:7" x14ac:dyDescent="0.25">
      <c r="A182" t="s">
        <v>1795</v>
      </c>
      <c r="B182" t="s">
        <v>522</v>
      </c>
      <c r="C182">
        <v>1987</v>
      </c>
      <c r="E182" s="10" t="s">
        <v>8423</v>
      </c>
      <c r="F182" t="s">
        <v>8942</v>
      </c>
      <c r="G182" t="s">
        <v>3996</v>
      </c>
    </row>
    <row r="183" spans="1:7" x14ac:dyDescent="0.25">
      <c r="A183" t="s">
        <v>1882</v>
      </c>
      <c r="B183" t="s">
        <v>522</v>
      </c>
      <c r="C183">
        <v>1987</v>
      </c>
      <c r="E183" s="10" t="s">
        <v>8423</v>
      </c>
      <c r="F183" t="s">
        <v>8995</v>
      </c>
      <c r="G183" t="s">
        <v>3996</v>
      </c>
    </row>
    <row r="184" spans="1:7" x14ac:dyDescent="0.25">
      <c r="A184" t="s">
        <v>2154</v>
      </c>
      <c r="B184" t="s">
        <v>522</v>
      </c>
      <c r="C184">
        <v>1980</v>
      </c>
      <c r="F184" t="s">
        <v>9547</v>
      </c>
      <c r="G184" t="s">
        <v>187</v>
      </c>
    </row>
    <row r="185" spans="1:7" x14ac:dyDescent="0.25">
      <c r="A185" t="s">
        <v>1576</v>
      </c>
      <c r="B185" t="s">
        <v>528</v>
      </c>
      <c r="C185">
        <v>2021</v>
      </c>
      <c r="E185" t="s">
        <v>3262</v>
      </c>
      <c r="F185" t="s">
        <v>9548</v>
      </c>
      <c r="G185" t="s">
        <v>187</v>
      </c>
    </row>
    <row r="186" spans="1:7" x14ac:dyDescent="0.25">
      <c r="A186" t="s">
        <v>922</v>
      </c>
      <c r="B186" t="s">
        <v>531</v>
      </c>
      <c r="C186">
        <v>2002</v>
      </c>
      <c r="E186" t="s">
        <v>3150</v>
      </c>
      <c r="F186" t="s">
        <v>8695</v>
      </c>
      <c r="G186" t="s">
        <v>3996</v>
      </c>
    </row>
    <row r="187" spans="1:7" x14ac:dyDescent="0.25">
      <c r="A187" t="s">
        <v>964</v>
      </c>
      <c r="B187" t="s">
        <v>531</v>
      </c>
      <c r="C187">
        <v>2006</v>
      </c>
      <c r="E187" t="s">
        <v>3150</v>
      </c>
      <c r="F187" t="s">
        <v>9440</v>
      </c>
      <c r="G187" t="s">
        <v>3996</v>
      </c>
    </row>
    <row r="188" spans="1:7" x14ac:dyDescent="0.25">
      <c r="A188" t="s">
        <v>536</v>
      </c>
      <c r="B188" t="s">
        <v>534</v>
      </c>
      <c r="C188">
        <v>2010</v>
      </c>
      <c r="E188" t="s">
        <v>3073</v>
      </c>
      <c r="F188" t="s">
        <v>8581</v>
      </c>
      <c r="G188" t="s">
        <v>3996</v>
      </c>
    </row>
    <row r="189" spans="1:7" x14ac:dyDescent="0.25">
      <c r="A189" t="s">
        <v>531</v>
      </c>
      <c r="B189" t="s">
        <v>536</v>
      </c>
      <c r="C189">
        <v>2010</v>
      </c>
      <c r="E189" t="s">
        <v>3074</v>
      </c>
      <c r="F189" t="s">
        <v>8582</v>
      </c>
      <c r="G189" t="s">
        <v>3996</v>
      </c>
    </row>
    <row r="190" spans="1:7" x14ac:dyDescent="0.25">
      <c r="A190" t="s">
        <v>536</v>
      </c>
      <c r="B190" t="s">
        <v>538</v>
      </c>
      <c r="C190">
        <v>2013</v>
      </c>
      <c r="D190" t="s">
        <v>187</v>
      </c>
      <c r="F190" t="s">
        <v>9549</v>
      </c>
      <c r="G190" t="s">
        <v>3996</v>
      </c>
    </row>
    <row r="191" spans="1:7" x14ac:dyDescent="0.25">
      <c r="A191" t="s">
        <v>1454</v>
      </c>
      <c r="B191" t="s">
        <v>540</v>
      </c>
      <c r="C191">
        <v>2001</v>
      </c>
      <c r="E191" t="s">
        <v>3255</v>
      </c>
      <c r="F191" t="s">
        <v>8881</v>
      </c>
      <c r="G191" t="s">
        <v>3996</v>
      </c>
    </row>
    <row r="192" spans="1:7" x14ac:dyDescent="0.25">
      <c r="A192" t="s">
        <v>2023</v>
      </c>
      <c r="B192" t="s">
        <v>540</v>
      </c>
      <c r="C192">
        <v>2003</v>
      </c>
      <c r="E192" t="s">
        <v>3255</v>
      </c>
      <c r="F192" t="s">
        <v>9550</v>
      </c>
      <c r="G192" t="s">
        <v>187</v>
      </c>
    </row>
    <row r="193" spans="1:7" x14ac:dyDescent="0.25">
      <c r="A193" t="s">
        <v>2428</v>
      </c>
      <c r="B193" t="s">
        <v>540</v>
      </c>
      <c r="C193">
        <v>2008</v>
      </c>
      <c r="E193" t="s">
        <v>3255</v>
      </c>
      <c r="F193" t="s">
        <v>9212</v>
      </c>
      <c r="G193" t="s">
        <v>3996</v>
      </c>
    </row>
    <row r="194" spans="1:7" x14ac:dyDescent="0.25">
      <c r="A194" t="s">
        <v>353</v>
      </c>
      <c r="B194" t="s">
        <v>543</v>
      </c>
      <c r="C194">
        <v>2023</v>
      </c>
      <c r="E194" t="s">
        <v>3021</v>
      </c>
      <c r="F194" t="s">
        <v>8513</v>
      </c>
      <c r="G194" t="s">
        <v>3996</v>
      </c>
    </row>
    <row r="195" spans="1:7" x14ac:dyDescent="0.25">
      <c r="A195" t="s">
        <v>2361</v>
      </c>
      <c r="B195" t="s">
        <v>543</v>
      </c>
      <c r="C195">
        <v>2018</v>
      </c>
      <c r="E195" t="s">
        <v>3021</v>
      </c>
      <c r="F195" t="s">
        <v>9198</v>
      </c>
      <c r="G195" t="s">
        <v>3996</v>
      </c>
    </row>
    <row r="196" spans="1:7" x14ac:dyDescent="0.25">
      <c r="A196" t="s">
        <v>2154</v>
      </c>
      <c r="B196" t="s">
        <v>546</v>
      </c>
      <c r="C196">
        <v>1980</v>
      </c>
      <c r="E196" t="s">
        <v>3321</v>
      </c>
      <c r="F196" t="s">
        <v>9043</v>
      </c>
      <c r="G196" t="s">
        <v>3996</v>
      </c>
    </row>
    <row r="197" spans="1:7" x14ac:dyDescent="0.25">
      <c r="A197" t="s">
        <v>2428</v>
      </c>
      <c r="B197" t="s">
        <v>549</v>
      </c>
      <c r="C197">
        <v>2008</v>
      </c>
      <c r="E197" t="s">
        <v>3391</v>
      </c>
      <c r="F197" t="s">
        <v>9213</v>
      </c>
      <c r="G197" t="s">
        <v>3996</v>
      </c>
    </row>
    <row r="198" spans="1:7" x14ac:dyDescent="0.25">
      <c r="A198" t="s">
        <v>256</v>
      </c>
      <c r="B198" t="s">
        <v>553</v>
      </c>
      <c r="C198">
        <v>1994</v>
      </c>
      <c r="F198" t="s">
        <v>9551</v>
      </c>
      <c r="G198" t="s">
        <v>187</v>
      </c>
    </row>
    <row r="199" spans="1:7" x14ac:dyDescent="0.25">
      <c r="A199" t="s">
        <v>1004</v>
      </c>
      <c r="B199" t="s">
        <v>553</v>
      </c>
      <c r="C199">
        <v>2006</v>
      </c>
      <c r="E199" s="10" t="s">
        <v>8409</v>
      </c>
      <c r="F199" t="s">
        <v>8722</v>
      </c>
      <c r="G199" t="s">
        <v>3996</v>
      </c>
    </row>
    <row r="200" spans="1:7" x14ac:dyDescent="0.25">
      <c r="A200" t="s">
        <v>1882</v>
      </c>
      <c r="B200" t="s">
        <v>553</v>
      </c>
      <c r="C200">
        <v>1987</v>
      </c>
      <c r="E200" s="10" t="s">
        <v>8421</v>
      </c>
      <c r="F200" t="s">
        <v>8996</v>
      </c>
      <c r="G200" t="s">
        <v>3996</v>
      </c>
    </row>
    <row r="201" spans="1:7" x14ac:dyDescent="0.25">
      <c r="A201" t="s">
        <v>1046</v>
      </c>
      <c r="B201" t="s">
        <v>557</v>
      </c>
      <c r="C201">
        <v>2016</v>
      </c>
      <c r="E201" s="10" t="s">
        <v>8420</v>
      </c>
      <c r="F201" t="s">
        <v>8735</v>
      </c>
      <c r="G201" t="s">
        <v>3996</v>
      </c>
    </row>
    <row r="202" spans="1:7" x14ac:dyDescent="0.25">
      <c r="A202" t="s">
        <v>160</v>
      </c>
      <c r="B202" t="s">
        <v>557</v>
      </c>
      <c r="C202">
        <v>2011</v>
      </c>
      <c r="E202" t="s">
        <v>3403</v>
      </c>
      <c r="F202" t="s">
        <v>9277</v>
      </c>
      <c r="G202" t="s">
        <v>3996</v>
      </c>
    </row>
    <row r="203" spans="1:7" x14ac:dyDescent="0.25">
      <c r="A203" t="s">
        <v>1180</v>
      </c>
      <c r="B203" t="s">
        <v>561</v>
      </c>
      <c r="C203">
        <v>2024</v>
      </c>
      <c r="D203" t="s">
        <v>187</v>
      </c>
      <c r="F203" t="s">
        <v>9552</v>
      </c>
      <c r="G203" t="s">
        <v>3996</v>
      </c>
    </row>
    <row r="204" spans="1:7" x14ac:dyDescent="0.25">
      <c r="A204" t="s">
        <v>1443</v>
      </c>
      <c r="B204" t="s">
        <v>561</v>
      </c>
      <c r="C204">
        <v>2018</v>
      </c>
      <c r="E204" t="s">
        <v>2982</v>
      </c>
      <c r="F204" t="s">
        <v>8865</v>
      </c>
      <c r="G204" t="s">
        <v>3996</v>
      </c>
    </row>
    <row r="205" spans="1:7" x14ac:dyDescent="0.25">
      <c r="A205" t="s">
        <v>1100</v>
      </c>
      <c r="B205" t="s">
        <v>563</v>
      </c>
      <c r="C205">
        <v>2022</v>
      </c>
      <c r="E205" t="s">
        <v>566</v>
      </c>
      <c r="F205" t="s">
        <v>8755</v>
      </c>
      <c r="G205" t="s">
        <v>3996</v>
      </c>
    </row>
    <row r="206" spans="1:7" x14ac:dyDescent="0.25">
      <c r="A206" t="s">
        <v>2377</v>
      </c>
      <c r="B206" t="s">
        <v>563</v>
      </c>
      <c r="C206">
        <v>2021</v>
      </c>
      <c r="E206" t="s">
        <v>566</v>
      </c>
      <c r="F206" t="s">
        <v>9202</v>
      </c>
      <c r="G206" t="s">
        <v>3996</v>
      </c>
    </row>
    <row r="207" spans="1:7" x14ac:dyDescent="0.25">
      <c r="A207" t="s">
        <v>90</v>
      </c>
      <c r="B207" t="s">
        <v>567</v>
      </c>
      <c r="C207">
        <v>2017</v>
      </c>
      <c r="E207" t="s">
        <v>3349</v>
      </c>
      <c r="F207" t="s">
        <v>9106</v>
      </c>
      <c r="G207" t="s">
        <v>3996</v>
      </c>
    </row>
    <row r="208" spans="1:7" x14ac:dyDescent="0.25">
      <c r="A208" t="s">
        <v>689</v>
      </c>
      <c r="B208" t="s">
        <v>571</v>
      </c>
      <c r="C208">
        <v>2015</v>
      </c>
      <c r="E208" t="s">
        <v>3085</v>
      </c>
      <c r="F208" t="s">
        <v>9553</v>
      </c>
      <c r="G208" t="s">
        <v>187</v>
      </c>
    </row>
    <row r="209" spans="1:7" x14ac:dyDescent="0.25">
      <c r="A209" t="s">
        <v>2324</v>
      </c>
      <c r="B209" t="s">
        <v>571</v>
      </c>
      <c r="C209">
        <v>2022</v>
      </c>
      <c r="E209" t="s">
        <v>3085</v>
      </c>
      <c r="F209" t="s">
        <v>9554</v>
      </c>
      <c r="G209" t="s">
        <v>187</v>
      </c>
    </row>
    <row r="210" spans="1:7" x14ac:dyDescent="0.25">
      <c r="A210" t="s">
        <v>90</v>
      </c>
      <c r="B210" t="s">
        <v>571</v>
      </c>
      <c r="C210">
        <v>2017</v>
      </c>
      <c r="E210" t="s">
        <v>3350</v>
      </c>
      <c r="F210" t="s">
        <v>9555</v>
      </c>
      <c r="G210" t="s">
        <v>187</v>
      </c>
    </row>
    <row r="211" spans="1:7" x14ac:dyDescent="0.25">
      <c r="A211" t="s">
        <v>2804</v>
      </c>
      <c r="B211" t="s">
        <v>571</v>
      </c>
      <c r="C211">
        <v>2021</v>
      </c>
      <c r="E211" t="s">
        <v>3085</v>
      </c>
      <c r="F211" t="s">
        <v>9556</v>
      </c>
      <c r="G211" t="s">
        <v>187</v>
      </c>
    </row>
    <row r="212" spans="1:7" x14ac:dyDescent="0.25">
      <c r="A212" t="s">
        <v>1855</v>
      </c>
      <c r="B212" t="s">
        <v>574</v>
      </c>
      <c r="C212">
        <v>2015</v>
      </c>
      <c r="E212" s="10" t="s">
        <v>8365</v>
      </c>
      <c r="F212" t="s">
        <v>8979</v>
      </c>
      <c r="G212" t="s">
        <v>3996</v>
      </c>
    </row>
    <row r="213" spans="1:7" x14ac:dyDescent="0.25">
      <c r="A213" t="s">
        <v>2173</v>
      </c>
      <c r="B213" t="s">
        <v>574</v>
      </c>
      <c r="C213">
        <v>2013</v>
      </c>
      <c r="E213" s="10" t="s">
        <v>8365</v>
      </c>
      <c r="F213" t="s">
        <v>9062</v>
      </c>
      <c r="G213" t="s">
        <v>3996</v>
      </c>
    </row>
    <row r="214" spans="1:7" x14ac:dyDescent="0.25">
      <c r="A214" t="s">
        <v>160</v>
      </c>
      <c r="B214" t="s">
        <v>574</v>
      </c>
      <c r="C214">
        <v>2011</v>
      </c>
      <c r="E214" s="10" t="s">
        <v>8365</v>
      </c>
      <c r="F214" t="s">
        <v>9278</v>
      </c>
      <c r="G214" t="s">
        <v>3996</v>
      </c>
    </row>
    <row r="215" spans="1:7" x14ac:dyDescent="0.25">
      <c r="A215" t="s">
        <v>581</v>
      </c>
      <c r="B215" t="s">
        <v>578</v>
      </c>
      <c r="C215">
        <v>1997</v>
      </c>
      <c r="D215" t="s">
        <v>187</v>
      </c>
      <c r="F215" t="s">
        <v>9557</v>
      </c>
      <c r="G215" t="s">
        <v>3996</v>
      </c>
    </row>
    <row r="216" spans="1:7" x14ac:dyDescent="0.25">
      <c r="A216" t="s">
        <v>2721</v>
      </c>
      <c r="B216" t="s">
        <v>581</v>
      </c>
      <c r="C216">
        <v>1993</v>
      </c>
      <c r="D216" t="s">
        <v>187</v>
      </c>
      <c r="E216" t="s">
        <v>3032</v>
      </c>
      <c r="F216" t="s">
        <v>9558</v>
      </c>
      <c r="G216" t="s">
        <v>3996</v>
      </c>
    </row>
    <row r="217" spans="1:7" x14ac:dyDescent="0.25">
      <c r="A217" t="s">
        <v>1093</v>
      </c>
      <c r="B217" t="s">
        <v>584</v>
      </c>
      <c r="C217">
        <v>2007</v>
      </c>
      <c r="D217" t="s">
        <v>187</v>
      </c>
      <c r="F217" t="s">
        <v>9559</v>
      </c>
      <c r="G217" t="s">
        <v>3996</v>
      </c>
    </row>
    <row r="218" spans="1:7" x14ac:dyDescent="0.25">
      <c r="A218" t="s">
        <v>904</v>
      </c>
      <c r="B218" t="s">
        <v>586</v>
      </c>
      <c r="C218">
        <v>2022</v>
      </c>
      <c r="E218" s="10" t="s">
        <v>594</v>
      </c>
      <c r="F218" t="s">
        <v>8687</v>
      </c>
      <c r="G218" t="s">
        <v>3996</v>
      </c>
    </row>
    <row r="219" spans="1:7" x14ac:dyDescent="0.25">
      <c r="A219" t="s">
        <v>2804</v>
      </c>
      <c r="B219" t="s">
        <v>586</v>
      </c>
      <c r="C219">
        <v>2021</v>
      </c>
      <c r="E219" t="s">
        <v>3013</v>
      </c>
      <c r="F219" t="s">
        <v>9560</v>
      </c>
      <c r="G219" t="s">
        <v>187</v>
      </c>
    </row>
    <row r="220" spans="1:7" x14ac:dyDescent="0.25">
      <c r="A220" t="s">
        <v>586</v>
      </c>
      <c r="B220" t="s">
        <v>591</v>
      </c>
      <c r="C220">
        <v>2023</v>
      </c>
      <c r="D220" t="s">
        <v>187</v>
      </c>
      <c r="F220" t="s">
        <v>9561</v>
      </c>
      <c r="G220" t="s">
        <v>3996</v>
      </c>
    </row>
    <row r="221" spans="1:7" x14ac:dyDescent="0.25">
      <c r="A221" t="s">
        <v>353</v>
      </c>
      <c r="B221" t="s">
        <v>595</v>
      </c>
      <c r="C221">
        <v>2023</v>
      </c>
      <c r="E221" t="s">
        <v>3022</v>
      </c>
      <c r="F221" t="s">
        <v>8514</v>
      </c>
      <c r="G221" t="s">
        <v>3996</v>
      </c>
    </row>
    <row r="222" spans="1:7" x14ac:dyDescent="0.25">
      <c r="A222" t="s">
        <v>1576</v>
      </c>
      <c r="B222" t="s">
        <v>595</v>
      </c>
      <c r="C222">
        <v>2021</v>
      </c>
      <c r="E222" s="10" t="s">
        <v>8368</v>
      </c>
      <c r="F222" t="s">
        <v>8897</v>
      </c>
      <c r="G222" t="s">
        <v>3996</v>
      </c>
    </row>
    <row r="223" spans="1:7" x14ac:dyDescent="0.25">
      <c r="A223" t="s">
        <v>746</v>
      </c>
      <c r="B223" t="s">
        <v>598</v>
      </c>
      <c r="C223">
        <v>2015</v>
      </c>
      <c r="E223" t="s">
        <v>2982</v>
      </c>
      <c r="F223" t="s">
        <v>8608</v>
      </c>
      <c r="G223" t="s">
        <v>3996</v>
      </c>
    </row>
    <row r="224" spans="1:7" x14ac:dyDescent="0.25">
      <c r="A224" t="s">
        <v>90</v>
      </c>
      <c r="B224" t="s">
        <v>598</v>
      </c>
      <c r="C224">
        <v>2017</v>
      </c>
      <c r="E224" t="s">
        <v>2982</v>
      </c>
      <c r="F224" t="s">
        <v>9107</v>
      </c>
      <c r="G224" t="s">
        <v>3996</v>
      </c>
    </row>
    <row r="225" spans="1:7" x14ac:dyDescent="0.25">
      <c r="A225" t="s">
        <v>709</v>
      </c>
      <c r="B225" t="s">
        <v>602</v>
      </c>
      <c r="C225">
        <v>2022</v>
      </c>
      <c r="E225" t="s">
        <v>2982</v>
      </c>
      <c r="F225" t="s">
        <v>8598</v>
      </c>
      <c r="G225" t="s">
        <v>3996</v>
      </c>
    </row>
    <row r="226" spans="1:7" x14ac:dyDescent="0.25">
      <c r="A226" t="s">
        <v>1294</v>
      </c>
      <c r="B226" t="s">
        <v>602</v>
      </c>
      <c r="C226">
        <v>2019</v>
      </c>
      <c r="E226" t="s">
        <v>2982</v>
      </c>
      <c r="F226" t="s">
        <v>8808</v>
      </c>
      <c r="G226" t="s">
        <v>3996</v>
      </c>
    </row>
    <row r="227" spans="1:7" x14ac:dyDescent="0.25">
      <c r="A227" t="s">
        <v>904</v>
      </c>
      <c r="B227" t="s">
        <v>604</v>
      </c>
      <c r="C227">
        <v>2022</v>
      </c>
      <c r="E227" t="s">
        <v>3144</v>
      </c>
      <c r="F227" t="s">
        <v>8688</v>
      </c>
      <c r="G227" t="s">
        <v>3996</v>
      </c>
    </row>
    <row r="228" spans="1:7" x14ac:dyDescent="0.25">
      <c r="A228" t="s">
        <v>1817</v>
      </c>
      <c r="B228" t="s">
        <v>604</v>
      </c>
      <c r="C228">
        <v>2019</v>
      </c>
      <c r="E228" t="s">
        <v>3292</v>
      </c>
      <c r="F228" t="s">
        <v>9562</v>
      </c>
      <c r="G228" t="s">
        <v>187</v>
      </c>
    </row>
    <row r="229" spans="1:7" x14ac:dyDescent="0.25">
      <c r="A229" t="s">
        <v>2428</v>
      </c>
      <c r="B229" t="s">
        <v>604</v>
      </c>
      <c r="C229">
        <v>2008</v>
      </c>
      <c r="E229" t="s">
        <v>3144</v>
      </c>
      <c r="F229" t="s">
        <v>9214</v>
      </c>
      <c r="G229" t="s">
        <v>3996</v>
      </c>
    </row>
    <row r="230" spans="1:7" x14ac:dyDescent="0.25">
      <c r="A230" t="s">
        <v>353</v>
      </c>
      <c r="B230" t="s">
        <v>606</v>
      </c>
      <c r="C230">
        <v>2023</v>
      </c>
      <c r="E230" t="s">
        <v>609</v>
      </c>
      <c r="F230" t="s">
        <v>8515</v>
      </c>
      <c r="G230" t="s">
        <v>3996</v>
      </c>
    </row>
    <row r="231" spans="1:7" x14ac:dyDescent="0.25">
      <c r="A231" t="s">
        <v>505</v>
      </c>
      <c r="B231" t="s">
        <v>606</v>
      </c>
      <c r="C231">
        <v>2024</v>
      </c>
      <c r="E231" t="s">
        <v>609</v>
      </c>
      <c r="F231" t="s">
        <v>8578</v>
      </c>
      <c r="G231" t="s">
        <v>3996</v>
      </c>
    </row>
    <row r="232" spans="1:7" x14ac:dyDescent="0.25">
      <c r="A232" t="s">
        <v>497</v>
      </c>
      <c r="B232" t="s">
        <v>610</v>
      </c>
      <c r="C232">
        <v>2022</v>
      </c>
      <c r="E232" t="s">
        <v>3066</v>
      </c>
      <c r="F232" t="s">
        <v>8565</v>
      </c>
      <c r="G232" t="s">
        <v>3996</v>
      </c>
    </row>
    <row r="233" spans="1:7" x14ac:dyDescent="0.25">
      <c r="A233" t="s">
        <v>90</v>
      </c>
      <c r="B233" t="s">
        <v>610</v>
      </c>
      <c r="C233">
        <v>2017</v>
      </c>
      <c r="E233" t="s">
        <v>3066</v>
      </c>
      <c r="F233" t="s">
        <v>9563</v>
      </c>
      <c r="G233" t="s">
        <v>3996</v>
      </c>
    </row>
    <row r="234" spans="1:7" x14ac:dyDescent="0.25">
      <c r="A234" t="s">
        <v>160</v>
      </c>
      <c r="B234" t="s">
        <v>610</v>
      </c>
      <c r="C234">
        <v>2011</v>
      </c>
      <c r="E234" t="s">
        <v>3066</v>
      </c>
      <c r="F234" t="s">
        <v>9564</v>
      </c>
      <c r="G234" t="s">
        <v>3996</v>
      </c>
    </row>
    <row r="235" spans="1:7" x14ac:dyDescent="0.25">
      <c r="A235" t="s">
        <v>353</v>
      </c>
      <c r="B235" t="s">
        <v>613</v>
      </c>
      <c r="C235">
        <v>2023</v>
      </c>
      <c r="E235" t="s">
        <v>3023</v>
      </c>
      <c r="F235" t="s">
        <v>8516</v>
      </c>
      <c r="G235" t="s">
        <v>3996</v>
      </c>
    </row>
    <row r="236" spans="1:7" x14ac:dyDescent="0.25">
      <c r="A236" t="s">
        <v>1294</v>
      </c>
      <c r="B236" t="s">
        <v>619</v>
      </c>
      <c r="C236">
        <v>2019</v>
      </c>
      <c r="E236" s="10" t="s">
        <v>8449</v>
      </c>
      <c r="F236" t="s">
        <v>8448</v>
      </c>
      <c r="G236" t="s">
        <v>3996</v>
      </c>
    </row>
    <row r="237" spans="1:7" x14ac:dyDescent="0.25">
      <c r="A237" t="s">
        <v>1435</v>
      </c>
      <c r="B237" t="s">
        <v>619</v>
      </c>
      <c r="C237">
        <v>2021</v>
      </c>
      <c r="E237" s="10" t="s">
        <v>8449</v>
      </c>
      <c r="F237" t="s">
        <v>8852</v>
      </c>
      <c r="G237" t="s">
        <v>3996</v>
      </c>
    </row>
    <row r="238" spans="1:7" x14ac:dyDescent="0.25">
      <c r="A238" t="s">
        <v>1443</v>
      </c>
      <c r="B238" t="s">
        <v>619</v>
      </c>
      <c r="C238">
        <v>2018</v>
      </c>
      <c r="E238" s="10" t="s">
        <v>8449</v>
      </c>
      <c r="F238" t="s">
        <v>8447</v>
      </c>
      <c r="G238" t="s">
        <v>3996</v>
      </c>
    </row>
    <row r="239" spans="1:7" x14ac:dyDescent="0.25">
      <c r="A239" t="s">
        <v>90</v>
      </c>
      <c r="B239" t="s">
        <v>619</v>
      </c>
      <c r="C239">
        <v>2017</v>
      </c>
      <c r="E239" s="10" t="s">
        <v>8449</v>
      </c>
      <c r="F239" t="s">
        <v>9108</v>
      </c>
      <c r="G239" t="s">
        <v>3996</v>
      </c>
    </row>
    <row r="240" spans="1:7" x14ac:dyDescent="0.25">
      <c r="A240" t="s">
        <v>964</v>
      </c>
      <c r="B240" t="s">
        <v>623</v>
      </c>
      <c r="C240">
        <v>2006</v>
      </c>
      <c r="E240" t="s">
        <v>3166</v>
      </c>
      <c r="F240" t="s">
        <v>9565</v>
      </c>
      <c r="G240" t="s">
        <v>187</v>
      </c>
    </row>
    <row r="241" spans="1:7" x14ac:dyDescent="0.25">
      <c r="A241" t="s">
        <v>2428</v>
      </c>
      <c r="B241" t="s">
        <v>625</v>
      </c>
      <c r="C241">
        <v>2008</v>
      </c>
      <c r="E241" t="s">
        <v>3392</v>
      </c>
      <c r="F241" t="s">
        <v>9215</v>
      </c>
      <c r="G241" t="s">
        <v>3996</v>
      </c>
    </row>
    <row r="242" spans="1:7" x14ac:dyDescent="0.25">
      <c r="A242" t="s">
        <v>1855</v>
      </c>
      <c r="B242" t="s">
        <v>629</v>
      </c>
      <c r="C242">
        <v>2015</v>
      </c>
      <c r="E242" t="s">
        <v>3297</v>
      </c>
      <c r="F242" t="s">
        <v>9566</v>
      </c>
      <c r="G242" t="s">
        <v>187</v>
      </c>
    </row>
    <row r="243" spans="1:7" x14ac:dyDescent="0.25">
      <c r="A243" t="s">
        <v>353</v>
      </c>
      <c r="B243" t="s">
        <v>7651</v>
      </c>
      <c r="C243">
        <v>2023</v>
      </c>
      <c r="E243" t="s">
        <v>7647</v>
      </c>
      <c r="F243" t="s">
        <v>8517</v>
      </c>
      <c r="G243" t="s">
        <v>3996</v>
      </c>
    </row>
    <row r="244" spans="1:7" x14ac:dyDescent="0.25">
      <c r="A244" t="s">
        <v>7648</v>
      </c>
      <c r="B244" t="s">
        <v>7651</v>
      </c>
      <c r="C244">
        <v>2021</v>
      </c>
      <c r="E244" t="s">
        <v>7647</v>
      </c>
      <c r="F244" t="s">
        <v>8898</v>
      </c>
      <c r="G244" t="s">
        <v>3996</v>
      </c>
    </row>
    <row r="245" spans="1:7" x14ac:dyDescent="0.25">
      <c r="A245" t="s">
        <v>90</v>
      </c>
      <c r="B245" t="s">
        <v>633</v>
      </c>
      <c r="C245">
        <v>2017</v>
      </c>
      <c r="E245" t="s">
        <v>3351</v>
      </c>
      <c r="F245" t="s">
        <v>9109</v>
      </c>
      <c r="G245" t="s">
        <v>3996</v>
      </c>
    </row>
    <row r="246" spans="1:7" x14ac:dyDescent="0.25">
      <c r="A246" t="s">
        <v>160</v>
      </c>
      <c r="B246" t="s">
        <v>635</v>
      </c>
      <c r="C246">
        <v>2011</v>
      </c>
      <c r="E246" s="10" t="s">
        <v>3404</v>
      </c>
      <c r="F246" t="s">
        <v>9433</v>
      </c>
      <c r="G246" t="s">
        <v>3996</v>
      </c>
    </row>
    <row r="247" spans="1:7" x14ac:dyDescent="0.25">
      <c r="A247" t="s">
        <v>1144</v>
      </c>
      <c r="B247" t="s">
        <v>639</v>
      </c>
      <c r="C247">
        <v>2012</v>
      </c>
      <c r="E247" t="s">
        <v>642</v>
      </c>
      <c r="F247" t="s">
        <v>8762</v>
      </c>
      <c r="G247" t="s">
        <v>3996</v>
      </c>
    </row>
    <row r="248" spans="1:7" x14ac:dyDescent="0.25">
      <c r="A248" t="s">
        <v>90</v>
      </c>
      <c r="B248" t="s">
        <v>643</v>
      </c>
      <c r="C248">
        <v>2017</v>
      </c>
      <c r="E248" t="s">
        <v>3352</v>
      </c>
      <c r="F248" t="s">
        <v>9110</v>
      </c>
      <c r="G248" t="s">
        <v>3996</v>
      </c>
    </row>
    <row r="249" spans="1:7" x14ac:dyDescent="0.25">
      <c r="A249" t="s">
        <v>746</v>
      </c>
      <c r="B249" t="s">
        <v>647</v>
      </c>
      <c r="C249">
        <v>2015</v>
      </c>
      <c r="E249" s="10" t="s">
        <v>3096</v>
      </c>
      <c r="F249" t="s">
        <v>9432</v>
      </c>
      <c r="G249" t="s">
        <v>3996</v>
      </c>
    </row>
    <row r="250" spans="1:7" x14ac:dyDescent="0.25">
      <c r="A250" t="s">
        <v>1272</v>
      </c>
      <c r="B250" t="s">
        <v>651</v>
      </c>
      <c r="C250">
        <v>2020</v>
      </c>
      <c r="E250" s="10" t="s">
        <v>8328</v>
      </c>
      <c r="F250" t="s">
        <v>9567</v>
      </c>
      <c r="G250" t="s">
        <v>187</v>
      </c>
    </row>
    <row r="251" spans="1:7" x14ac:dyDescent="0.25">
      <c r="A251" t="s">
        <v>1294</v>
      </c>
      <c r="B251" t="s">
        <v>651</v>
      </c>
      <c r="C251">
        <v>2019</v>
      </c>
      <c r="E251" s="10" t="s">
        <v>8328</v>
      </c>
      <c r="F251" t="s">
        <v>9568</v>
      </c>
      <c r="G251" t="s">
        <v>187</v>
      </c>
    </row>
    <row r="252" spans="1:7" x14ac:dyDescent="0.25">
      <c r="A252" t="s">
        <v>1817</v>
      </c>
      <c r="B252" t="s">
        <v>651</v>
      </c>
      <c r="C252">
        <v>2019</v>
      </c>
      <c r="E252" s="10" t="s">
        <v>8328</v>
      </c>
      <c r="F252" t="s">
        <v>9569</v>
      </c>
      <c r="G252" t="s">
        <v>187</v>
      </c>
    </row>
    <row r="253" spans="1:7" x14ac:dyDescent="0.25">
      <c r="A253" t="s">
        <v>2136</v>
      </c>
      <c r="B253" t="s">
        <v>651</v>
      </c>
      <c r="C253">
        <v>2020</v>
      </c>
      <c r="E253" s="10" t="s">
        <v>8328</v>
      </c>
      <c r="F253" t="s">
        <v>9570</v>
      </c>
      <c r="G253" t="s">
        <v>187</v>
      </c>
    </row>
    <row r="254" spans="1:7" x14ac:dyDescent="0.25">
      <c r="A254" t="s">
        <v>90</v>
      </c>
      <c r="B254" t="s">
        <v>651</v>
      </c>
      <c r="C254">
        <v>2017</v>
      </c>
      <c r="E254" s="10" t="s">
        <v>8328</v>
      </c>
      <c r="F254" t="s">
        <v>9571</v>
      </c>
      <c r="G254" t="s">
        <v>187</v>
      </c>
    </row>
    <row r="255" spans="1:7" x14ac:dyDescent="0.25">
      <c r="A255" t="s">
        <v>2428</v>
      </c>
      <c r="B255" t="s">
        <v>651</v>
      </c>
      <c r="C255">
        <v>2008</v>
      </c>
      <c r="E255" s="10" t="s">
        <v>8328</v>
      </c>
      <c r="F255" t="s">
        <v>9572</v>
      </c>
      <c r="G255" t="s">
        <v>187</v>
      </c>
    </row>
    <row r="256" spans="1:7" x14ac:dyDescent="0.25">
      <c r="A256" t="s">
        <v>160</v>
      </c>
      <c r="B256" t="s">
        <v>651</v>
      </c>
      <c r="C256">
        <v>2011</v>
      </c>
      <c r="E256" s="10" t="s">
        <v>8328</v>
      </c>
      <c r="F256" t="s">
        <v>9573</v>
      </c>
      <c r="G256" t="s">
        <v>187</v>
      </c>
    </row>
    <row r="257" spans="1:7" x14ac:dyDescent="0.25">
      <c r="A257" t="s">
        <v>256</v>
      </c>
      <c r="B257" t="s">
        <v>656</v>
      </c>
      <c r="C257">
        <v>1994</v>
      </c>
      <c r="E257" s="10" t="s">
        <v>2987</v>
      </c>
      <c r="F257" t="s">
        <v>9430</v>
      </c>
      <c r="G257" t="s">
        <v>3996</v>
      </c>
    </row>
    <row r="258" spans="1:7" x14ac:dyDescent="0.25">
      <c r="A258" t="s">
        <v>260</v>
      </c>
      <c r="B258" t="s">
        <v>656</v>
      </c>
      <c r="C258">
        <v>1990</v>
      </c>
      <c r="E258" s="10" t="s">
        <v>3001</v>
      </c>
      <c r="F258" t="s">
        <v>8484</v>
      </c>
      <c r="G258" t="s">
        <v>3996</v>
      </c>
    </row>
    <row r="259" spans="1:7" x14ac:dyDescent="0.25">
      <c r="A259" t="s">
        <v>2804</v>
      </c>
      <c r="B259" t="s">
        <v>659</v>
      </c>
      <c r="C259">
        <v>2021</v>
      </c>
      <c r="E259" t="s">
        <v>3013</v>
      </c>
      <c r="F259" t="s">
        <v>9574</v>
      </c>
      <c r="G259" t="s">
        <v>187</v>
      </c>
    </row>
    <row r="260" spans="1:7" x14ac:dyDescent="0.25">
      <c r="A260" t="s">
        <v>847</v>
      </c>
      <c r="B260" t="s">
        <v>663</v>
      </c>
      <c r="C260">
        <v>1996</v>
      </c>
      <c r="E260" s="10" t="s">
        <v>8360</v>
      </c>
      <c r="F260" t="s">
        <v>8664</v>
      </c>
      <c r="G260" t="s">
        <v>3996</v>
      </c>
    </row>
    <row r="261" spans="1:7" x14ac:dyDescent="0.25">
      <c r="A261" t="s">
        <v>160</v>
      </c>
      <c r="B261" t="s">
        <v>663</v>
      </c>
      <c r="C261">
        <v>2011</v>
      </c>
      <c r="E261" s="10" t="s">
        <v>8360</v>
      </c>
      <c r="F261" t="s">
        <v>9279</v>
      </c>
      <c r="G261" t="s">
        <v>3996</v>
      </c>
    </row>
    <row r="262" spans="1:7" x14ac:dyDescent="0.25">
      <c r="A262" t="s">
        <v>1576</v>
      </c>
      <c r="B262" t="s">
        <v>667</v>
      </c>
      <c r="C262">
        <v>2021</v>
      </c>
      <c r="E262" t="s">
        <v>2982</v>
      </c>
      <c r="F262" t="s">
        <v>8899</v>
      </c>
      <c r="G262" t="s">
        <v>3996</v>
      </c>
    </row>
    <row r="263" spans="1:7" x14ac:dyDescent="0.25">
      <c r="A263" t="s">
        <v>353</v>
      </c>
      <c r="B263" t="s">
        <v>671</v>
      </c>
      <c r="C263">
        <v>2023</v>
      </c>
      <c r="E263" t="s">
        <v>2982</v>
      </c>
      <c r="F263" t="s">
        <v>8518</v>
      </c>
      <c r="G263" t="s">
        <v>3996</v>
      </c>
    </row>
    <row r="264" spans="1:7" x14ac:dyDescent="0.25">
      <c r="A264" t="s">
        <v>1443</v>
      </c>
      <c r="B264" t="s">
        <v>671</v>
      </c>
      <c r="C264">
        <v>2018</v>
      </c>
      <c r="E264" t="s">
        <v>2982</v>
      </c>
      <c r="F264" t="s">
        <v>8866</v>
      </c>
      <c r="G264" t="s">
        <v>3996</v>
      </c>
    </row>
    <row r="265" spans="1:7" x14ac:dyDescent="0.25">
      <c r="A265" t="s">
        <v>90</v>
      </c>
      <c r="B265" t="s">
        <v>671</v>
      </c>
      <c r="C265">
        <v>2017</v>
      </c>
      <c r="E265" t="s">
        <v>2982</v>
      </c>
      <c r="F265" t="s">
        <v>9111</v>
      </c>
      <c r="G265" t="s">
        <v>3996</v>
      </c>
    </row>
    <row r="266" spans="1:7" x14ac:dyDescent="0.25">
      <c r="A266" t="s">
        <v>510</v>
      </c>
      <c r="B266" t="s">
        <v>673</v>
      </c>
      <c r="C266">
        <v>2018</v>
      </c>
      <c r="D266" t="s">
        <v>187</v>
      </c>
      <c r="F266" t="s">
        <v>9575</v>
      </c>
      <c r="G266" t="s">
        <v>3996</v>
      </c>
    </row>
    <row r="267" spans="1:7" x14ac:dyDescent="0.25">
      <c r="A267" t="s">
        <v>1690</v>
      </c>
      <c r="B267" t="s">
        <v>673</v>
      </c>
      <c r="C267">
        <v>2020</v>
      </c>
      <c r="E267" t="s">
        <v>2982</v>
      </c>
      <c r="F267" t="s">
        <v>8919</v>
      </c>
      <c r="G267" t="s">
        <v>3996</v>
      </c>
    </row>
    <row r="268" spans="1:7" x14ac:dyDescent="0.25">
      <c r="A268" t="s">
        <v>90</v>
      </c>
      <c r="B268" t="s">
        <v>673</v>
      </c>
      <c r="C268">
        <v>2017</v>
      </c>
      <c r="E268" s="10" t="s">
        <v>8369</v>
      </c>
      <c r="F268" t="s">
        <v>9112</v>
      </c>
      <c r="G268" t="s">
        <v>3996</v>
      </c>
    </row>
    <row r="269" spans="1:7" x14ac:dyDescent="0.25">
      <c r="A269" t="s">
        <v>1761</v>
      </c>
      <c r="B269" t="s">
        <v>677</v>
      </c>
      <c r="C269">
        <v>1995</v>
      </c>
      <c r="E269" s="10" t="s">
        <v>8362</v>
      </c>
      <c r="F269" t="s">
        <v>8935</v>
      </c>
      <c r="G269" t="s">
        <v>3996</v>
      </c>
    </row>
    <row r="270" spans="1:7" x14ac:dyDescent="0.25">
      <c r="A270" t="s">
        <v>90</v>
      </c>
      <c r="B270" t="s">
        <v>681</v>
      </c>
      <c r="C270">
        <v>2017</v>
      </c>
      <c r="E270" t="s">
        <v>3353</v>
      </c>
      <c r="F270" t="s">
        <v>9113</v>
      </c>
      <c r="G270" t="s">
        <v>3996</v>
      </c>
    </row>
    <row r="271" spans="1:7" x14ac:dyDescent="0.25">
      <c r="A271" t="s">
        <v>1144</v>
      </c>
      <c r="B271" t="s">
        <v>685</v>
      </c>
      <c r="C271">
        <v>2012</v>
      </c>
      <c r="E271" t="s">
        <v>3199</v>
      </c>
      <c r="F271" t="s">
        <v>9431</v>
      </c>
      <c r="G271" t="s">
        <v>3996</v>
      </c>
    </row>
    <row r="272" spans="1:7" x14ac:dyDescent="0.25">
      <c r="A272" t="s">
        <v>2154</v>
      </c>
      <c r="B272" t="s">
        <v>689</v>
      </c>
      <c r="C272">
        <v>1980</v>
      </c>
      <c r="E272" t="s">
        <v>3322</v>
      </c>
      <c r="F272" t="s">
        <v>9044</v>
      </c>
      <c r="G272" t="s">
        <v>3996</v>
      </c>
    </row>
    <row r="273" spans="1:7" x14ac:dyDescent="0.25">
      <c r="A273" t="s">
        <v>2173</v>
      </c>
      <c r="B273" t="s">
        <v>689</v>
      </c>
      <c r="C273">
        <v>2013</v>
      </c>
      <c r="E273" t="s">
        <v>3322</v>
      </c>
      <c r="F273" t="s">
        <v>9063</v>
      </c>
      <c r="G273" t="s">
        <v>3996</v>
      </c>
    </row>
    <row r="274" spans="1:7" x14ac:dyDescent="0.25">
      <c r="A274" t="s">
        <v>2428</v>
      </c>
      <c r="B274" t="s">
        <v>689</v>
      </c>
      <c r="C274">
        <v>2008</v>
      </c>
      <c r="E274" t="s">
        <v>3322</v>
      </c>
      <c r="F274" t="s">
        <v>9216</v>
      </c>
      <c r="G274" t="s">
        <v>3996</v>
      </c>
    </row>
    <row r="275" spans="1:7" x14ac:dyDescent="0.25">
      <c r="A275" t="s">
        <v>160</v>
      </c>
      <c r="B275" t="s">
        <v>689</v>
      </c>
      <c r="C275">
        <v>2011</v>
      </c>
      <c r="E275" t="s">
        <v>3322</v>
      </c>
      <c r="F275" t="s">
        <v>9280</v>
      </c>
      <c r="G275" t="s">
        <v>3996</v>
      </c>
    </row>
    <row r="276" spans="1:7" x14ac:dyDescent="0.25">
      <c r="A276" t="s">
        <v>2947</v>
      </c>
      <c r="B276" t="s">
        <v>698</v>
      </c>
      <c r="C276">
        <v>1994</v>
      </c>
      <c r="E276" t="s">
        <v>3438</v>
      </c>
      <c r="F276" t="s">
        <v>9387</v>
      </c>
      <c r="G276" t="s">
        <v>3996</v>
      </c>
    </row>
    <row r="277" spans="1:7" x14ac:dyDescent="0.25">
      <c r="A277" t="s">
        <v>353</v>
      </c>
      <c r="B277" t="s">
        <v>706</v>
      </c>
      <c r="C277">
        <v>2023</v>
      </c>
      <c r="E277" t="s">
        <v>3024</v>
      </c>
      <c r="F277" t="s">
        <v>9413</v>
      </c>
      <c r="G277" t="s">
        <v>3996</v>
      </c>
    </row>
    <row r="278" spans="1:7" x14ac:dyDescent="0.25">
      <c r="A278" t="s">
        <v>1951</v>
      </c>
      <c r="B278" t="s">
        <v>706</v>
      </c>
      <c r="C278">
        <v>2022</v>
      </c>
      <c r="E278" t="s">
        <v>3024</v>
      </c>
      <c r="F278" t="s">
        <v>9412</v>
      </c>
      <c r="G278" t="s">
        <v>3996</v>
      </c>
    </row>
    <row r="279" spans="1:7" x14ac:dyDescent="0.25">
      <c r="A279" t="s">
        <v>759</v>
      </c>
      <c r="B279" t="s">
        <v>709</v>
      </c>
      <c r="C279">
        <v>2018</v>
      </c>
      <c r="E279" t="s">
        <v>3114</v>
      </c>
      <c r="F279" t="s">
        <v>9576</v>
      </c>
      <c r="G279" t="s">
        <v>187</v>
      </c>
    </row>
    <row r="280" spans="1:7" x14ac:dyDescent="0.25">
      <c r="A280" t="s">
        <v>914</v>
      </c>
      <c r="B280" t="s">
        <v>709</v>
      </c>
      <c r="C280">
        <v>2013</v>
      </c>
      <c r="E280" t="s">
        <v>3114</v>
      </c>
      <c r="F280" t="s">
        <v>9577</v>
      </c>
      <c r="G280" t="s">
        <v>187</v>
      </c>
    </row>
    <row r="281" spans="1:7" x14ac:dyDescent="0.25">
      <c r="A281" t="s">
        <v>1046</v>
      </c>
      <c r="B281" t="s">
        <v>709</v>
      </c>
      <c r="C281">
        <v>2016</v>
      </c>
      <c r="E281" t="s">
        <v>3114</v>
      </c>
      <c r="F281" t="s">
        <v>9578</v>
      </c>
      <c r="G281" t="s">
        <v>187</v>
      </c>
    </row>
    <row r="282" spans="1:7" x14ac:dyDescent="0.25">
      <c r="A282" t="s">
        <v>1294</v>
      </c>
      <c r="B282" t="s">
        <v>709</v>
      </c>
      <c r="C282">
        <v>2019</v>
      </c>
      <c r="E282" t="s">
        <v>3114</v>
      </c>
      <c r="F282" t="s">
        <v>9579</v>
      </c>
      <c r="G282" t="s">
        <v>187</v>
      </c>
    </row>
    <row r="283" spans="1:7" x14ac:dyDescent="0.25">
      <c r="A283" t="s">
        <v>160</v>
      </c>
      <c r="B283" t="s">
        <v>709</v>
      </c>
      <c r="C283">
        <v>2011</v>
      </c>
      <c r="E283" t="s">
        <v>3114</v>
      </c>
      <c r="F283" t="s">
        <v>9580</v>
      </c>
      <c r="G283" t="s">
        <v>187</v>
      </c>
    </row>
    <row r="284" spans="1:7" x14ac:dyDescent="0.25">
      <c r="A284" t="s">
        <v>1144</v>
      </c>
      <c r="B284" t="s">
        <v>713</v>
      </c>
      <c r="C284">
        <v>2012</v>
      </c>
      <c r="E284" t="s">
        <v>3200</v>
      </c>
      <c r="F284" t="s">
        <v>9441</v>
      </c>
      <c r="G284" t="s">
        <v>3996</v>
      </c>
    </row>
    <row r="285" spans="1:7" x14ac:dyDescent="0.25">
      <c r="A285" t="s">
        <v>2502</v>
      </c>
      <c r="B285" t="s">
        <v>713</v>
      </c>
      <c r="C285">
        <v>2015</v>
      </c>
      <c r="D285" t="s">
        <v>187</v>
      </c>
      <c r="F285" t="s">
        <v>9581</v>
      </c>
      <c r="G285" t="s">
        <v>3996</v>
      </c>
    </row>
    <row r="286" spans="1:7" x14ac:dyDescent="0.25">
      <c r="A286" t="s">
        <v>1576</v>
      </c>
      <c r="B286" t="s">
        <v>717</v>
      </c>
      <c r="C286">
        <v>2021</v>
      </c>
      <c r="E286" t="s">
        <v>3263</v>
      </c>
      <c r="F286" t="s">
        <v>8900</v>
      </c>
      <c r="G286" t="s">
        <v>3996</v>
      </c>
    </row>
    <row r="287" spans="1:7" x14ac:dyDescent="0.25">
      <c r="A287" t="s">
        <v>720</v>
      </c>
      <c r="B287" t="s">
        <v>724</v>
      </c>
      <c r="C287">
        <v>2016</v>
      </c>
      <c r="D287" t="s">
        <v>187</v>
      </c>
      <c r="F287" t="s">
        <v>9582</v>
      </c>
      <c r="G287" t="s">
        <v>3996</v>
      </c>
    </row>
    <row r="288" spans="1:7" x14ac:dyDescent="0.25">
      <c r="A288" t="s">
        <v>1294</v>
      </c>
      <c r="B288" t="s">
        <v>7834</v>
      </c>
      <c r="C288">
        <v>2019</v>
      </c>
      <c r="E288" t="s">
        <v>7836</v>
      </c>
      <c r="F288" t="s">
        <v>8809</v>
      </c>
      <c r="G288" t="s">
        <v>3996</v>
      </c>
    </row>
    <row r="289" spans="1:7" x14ac:dyDescent="0.25">
      <c r="A289" t="s">
        <v>2804</v>
      </c>
      <c r="B289" t="s">
        <v>7834</v>
      </c>
      <c r="C289">
        <v>2021</v>
      </c>
      <c r="E289" t="s">
        <v>7836</v>
      </c>
      <c r="F289" t="s">
        <v>9344</v>
      </c>
      <c r="G289" t="s">
        <v>3996</v>
      </c>
    </row>
    <row r="290" spans="1:7" x14ac:dyDescent="0.25">
      <c r="A290" t="s">
        <v>746</v>
      </c>
      <c r="B290" t="s">
        <v>726</v>
      </c>
      <c r="C290">
        <v>2015</v>
      </c>
      <c r="E290" s="10" t="s">
        <v>8371</v>
      </c>
      <c r="F290" t="s">
        <v>8609</v>
      </c>
      <c r="G290" t="s">
        <v>3996</v>
      </c>
    </row>
    <row r="291" spans="1:7" x14ac:dyDescent="0.25">
      <c r="A291" t="s">
        <v>847</v>
      </c>
      <c r="B291" t="s">
        <v>726</v>
      </c>
      <c r="C291">
        <v>1996</v>
      </c>
      <c r="E291" s="10" t="s">
        <v>8370</v>
      </c>
      <c r="F291" t="s">
        <v>8665</v>
      </c>
      <c r="G291" t="s">
        <v>3996</v>
      </c>
    </row>
    <row r="292" spans="1:7" x14ac:dyDescent="0.25">
      <c r="A292" t="s">
        <v>1294</v>
      </c>
      <c r="B292" t="s">
        <v>726</v>
      </c>
      <c r="C292">
        <v>2019</v>
      </c>
      <c r="E292" s="10" t="s">
        <v>8370</v>
      </c>
      <c r="F292" t="s">
        <v>8810</v>
      </c>
      <c r="G292" t="s">
        <v>3996</v>
      </c>
    </row>
    <row r="293" spans="1:7" x14ac:dyDescent="0.25">
      <c r="A293" t="s">
        <v>353</v>
      </c>
      <c r="B293" t="s">
        <v>730</v>
      </c>
      <c r="C293">
        <v>2023</v>
      </c>
      <c r="E293" t="s">
        <v>3025</v>
      </c>
      <c r="F293" t="s">
        <v>9583</v>
      </c>
      <c r="G293" t="s">
        <v>187</v>
      </c>
    </row>
    <row r="294" spans="1:7" x14ac:dyDescent="0.25">
      <c r="A294" t="s">
        <v>1435</v>
      </c>
      <c r="B294" t="s">
        <v>730</v>
      </c>
      <c r="C294">
        <v>2021</v>
      </c>
      <c r="E294" t="s">
        <v>3025</v>
      </c>
      <c r="F294" t="s">
        <v>9584</v>
      </c>
      <c r="G294" t="s">
        <v>187</v>
      </c>
    </row>
    <row r="295" spans="1:7" x14ac:dyDescent="0.25">
      <c r="A295" t="s">
        <v>1851</v>
      </c>
      <c r="B295" t="s">
        <v>730</v>
      </c>
      <c r="C295">
        <v>2024</v>
      </c>
      <c r="E295" t="s">
        <v>3025</v>
      </c>
      <c r="F295" t="s">
        <v>9585</v>
      </c>
      <c r="G295" t="s">
        <v>187</v>
      </c>
    </row>
    <row r="296" spans="1:7" x14ac:dyDescent="0.25">
      <c r="A296" t="s">
        <v>90</v>
      </c>
      <c r="B296" t="s">
        <v>730</v>
      </c>
      <c r="C296">
        <v>2017</v>
      </c>
      <c r="E296" t="s">
        <v>3025</v>
      </c>
      <c r="F296" t="s">
        <v>9586</v>
      </c>
      <c r="G296" t="s">
        <v>187</v>
      </c>
    </row>
    <row r="297" spans="1:7" x14ac:dyDescent="0.25">
      <c r="A297" t="s">
        <v>2506</v>
      </c>
      <c r="B297" t="s">
        <v>730</v>
      </c>
      <c r="C297">
        <v>2021</v>
      </c>
      <c r="E297" t="s">
        <v>3025</v>
      </c>
      <c r="F297" t="s">
        <v>9587</v>
      </c>
      <c r="G297" t="s">
        <v>187</v>
      </c>
    </row>
    <row r="298" spans="1:7" x14ac:dyDescent="0.25">
      <c r="A298" t="s">
        <v>746</v>
      </c>
      <c r="B298" t="s">
        <v>737</v>
      </c>
      <c r="C298">
        <v>2015</v>
      </c>
      <c r="E298" t="s">
        <v>3097</v>
      </c>
      <c r="F298" t="s">
        <v>9588</v>
      </c>
      <c r="G298" t="s">
        <v>187</v>
      </c>
    </row>
    <row r="299" spans="1:7" x14ac:dyDescent="0.25">
      <c r="A299" t="s">
        <v>847</v>
      </c>
      <c r="B299" t="s">
        <v>741</v>
      </c>
      <c r="C299">
        <v>1996</v>
      </c>
      <c r="E299" t="s">
        <v>3132</v>
      </c>
      <c r="F299" t="s">
        <v>8666</v>
      </c>
      <c r="G299" t="s">
        <v>3996</v>
      </c>
    </row>
    <row r="300" spans="1:7" x14ac:dyDescent="0.25">
      <c r="A300" t="s">
        <v>2095</v>
      </c>
      <c r="B300" t="s">
        <v>741</v>
      </c>
      <c r="C300">
        <v>2023</v>
      </c>
      <c r="E300" t="s">
        <v>3310</v>
      </c>
      <c r="F300" t="s">
        <v>9589</v>
      </c>
      <c r="G300" t="s">
        <v>3996</v>
      </c>
    </row>
    <row r="301" spans="1:7" x14ac:dyDescent="0.25">
      <c r="A301" t="s">
        <v>2136</v>
      </c>
      <c r="B301" t="s">
        <v>741</v>
      </c>
      <c r="C301">
        <v>2020</v>
      </c>
      <c r="E301" t="s">
        <v>3132</v>
      </c>
      <c r="F301" t="s">
        <v>9024</v>
      </c>
      <c r="G301" t="s">
        <v>3996</v>
      </c>
    </row>
    <row r="302" spans="1:7" x14ac:dyDescent="0.25">
      <c r="A302" t="s">
        <v>2804</v>
      </c>
      <c r="B302" t="s">
        <v>741</v>
      </c>
      <c r="C302">
        <v>2021</v>
      </c>
      <c r="E302" t="s">
        <v>3426</v>
      </c>
      <c r="F302" t="s">
        <v>9345</v>
      </c>
      <c r="G302" t="s">
        <v>3996</v>
      </c>
    </row>
    <row r="303" spans="1:7" x14ac:dyDescent="0.25">
      <c r="A303" t="s">
        <v>1272</v>
      </c>
      <c r="B303" t="s">
        <v>744</v>
      </c>
      <c r="C303">
        <v>2020</v>
      </c>
      <c r="E303" t="s">
        <v>3219</v>
      </c>
      <c r="F303" t="s">
        <v>9442</v>
      </c>
      <c r="G303" t="s">
        <v>3996</v>
      </c>
    </row>
    <row r="304" spans="1:7" x14ac:dyDescent="0.25">
      <c r="A304" t="s">
        <v>1294</v>
      </c>
      <c r="B304" t="s">
        <v>744</v>
      </c>
      <c r="C304">
        <v>2019</v>
      </c>
      <c r="E304" t="s">
        <v>3219</v>
      </c>
      <c r="F304" t="s">
        <v>9443</v>
      </c>
      <c r="G304" t="s">
        <v>3996</v>
      </c>
    </row>
    <row r="305" spans="1:7" x14ac:dyDescent="0.25">
      <c r="A305" t="s">
        <v>746</v>
      </c>
      <c r="B305" t="s">
        <v>750</v>
      </c>
      <c r="C305">
        <v>2015</v>
      </c>
      <c r="D305" t="s">
        <v>187</v>
      </c>
      <c r="F305" t="s">
        <v>9590</v>
      </c>
      <c r="G305" t="s">
        <v>3996</v>
      </c>
    </row>
    <row r="306" spans="1:7" x14ac:dyDescent="0.25">
      <c r="A306" t="s">
        <v>2721</v>
      </c>
      <c r="B306" t="s">
        <v>754</v>
      </c>
      <c r="C306">
        <v>1993</v>
      </c>
      <c r="E306" t="s">
        <v>3421</v>
      </c>
      <c r="F306" t="s">
        <v>9333</v>
      </c>
      <c r="G306" t="s">
        <v>3996</v>
      </c>
    </row>
    <row r="307" spans="1:7" x14ac:dyDescent="0.25">
      <c r="A307" t="s">
        <v>2132</v>
      </c>
      <c r="B307" t="s">
        <v>759</v>
      </c>
      <c r="C307">
        <v>2013</v>
      </c>
      <c r="E307" t="s">
        <v>3312</v>
      </c>
      <c r="F307" t="s">
        <v>9018</v>
      </c>
      <c r="G307" t="s">
        <v>3996</v>
      </c>
    </row>
    <row r="308" spans="1:7" x14ac:dyDescent="0.25">
      <c r="A308" t="s">
        <v>2173</v>
      </c>
      <c r="B308" t="s">
        <v>759</v>
      </c>
      <c r="C308">
        <v>2013</v>
      </c>
      <c r="E308" t="s">
        <v>3332</v>
      </c>
      <c r="F308" t="s">
        <v>9591</v>
      </c>
      <c r="G308" t="s">
        <v>187</v>
      </c>
    </row>
    <row r="309" spans="1:7" x14ac:dyDescent="0.25">
      <c r="A309" t="s">
        <v>160</v>
      </c>
      <c r="B309" t="s">
        <v>759</v>
      </c>
      <c r="C309">
        <v>2011</v>
      </c>
      <c r="E309" t="s">
        <v>3312</v>
      </c>
      <c r="F309" t="s">
        <v>9281</v>
      </c>
      <c r="G309" t="s">
        <v>3996</v>
      </c>
    </row>
    <row r="310" spans="1:7" x14ac:dyDescent="0.25">
      <c r="A310" t="s">
        <v>1855</v>
      </c>
      <c r="B310" t="s">
        <v>763</v>
      </c>
      <c r="C310">
        <v>2015</v>
      </c>
      <c r="E310" t="s">
        <v>3298</v>
      </c>
      <c r="F310" t="s">
        <v>8980</v>
      </c>
      <c r="G310" t="s">
        <v>3996</v>
      </c>
    </row>
    <row r="311" spans="1:7" x14ac:dyDescent="0.25">
      <c r="A311" t="s">
        <v>160</v>
      </c>
      <c r="B311" t="s">
        <v>763</v>
      </c>
      <c r="C311">
        <v>2011</v>
      </c>
      <c r="E311" t="s">
        <v>3405</v>
      </c>
      <c r="F311" t="s">
        <v>9282</v>
      </c>
      <c r="G311" t="s">
        <v>3996</v>
      </c>
    </row>
    <row r="312" spans="1:7" x14ac:dyDescent="0.25">
      <c r="A312" t="s">
        <v>353</v>
      </c>
      <c r="B312" t="s">
        <v>767</v>
      </c>
      <c r="C312">
        <v>2023</v>
      </c>
      <c r="E312" t="s">
        <v>3026</v>
      </c>
      <c r="F312" t="s">
        <v>8519</v>
      </c>
      <c r="G312" t="s">
        <v>3996</v>
      </c>
    </row>
    <row r="313" spans="1:7" x14ac:dyDescent="0.25">
      <c r="A313" t="s">
        <v>1443</v>
      </c>
      <c r="B313" t="s">
        <v>771</v>
      </c>
      <c r="C313">
        <v>2018</v>
      </c>
      <c r="E313" t="s">
        <v>3248</v>
      </c>
      <c r="F313" t="s">
        <v>8867</v>
      </c>
      <c r="G313" t="s">
        <v>3996</v>
      </c>
    </row>
    <row r="314" spans="1:7" x14ac:dyDescent="0.25">
      <c r="A314" t="s">
        <v>2146</v>
      </c>
      <c r="B314" t="s">
        <v>774</v>
      </c>
      <c r="C314">
        <v>2020</v>
      </c>
      <c r="E314" s="10" t="s">
        <v>8394</v>
      </c>
      <c r="F314" t="s">
        <v>9037</v>
      </c>
      <c r="G314" t="s">
        <v>3996</v>
      </c>
    </row>
    <row r="315" spans="1:7" x14ac:dyDescent="0.25">
      <c r="A315" t="s">
        <v>847</v>
      </c>
      <c r="B315" t="s">
        <v>778</v>
      </c>
      <c r="C315">
        <v>1996</v>
      </c>
      <c r="E315" t="s">
        <v>3133</v>
      </c>
      <c r="F315" t="s">
        <v>9592</v>
      </c>
      <c r="G315" t="s">
        <v>187</v>
      </c>
    </row>
    <row r="316" spans="1:7" x14ac:dyDescent="0.25">
      <c r="A316" t="s">
        <v>1294</v>
      </c>
      <c r="B316" t="s">
        <v>778</v>
      </c>
      <c r="C316">
        <v>2019</v>
      </c>
      <c r="E316" t="s">
        <v>3226</v>
      </c>
      <c r="F316" t="s">
        <v>8811</v>
      </c>
      <c r="G316" t="s">
        <v>3996</v>
      </c>
    </row>
    <row r="317" spans="1:7" x14ac:dyDescent="0.25">
      <c r="A317" t="s">
        <v>2804</v>
      </c>
      <c r="B317" t="s">
        <v>778</v>
      </c>
      <c r="C317">
        <v>2021</v>
      </c>
      <c r="E317" t="s">
        <v>3133</v>
      </c>
      <c r="F317" t="s">
        <v>9593</v>
      </c>
      <c r="G317" t="s">
        <v>187</v>
      </c>
    </row>
    <row r="318" spans="1:7" x14ac:dyDescent="0.25">
      <c r="A318" t="s">
        <v>1855</v>
      </c>
      <c r="B318" t="s">
        <v>782</v>
      </c>
      <c r="C318">
        <v>2015</v>
      </c>
      <c r="E318" s="10" t="s">
        <v>8359</v>
      </c>
      <c r="F318" t="s">
        <v>9594</v>
      </c>
      <c r="G318" t="s">
        <v>3996</v>
      </c>
    </row>
    <row r="319" spans="1:7" x14ac:dyDescent="0.25">
      <c r="A319" t="s">
        <v>813</v>
      </c>
      <c r="B319" t="s">
        <v>786</v>
      </c>
      <c r="C319">
        <v>2018</v>
      </c>
      <c r="E319" t="s">
        <v>2982</v>
      </c>
      <c r="F319" t="s">
        <v>8657</v>
      </c>
      <c r="G319" t="s">
        <v>3996</v>
      </c>
    </row>
    <row r="320" spans="1:7" x14ac:dyDescent="0.25">
      <c r="A320" t="s">
        <v>1144</v>
      </c>
      <c r="B320" t="s">
        <v>786</v>
      </c>
      <c r="C320">
        <v>2012</v>
      </c>
      <c r="E320" t="s">
        <v>2982</v>
      </c>
      <c r="F320" t="s">
        <v>8763</v>
      </c>
      <c r="G320" t="s">
        <v>3996</v>
      </c>
    </row>
    <row r="321" spans="1:7" x14ac:dyDescent="0.25">
      <c r="A321" t="s">
        <v>1443</v>
      </c>
      <c r="B321" t="s">
        <v>786</v>
      </c>
      <c r="C321">
        <v>2018</v>
      </c>
      <c r="E321" t="s">
        <v>2982</v>
      </c>
      <c r="F321" t="s">
        <v>8868</v>
      </c>
      <c r="G321" t="s">
        <v>3996</v>
      </c>
    </row>
    <row r="322" spans="1:7" x14ac:dyDescent="0.25">
      <c r="A322" t="s">
        <v>1144</v>
      </c>
      <c r="B322" t="s">
        <v>791</v>
      </c>
      <c r="C322">
        <v>2012</v>
      </c>
      <c r="E322" t="s">
        <v>3201</v>
      </c>
      <c r="F322" t="s">
        <v>8764</v>
      </c>
      <c r="G322" t="s">
        <v>3996</v>
      </c>
    </row>
    <row r="323" spans="1:7" x14ac:dyDescent="0.25">
      <c r="A323" t="s">
        <v>746</v>
      </c>
      <c r="B323" t="s">
        <v>795</v>
      </c>
      <c r="C323">
        <v>2015</v>
      </c>
      <c r="E323" t="s">
        <v>3098</v>
      </c>
      <c r="F323" t="s">
        <v>8610</v>
      </c>
      <c r="G323" t="s">
        <v>3996</v>
      </c>
    </row>
    <row r="324" spans="1:7" x14ac:dyDescent="0.25">
      <c r="A324" t="s">
        <v>1265</v>
      </c>
      <c r="B324" t="s">
        <v>795</v>
      </c>
      <c r="C324">
        <v>2015</v>
      </c>
      <c r="E324" t="s">
        <v>3098</v>
      </c>
      <c r="F324" t="s">
        <v>8790</v>
      </c>
      <c r="G324" t="s">
        <v>3996</v>
      </c>
    </row>
    <row r="325" spans="1:7" x14ac:dyDescent="0.25">
      <c r="A325" t="s">
        <v>1686</v>
      </c>
      <c r="B325" t="s">
        <v>795</v>
      </c>
      <c r="C325">
        <v>2017</v>
      </c>
      <c r="E325" t="s">
        <v>3098</v>
      </c>
      <c r="F325" t="s">
        <v>8917</v>
      </c>
      <c r="G325" t="s">
        <v>3996</v>
      </c>
    </row>
    <row r="326" spans="1:7" x14ac:dyDescent="0.25">
      <c r="A326" t="s">
        <v>90</v>
      </c>
      <c r="B326" t="s">
        <v>795</v>
      </c>
      <c r="C326">
        <v>2017</v>
      </c>
      <c r="E326" t="s">
        <v>3098</v>
      </c>
      <c r="F326" t="s">
        <v>9114</v>
      </c>
      <c r="G326" t="s">
        <v>3996</v>
      </c>
    </row>
    <row r="327" spans="1:7" x14ac:dyDescent="0.25">
      <c r="A327" t="s">
        <v>90</v>
      </c>
      <c r="B327" t="s">
        <v>799</v>
      </c>
      <c r="C327">
        <v>2017</v>
      </c>
      <c r="E327" t="s">
        <v>3354</v>
      </c>
      <c r="F327" t="s">
        <v>9595</v>
      </c>
      <c r="G327" t="s">
        <v>187</v>
      </c>
    </row>
    <row r="328" spans="1:7" x14ac:dyDescent="0.25">
      <c r="A328" t="s">
        <v>90</v>
      </c>
      <c r="B328" t="s">
        <v>803</v>
      </c>
      <c r="C328">
        <v>2017</v>
      </c>
      <c r="E328" t="s">
        <v>2982</v>
      </c>
      <c r="F328" t="s">
        <v>9115</v>
      </c>
      <c r="G328" t="s">
        <v>3996</v>
      </c>
    </row>
    <row r="329" spans="1:7" x14ac:dyDescent="0.25">
      <c r="A329" t="s">
        <v>2890</v>
      </c>
      <c r="B329" t="s">
        <v>803</v>
      </c>
      <c r="C329">
        <v>2023</v>
      </c>
      <c r="E329" t="s">
        <v>2982</v>
      </c>
      <c r="F329" t="s">
        <v>9380</v>
      </c>
      <c r="G329" t="s">
        <v>3996</v>
      </c>
    </row>
    <row r="330" spans="1:7" x14ac:dyDescent="0.25">
      <c r="A330" t="s">
        <v>1795</v>
      </c>
      <c r="B330" t="s">
        <v>807</v>
      </c>
      <c r="C330">
        <v>1987</v>
      </c>
      <c r="E330" t="s">
        <v>3277</v>
      </c>
      <c r="F330" t="s">
        <v>9444</v>
      </c>
      <c r="G330" t="s">
        <v>3996</v>
      </c>
    </row>
    <row r="331" spans="1:7" x14ac:dyDescent="0.25">
      <c r="A331" t="s">
        <v>1272</v>
      </c>
      <c r="B331" t="s">
        <v>7955</v>
      </c>
      <c r="C331">
        <v>2020</v>
      </c>
      <c r="E331" s="10" t="s">
        <v>7958</v>
      </c>
      <c r="F331" t="s">
        <v>8793</v>
      </c>
      <c r="G331" t="s">
        <v>3996</v>
      </c>
    </row>
    <row r="332" spans="1:7" x14ac:dyDescent="0.25">
      <c r="A332" t="s">
        <v>2136</v>
      </c>
      <c r="B332" t="s">
        <v>7955</v>
      </c>
      <c r="C332">
        <v>2020</v>
      </c>
      <c r="E332" s="10" t="s">
        <v>7958</v>
      </c>
      <c r="F332" t="s">
        <v>9025</v>
      </c>
      <c r="G332" t="s">
        <v>3996</v>
      </c>
    </row>
    <row r="333" spans="1:7" x14ac:dyDescent="0.25">
      <c r="A333" t="s">
        <v>2146</v>
      </c>
      <c r="B333" t="s">
        <v>7955</v>
      </c>
      <c r="C333">
        <v>2020</v>
      </c>
      <c r="E333" s="10" t="s">
        <v>7958</v>
      </c>
      <c r="F333" t="s">
        <v>9038</v>
      </c>
      <c r="G333" t="s">
        <v>3996</v>
      </c>
    </row>
    <row r="334" spans="1:7" x14ac:dyDescent="0.25">
      <c r="A334" t="s">
        <v>2901</v>
      </c>
      <c r="B334" t="s">
        <v>7955</v>
      </c>
      <c r="C334">
        <v>2023</v>
      </c>
      <c r="E334" s="10" t="s">
        <v>7958</v>
      </c>
      <c r="F334" t="s">
        <v>9381</v>
      </c>
      <c r="G334" t="s">
        <v>3996</v>
      </c>
    </row>
    <row r="335" spans="1:7" x14ac:dyDescent="0.25">
      <c r="A335" t="s">
        <v>2804</v>
      </c>
      <c r="B335" t="s">
        <v>811</v>
      </c>
      <c r="C335">
        <v>2021</v>
      </c>
      <c r="E335" t="s">
        <v>3013</v>
      </c>
      <c r="F335" t="s">
        <v>9596</v>
      </c>
      <c r="G335" t="s">
        <v>187</v>
      </c>
    </row>
    <row r="336" spans="1:7" x14ac:dyDescent="0.25">
      <c r="A336" t="s">
        <v>746</v>
      </c>
      <c r="B336" t="s">
        <v>813</v>
      </c>
      <c r="C336">
        <v>2015</v>
      </c>
      <c r="E336" t="s">
        <v>3099</v>
      </c>
      <c r="F336" t="s">
        <v>8611</v>
      </c>
      <c r="G336" t="s">
        <v>3996</v>
      </c>
    </row>
    <row r="337" spans="1:7" x14ac:dyDescent="0.25">
      <c r="A337" t="s">
        <v>1144</v>
      </c>
      <c r="B337" t="s">
        <v>813</v>
      </c>
      <c r="C337">
        <v>2012</v>
      </c>
      <c r="E337" t="s">
        <v>3099</v>
      </c>
      <c r="F337" t="s">
        <v>8765</v>
      </c>
      <c r="G337" t="s">
        <v>3996</v>
      </c>
    </row>
    <row r="338" spans="1:7" x14ac:dyDescent="0.25">
      <c r="A338" t="s">
        <v>90</v>
      </c>
      <c r="B338" t="s">
        <v>815</v>
      </c>
      <c r="C338">
        <v>2017</v>
      </c>
      <c r="E338" t="s">
        <v>3355</v>
      </c>
      <c r="F338" t="s">
        <v>9116</v>
      </c>
      <c r="G338" t="s">
        <v>3996</v>
      </c>
    </row>
    <row r="339" spans="1:7" x14ac:dyDescent="0.25">
      <c r="A339" t="s">
        <v>847</v>
      </c>
      <c r="B339" t="s">
        <v>819</v>
      </c>
      <c r="C339">
        <v>1996</v>
      </c>
      <c r="E339" s="10" t="s">
        <v>7927</v>
      </c>
      <c r="F339" t="s">
        <v>9597</v>
      </c>
      <c r="G339" t="s">
        <v>187</v>
      </c>
    </row>
    <row r="340" spans="1:7" x14ac:dyDescent="0.25">
      <c r="A340" t="s">
        <v>1795</v>
      </c>
      <c r="B340" t="s">
        <v>819</v>
      </c>
      <c r="C340">
        <v>1987</v>
      </c>
      <c r="E340" s="10" t="s">
        <v>7927</v>
      </c>
      <c r="F340" t="s">
        <v>9598</v>
      </c>
      <c r="G340" t="s">
        <v>187</v>
      </c>
    </row>
    <row r="341" spans="1:7" x14ac:dyDescent="0.25">
      <c r="A341" t="s">
        <v>2154</v>
      </c>
      <c r="B341" t="s">
        <v>819</v>
      </c>
      <c r="C341">
        <v>1980</v>
      </c>
      <c r="E341" s="10" t="s">
        <v>7927</v>
      </c>
      <c r="F341" t="s">
        <v>9599</v>
      </c>
      <c r="G341" t="s">
        <v>187</v>
      </c>
    </row>
    <row r="342" spans="1:7" x14ac:dyDescent="0.25">
      <c r="A342" t="s">
        <v>689</v>
      </c>
      <c r="B342" t="s">
        <v>821</v>
      </c>
      <c r="C342">
        <v>2015</v>
      </c>
      <c r="E342" t="s">
        <v>3086</v>
      </c>
      <c r="F342" t="s">
        <v>8593</v>
      </c>
      <c r="G342" t="s">
        <v>3996</v>
      </c>
    </row>
    <row r="343" spans="1:7" x14ac:dyDescent="0.25">
      <c r="A343" t="s">
        <v>1294</v>
      </c>
      <c r="B343" t="s">
        <v>821</v>
      </c>
      <c r="C343">
        <v>2019</v>
      </c>
      <c r="E343" t="s">
        <v>3086</v>
      </c>
      <c r="F343" t="s">
        <v>8812</v>
      </c>
      <c r="G343" t="s">
        <v>3996</v>
      </c>
    </row>
    <row r="344" spans="1:7" x14ac:dyDescent="0.25">
      <c r="A344" t="s">
        <v>90</v>
      </c>
      <c r="B344" t="s">
        <v>828</v>
      </c>
      <c r="C344">
        <v>2017</v>
      </c>
      <c r="E344" t="s">
        <v>2982</v>
      </c>
      <c r="F344" t="s">
        <v>9117</v>
      </c>
      <c r="G344" t="s">
        <v>3996</v>
      </c>
    </row>
    <row r="345" spans="1:7" x14ac:dyDescent="0.25">
      <c r="A345" t="s">
        <v>847</v>
      </c>
      <c r="B345" t="s">
        <v>832</v>
      </c>
      <c r="C345">
        <v>1996</v>
      </c>
      <c r="E345" s="10" t="s">
        <v>8456</v>
      </c>
      <c r="F345" t="s">
        <v>8457</v>
      </c>
      <c r="G345" t="s">
        <v>3996</v>
      </c>
    </row>
    <row r="346" spans="1:7" x14ac:dyDescent="0.25">
      <c r="A346" t="s">
        <v>964</v>
      </c>
      <c r="B346" t="s">
        <v>836</v>
      </c>
      <c r="C346">
        <v>2006</v>
      </c>
      <c r="E346" t="s">
        <v>3167</v>
      </c>
      <c r="F346" t="s">
        <v>8712</v>
      </c>
      <c r="G346" t="s">
        <v>3996</v>
      </c>
    </row>
    <row r="347" spans="1:7" x14ac:dyDescent="0.25">
      <c r="A347" t="s">
        <v>2804</v>
      </c>
      <c r="B347" t="s">
        <v>838</v>
      </c>
      <c r="C347">
        <v>2021</v>
      </c>
      <c r="E347" t="s">
        <v>3427</v>
      </c>
      <c r="F347" t="s">
        <v>9600</v>
      </c>
      <c r="G347" t="s">
        <v>187</v>
      </c>
    </row>
    <row r="348" spans="1:7" x14ac:dyDescent="0.25">
      <c r="A348" t="s">
        <v>8402</v>
      </c>
      <c r="B348" t="s">
        <v>8401</v>
      </c>
      <c r="C348">
        <v>2018</v>
      </c>
      <c r="D348" t="s">
        <v>187</v>
      </c>
      <c r="F348" t="s">
        <v>9601</v>
      </c>
      <c r="G348" t="s">
        <v>3996</v>
      </c>
    </row>
    <row r="349" spans="1:7" x14ac:dyDescent="0.25">
      <c r="A349" t="s">
        <v>924</v>
      </c>
      <c r="B349" t="s">
        <v>8401</v>
      </c>
      <c r="C349">
        <v>2019</v>
      </c>
      <c r="E349" s="10" t="s">
        <v>8400</v>
      </c>
      <c r="F349" t="s">
        <v>9602</v>
      </c>
      <c r="G349" t="s">
        <v>187</v>
      </c>
    </row>
    <row r="350" spans="1:7" x14ac:dyDescent="0.25">
      <c r="A350" t="s">
        <v>759</v>
      </c>
      <c r="B350" t="s">
        <v>845</v>
      </c>
      <c r="C350">
        <v>2018</v>
      </c>
      <c r="E350" t="s">
        <v>3115</v>
      </c>
      <c r="F350" t="s">
        <v>8633</v>
      </c>
      <c r="G350" t="s">
        <v>3996</v>
      </c>
    </row>
    <row r="351" spans="1:7" x14ac:dyDescent="0.25">
      <c r="A351" t="s">
        <v>160</v>
      </c>
      <c r="B351" t="s">
        <v>845</v>
      </c>
      <c r="C351">
        <v>2011</v>
      </c>
      <c r="E351" t="s">
        <v>3115</v>
      </c>
      <c r="F351" t="s">
        <v>9283</v>
      </c>
      <c r="G351" t="s">
        <v>3996</v>
      </c>
    </row>
    <row r="352" spans="1:7" x14ac:dyDescent="0.25">
      <c r="A352" t="s">
        <v>260</v>
      </c>
      <c r="B352" t="s">
        <v>847</v>
      </c>
      <c r="C352">
        <v>1990</v>
      </c>
      <c r="E352" t="s">
        <v>3002</v>
      </c>
      <c r="F352" t="s">
        <v>8485</v>
      </c>
      <c r="G352" t="s">
        <v>3996</v>
      </c>
    </row>
    <row r="353" spans="1:7" x14ac:dyDescent="0.25">
      <c r="A353" t="s">
        <v>1725</v>
      </c>
      <c r="B353" t="s">
        <v>847</v>
      </c>
      <c r="C353">
        <v>1983</v>
      </c>
      <c r="E353" t="s">
        <v>3002</v>
      </c>
      <c r="F353" t="s">
        <v>8931</v>
      </c>
      <c r="G353" t="s">
        <v>3996</v>
      </c>
    </row>
    <row r="354" spans="1:7" x14ac:dyDescent="0.25">
      <c r="A354" t="s">
        <v>1795</v>
      </c>
      <c r="B354" t="s">
        <v>847</v>
      </c>
      <c r="C354">
        <v>1987</v>
      </c>
      <c r="E354" t="s">
        <v>3002</v>
      </c>
      <c r="F354" t="s">
        <v>8943</v>
      </c>
      <c r="G354" t="s">
        <v>3996</v>
      </c>
    </row>
    <row r="355" spans="1:7" x14ac:dyDescent="0.25">
      <c r="A355" t="s">
        <v>873</v>
      </c>
      <c r="B355" t="s">
        <v>850</v>
      </c>
      <c r="C355">
        <v>2019</v>
      </c>
      <c r="E355" t="s">
        <v>3141</v>
      </c>
      <c r="F355" t="s">
        <v>8681</v>
      </c>
      <c r="G355" t="s">
        <v>3996</v>
      </c>
    </row>
    <row r="356" spans="1:7" x14ac:dyDescent="0.25">
      <c r="A356" t="s">
        <v>1129</v>
      </c>
      <c r="B356" t="s">
        <v>850</v>
      </c>
      <c r="C356">
        <v>2022</v>
      </c>
      <c r="E356" t="s">
        <v>2982</v>
      </c>
      <c r="F356" t="s">
        <v>8757</v>
      </c>
      <c r="G356" t="s">
        <v>3996</v>
      </c>
    </row>
    <row r="357" spans="1:7" x14ac:dyDescent="0.25">
      <c r="A357" t="s">
        <v>90</v>
      </c>
      <c r="B357" t="s">
        <v>850</v>
      </c>
      <c r="C357">
        <v>2017</v>
      </c>
      <c r="E357" t="s">
        <v>3356</v>
      </c>
      <c r="F357" t="s">
        <v>9118</v>
      </c>
      <c r="G357" t="s">
        <v>3996</v>
      </c>
    </row>
    <row r="358" spans="1:7" x14ac:dyDescent="0.25">
      <c r="A358" t="s">
        <v>353</v>
      </c>
      <c r="B358" t="s">
        <v>854</v>
      </c>
      <c r="C358">
        <v>2023</v>
      </c>
      <c r="E358" t="s">
        <v>3013</v>
      </c>
      <c r="F358" t="s">
        <v>9603</v>
      </c>
      <c r="G358" t="s">
        <v>187</v>
      </c>
    </row>
    <row r="359" spans="1:7" x14ac:dyDescent="0.25">
      <c r="A359" t="s">
        <v>160</v>
      </c>
      <c r="B359" t="s">
        <v>854</v>
      </c>
      <c r="C359">
        <v>2011</v>
      </c>
      <c r="E359" t="s">
        <v>3406</v>
      </c>
      <c r="F359" t="s">
        <v>9284</v>
      </c>
      <c r="G359" t="s">
        <v>3996</v>
      </c>
    </row>
    <row r="360" spans="1:7" x14ac:dyDescent="0.25">
      <c r="A360" t="s">
        <v>90</v>
      </c>
      <c r="B360" t="s">
        <v>856</v>
      </c>
      <c r="C360">
        <v>2017</v>
      </c>
      <c r="E360" t="s">
        <v>3357</v>
      </c>
      <c r="F360" t="s">
        <v>9119</v>
      </c>
      <c r="G360" t="s">
        <v>3996</v>
      </c>
    </row>
    <row r="361" spans="1:7" x14ac:dyDescent="0.25">
      <c r="A361" t="s">
        <v>353</v>
      </c>
      <c r="B361" t="s">
        <v>863</v>
      </c>
      <c r="C361">
        <v>2023</v>
      </c>
      <c r="E361" t="s">
        <v>3027</v>
      </c>
      <c r="F361" t="s">
        <v>8520</v>
      </c>
      <c r="G361" t="s">
        <v>3996</v>
      </c>
    </row>
    <row r="362" spans="1:7" x14ac:dyDescent="0.25">
      <c r="A362" t="s">
        <v>873</v>
      </c>
      <c r="B362" t="s">
        <v>863</v>
      </c>
      <c r="C362">
        <v>2019</v>
      </c>
      <c r="E362" t="s">
        <v>3027</v>
      </c>
      <c r="F362" t="s">
        <v>8682</v>
      </c>
      <c r="G362" t="s">
        <v>3996</v>
      </c>
    </row>
    <row r="363" spans="1:7" x14ac:dyDescent="0.25">
      <c r="A363" t="s">
        <v>1435</v>
      </c>
      <c r="B363" t="s">
        <v>863</v>
      </c>
      <c r="C363">
        <v>2021</v>
      </c>
      <c r="E363" t="s">
        <v>3027</v>
      </c>
      <c r="F363" t="s">
        <v>8853</v>
      </c>
      <c r="G363" t="s">
        <v>3996</v>
      </c>
    </row>
    <row r="364" spans="1:7" x14ac:dyDescent="0.25">
      <c r="A364" t="s">
        <v>1690</v>
      </c>
      <c r="B364" t="s">
        <v>863</v>
      </c>
      <c r="C364">
        <v>2020</v>
      </c>
      <c r="E364" t="s">
        <v>3027</v>
      </c>
      <c r="F364" t="s">
        <v>8920</v>
      </c>
      <c r="G364" t="s">
        <v>3996</v>
      </c>
    </row>
    <row r="365" spans="1:7" x14ac:dyDescent="0.25">
      <c r="A365" t="s">
        <v>90</v>
      </c>
      <c r="B365" t="s">
        <v>863</v>
      </c>
      <c r="C365">
        <v>2017</v>
      </c>
      <c r="E365" t="s">
        <v>3027</v>
      </c>
      <c r="F365" t="s">
        <v>9120</v>
      </c>
      <c r="G365" t="s">
        <v>3996</v>
      </c>
    </row>
    <row r="366" spans="1:7" x14ac:dyDescent="0.25">
      <c r="A366" t="s">
        <v>1144</v>
      </c>
      <c r="B366" t="s">
        <v>865</v>
      </c>
      <c r="C366">
        <v>2012</v>
      </c>
      <c r="E366" t="s">
        <v>3202</v>
      </c>
      <c r="F366" t="s">
        <v>8766</v>
      </c>
      <c r="G366" t="s">
        <v>3996</v>
      </c>
    </row>
    <row r="367" spans="1:7" x14ac:dyDescent="0.25">
      <c r="A367" t="s">
        <v>1443</v>
      </c>
      <c r="B367" t="s">
        <v>865</v>
      </c>
      <c r="C367">
        <v>2018</v>
      </c>
      <c r="E367" t="s">
        <v>3202</v>
      </c>
      <c r="F367" t="s">
        <v>8869</v>
      </c>
      <c r="G367" t="s">
        <v>3996</v>
      </c>
    </row>
    <row r="368" spans="1:7" x14ac:dyDescent="0.25">
      <c r="A368" t="s">
        <v>1690</v>
      </c>
      <c r="B368" t="s">
        <v>865</v>
      </c>
      <c r="C368">
        <v>2020</v>
      </c>
      <c r="E368" t="s">
        <v>3202</v>
      </c>
      <c r="F368" t="s">
        <v>8921</v>
      </c>
      <c r="G368" t="s">
        <v>3996</v>
      </c>
    </row>
    <row r="369" spans="1:7" x14ac:dyDescent="0.25">
      <c r="A369" t="s">
        <v>2196</v>
      </c>
      <c r="B369" t="s">
        <v>865</v>
      </c>
      <c r="C369">
        <v>2021</v>
      </c>
      <c r="E369" t="s">
        <v>3202</v>
      </c>
      <c r="F369" t="s">
        <v>9078</v>
      </c>
      <c r="G369" t="s">
        <v>3996</v>
      </c>
    </row>
    <row r="370" spans="1:7" x14ac:dyDescent="0.25">
      <c r="A370" t="s">
        <v>90</v>
      </c>
      <c r="B370" t="s">
        <v>865</v>
      </c>
      <c r="C370">
        <v>2017</v>
      </c>
      <c r="E370" t="s">
        <v>3202</v>
      </c>
      <c r="F370" t="s">
        <v>9121</v>
      </c>
      <c r="G370" t="s">
        <v>3996</v>
      </c>
    </row>
    <row r="371" spans="1:7" x14ac:dyDescent="0.25">
      <c r="A371" t="s">
        <v>2428</v>
      </c>
      <c r="B371" t="s">
        <v>865</v>
      </c>
      <c r="C371">
        <v>2008</v>
      </c>
      <c r="E371" t="s">
        <v>3202</v>
      </c>
      <c r="F371" t="s">
        <v>9217</v>
      </c>
      <c r="G371" t="s">
        <v>3996</v>
      </c>
    </row>
    <row r="372" spans="1:7" x14ac:dyDescent="0.25">
      <c r="A372" t="s">
        <v>90</v>
      </c>
      <c r="B372" t="s">
        <v>869</v>
      </c>
      <c r="C372">
        <v>2017</v>
      </c>
      <c r="E372" t="s">
        <v>2982</v>
      </c>
      <c r="F372" t="s">
        <v>9122</v>
      </c>
      <c r="G372" t="s">
        <v>3996</v>
      </c>
    </row>
    <row r="373" spans="1:7" x14ac:dyDescent="0.25">
      <c r="A373" t="s">
        <v>364</v>
      </c>
      <c r="B373" t="s">
        <v>8320</v>
      </c>
      <c r="C373">
        <v>2024</v>
      </c>
      <c r="E373" t="s">
        <v>2982</v>
      </c>
      <c r="F373" t="s">
        <v>8550</v>
      </c>
      <c r="G373" t="s">
        <v>3996</v>
      </c>
    </row>
    <row r="374" spans="1:7" x14ac:dyDescent="0.25">
      <c r="A374" t="s">
        <v>1576</v>
      </c>
      <c r="B374" t="s">
        <v>8320</v>
      </c>
      <c r="C374">
        <v>2021</v>
      </c>
      <c r="E374" t="s">
        <v>2982</v>
      </c>
      <c r="F374" t="s">
        <v>8901</v>
      </c>
      <c r="G374" t="s">
        <v>3996</v>
      </c>
    </row>
    <row r="375" spans="1:7" x14ac:dyDescent="0.25">
      <c r="A375" t="s">
        <v>1851</v>
      </c>
      <c r="B375" t="s">
        <v>8320</v>
      </c>
      <c r="C375">
        <v>2024</v>
      </c>
      <c r="E375" t="s">
        <v>2982</v>
      </c>
      <c r="F375" t="s">
        <v>8972</v>
      </c>
      <c r="G375" t="s">
        <v>3996</v>
      </c>
    </row>
    <row r="376" spans="1:7" x14ac:dyDescent="0.25">
      <c r="A376" t="s">
        <v>2471</v>
      </c>
      <c r="B376" t="s">
        <v>8320</v>
      </c>
      <c r="C376">
        <v>2025</v>
      </c>
      <c r="D376" t="s">
        <v>187</v>
      </c>
      <c r="F376" t="s">
        <v>9604</v>
      </c>
      <c r="G376" t="s">
        <v>3996</v>
      </c>
    </row>
    <row r="377" spans="1:7" x14ac:dyDescent="0.25">
      <c r="A377" t="s">
        <v>946</v>
      </c>
      <c r="B377" t="s">
        <v>873</v>
      </c>
      <c r="C377">
        <v>2014</v>
      </c>
      <c r="E377" t="s">
        <v>3163</v>
      </c>
      <c r="F377" t="s">
        <v>8709</v>
      </c>
      <c r="G377" t="s">
        <v>3996</v>
      </c>
    </row>
    <row r="378" spans="1:7" x14ac:dyDescent="0.25">
      <c r="A378" t="s">
        <v>746</v>
      </c>
      <c r="B378" t="s">
        <v>877</v>
      </c>
      <c r="C378">
        <v>2015</v>
      </c>
      <c r="E378" t="s">
        <v>3100</v>
      </c>
      <c r="F378" t="s">
        <v>8612</v>
      </c>
      <c r="G378" t="s">
        <v>3996</v>
      </c>
    </row>
    <row r="379" spans="1:7" x14ac:dyDescent="0.25">
      <c r="A379" t="s">
        <v>873</v>
      </c>
      <c r="B379" t="s">
        <v>877</v>
      </c>
      <c r="C379">
        <v>2019</v>
      </c>
      <c r="E379" t="s">
        <v>3100</v>
      </c>
      <c r="F379" t="s">
        <v>8683</v>
      </c>
      <c r="G379" t="s">
        <v>3996</v>
      </c>
    </row>
    <row r="380" spans="1:7" x14ac:dyDescent="0.25">
      <c r="A380" t="s">
        <v>90</v>
      </c>
      <c r="B380" t="s">
        <v>877</v>
      </c>
      <c r="C380">
        <v>2017</v>
      </c>
      <c r="E380" t="s">
        <v>3100</v>
      </c>
      <c r="F380" t="s">
        <v>9123</v>
      </c>
      <c r="G380" t="s">
        <v>3996</v>
      </c>
    </row>
    <row r="381" spans="1:7" x14ac:dyDescent="0.25">
      <c r="A381" t="s">
        <v>90</v>
      </c>
      <c r="B381" t="s">
        <v>879</v>
      </c>
      <c r="C381">
        <v>2017</v>
      </c>
      <c r="E381" t="s">
        <v>3358</v>
      </c>
      <c r="F381" t="s">
        <v>9124</v>
      </c>
      <c r="G381" t="s">
        <v>3996</v>
      </c>
    </row>
    <row r="382" spans="1:7" x14ac:dyDescent="0.25">
      <c r="A382" t="s">
        <v>90</v>
      </c>
      <c r="B382" t="s">
        <v>887</v>
      </c>
      <c r="C382">
        <v>2017</v>
      </c>
      <c r="E382" t="s">
        <v>2982</v>
      </c>
      <c r="F382" t="s">
        <v>9125</v>
      </c>
      <c r="G382" t="s">
        <v>3996</v>
      </c>
    </row>
    <row r="383" spans="1:7" x14ac:dyDescent="0.25">
      <c r="A383" t="s">
        <v>185</v>
      </c>
      <c r="B383" t="s">
        <v>889</v>
      </c>
      <c r="C383">
        <v>2022</v>
      </c>
      <c r="E383" t="s">
        <v>2982</v>
      </c>
      <c r="F383" t="s">
        <v>8466</v>
      </c>
      <c r="G383" t="s">
        <v>3996</v>
      </c>
    </row>
    <row r="384" spans="1:7" x14ac:dyDescent="0.25">
      <c r="A384" t="s">
        <v>2804</v>
      </c>
      <c r="B384" t="s">
        <v>889</v>
      </c>
      <c r="C384">
        <v>2021</v>
      </c>
      <c r="E384" t="s">
        <v>2982</v>
      </c>
      <c r="F384" t="s">
        <v>9346</v>
      </c>
      <c r="G384" t="s">
        <v>3996</v>
      </c>
    </row>
    <row r="385" spans="1:7" x14ac:dyDescent="0.25">
      <c r="A385" t="s">
        <v>754</v>
      </c>
      <c r="B385" t="s">
        <v>893</v>
      </c>
      <c r="C385">
        <v>2022</v>
      </c>
      <c r="E385" t="s">
        <v>3109</v>
      </c>
      <c r="F385" t="s">
        <v>8626</v>
      </c>
      <c r="G385" t="s">
        <v>3996</v>
      </c>
    </row>
    <row r="386" spans="1:7" x14ac:dyDescent="0.25">
      <c r="A386" t="s">
        <v>1576</v>
      </c>
      <c r="B386" t="s">
        <v>896</v>
      </c>
      <c r="C386">
        <v>2021</v>
      </c>
      <c r="E386" t="s">
        <v>3264</v>
      </c>
      <c r="F386" t="s">
        <v>8902</v>
      </c>
      <c r="G386" t="s">
        <v>3996</v>
      </c>
    </row>
    <row r="387" spans="1:7" x14ac:dyDescent="0.25">
      <c r="A387" t="s">
        <v>873</v>
      </c>
      <c r="B387" t="s">
        <v>898</v>
      </c>
      <c r="C387">
        <v>2019</v>
      </c>
      <c r="E387" t="s">
        <v>3142</v>
      </c>
      <c r="F387" t="s">
        <v>8684</v>
      </c>
      <c r="G387" t="s">
        <v>3996</v>
      </c>
    </row>
    <row r="388" spans="1:7" x14ac:dyDescent="0.25">
      <c r="A388" t="s">
        <v>90</v>
      </c>
      <c r="B388" t="s">
        <v>898</v>
      </c>
      <c r="C388">
        <v>2017</v>
      </c>
      <c r="E388" t="s">
        <v>3142</v>
      </c>
      <c r="F388" t="s">
        <v>9126</v>
      </c>
      <c r="G388" t="s">
        <v>3996</v>
      </c>
    </row>
    <row r="389" spans="1:7" x14ac:dyDescent="0.25">
      <c r="A389" t="s">
        <v>353</v>
      </c>
      <c r="B389" t="s">
        <v>900</v>
      </c>
      <c r="C389">
        <v>2023</v>
      </c>
      <c r="E389" t="s">
        <v>3028</v>
      </c>
      <c r="F389" t="s">
        <v>9445</v>
      </c>
      <c r="G389" t="s">
        <v>3996</v>
      </c>
    </row>
    <row r="390" spans="1:7" x14ac:dyDescent="0.25">
      <c r="A390" t="s">
        <v>1443</v>
      </c>
      <c r="B390" t="s">
        <v>904</v>
      </c>
      <c r="C390">
        <v>2018</v>
      </c>
      <c r="E390" s="10" t="s">
        <v>8372</v>
      </c>
      <c r="F390" t="s">
        <v>8870</v>
      </c>
      <c r="G390" t="s">
        <v>3996</v>
      </c>
    </row>
    <row r="391" spans="1:7" x14ac:dyDescent="0.25">
      <c r="A391" t="s">
        <v>1496</v>
      </c>
      <c r="B391" t="s">
        <v>904</v>
      </c>
      <c r="C391">
        <v>2016</v>
      </c>
      <c r="E391" t="s">
        <v>2982</v>
      </c>
      <c r="F391" t="s">
        <v>8882</v>
      </c>
      <c r="G391" t="s">
        <v>3996</v>
      </c>
    </row>
    <row r="392" spans="1:7" x14ac:dyDescent="0.25">
      <c r="A392" t="s">
        <v>606</v>
      </c>
      <c r="B392" t="s">
        <v>909</v>
      </c>
      <c r="C392">
        <v>2025</v>
      </c>
      <c r="E392" t="s">
        <v>2982</v>
      </c>
      <c r="F392" t="s">
        <v>8587</v>
      </c>
      <c r="G392" t="s">
        <v>3996</v>
      </c>
    </row>
    <row r="393" spans="1:7" x14ac:dyDescent="0.25">
      <c r="A393" t="s">
        <v>914</v>
      </c>
      <c r="B393" t="s">
        <v>918</v>
      </c>
      <c r="C393">
        <v>2013</v>
      </c>
      <c r="D393" t="s">
        <v>187</v>
      </c>
      <c r="F393" t="s">
        <v>9605</v>
      </c>
      <c r="G393" t="s">
        <v>3996</v>
      </c>
    </row>
    <row r="394" spans="1:7" x14ac:dyDescent="0.25">
      <c r="A394" t="s">
        <v>2428</v>
      </c>
      <c r="B394" t="s">
        <v>930</v>
      </c>
      <c r="C394">
        <v>2008</v>
      </c>
      <c r="E394" t="s">
        <v>3393</v>
      </c>
      <c r="F394" t="s">
        <v>9218</v>
      </c>
      <c r="G394" t="s">
        <v>3996</v>
      </c>
    </row>
    <row r="395" spans="1:7" x14ac:dyDescent="0.25">
      <c r="A395" t="s">
        <v>1080</v>
      </c>
      <c r="B395" t="s">
        <v>934</v>
      </c>
      <c r="C395">
        <v>1990</v>
      </c>
      <c r="D395" t="s">
        <v>187</v>
      </c>
      <c r="E395" t="s">
        <v>3195</v>
      </c>
      <c r="F395" t="s">
        <v>8753</v>
      </c>
      <c r="G395" t="s">
        <v>3996</v>
      </c>
    </row>
    <row r="396" spans="1:7" x14ac:dyDescent="0.25">
      <c r="A396" t="s">
        <v>2721</v>
      </c>
      <c r="B396" t="s">
        <v>7849</v>
      </c>
      <c r="C396">
        <v>1993</v>
      </c>
      <c r="D396" t="s">
        <v>187</v>
      </c>
      <c r="F396" t="s">
        <v>9606</v>
      </c>
      <c r="G396" t="s">
        <v>3996</v>
      </c>
    </row>
    <row r="397" spans="1:7" x14ac:dyDescent="0.25">
      <c r="A397" t="s">
        <v>2721</v>
      </c>
      <c r="B397" t="s">
        <v>937</v>
      </c>
      <c r="C397">
        <v>1993</v>
      </c>
      <c r="D397" t="s">
        <v>187</v>
      </c>
      <c r="F397" t="s">
        <v>9607</v>
      </c>
      <c r="G397" t="s">
        <v>3996</v>
      </c>
    </row>
    <row r="398" spans="1:7" x14ac:dyDescent="0.25">
      <c r="A398" t="s">
        <v>1795</v>
      </c>
      <c r="B398" t="s">
        <v>940</v>
      </c>
      <c r="C398">
        <v>1987</v>
      </c>
      <c r="E398" t="s">
        <v>3278</v>
      </c>
      <c r="F398" t="s">
        <v>8944</v>
      </c>
      <c r="G398" t="s">
        <v>3996</v>
      </c>
    </row>
    <row r="399" spans="1:7" x14ac:dyDescent="0.25">
      <c r="A399" t="s">
        <v>2775</v>
      </c>
      <c r="B399" t="s">
        <v>942</v>
      </c>
      <c r="C399">
        <v>2021</v>
      </c>
      <c r="E399" s="10" t="s">
        <v>8395</v>
      </c>
      <c r="F399" t="s">
        <v>9446</v>
      </c>
      <c r="G399" t="s">
        <v>3996</v>
      </c>
    </row>
    <row r="400" spans="1:7" x14ac:dyDescent="0.25">
      <c r="A400" t="s">
        <v>759</v>
      </c>
      <c r="B400" t="s">
        <v>948</v>
      </c>
      <c r="C400">
        <v>2018</v>
      </c>
      <c r="E400" t="s">
        <v>3116</v>
      </c>
      <c r="F400" t="s">
        <v>8634</v>
      </c>
      <c r="G400" t="s">
        <v>3996</v>
      </c>
    </row>
    <row r="401" spans="1:7" x14ac:dyDescent="0.25">
      <c r="A401" t="s">
        <v>1294</v>
      </c>
      <c r="B401" t="s">
        <v>948</v>
      </c>
      <c r="C401">
        <v>2019</v>
      </c>
      <c r="E401" t="s">
        <v>3116</v>
      </c>
      <c r="F401" t="s">
        <v>8813</v>
      </c>
      <c r="G401" t="s">
        <v>3996</v>
      </c>
    </row>
    <row r="402" spans="1:7" x14ac:dyDescent="0.25">
      <c r="A402" t="s">
        <v>160</v>
      </c>
      <c r="B402" t="s">
        <v>948</v>
      </c>
      <c r="C402">
        <v>2011</v>
      </c>
      <c r="E402" t="s">
        <v>3116</v>
      </c>
      <c r="F402" t="s">
        <v>9285</v>
      </c>
      <c r="G402" t="s">
        <v>3996</v>
      </c>
    </row>
    <row r="403" spans="1:7" x14ac:dyDescent="0.25">
      <c r="A403" t="s">
        <v>1496</v>
      </c>
      <c r="B403" t="s">
        <v>952</v>
      </c>
      <c r="C403">
        <v>2016</v>
      </c>
      <c r="E403" t="s">
        <v>3256</v>
      </c>
      <c r="F403" t="s">
        <v>8883</v>
      </c>
      <c r="G403" t="s">
        <v>3996</v>
      </c>
    </row>
    <row r="404" spans="1:7" x14ac:dyDescent="0.25">
      <c r="A404" t="s">
        <v>353</v>
      </c>
      <c r="B404" t="s">
        <v>7991</v>
      </c>
      <c r="C404">
        <v>2023</v>
      </c>
      <c r="E404" s="10" t="s">
        <v>7990</v>
      </c>
      <c r="F404" t="s">
        <v>8521</v>
      </c>
      <c r="G404" t="s">
        <v>3996</v>
      </c>
    </row>
    <row r="405" spans="1:7" x14ac:dyDescent="0.25">
      <c r="A405" t="s">
        <v>353</v>
      </c>
      <c r="B405" t="s">
        <v>7991</v>
      </c>
      <c r="C405">
        <v>2023</v>
      </c>
      <c r="E405" s="10" t="s">
        <v>7990</v>
      </c>
      <c r="F405" t="s">
        <v>8521</v>
      </c>
      <c r="G405" t="s">
        <v>3996</v>
      </c>
    </row>
    <row r="406" spans="1:7" x14ac:dyDescent="0.25">
      <c r="A406" t="s">
        <v>353</v>
      </c>
      <c r="B406" t="s">
        <v>954</v>
      </c>
      <c r="C406">
        <v>2023</v>
      </c>
      <c r="E406" t="s">
        <v>2982</v>
      </c>
      <c r="F406" t="s">
        <v>8522</v>
      </c>
      <c r="G406" t="s">
        <v>3996</v>
      </c>
    </row>
    <row r="407" spans="1:7" x14ac:dyDescent="0.25">
      <c r="A407" t="s">
        <v>353</v>
      </c>
      <c r="B407" t="s">
        <v>958</v>
      </c>
      <c r="C407">
        <v>2023</v>
      </c>
      <c r="E407" t="s">
        <v>3029</v>
      </c>
      <c r="F407" t="s">
        <v>8523</v>
      </c>
      <c r="G407" t="s">
        <v>3996</v>
      </c>
    </row>
    <row r="408" spans="1:7" x14ac:dyDescent="0.25">
      <c r="A408" t="s">
        <v>873</v>
      </c>
      <c r="B408" t="s">
        <v>960</v>
      </c>
      <c r="C408">
        <v>2019</v>
      </c>
      <c r="E408" t="s">
        <v>3143</v>
      </c>
      <c r="F408" t="s">
        <v>8685</v>
      </c>
      <c r="G408" t="s">
        <v>3996</v>
      </c>
    </row>
    <row r="409" spans="1:7" x14ac:dyDescent="0.25">
      <c r="A409" t="s">
        <v>1951</v>
      </c>
      <c r="B409" t="s">
        <v>960</v>
      </c>
      <c r="C409">
        <v>2022</v>
      </c>
      <c r="E409" t="s">
        <v>3143</v>
      </c>
      <c r="F409" t="s">
        <v>9000</v>
      </c>
      <c r="G409" t="s">
        <v>3996</v>
      </c>
    </row>
    <row r="410" spans="1:7" x14ac:dyDescent="0.25">
      <c r="A410" t="s">
        <v>90</v>
      </c>
      <c r="B410" t="s">
        <v>960</v>
      </c>
      <c r="C410">
        <v>2017</v>
      </c>
      <c r="E410" t="s">
        <v>3143</v>
      </c>
      <c r="F410" t="s">
        <v>9127</v>
      </c>
      <c r="G410" t="s">
        <v>3996</v>
      </c>
    </row>
    <row r="411" spans="1:7" x14ac:dyDescent="0.25">
      <c r="A411" t="s">
        <v>1538</v>
      </c>
      <c r="B411" t="s">
        <v>964</v>
      </c>
      <c r="C411">
        <v>1995</v>
      </c>
      <c r="E411" t="s">
        <v>3257</v>
      </c>
      <c r="F411" t="s">
        <v>8885</v>
      </c>
      <c r="G411" t="s">
        <v>3996</v>
      </c>
    </row>
    <row r="412" spans="1:7" x14ac:dyDescent="0.25">
      <c r="A412" t="s">
        <v>1443</v>
      </c>
      <c r="B412" t="s">
        <v>971</v>
      </c>
      <c r="C412">
        <v>2018</v>
      </c>
      <c r="E412" t="s">
        <v>2982</v>
      </c>
      <c r="F412" t="s">
        <v>8871</v>
      </c>
      <c r="G412" t="s">
        <v>3996</v>
      </c>
    </row>
    <row r="413" spans="1:7" x14ac:dyDescent="0.25">
      <c r="A413" t="s">
        <v>1676</v>
      </c>
      <c r="B413" t="s">
        <v>971</v>
      </c>
      <c r="C413">
        <v>2002</v>
      </c>
      <c r="E413" t="s">
        <v>2982</v>
      </c>
      <c r="F413" t="s">
        <v>8916</v>
      </c>
      <c r="G413" t="s">
        <v>3996</v>
      </c>
    </row>
    <row r="414" spans="1:7" x14ac:dyDescent="0.25">
      <c r="A414" t="s">
        <v>1761</v>
      </c>
      <c r="B414" t="s">
        <v>971</v>
      </c>
      <c r="C414">
        <v>1995</v>
      </c>
      <c r="E414" t="s">
        <v>2982</v>
      </c>
      <c r="F414" t="s">
        <v>8936</v>
      </c>
      <c r="G414" t="s">
        <v>3996</v>
      </c>
    </row>
    <row r="415" spans="1:7" x14ac:dyDescent="0.25">
      <c r="A415" t="s">
        <v>2721</v>
      </c>
      <c r="B415" t="s">
        <v>971</v>
      </c>
      <c r="C415">
        <v>1993</v>
      </c>
      <c r="E415" t="s">
        <v>2982</v>
      </c>
      <c r="F415" t="s">
        <v>9608</v>
      </c>
      <c r="G415" t="s">
        <v>3996</v>
      </c>
    </row>
    <row r="416" spans="1:7" x14ac:dyDescent="0.25">
      <c r="A416" t="s">
        <v>2721</v>
      </c>
      <c r="B416" t="s">
        <v>977</v>
      </c>
      <c r="C416">
        <v>1993</v>
      </c>
      <c r="E416" t="s">
        <v>3013</v>
      </c>
      <c r="F416" t="s">
        <v>9609</v>
      </c>
      <c r="G416" t="s">
        <v>187</v>
      </c>
    </row>
    <row r="417" spans="1:7" x14ac:dyDescent="0.25">
      <c r="A417" t="s">
        <v>746</v>
      </c>
      <c r="B417" t="s">
        <v>980</v>
      </c>
      <c r="C417">
        <v>2015</v>
      </c>
      <c r="E417" t="s">
        <v>3101</v>
      </c>
      <c r="F417" t="s">
        <v>8613</v>
      </c>
      <c r="G417" t="s">
        <v>3996</v>
      </c>
    </row>
    <row r="418" spans="1:7" x14ac:dyDescent="0.25">
      <c r="A418" t="s">
        <v>256</v>
      </c>
      <c r="B418" t="s">
        <v>984</v>
      </c>
      <c r="C418">
        <v>1994</v>
      </c>
      <c r="E418" t="s">
        <v>2988</v>
      </c>
      <c r="F418" t="s">
        <v>9610</v>
      </c>
      <c r="G418" t="s">
        <v>187</v>
      </c>
    </row>
    <row r="419" spans="1:7" x14ac:dyDescent="0.25">
      <c r="A419" t="s">
        <v>260</v>
      </c>
      <c r="B419" t="s">
        <v>984</v>
      </c>
      <c r="C419">
        <v>1990</v>
      </c>
      <c r="E419" t="s">
        <v>2988</v>
      </c>
      <c r="F419" t="s">
        <v>9611</v>
      </c>
      <c r="G419" t="s">
        <v>187</v>
      </c>
    </row>
    <row r="420" spans="1:7" x14ac:dyDescent="0.25">
      <c r="A420" t="s">
        <v>522</v>
      </c>
      <c r="B420" t="s">
        <v>984</v>
      </c>
      <c r="C420">
        <v>1989</v>
      </c>
      <c r="E420" t="s">
        <v>3072</v>
      </c>
      <c r="F420" t="s">
        <v>8579</v>
      </c>
      <c r="G420" t="s">
        <v>3996</v>
      </c>
    </row>
    <row r="421" spans="1:7" x14ac:dyDescent="0.25">
      <c r="A421" t="s">
        <v>847</v>
      </c>
      <c r="B421" t="s">
        <v>984</v>
      </c>
      <c r="C421">
        <v>1996</v>
      </c>
      <c r="E421" t="s">
        <v>3072</v>
      </c>
      <c r="F421" t="s">
        <v>8667</v>
      </c>
      <c r="G421" t="s">
        <v>3996</v>
      </c>
    </row>
    <row r="422" spans="1:7" x14ac:dyDescent="0.25">
      <c r="A422" t="s">
        <v>922</v>
      </c>
      <c r="B422" t="s">
        <v>984</v>
      </c>
      <c r="C422">
        <v>2002</v>
      </c>
      <c r="E422" t="s">
        <v>2988</v>
      </c>
      <c r="F422" t="s">
        <v>9612</v>
      </c>
      <c r="G422" t="s">
        <v>187</v>
      </c>
    </row>
    <row r="423" spans="1:7" x14ac:dyDescent="0.25">
      <c r="A423" t="s">
        <v>964</v>
      </c>
      <c r="B423" t="s">
        <v>984</v>
      </c>
      <c r="C423">
        <v>2006</v>
      </c>
      <c r="E423" t="s">
        <v>3072</v>
      </c>
      <c r="F423" t="s">
        <v>8713</v>
      </c>
      <c r="G423" t="s">
        <v>3996</v>
      </c>
    </row>
    <row r="424" spans="1:7" x14ac:dyDescent="0.25">
      <c r="A424" t="s">
        <v>1004</v>
      </c>
      <c r="B424" t="s">
        <v>984</v>
      </c>
      <c r="C424">
        <v>2006</v>
      </c>
      <c r="E424" t="s">
        <v>2988</v>
      </c>
      <c r="F424" t="s">
        <v>9613</v>
      </c>
      <c r="G424" t="s">
        <v>187</v>
      </c>
    </row>
    <row r="425" spans="1:7" x14ac:dyDescent="0.25">
      <c r="A425" t="s">
        <v>1027</v>
      </c>
      <c r="B425" t="s">
        <v>984</v>
      </c>
      <c r="C425">
        <v>2008</v>
      </c>
      <c r="E425" t="s">
        <v>2988</v>
      </c>
      <c r="F425" t="s">
        <v>9614</v>
      </c>
      <c r="G425" t="s">
        <v>187</v>
      </c>
    </row>
    <row r="426" spans="1:7" x14ac:dyDescent="0.25">
      <c r="A426" t="s">
        <v>2571</v>
      </c>
      <c r="B426" t="s">
        <v>984</v>
      </c>
      <c r="C426">
        <v>1998</v>
      </c>
      <c r="E426" t="s">
        <v>2988</v>
      </c>
      <c r="F426" t="s">
        <v>9615</v>
      </c>
      <c r="G426" t="s">
        <v>187</v>
      </c>
    </row>
    <row r="427" spans="1:7" x14ac:dyDescent="0.25">
      <c r="A427" t="s">
        <v>1576</v>
      </c>
      <c r="B427" t="s">
        <v>988</v>
      </c>
      <c r="C427">
        <v>2021</v>
      </c>
      <c r="E427" t="s">
        <v>2982</v>
      </c>
      <c r="F427" t="s">
        <v>8903</v>
      </c>
      <c r="G427" t="s">
        <v>3996</v>
      </c>
    </row>
    <row r="428" spans="1:7" x14ac:dyDescent="0.25">
      <c r="A428" t="s">
        <v>160</v>
      </c>
      <c r="B428" t="s">
        <v>992</v>
      </c>
      <c r="C428">
        <v>2011</v>
      </c>
      <c r="E428" t="s">
        <v>2982</v>
      </c>
      <c r="F428" t="s">
        <v>9286</v>
      </c>
      <c r="G428" t="s">
        <v>3996</v>
      </c>
    </row>
    <row r="429" spans="1:7" x14ac:dyDescent="0.25">
      <c r="A429" t="s">
        <v>2173</v>
      </c>
      <c r="B429" t="s">
        <v>998</v>
      </c>
      <c r="C429">
        <v>2013</v>
      </c>
      <c r="E429" s="10" t="s">
        <v>8357</v>
      </c>
      <c r="F429" t="s">
        <v>9616</v>
      </c>
      <c r="G429" t="s">
        <v>187</v>
      </c>
    </row>
    <row r="430" spans="1:7" x14ac:dyDescent="0.25">
      <c r="A430" t="s">
        <v>759</v>
      </c>
      <c r="B430" t="s">
        <v>1002</v>
      </c>
      <c r="C430">
        <v>2018</v>
      </c>
      <c r="E430" t="s">
        <v>3117</v>
      </c>
      <c r="F430" t="s">
        <v>8635</v>
      </c>
      <c r="G430" t="s">
        <v>3996</v>
      </c>
    </row>
    <row r="431" spans="1:7" x14ac:dyDescent="0.25">
      <c r="A431" t="s">
        <v>1294</v>
      </c>
      <c r="B431" t="s">
        <v>1002</v>
      </c>
      <c r="C431">
        <v>2019</v>
      </c>
      <c r="E431" t="s">
        <v>3117</v>
      </c>
      <c r="F431" t="s">
        <v>8814</v>
      </c>
      <c r="G431" t="s">
        <v>3996</v>
      </c>
    </row>
    <row r="432" spans="1:7" x14ac:dyDescent="0.25">
      <c r="A432" t="s">
        <v>2173</v>
      </c>
      <c r="B432" t="s">
        <v>1002</v>
      </c>
      <c r="C432">
        <v>2013</v>
      </c>
      <c r="E432" t="s">
        <v>3117</v>
      </c>
      <c r="F432" t="s">
        <v>9064</v>
      </c>
      <c r="G432" t="s">
        <v>3996</v>
      </c>
    </row>
    <row r="433" spans="1:7" x14ac:dyDescent="0.25">
      <c r="A433" t="s">
        <v>2428</v>
      </c>
      <c r="B433" t="s">
        <v>1002</v>
      </c>
      <c r="C433">
        <v>2008</v>
      </c>
      <c r="E433" t="s">
        <v>3117</v>
      </c>
      <c r="F433" t="s">
        <v>9219</v>
      </c>
      <c r="G433" t="s">
        <v>3996</v>
      </c>
    </row>
    <row r="434" spans="1:7" x14ac:dyDescent="0.25">
      <c r="A434" t="s">
        <v>1284</v>
      </c>
      <c r="B434" t="s">
        <v>1004</v>
      </c>
      <c r="C434">
        <v>1984</v>
      </c>
      <c r="E434" t="s">
        <v>3221</v>
      </c>
      <c r="F434" t="s">
        <v>8796</v>
      </c>
      <c r="G434" t="s">
        <v>3996</v>
      </c>
    </row>
    <row r="435" spans="1:7" x14ac:dyDescent="0.25">
      <c r="A435" t="s">
        <v>2594</v>
      </c>
      <c r="B435" t="s">
        <v>1008</v>
      </c>
      <c r="C435">
        <v>2019</v>
      </c>
      <c r="E435" t="s">
        <v>2982</v>
      </c>
      <c r="F435" t="s">
        <v>9265</v>
      </c>
      <c r="G435" t="s">
        <v>3996</v>
      </c>
    </row>
    <row r="436" spans="1:7" x14ac:dyDescent="0.25">
      <c r="A436" t="s">
        <v>2428</v>
      </c>
      <c r="B436" t="s">
        <v>1014</v>
      </c>
      <c r="C436">
        <v>2008</v>
      </c>
      <c r="E436" t="s">
        <v>3394</v>
      </c>
      <c r="F436" t="s">
        <v>9220</v>
      </c>
      <c r="G436" t="s">
        <v>3996</v>
      </c>
    </row>
    <row r="437" spans="1:7" x14ac:dyDescent="0.25">
      <c r="A437" t="s">
        <v>2804</v>
      </c>
      <c r="B437" t="s">
        <v>1017</v>
      </c>
      <c r="C437">
        <v>2021</v>
      </c>
      <c r="E437" t="s">
        <v>3013</v>
      </c>
      <c r="F437" t="s">
        <v>9617</v>
      </c>
      <c r="G437" t="s">
        <v>187</v>
      </c>
    </row>
    <row r="438" spans="1:7" x14ac:dyDescent="0.25">
      <c r="A438" t="s">
        <v>2804</v>
      </c>
      <c r="B438" t="s">
        <v>1021</v>
      </c>
      <c r="C438">
        <v>2021</v>
      </c>
      <c r="E438" s="10" t="s">
        <v>9949</v>
      </c>
      <c r="F438" t="s">
        <v>9618</v>
      </c>
      <c r="G438" t="s">
        <v>3996</v>
      </c>
    </row>
    <row r="439" spans="1:7" x14ac:dyDescent="0.25">
      <c r="A439" t="s">
        <v>1027</v>
      </c>
      <c r="B439" t="s">
        <v>1025</v>
      </c>
      <c r="C439">
        <v>2008</v>
      </c>
      <c r="D439" t="s">
        <v>187</v>
      </c>
      <c r="F439" t="s">
        <v>9619</v>
      </c>
      <c r="G439" t="s">
        <v>3996</v>
      </c>
    </row>
    <row r="440" spans="1:7" x14ac:dyDescent="0.25">
      <c r="A440" t="s">
        <v>256</v>
      </c>
      <c r="B440" t="s">
        <v>1027</v>
      </c>
      <c r="C440">
        <v>1994</v>
      </c>
      <c r="F440" t="s">
        <v>9620</v>
      </c>
      <c r="G440" t="s">
        <v>187</v>
      </c>
    </row>
    <row r="441" spans="1:7" x14ac:dyDescent="0.25">
      <c r="A441" t="s">
        <v>260</v>
      </c>
      <c r="B441" t="s">
        <v>1027</v>
      </c>
      <c r="C441">
        <v>1990</v>
      </c>
      <c r="F441" t="s">
        <v>9621</v>
      </c>
      <c r="G441" t="s">
        <v>187</v>
      </c>
    </row>
    <row r="442" spans="1:7" x14ac:dyDescent="0.25">
      <c r="A442" t="s">
        <v>1795</v>
      </c>
      <c r="B442" t="s">
        <v>1027</v>
      </c>
      <c r="C442">
        <v>1987</v>
      </c>
      <c r="F442" t="s">
        <v>9622</v>
      </c>
      <c r="G442" t="s">
        <v>187</v>
      </c>
    </row>
    <row r="443" spans="1:7" x14ac:dyDescent="0.25">
      <c r="A443" t="s">
        <v>759</v>
      </c>
      <c r="B443" t="s">
        <v>1029</v>
      </c>
      <c r="C443">
        <v>2018</v>
      </c>
      <c r="E443" t="s">
        <v>2982</v>
      </c>
      <c r="F443" t="s">
        <v>9623</v>
      </c>
      <c r="G443" t="s">
        <v>187</v>
      </c>
    </row>
    <row r="444" spans="1:7" x14ac:dyDescent="0.25">
      <c r="A444" t="s">
        <v>1294</v>
      </c>
      <c r="B444" t="s">
        <v>1029</v>
      </c>
      <c r="C444">
        <v>2019</v>
      </c>
      <c r="E444" t="s">
        <v>2982</v>
      </c>
      <c r="F444" t="s">
        <v>9624</v>
      </c>
      <c r="G444" t="s">
        <v>187</v>
      </c>
    </row>
    <row r="445" spans="1:7" x14ac:dyDescent="0.25">
      <c r="A445" t="s">
        <v>90</v>
      </c>
      <c r="B445" t="s">
        <v>1029</v>
      </c>
      <c r="C445">
        <v>2017</v>
      </c>
      <c r="E445" t="s">
        <v>2982</v>
      </c>
      <c r="F445" t="s">
        <v>9625</v>
      </c>
      <c r="G445" t="s">
        <v>187</v>
      </c>
    </row>
    <row r="446" spans="1:7" x14ac:dyDescent="0.25">
      <c r="A446" t="s">
        <v>160</v>
      </c>
      <c r="B446" t="s">
        <v>1029</v>
      </c>
      <c r="C446">
        <v>2011</v>
      </c>
      <c r="E446" t="s">
        <v>2982</v>
      </c>
      <c r="F446" t="s">
        <v>9626</v>
      </c>
      <c r="G446" t="s">
        <v>187</v>
      </c>
    </row>
    <row r="447" spans="1:7" x14ac:dyDescent="0.25">
      <c r="A447" t="s">
        <v>90</v>
      </c>
      <c r="B447" t="s">
        <v>1034</v>
      </c>
      <c r="C447">
        <v>2017</v>
      </c>
      <c r="E447" t="s">
        <v>3359</v>
      </c>
      <c r="F447" t="s">
        <v>9128</v>
      </c>
      <c r="G447" t="s">
        <v>3996</v>
      </c>
    </row>
    <row r="448" spans="1:7" x14ac:dyDescent="0.25">
      <c r="A448" t="s">
        <v>1576</v>
      </c>
      <c r="B448" t="s">
        <v>1038</v>
      </c>
      <c r="C448">
        <v>2021</v>
      </c>
      <c r="E448" t="s">
        <v>3013</v>
      </c>
      <c r="F448" t="s">
        <v>9627</v>
      </c>
      <c r="G448" t="s">
        <v>187</v>
      </c>
    </row>
    <row r="449" spans="1:7" x14ac:dyDescent="0.25">
      <c r="A449" t="s">
        <v>2136</v>
      </c>
      <c r="B449" t="s">
        <v>1042</v>
      </c>
      <c r="C449">
        <v>2020</v>
      </c>
      <c r="E449" t="s">
        <v>3315</v>
      </c>
      <c r="F449" t="s">
        <v>9628</v>
      </c>
      <c r="G449" t="s">
        <v>187</v>
      </c>
    </row>
    <row r="450" spans="1:7" x14ac:dyDescent="0.25">
      <c r="A450" t="s">
        <v>1855</v>
      </c>
      <c r="B450" t="s">
        <v>1046</v>
      </c>
      <c r="C450">
        <v>2015</v>
      </c>
      <c r="E450" t="s">
        <v>3299</v>
      </c>
      <c r="F450" t="s">
        <v>8981</v>
      </c>
      <c r="G450" t="s">
        <v>3996</v>
      </c>
    </row>
    <row r="451" spans="1:7" x14ac:dyDescent="0.25">
      <c r="A451" t="s">
        <v>2428</v>
      </c>
      <c r="B451" t="s">
        <v>1046</v>
      </c>
      <c r="C451">
        <v>2008</v>
      </c>
      <c r="E451" t="s">
        <v>3299</v>
      </c>
      <c r="F451" t="s">
        <v>9221</v>
      </c>
      <c r="G451" t="s">
        <v>3996</v>
      </c>
    </row>
    <row r="452" spans="1:7" x14ac:dyDescent="0.25">
      <c r="A452" t="s">
        <v>160</v>
      </c>
      <c r="B452" t="s">
        <v>1046</v>
      </c>
      <c r="C452">
        <v>2011</v>
      </c>
      <c r="E452" t="s">
        <v>3299</v>
      </c>
      <c r="F452" t="s">
        <v>9287</v>
      </c>
      <c r="G452" t="s">
        <v>3996</v>
      </c>
    </row>
    <row r="453" spans="1:7" x14ac:dyDescent="0.25">
      <c r="A453" t="s">
        <v>490</v>
      </c>
      <c r="B453" t="s">
        <v>1050</v>
      </c>
      <c r="C453">
        <v>2009</v>
      </c>
      <c r="E453" t="s">
        <v>3058</v>
      </c>
      <c r="F453" t="s">
        <v>8555</v>
      </c>
      <c r="G453" t="s">
        <v>3996</v>
      </c>
    </row>
    <row r="454" spans="1:7" x14ac:dyDescent="0.25">
      <c r="A454" t="s">
        <v>746</v>
      </c>
      <c r="B454" t="s">
        <v>1050</v>
      </c>
      <c r="C454">
        <v>2015</v>
      </c>
      <c r="E454" t="s">
        <v>3102</v>
      </c>
      <c r="F454" t="s">
        <v>8614</v>
      </c>
      <c r="G454" t="s">
        <v>3996</v>
      </c>
    </row>
    <row r="455" spans="1:7" x14ac:dyDescent="0.25">
      <c r="A455" t="s">
        <v>847</v>
      </c>
      <c r="B455" t="s">
        <v>1050</v>
      </c>
      <c r="C455">
        <v>1996</v>
      </c>
      <c r="E455" t="s">
        <v>3058</v>
      </c>
      <c r="F455" t="s">
        <v>8668</v>
      </c>
      <c r="G455" t="s">
        <v>3996</v>
      </c>
    </row>
    <row r="456" spans="1:7" x14ac:dyDescent="0.25">
      <c r="A456" t="s">
        <v>1046</v>
      </c>
      <c r="B456" t="s">
        <v>1050</v>
      </c>
      <c r="C456">
        <v>2016</v>
      </c>
      <c r="E456" t="s">
        <v>3102</v>
      </c>
      <c r="F456" t="s">
        <v>8736</v>
      </c>
      <c r="G456" t="s">
        <v>3996</v>
      </c>
    </row>
    <row r="457" spans="1:7" x14ac:dyDescent="0.25">
      <c r="A457" t="s">
        <v>1365</v>
      </c>
      <c r="B457" t="s">
        <v>1050</v>
      </c>
      <c r="C457">
        <v>2018</v>
      </c>
      <c r="E457" t="s">
        <v>3102</v>
      </c>
      <c r="F457" t="s">
        <v>8845</v>
      </c>
      <c r="G457" t="s">
        <v>3996</v>
      </c>
    </row>
    <row r="458" spans="1:7" x14ac:dyDescent="0.25">
      <c r="A458" t="s">
        <v>2481</v>
      </c>
      <c r="B458" t="s">
        <v>1050</v>
      </c>
      <c r="C458">
        <v>2020</v>
      </c>
      <c r="E458" t="s">
        <v>3058</v>
      </c>
      <c r="F458" t="s">
        <v>9245</v>
      </c>
      <c r="G458" t="s">
        <v>3996</v>
      </c>
    </row>
    <row r="459" spans="1:7" x14ac:dyDescent="0.25">
      <c r="A459" t="s">
        <v>2625</v>
      </c>
      <c r="B459" t="s">
        <v>1052</v>
      </c>
      <c r="C459">
        <v>2000</v>
      </c>
      <c r="D459" t="s">
        <v>187</v>
      </c>
      <c r="E459" t="s">
        <v>3328</v>
      </c>
      <c r="F459" t="s">
        <v>9327</v>
      </c>
      <c r="G459" t="s">
        <v>3996</v>
      </c>
    </row>
    <row r="460" spans="1:7" x14ac:dyDescent="0.25">
      <c r="A460" t="s">
        <v>2721</v>
      </c>
      <c r="B460" t="s">
        <v>1055</v>
      </c>
      <c r="C460">
        <v>1993</v>
      </c>
      <c r="D460" t="s">
        <v>187</v>
      </c>
      <c r="F460" t="s">
        <v>9629</v>
      </c>
      <c r="G460" t="s">
        <v>3996</v>
      </c>
    </row>
    <row r="461" spans="1:7" x14ac:dyDescent="0.25">
      <c r="A461" t="s">
        <v>1055</v>
      </c>
      <c r="B461" t="s">
        <v>1057</v>
      </c>
      <c r="C461">
        <v>2015</v>
      </c>
      <c r="D461" t="s">
        <v>187</v>
      </c>
      <c r="F461" t="s">
        <v>9630</v>
      </c>
      <c r="G461" t="s">
        <v>3996</v>
      </c>
    </row>
    <row r="462" spans="1:7" x14ac:dyDescent="0.25">
      <c r="A462" t="s">
        <v>778</v>
      </c>
      <c r="B462" t="s">
        <v>1059</v>
      </c>
      <c r="C462">
        <v>2023</v>
      </c>
      <c r="E462" t="s">
        <v>2982</v>
      </c>
      <c r="F462" t="s">
        <v>8649</v>
      </c>
      <c r="G462" t="s">
        <v>3996</v>
      </c>
    </row>
    <row r="463" spans="1:7" x14ac:dyDescent="0.25">
      <c r="A463" t="s">
        <v>2136</v>
      </c>
      <c r="B463" t="s">
        <v>1059</v>
      </c>
      <c r="C463">
        <v>2020</v>
      </c>
      <c r="E463" t="s">
        <v>2982</v>
      </c>
      <c r="F463" t="s">
        <v>9026</v>
      </c>
      <c r="G463" t="s">
        <v>3996</v>
      </c>
    </row>
    <row r="464" spans="1:7" x14ac:dyDescent="0.25">
      <c r="A464" t="s">
        <v>90</v>
      </c>
      <c r="B464" t="s">
        <v>1059</v>
      </c>
      <c r="C464">
        <v>2017</v>
      </c>
      <c r="E464" t="s">
        <v>2982</v>
      </c>
      <c r="F464" t="s">
        <v>9129</v>
      </c>
      <c r="G464" t="s">
        <v>3996</v>
      </c>
    </row>
    <row r="465" spans="1:7" x14ac:dyDescent="0.25">
      <c r="A465" t="s">
        <v>930</v>
      </c>
      <c r="B465" t="s">
        <v>1067</v>
      </c>
      <c r="C465">
        <v>2015</v>
      </c>
      <c r="E465" s="10" t="s">
        <v>8428</v>
      </c>
      <c r="F465" t="s">
        <v>8702</v>
      </c>
      <c r="G465" t="s">
        <v>3996</v>
      </c>
    </row>
    <row r="466" spans="1:7" x14ac:dyDescent="0.25">
      <c r="A466" t="s">
        <v>1046</v>
      </c>
      <c r="B466" t="s">
        <v>1067</v>
      </c>
      <c r="C466">
        <v>2016</v>
      </c>
      <c r="D466" t="s">
        <v>187</v>
      </c>
      <c r="F466" t="s">
        <v>9631</v>
      </c>
      <c r="G466" t="s">
        <v>3996</v>
      </c>
    </row>
    <row r="467" spans="1:7" x14ac:dyDescent="0.25">
      <c r="A467" t="s">
        <v>2506</v>
      </c>
      <c r="B467" t="s">
        <v>1071</v>
      </c>
      <c r="C467">
        <v>2021</v>
      </c>
      <c r="E467" t="s">
        <v>3013</v>
      </c>
      <c r="F467" t="s">
        <v>9632</v>
      </c>
      <c r="G467" t="s">
        <v>187</v>
      </c>
    </row>
    <row r="468" spans="1:7" x14ac:dyDescent="0.25">
      <c r="A468" t="s">
        <v>2154</v>
      </c>
      <c r="B468" t="s">
        <v>1080</v>
      </c>
      <c r="C468">
        <v>1980</v>
      </c>
      <c r="E468" t="s">
        <v>3323</v>
      </c>
      <c r="F468" t="s">
        <v>9045</v>
      </c>
      <c r="G468" t="s">
        <v>3996</v>
      </c>
    </row>
    <row r="469" spans="1:7" x14ac:dyDescent="0.25">
      <c r="A469" t="s">
        <v>1795</v>
      </c>
      <c r="B469" t="s">
        <v>1083</v>
      </c>
      <c r="C469">
        <v>1987</v>
      </c>
      <c r="E469" t="s">
        <v>3279</v>
      </c>
      <c r="F469" t="s">
        <v>8945</v>
      </c>
      <c r="G469" t="s">
        <v>3996</v>
      </c>
    </row>
    <row r="470" spans="1:7" x14ac:dyDescent="0.25">
      <c r="A470" t="s">
        <v>904</v>
      </c>
      <c r="B470" t="s">
        <v>1085</v>
      </c>
      <c r="C470">
        <v>2022</v>
      </c>
      <c r="E470" t="s">
        <v>1088</v>
      </c>
      <c r="F470" t="s">
        <v>8689</v>
      </c>
      <c r="G470" t="s">
        <v>3996</v>
      </c>
    </row>
    <row r="471" spans="1:7" x14ac:dyDescent="0.25">
      <c r="A471" t="s">
        <v>2428</v>
      </c>
      <c r="B471" t="s">
        <v>1085</v>
      </c>
      <c r="C471">
        <v>2008</v>
      </c>
      <c r="E471" t="s">
        <v>1088</v>
      </c>
      <c r="F471" t="s">
        <v>9222</v>
      </c>
      <c r="G471" t="s">
        <v>3996</v>
      </c>
    </row>
    <row r="472" spans="1:7" x14ac:dyDescent="0.25">
      <c r="A472" t="s">
        <v>1443</v>
      </c>
      <c r="B472" t="s">
        <v>1089</v>
      </c>
      <c r="C472">
        <v>2018</v>
      </c>
      <c r="E472" t="s">
        <v>3249</v>
      </c>
      <c r="F472" t="s">
        <v>9633</v>
      </c>
      <c r="G472" t="s">
        <v>187</v>
      </c>
    </row>
    <row r="473" spans="1:7" x14ac:dyDescent="0.25">
      <c r="A473" t="s">
        <v>90</v>
      </c>
      <c r="B473" t="s">
        <v>1089</v>
      </c>
      <c r="C473">
        <v>2017</v>
      </c>
      <c r="E473" t="s">
        <v>3249</v>
      </c>
      <c r="F473" t="s">
        <v>9634</v>
      </c>
      <c r="G473" t="s">
        <v>187</v>
      </c>
    </row>
    <row r="474" spans="1:7" x14ac:dyDescent="0.25">
      <c r="A474" t="s">
        <v>578</v>
      </c>
      <c r="B474" t="s">
        <v>1093</v>
      </c>
      <c r="C474">
        <v>1998</v>
      </c>
      <c r="D474" t="s">
        <v>187</v>
      </c>
      <c r="F474" t="s">
        <v>9635</v>
      </c>
      <c r="G474" t="s">
        <v>3996</v>
      </c>
    </row>
    <row r="475" spans="1:7" x14ac:dyDescent="0.25">
      <c r="A475" t="s">
        <v>2804</v>
      </c>
      <c r="B475" t="s">
        <v>1096</v>
      </c>
      <c r="C475">
        <v>2021</v>
      </c>
      <c r="E475" t="s">
        <v>1099</v>
      </c>
      <c r="F475" t="s">
        <v>9347</v>
      </c>
      <c r="G475" t="s">
        <v>3996</v>
      </c>
    </row>
    <row r="476" spans="1:7" x14ac:dyDescent="0.25">
      <c r="A476" t="s">
        <v>2377</v>
      </c>
      <c r="B476" t="s">
        <v>1100</v>
      </c>
      <c r="C476">
        <v>2021</v>
      </c>
      <c r="E476" t="s">
        <v>3013</v>
      </c>
      <c r="F476" t="s">
        <v>9636</v>
      </c>
      <c r="G476" t="s">
        <v>187</v>
      </c>
    </row>
    <row r="477" spans="1:7" x14ac:dyDescent="0.25">
      <c r="A477" t="s">
        <v>2173</v>
      </c>
      <c r="B477" t="s">
        <v>1104</v>
      </c>
      <c r="C477">
        <v>2013</v>
      </c>
      <c r="E477" t="s">
        <v>3333</v>
      </c>
      <c r="F477" t="s">
        <v>9065</v>
      </c>
      <c r="G477" t="s">
        <v>3996</v>
      </c>
    </row>
    <row r="478" spans="1:7" x14ac:dyDescent="0.25">
      <c r="A478" t="s">
        <v>2428</v>
      </c>
      <c r="B478" t="s">
        <v>1104</v>
      </c>
      <c r="C478">
        <v>2008</v>
      </c>
      <c r="E478" t="s">
        <v>3333</v>
      </c>
      <c r="F478" t="s">
        <v>9223</v>
      </c>
      <c r="G478" t="s">
        <v>3996</v>
      </c>
    </row>
    <row r="479" spans="1:7" x14ac:dyDescent="0.25">
      <c r="A479" t="s">
        <v>786</v>
      </c>
      <c r="B479" t="s">
        <v>1108</v>
      </c>
      <c r="C479">
        <v>2023</v>
      </c>
      <c r="E479" t="s">
        <v>2982</v>
      </c>
      <c r="F479" t="s">
        <v>8653</v>
      </c>
      <c r="G479" t="s">
        <v>3996</v>
      </c>
    </row>
    <row r="480" spans="1:7" x14ac:dyDescent="0.25">
      <c r="A480" t="s">
        <v>1089</v>
      </c>
      <c r="B480" t="s">
        <v>1108</v>
      </c>
      <c r="C480">
        <v>2021</v>
      </c>
      <c r="E480" t="s">
        <v>2982</v>
      </c>
      <c r="F480" t="s">
        <v>8754</v>
      </c>
      <c r="G480" t="s">
        <v>3996</v>
      </c>
    </row>
    <row r="481" spans="1:7" x14ac:dyDescent="0.25">
      <c r="A481" t="s">
        <v>1443</v>
      </c>
      <c r="B481" t="s">
        <v>1108</v>
      </c>
      <c r="C481">
        <v>2018</v>
      </c>
      <c r="E481" t="s">
        <v>3250</v>
      </c>
      <c r="F481" t="s">
        <v>8872</v>
      </c>
      <c r="G481" t="s">
        <v>3996</v>
      </c>
    </row>
    <row r="482" spans="1:7" x14ac:dyDescent="0.25">
      <c r="A482" t="s">
        <v>90</v>
      </c>
      <c r="B482" t="s">
        <v>1108</v>
      </c>
      <c r="C482">
        <v>2017</v>
      </c>
      <c r="E482" t="s">
        <v>3250</v>
      </c>
      <c r="F482" t="s">
        <v>9130</v>
      </c>
      <c r="G482" t="s">
        <v>3996</v>
      </c>
    </row>
    <row r="483" spans="1:7" x14ac:dyDescent="0.25">
      <c r="A483" t="s">
        <v>346</v>
      </c>
      <c r="B483" t="s">
        <v>1111</v>
      </c>
      <c r="C483">
        <v>2022</v>
      </c>
      <c r="E483" s="10" t="s">
        <v>8358</v>
      </c>
      <c r="F483" t="s">
        <v>8504</v>
      </c>
      <c r="G483" t="s">
        <v>3996</v>
      </c>
    </row>
    <row r="484" spans="1:7" x14ac:dyDescent="0.25">
      <c r="A484" t="s">
        <v>497</v>
      </c>
      <c r="B484" t="s">
        <v>1111</v>
      </c>
      <c r="C484">
        <v>2022</v>
      </c>
      <c r="E484" s="10" t="s">
        <v>8358</v>
      </c>
      <c r="F484" t="s">
        <v>8566</v>
      </c>
      <c r="G484" t="s">
        <v>3996</v>
      </c>
    </row>
    <row r="485" spans="1:7" x14ac:dyDescent="0.25">
      <c r="A485" t="s">
        <v>1951</v>
      </c>
      <c r="B485" t="s">
        <v>1111</v>
      </c>
      <c r="C485">
        <v>2022</v>
      </c>
      <c r="E485" s="10" t="s">
        <v>8358</v>
      </c>
      <c r="F485" t="s">
        <v>9001</v>
      </c>
      <c r="G485" t="s">
        <v>3996</v>
      </c>
    </row>
    <row r="486" spans="1:7" x14ac:dyDescent="0.25">
      <c r="A486" t="s">
        <v>1115</v>
      </c>
      <c r="B486" t="s">
        <v>1119</v>
      </c>
      <c r="C486">
        <v>2018</v>
      </c>
      <c r="D486" t="s">
        <v>187</v>
      </c>
      <c r="F486" t="s">
        <v>9637</v>
      </c>
      <c r="G486" t="s">
        <v>3996</v>
      </c>
    </row>
    <row r="487" spans="1:7" x14ac:dyDescent="0.25">
      <c r="A487" t="s">
        <v>1144</v>
      </c>
      <c r="B487" t="s">
        <v>1123</v>
      </c>
      <c r="C487">
        <v>2012</v>
      </c>
      <c r="E487" t="s">
        <v>3203</v>
      </c>
      <c r="F487" t="s">
        <v>8767</v>
      </c>
      <c r="G487" t="s">
        <v>3996</v>
      </c>
    </row>
    <row r="488" spans="1:7" x14ac:dyDescent="0.25">
      <c r="A488" t="s">
        <v>90</v>
      </c>
      <c r="B488" t="s">
        <v>1123</v>
      </c>
      <c r="C488">
        <v>2017</v>
      </c>
      <c r="E488" t="s">
        <v>3203</v>
      </c>
      <c r="F488" t="s">
        <v>9131</v>
      </c>
      <c r="G488" t="s">
        <v>3996</v>
      </c>
    </row>
    <row r="489" spans="1:7" x14ac:dyDescent="0.25">
      <c r="A489" t="s">
        <v>1294</v>
      </c>
      <c r="B489" t="s">
        <v>1129</v>
      </c>
      <c r="C489">
        <v>2019</v>
      </c>
      <c r="E489" t="s">
        <v>3227</v>
      </c>
      <c r="F489" t="s">
        <v>8815</v>
      </c>
      <c r="G489" t="s">
        <v>3996</v>
      </c>
    </row>
    <row r="490" spans="1:7" x14ac:dyDescent="0.25">
      <c r="A490" t="s">
        <v>90</v>
      </c>
      <c r="B490" t="s">
        <v>1129</v>
      </c>
      <c r="C490">
        <v>2017</v>
      </c>
      <c r="E490" t="s">
        <v>3227</v>
      </c>
      <c r="F490" t="s">
        <v>9132</v>
      </c>
      <c r="G490" t="s">
        <v>3996</v>
      </c>
    </row>
    <row r="491" spans="1:7" x14ac:dyDescent="0.25">
      <c r="A491" t="s">
        <v>160</v>
      </c>
      <c r="B491" t="s">
        <v>1133</v>
      </c>
      <c r="C491">
        <v>2011</v>
      </c>
      <c r="E491" t="s">
        <v>3013</v>
      </c>
      <c r="F491" t="s">
        <v>9638</v>
      </c>
      <c r="G491" t="s">
        <v>187</v>
      </c>
    </row>
    <row r="492" spans="1:7" x14ac:dyDescent="0.25">
      <c r="A492" t="s">
        <v>1435</v>
      </c>
      <c r="B492" t="s">
        <v>1137</v>
      </c>
      <c r="C492">
        <v>2021</v>
      </c>
      <c r="E492" t="s">
        <v>3242</v>
      </c>
      <c r="F492" t="s">
        <v>8854</v>
      </c>
      <c r="G492" t="s">
        <v>3996</v>
      </c>
    </row>
    <row r="493" spans="1:7" x14ac:dyDescent="0.25">
      <c r="A493" t="s">
        <v>256</v>
      </c>
      <c r="B493" t="s">
        <v>1141</v>
      </c>
      <c r="C493">
        <v>1994</v>
      </c>
      <c r="E493" t="s">
        <v>2989</v>
      </c>
      <c r="F493" t="s">
        <v>8473</v>
      </c>
      <c r="G493" t="s">
        <v>3996</v>
      </c>
    </row>
    <row r="494" spans="1:7" x14ac:dyDescent="0.25">
      <c r="A494" t="s">
        <v>922</v>
      </c>
      <c r="B494" t="s">
        <v>1141</v>
      </c>
      <c r="C494">
        <v>2002</v>
      </c>
      <c r="E494" t="s">
        <v>2989</v>
      </c>
      <c r="F494" t="s">
        <v>8696</v>
      </c>
      <c r="G494" t="s">
        <v>3996</v>
      </c>
    </row>
    <row r="495" spans="1:7" x14ac:dyDescent="0.25">
      <c r="A495" t="s">
        <v>1538</v>
      </c>
      <c r="B495" t="s">
        <v>1141</v>
      </c>
      <c r="C495">
        <v>1995</v>
      </c>
      <c r="E495" t="s">
        <v>2989</v>
      </c>
      <c r="F495" t="s">
        <v>9447</v>
      </c>
      <c r="G495" t="s">
        <v>3996</v>
      </c>
    </row>
    <row r="496" spans="1:7" x14ac:dyDescent="0.25">
      <c r="A496" t="s">
        <v>1795</v>
      </c>
      <c r="B496" t="s">
        <v>1141</v>
      </c>
      <c r="C496">
        <v>1987</v>
      </c>
      <c r="E496" t="s">
        <v>2989</v>
      </c>
      <c r="F496" t="s">
        <v>8946</v>
      </c>
      <c r="G496" t="s">
        <v>3996</v>
      </c>
    </row>
    <row r="497" spans="1:7" x14ac:dyDescent="0.25">
      <c r="A497" t="s">
        <v>2428</v>
      </c>
      <c r="B497" t="s">
        <v>1144</v>
      </c>
      <c r="C497">
        <v>2008</v>
      </c>
      <c r="E497" t="s">
        <v>3395</v>
      </c>
      <c r="F497" t="s">
        <v>9639</v>
      </c>
      <c r="G497" t="s">
        <v>187</v>
      </c>
    </row>
    <row r="498" spans="1:7" x14ac:dyDescent="0.25">
      <c r="A498" t="s">
        <v>2874</v>
      </c>
      <c r="B498" t="s">
        <v>1144</v>
      </c>
      <c r="C498">
        <v>2005</v>
      </c>
      <c r="E498" s="10" t="s">
        <v>8408</v>
      </c>
      <c r="F498" t="s">
        <v>9379</v>
      </c>
      <c r="G498" t="s">
        <v>3996</v>
      </c>
    </row>
    <row r="499" spans="1:7" x14ac:dyDescent="0.25">
      <c r="A499" t="s">
        <v>160</v>
      </c>
      <c r="B499" t="s">
        <v>1148</v>
      </c>
      <c r="C499">
        <v>2011</v>
      </c>
      <c r="E499" t="s">
        <v>3407</v>
      </c>
      <c r="F499" t="s">
        <v>9288</v>
      </c>
      <c r="G499" t="s">
        <v>3996</v>
      </c>
    </row>
    <row r="500" spans="1:7" x14ac:dyDescent="0.25">
      <c r="A500" t="s">
        <v>759</v>
      </c>
      <c r="B500" t="s">
        <v>1151</v>
      </c>
      <c r="C500">
        <v>2018</v>
      </c>
      <c r="E500" t="s">
        <v>3118</v>
      </c>
      <c r="F500" t="s">
        <v>8636</v>
      </c>
      <c r="G500" t="s">
        <v>3996</v>
      </c>
    </row>
    <row r="501" spans="1:7" x14ac:dyDescent="0.25">
      <c r="A501" t="s">
        <v>2173</v>
      </c>
      <c r="B501" t="s">
        <v>1151</v>
      </c>
      <c r="C501">
        <v>2013</v>
      </c>
      <c r="E501" t="s">
        <v>3118</v>
      </c>
      <c r="F501" t="s">
        <v>9066</v>
      </c>
      <c r="G501" t="s">
        <v>3996</v>
      </c>
    </row>
    <row r="502" spans="1:7" x14ac:dyDescent="0.25">
      <c r="A502" t="s">
        <v>2715</v>
      </c>
      <c r="B502" t="s">
        <v>1155</v>
      </c>
      <c r="C502">
        <v>1999</v>
      </c>
      <c r="E502" t="s">
        <v>3420</v>
      </c>
      <c r="F502" t="s">
        <v>9332</v>
      </c>
      <c r="G502" t="s">
        <v>3996</v>
      </c>
    </row>
    <row r="503" spans="1:7" x14ac:dyDescent="0.25">
      <c r="A503" t="s">
        <v>1661</v>
      </c>
      <c r="B503" t="s">
        <v>1157</v>
      </c>
      <c r="C503">
        <v>2011</v>
      </c>
      <c r="D503" t="s">
        <v>187</v>
      </c>
      <c r="F503" t="s">
        <v>9640</v>
      </c>
      <c r="G503" t="s">
        <v>3996</v>
      </c>
    </row>
    <row r="504" spans="1:7" x14ac:dyDescent="0.25">
      <c r="A504" t="s">
        <v>1746</v>
      </c>
      <c r="B504" t="s">
        <v>1157</v>
      </c>
      <c r="C504">
        <v>2011</v>
      </c>
      <c r="D504" t="s">
        <v>187</v>
      </c>
      <c r="F504" t="s">
        <v>9641</v>
      </c>
      <c r="G504" t="s">
        <v>3996</v>
      </c>
    </row>
    <row r="505" spans="1:7" x14ac:dyDescent="0.25">
      <c r="A505" t="s">
        <v>759</v>
      </c>
      <c r="B505" t="s">
        <v>1159</v>
      </c>
      <c r="C505">
        <v>2018</v>
      </c>
      <c r="E505" t="s">
        <v>3119</v>
      </c>
      <c r="F505" t="s">
        <v>8637</v>
      </c>
      <c r="G505" t="s">
        <v>3996</v>
      </c>
    </row>
    <row r="506" spans="1:7" x14ac:dyDescent="0.25">
      <c r="A506" t="s">
        <v>1046</v>
      </c>
      <c r="B506" t="s">
        <v>1159</v>
      </c>
      <c r="C506">
        <v>2016</v>
      </c>
      <c r="E506" t="s">
        <v>3119</v>
      </c>
      <c r="F506" t="s">
        <v>8737</v>
      </c>
      <c r="G506" t="s">
        <v>3996</v>
      </c>
    </row>
    <row r="507" spans="1:7" x14ac:dyDescent="0.25">
      <c r="A507" t="s">
        <v>2254</v>
      </c>
      <c r="B507" t="s">
        <v>1159</v>
      </c>
      <c r="C507">
        <v>2020</v>
      </c>
      <c r="E507" t="s">
        <v>2982</v>
      </c>
      <c r="F507" t="s">
        <v>9081</v>
      </c>
      <c r="G507" t="s">
        <v>3996</v>
      </c>
    </row>
    <row r="508" spans="1:7" x14ac:dyDescent="0.25">
      <c r="A508" t="s">
        <v>353</v>
      </c>
      <c r="B508" t="s">
        <v>1163</v>
      </c>
      <c r="C508">
        <v>2023</v>
      </c>
      <c r="E508" t="s">
        <v>3030</v>
      </c>
      <c r="F508" t="s">
        <v>8524</v>
      </c>
      <c r="G508" t="s">
        <v>3996</v>
      </c>
    </row>
    <row r="509" spans="1:7" x14ac:dyDescent="0.25">
      <c r="A509" t="s">
        <v>709</v>
      </c>
      <c r="B509" t="s">
        <v>1166</v>
      </c>
      <c r="C509">
        <v>2022</v>
      </c>
      <c r="E509" t="s">
        <v>3089</v>
      </c>
      <c r="F509" t="s">
        <v>8599</v>
      </c>
      <c r="G509" t="s">
        <v>3996</v>
      </c>
    </row>
    <row r="510" spans="1:7" x14ac:dyDescent="0.25">
      <c r="A510" t="s">
        <v>1294</v>
      </c>
      <c r="B510" t="s">
        <v>1166</v>
      </c>
      <c r="C510">
        <v>2019</v>
      </c>
      <c r="E510" t="s">
        <v>3089</v>
      </c>
      <c r="F510" t="s">
        <v>8816</v>
      </c>
      <c r="G510" t="s">
        <v>3996</v>
      </c>
    </row>
    <row r="511" spans="1:7" x14ac:dyDescent="0.25">
      <c r="A511" t="s">
        <v>2136</v>
      </c>
      <c r="B511" t="s">
        <v>1168</v>
      </c>
      <c r="C511">
        <v>2020</v>
      </c>
      <c r="E511" t="s">
        <v>3013</v>
      </c>
      <c r="F511" t="s">
        <v>9642</v>
      </c>
      <c r="G511" t="s">
        <v>187</v>
      </c>
    </row>
    <row r="512" spans="1:7" x14ac:dyDescent="0.25">
      <c r="A512" t="s">
        <v>256</v>
      </c>
      <c r="B512" t="s">
        <v>1171</v>
      </c>
      <c r="C512">
        <v>1994</v>
      </c>
      <c r="E512" s="10" t="s">
        <v>8450</v>
      </c>
      <c r="F512" t="s">
        <v>8451</v>
      </c>
      <c r="G512" t="s">
        <v>3996</v>
      </c>
    </row>
    <row r="513" spans="1:7" x14ac:dyDescent="0.25">
      <c r="A513" t="s">
        <v>1284</v>
      </c>
      <c r="B513" t="s">
        <v>1171</v>
      </c>
      <c r="C513">
        <v>1984</v>
      </c>
      <c r="E513" t="s">
        <v>3222</v>
      </c>
      <c r="F513" t="s">
        <v>8797</v>
      </c>
      <c r="G513" t="s">
        <v>3996</v>
      </c>
    </row>
    <row r="514" spans="1:7" x14ac:dyDescent="0.25">
      <c r="A514" t="s">
        <v>1171</v>
      </c>
      <c r="B514" t="s">
        <v>1174</v>
      </c>
      <c r="C514">
        <v>2002</v>
      </c>
      <c r="D514" t="s">
        <v>187</v>
      </c>
      <c r="F514" t="s">
        <v>9643</v>
      </c>
      <c r="G514" t="s">
        <v>3996</v>
      </c>
    </row>
    <row r="515" spans="1:7" x14ac:dyDescent="0.25">
      <c r="A515" t="s">
        <v>256</v>
      </c>
      <c r="B515" t="s">
        <v>1177</v>
      </c>
      <c r="C515">
        <v>1994</v>
      </c>
      <c r="E515" t="s">
        <v>2990</v>
      </c>
      <c r="F515" t="s">
        <v>8474</v>
      </c>
      <c r="G515" t="s">
        <v>3996</v>
      </c>
    </row>
    <row r="516" spans="1:7" x14ac:dyDescent="0.25">
      <c r="A516" t="s">
        <v>1174</v>
      </c>
      <c r="B516" t="s">
        <v>1177</v>
      </c>
      <c r="C516">
        <v>2007</v>
      </c>
      <c r="D516" t="s">
        <v>187</v>
      </c>
      <c r="F516" t="s">
        <v>9644</v>
      </c>
      <c r="G516" t="s">
        <v>3996</v>
      </c>
    </row>
    <row r="517" spans="1:7" x14ac:dyDescent="0.25">
      <c r="A517" t="s">
        <v>1284</v>
      </c>
      <c r="B517" t="s">
        <v>1177</v>
      </c>
      <c r="C517">
        <v>1984</v>
      </c>
      <c r="E517" t="s">
        <v>2990</v>
      </c>
      <c r="F517" t="s">
        <v>8798</v>
      </c>
      <c r="G517" t="s">
        <v>3996</v>
      </c>
    </row>
    <row r="518" spans="1:7" x14ac:dyDescent="0.25">
      <c r="A518" t="s">
        <v>2804</v>
      </c>
      <c r="B518" t="s">
        <v>1180</v>
      </c>
      <c r="C518">
        <v>2021</v>
      </c>
      <c r="E518" t="s">
        <v>2982</v>
      </c>
      <c r="F518" t="s">
        <v>9348</v>
      </c>
      <c r="G518" t="s">
        <v>3996</v>
      </c>
    </row>
    <row r="519" spans="1:7" x14ac:dyDescent="0.25">
      <c r="A519" t="s">
        <v>1180</v>
      </c>
      <c r="B519" t="s">
        <v>1184</v>
      </c>
      <c r="C519">
        <v>2024</v>
      </c>
      <c r="D519" t="s">
        <v>187</v>
      </c>
      <c r="F519" t="s">
        <v>9645</v>
      </c>
      <c r="G519" t="s">
        <v>3996</v>
      </c>
    </row>
    <row r="520" spans="1:7" x14ac:dyDescent="0.25">
      <c r="A520" t="s">
        <v>1187</v>
      </c>
      <c r="B520" t="s">
        <v>1191</v>
      </c>
      <c r="C520">
        <v>2020</v>
      </c>
      <c r="D520" t="s">
        <v>187</v>
      </c>
      <c r="F520" t="s">
        <v>9646</v>
      </c>
      <c r="G520" t="s">
        <v>3996</v>
      </c>
    </row>
    <row r="521" spans="1:7" x14ac:dyDescent="0.25">
      <c r="A521" t="s">
        <v>353</v>
      </c>
      <c r="B521" t="s">
        <v>1195</v>
      </c>
      <c r="C521">
        <v>2023</v>
      </c>
      <c r="E521" s="10" t="s">
        <v>8438</v>
      </c>
      <c r="F521" t="s">
        <v>8525</v>
      </c>
      <c r="G521" t="s">
        <v>3996</v>
      </c>
    </row>
    <row r="522" spans="1:7" x14ac:dyDescent="0.25">
      <c r="A522" t="s">
        <v>2804</v>
      </c>
      <c r="B522" t="s">
        <v>1195</v>
      </c>
      <c r="C522">
        <v>2021</v>
      </c>
      <c r="E522" t="s">
        <v>3428</v>
      </c>
      <c r="F522" t="s">
        <v>9349</v>
      </c>
      <c r="G522" t="s">
        <v>3996</v>
      </c>
    </row>
    <row r="523" spans="1:7" x14ac:dyDescent="0.25">
      <c r="A523" t="s">
        <v>1795</v>
      </c>
      <c r="B523" t="s">
        <v>1197</v>
      </c>
      <c r="C523">
        <v>1987</v>
      </c>
      <c r="E523" t="s">
        <v>3280</v>
      </c>
      <c r="F523" t="s">
        <v>9647</v>
      </c>
      <c r="G523" t="s">
        <v>187</v>
      </c>
    </row>
    <row r="524" spans="1:7" x14ac:dyDescent="0.25">
      <c r="A524" t="s">
        <v>497</v>
      </c>
      <c r="B524" t="s">
        <v>1201</v>
      </c>
      <c r="C524">
        <v>2022</v>
      </c>
      <c r="E524" s="10" t="s">
        <v>8429</v>
      </c>
      <c r="F524" t="s">
        <v>9427</v>
      </c>
      <c r="G524" t="s">
        <v>3996</v>
      </c>
    </row>
    <row r="525" spans="1:7" x14ac:dyDescent="0.25">
      <c r="A525" t="s">
        <v>1549</v>
      </c>
      <c r="B525" t="s">
        <v>1201</v>
      </c>
      <c r="C525">
        <v>2021</v>
      </c>
      <c r="E525" s="10" t="s">
        <v>8429</v>
      </c>
      <c r="F525" t="s">
        <v>9428</v>
      </c>
      <c r="G525" t="s">
        <v>3996</v>
      </c>
    </row>
    <row r="526" spans="1:7" x14ac:dyDescent="0.25">
      <c r="A526" t="s">
        <v>2698</v>
      </c>
      <c r="B526" t="s">
        <v>1201</v>
      </c>
      <c r="C526">
        <v>2022</v>
      </c>
      <c r="E526" s="10" t="s">
        <v>8429</v>
      </c>
      <c r="F526" t="s">
        <v>9429</v>
      </c>
      <c r="G526" t="s">
        <v>3996</v>
      </c>
    </row>
    <row r="527" spans="1:7" x14ac:dyDescent="0.25">
      <c r="A527" t="s">
        <v>346</v>
      </c>
      <c r="B527" t="s">
        <v>1211</v>
      </c>
      <c r="C527">
        <v>2022</v>
      </c>
      <c r="E527" s="10" t="s">
        <v>8373</v>
      </c>
      <c r="F527" t="s">
        <v>8505</v>
      </c>
      <c r="G527" t="s">
        <v>3996</v>
      </c>
    </row>
    <row r="528" spans="1:7" x14ac:dyDescent="0.25">
      <c r="A528" t="s">
        <v>847</v>
      </c>
      <c r="B528" t="s">
        <v>1211</v>
      </c>
      <c r="C528">
        <v>1996</v>
      </c>
      <c r="E528" s="10" t="s">
        <v>8374</v>
      </c>
      <c r="F528" t="s">
        <v>8669</v>
      </c>
      <c r="G528" t="s">
        <v>3996</v>
      </c>
    </row>
    <row r="529" spans="1:7" x14ac:dyDescent="0.25">
      <c r="A529" t="s">
        <v>2804</v>
      </c>
      <c r="B529" t="s">
        <v>1211</v>
      </c>
      <c r="C529">
        <v>2021</v>
      </c>
      <c r="E529" t="s">
        <v>3013</v>
      </c>
      <c r="F529" t="s">
        <v>9648</v>
      </c>
      <c r="G529" t="s">
        <v>187</v>
      </c>
    </row>
    <row r="530" spans="1:7" x14ac:dyDescent="0.25">
      <c r="A530" t="s">
        <v>1046</v>
      </c>
      <c r="B530" t="s">
        <v>1219</v>
      </c>
      <c r="C530">
        <v>2016</v>
      </c>
      <c r="E530" t="s">
        <v>2982</v>
      </c>
      <c r="F530" t="s">
        <v>8738</v>
      </c>
      <c r="G530" t="s">
        <v>3996</v>
      </c>
    </row>
    <row r="531" spans="1:7" x14ac:dyDescent="0.25">
      <c r="A531" t="s">
        <v>1294</v>
      </c>
      <c r="B531" t="s">
        <v>1219</v>
      </c>
      <c r="C531">
        <v>2019</v>
      </c>
      <c r="E531" t="s">
        <v>2982</v>
      </c>
      <c r="F531" t="s">
        <v>8817</v>
      </c>
      <c r="G531" t="s">
        <v>3996</v>
      </c>
    </row>
    <row r="532" spans="1:7" x14ac:dyDescent="0.25">
      <c r="A532" t="s">
        <v>2428</v>
      </c>
      <c r="B532" t="s">
        <v>1219</v>
      </c>
      <c r="C532">
        <v>2008</v>
      </c>
      <c r="E532" t="s">
        <v>2982</v>
      </c>
      <c r="F532" t="s">
        <v>9224</v>
      </c>
      <c r="G532" t="s">
        <v>3996</v>
      </c>
    </row>
    <row r="533" spans="1:7" x14ac:dyDescent="0.25">
      <c r="A533" t="s">
        <v>160</v>
      </c>
      <c r="B533" t="s">
        <v>1219</v>
      </c>
      <c r="C533">
        <v>2011</v>
      </c>
      <c r="E533" t="s">
        <v>2982</v>
      </c>
      <c r="F533" t="s">
        <v>9289</v>
      </c>
      <c r="G533" t="s">
        <v>3996</v>
      </c>
    </row>
    <row r="534" spans="1:7" x14ac:dyDescent="0.25">
      <c r="A534" t="s">
        <v>964</v>
      </c>
      <c r="B534" t="s">
        <v>1223</v>
      </c>
      <c r="C534">
        <v>2006</v>
      </c>
      <c r="E534" t="s">
        <v>2982</v>
      </c>
      <c r="F534" t="s">
        <v>8714</v>
      </c>
      <c r="G534" t="s">
        <v>3996</v>
      </c>
    </row>
    <row r="535" spans="1:7" x14ac:dyDescent="0.25">
      <c r="A535" t="s">
        <v>2154</v>
      </c>
      <c r="B535" t="s">
        <v>1227</v>
      </c>
      <c r="C535">
        <v>1980</v>
      </c>
      <c r="E535" t="s">
        <v>3324</v>
      </c>
      <c r="F535" t="s">
        <v>9046</v>
      </c>
      <c r="G535" t="s">
        <v>3996</v>
      </c>
    </row>
    <row r="536" spans="1:7" x14ac:dyDescent="0.25">
      <c r="A536" t="s">
        <v>160</v>
      </c>
      <c r="B536" t="s">
        <v>1227</v>
      </c>
      <c r="C536">
        <v>2011</v>
      </c>
      <c r="E536" t="s">
        <v>3324</v>
      </c>
      <c r="F536" t="s">
        <v>9290</v>
      </c>
      <c r="G536" t="s">
        <v>3996</v>
      </c>
    </row>
    <row r="537" spans="1:7" x14ac:dyDescent="0.25">
      <c r="A537" t="s">
        <v>90</v>
      </c>
      <c r="B537" t="s">
        <v>1231</v>
      </c>
      <c r="C537">
        <v>2022</v>
      </c>
      <c r="E537" t="s">
        <v>3360</v>
      </c>
      <c r="F537" t="s">
        <v>9649</v>
      </c>
      <c r="G537" t="s">
        <v>187</v>
      </c>
    </row>
    <row r="538" spans="1:7" x14ac:dyDescent="0.25">
      <c r="A538" t="s">
        <v>930</v>
      </c>
      <c r="B538" t="s">
        <v>1235</v>
      </c>
      <c r="C538">
        <v>2015</v>
      </c>
      <c r="E538" t="s">
        <v>3156</v>
      </c>
      <c r="F538" t="s">
        <v>8703</v>
      </c>
      <c r="G538" t="s">
        <v>3996</v>
      </c>
    </row>
    <row r="539" spans="1:7" x14ac:dyDescent="0.25">
      <c r="A539" t="s">
        <v>1855</v>
      </c>
      <c r="B539" t="s">
        <v>1235</v>
      </c>
      <c r="C539">
        <v>2015</v>
      </c>
      <c r="E539" t="s">
        <v>3300</v>
      </c>
      <c r="F539" t="s">
        <v>8982</v>
      </c>
      <c r="G539" t="s">
        <v>3996</v>
      </c>
    </row>
    <row r="540" spans="1:7" x14ac:dyDescent="0.25">
      <c r="A540" t="s">
        <v>2428</v>
      </c>
      <c r="B540" t="s">
        <v>1235</v>
      </c>
      <c r="C540">
        <v>2008</v>
      </c>
      <c r="E540" t="s">
        <v>3300</v>
      </c>
      <c r="F540" t="s">
        <v>9225</v>
      </c>
      <c r="G540" t="s">
        <v>3996</v>
      </c>
    </row>
    <row r="541" spans="1:7" x14ac:dyDescent="0.25">
      <c r="A541" t="s">
        <v>2518</v>
      </c>
      <c r="B541" t="s">
        <v>1235</v>
      </c>
      <c r="C541">
        <v>2013</v>
      </c>
      <c r="E541" t="s">
        <v>3300</v>
      </c>
      <c r="F541" t="s">
        <v>9258</v>
      </c>
      <c r="G541" t="s">
        <v>3996</v>
      </c>
    </row>
    <row r="542" spans="1:7" x14ac:dyDescent="0.25">
      <c r="A542" t="s">
        <v>1235</v>
      </c>
      <c r="B542" t="s">
        <v>1239</v>
      </c>
      <c r="C542">
        <v>2026</v>
      </c>
      <c r="D542" t="s">
        <v>187</v>
      </c>
      <c r="F542" t="s">
        <v>9650</v>
      </c>
      <c r="G542" t="s">
        <v>3996</v>
      </c>
    </row>
    <row r="543" spans="1:7" x14ac:dyDescent="0.25">
      <c r="A543" t="s">
        <v>2804</v>
      </c>
      <c r="B543" t="s">
        <v>1243</v>
      </c>
      <c r="C543">
        <v>2021</v>
      </c>
      <c r="E543" t="s">
        <v>3013</v>
      </c>
      <c r="F543" t="s">
        <v>9651</v>
      </c>
      <c r="G543" t="s">
        <v>187</v>
      </c>
    </row>
    <row r="544" spans="1:7" x14ac:dyDescent="0.25">
      <c r="A544" t="s">
        <v>746</v>
      </c>
      <c r="B544" t="s">
        <v>1245</v>
      </c>
      <c r="C544">
        <v>2015</v>
      </c>
      <c r="E544" s="10" t="s">
        <v>8430</v>
      </c>
      <c r="F544" t="s">
        <v>8615</v>
      </c>
      <c r="G544" t="s">
        <v>3996</v>
      </c>
    </row>
    <row r="545" spans="1:7" x14ac:dyDescent="0.25">
      <c r="A545" t="s">
        <v>847</v>
      </c>
      <c r="B545" t="s">
        <v>1245</v>
      </c>
      <c r="C545">
        <v>1996</v>
      </c>
      <c r="E545" s="10" t="s">
        <v>8430</v>
      </c>
      <c r="F545" t="s">
        <v>8670</v>
      </c>
      <c r="G545" t="s">
        <v>3996</v>
      </c>
    </row>
    <row r="546" spans="1:7" x14ac:dyDescent="0.25">
      <c r="A546" t="s">
        <v>90</v>
      </c>
      <c r="B546" t="s">
        <v>1245</v>
      </c>
      <c r="C546">
        <v>2017</v>
      </c>
      <c r="E546" t="s">
        <v>3361</v>
      </c>
      <c r="F546" t="s">
        <v>9133</v>
      </c>
      <c r="G546" t="s">
        <v>3996</v>
      </c>
    </row>
    <row r="547" spans="1:7" x14ac:dyDescent="0.25">
      <c r="A547" t="s">
        <v>2804</v>
      </c>
      <c r="B547" t="s">
        <v>1251</v>
      </c>
      <c r="C547">
        <v>2021</v>
      </c>
      <c r="E547" t="s">
        <v>1254</v>
      </c>
      <c r="F547" t="s">
        <v>9350</v>
      </c>
      <c r="G547" t="s">
        <v>3996</v>
      </c>
    </row>
    <row r="548" spans="1:7" x14ac:dyDescent="0.25">
      <c r="A548" t="s">
        <v>90</v>
      </c>
      <c r="B548" t="s">
        <v>1255</v>
      </c>
      <c r="C548">
        <v>2017</v>
      </c>
      <c r="E548" t="s">
        <v>3362</v>
      </c>
      <c r="F548" t="s">
        <v>9652</v>
      </c>
      <c r="G548" t="s">
        <v>187</v>
      </c>
    </row>
    <row r="549" spans="1:7" x14ac:dyDescent="0.25">
      <c r="A549" t="s">
        <v>689</v>
      </c>
      <c r="B549" t="s">
        <v>1259</v>
      </c>
      <c r="C549">
        <v>2015</v>
      </c>
      <c r="E549" t="s">
        <v>2982</v>
      </c>
      <c r="F549" t="s">
        <v>8594</v>
      </c>
      <c r="G549" t="s">
        <v>3996</v>
      </c>
    </row>
    <row r="550" spans="1:7" x14ac:dyDescent="0.25">
      <c r="A550" t="s">
        <v>1259</v>
      </c>
      <c r="B550" t="s">
        <v>1262</v>
      </c>
      <c r="C550">
        <v>2021</v>
      </c>
      <c r="D550" t="s">
        <v>187</v>
      </c>
      <c r="F550" t="s">
        <v>9653</v>
      </c>
      <c r="G550" t="s">
        <v>3996</v>
      </c>
    </row>
    <row r="551" spans="1:7" x14ac:dyDescent="0.25">
      <c r="A551" t="s">
        <v>1144</v>
      </c>
      <c r="B551" t="s">
        <v>1265</v>
      </c>
      <c r="C551">
        <v>2012</v>
      </c>
      <c r="E551" s="10" t="s">
        <v>8406</v>
      </c>
      <c r="F551" t="s">
        <v>8768</v>
      </c>
      <c r="G551" t="s">
        <v>3996</v>
      </c>
    </row>
    <row r="552" spans="1:7" x14ac:dyDescent="0.25">
      <c r="A552" t="s">
        <v>2428</v>
      </c>
      <c r="B552" t="s">
        <v>1265</v>
      </c>
      <c r="C552">
        <v>2008</v>
      </c>
      <c r="E552" s="10" t="s">
        <v>8406</v>
      </c>
      <c r="F552" t="s">
        <v>9226</v>
      </c>
      <c r="G552" t="s">
        <v>3996</v>
      </c>
    </row>
    <row r="553" spans="1:7" x14ac:dyDescent="0.25">
      <c r="A553" t="s">
        <v>1046</v>
      </c>
      <c r="B553" t="s">
        <v>1272</v>
      </c>
      <c r="C553">
        <v>2016</v>
      </c>
      <c r="E553" t="s">
        <v>3187</v>
      </c>
      <c r="F553" t="s">
        <v>8739</v>
      </c>
      <c r="G553" t="s">
        <v>3996</v>
      </c>
    </row>
    <row r="554" spans="1:7" x14ac:dyDescent="0.25">
      <c r="A554" t="s">
        <v>2804</v>
      </c>
      <c r="B554" t="s">
        <v>1276</v>
      </c>
      <c r="C554">
        <v>2021</v>
      </c>
      <c r="E554" t="s">
        <v>2982</v>
      </c>
      <c r="F554" t="s">
        <v>9351</v>
      </c>
      <c r="G554" t="s">
        <v>3996</v>
      </c>
    </row>
    <row r="555" spans="1:7" x14ac:dyDescent="0.25">
      <c r="A555" t="s">
        <v>1276</v>
      </c>
      <c r="B555" t="s">
        <v>1280</v>
      </c>
      <c r="C555">
        <v>2022</v>
      </c>
      <c r="D555" t="s">
        <v>187</v>
      </c>
      <c r="F555" t="s">
        <v>9654</v>
      </c>
      <c r="G555" t="s">
        <v>3996</v>
      </c>
    </row>
    <row r="556" spans="1:7" x14ac:dyDescent="0.25">
      <c r="A556" t="s">
        <v>1855</v>
      </c>
      <c r="B556" t="s">
        <v>7707</v>
      </c>
      <c r="C556">
        <v>2015</v>
      </c>
      <c r="E556" t="s">
        <v>7710</v>
      </c>
      <c r="F556" t="s">
        <v>8983</v>
      </c>
      <c r="G556" t="s">
        <v>3996</v>
      </c>
    </row>
    <row r="557" spans="1:7" x14ac:dyDescent="0.25">
      <c r="A557" t="s">
        <v>2154</v>
      </c>
      <c r="B557" t="s">
        <v>1284</v>
      </c>
      <c r="C557">
        <v>1980</v>
      </c>
      <c r="F557" t="s">
        <v>9655</v>
      </c>
      <c r="G557" t="s">
        <v>187</v>
      </c>
    </row>
    <row r="558" spans="1:7" x14ac:dyDescent="0.25">
      <c r="A558" t="s">
        <v>2348</v>
      </c>
      <c r="B558" t="s">
        <v>1287</v>
      </c>
      <c r="C558">
        <v>2006</v>
      </c>
      <c r="E558" t="s">
        <v>3341</v>
      </c>
      <c r="F558" t="s">
        <v>9088</v>
      </c>
      <c r="G558" t="s">
        <v>3996</v>
      </c>
    </row>
    <row r="559" spans="1:7" x14ac:dyDescent="0.25">
      <c r="A559" t="s">
        <v>90</v>
      </c>
      <c r="B559" t="s">
        <v>1290</v>
      </c>
      <c r="C559">
        <v>2017</v>
      </c>
      <c r="F559" t="s">
        <v>9656</v>
      </c>
      <c r="G559" t="s">
        <v>187</v>
      </c>
    </row>
    <row r="560" spans="1:7" x14ac:dyDescent="0.25">
      <c r="A560" t="s">
        <v>746</v>
      </c>
      <c r="B560" t="s">
        <v>1294</v>
      </c>
      <c r="C560">
        <v>2015</v>
      </c>
      <c r="E560" s="10" t="s">
        <v>8366</v>
      </c>
      <c r="F560" t="s">
        <v>8616</v>
      </c>
      <c r="G560" t="s">
        <v>3996</v>
      </c>
    </row>
    <row r="561" spans="1:7" x14ac:dyDescent="0.25">
      <c r="A561" t="s">
        <v>759</v>
      </c>
      <c r="B561" t="s">
        <v>1294</v>
      </c>
      <c r="C561">
        <v>2018</v>
      </c>
      <c r="E561" s="10" t="s">
        <v>8366</v>
      </c>
      <c r="F561" t="s">
        <v>8638</v>
      </c>
      <c r="G561" t="s">
        <v>3996</v>
      </c>
    </row>
    <row r="562" spans="1:7" x14ac:dyDescent="0.25">
      <c r="A562" t="s">
        <v>1046</v>
      </c>
      <c r="B562" t="s">
        <v>1294</v>
      </c>
      <c r="C562">
        <v>2016</v>
      </c>
      <c r="E562" s="10" t="s">
        <v>8366</v>
      </c>
      <c r="F562" t="s">
        <v>8740</v>
      </c>
      <c r="G562" t="s">
        <v>3996</v>
      </c>
    </row>
    <row r="563" spans="1:7" x14ac:dyDescent="0.25">
      <c r="A563" t="s">
        <v>2173</v>
      </c>
      <c r="B563" t="s">
        <v>1294</v>
      </c>
      <c r="C563">
        <v>2013</v>
      </c>
      <c r="E563" s="10" t="s">
        <v>8366</v>
      </c>
      <c r="F563" t="s">
        <v>9067</v>
      </c>
      <c r="G563" t="s">
        <v>3996</v>
      </c>
    </row>
    <row r="564" spans="1:7" x14ac:dyDescent="0.25">
      <c r="A564" t="s">
        <v>90</v>
      </c>
      <c r="B564" t="s">
        <v>1294</v>
      </c>
      <c r="C564">
        <v>2017</v>
      </c>
      <c r="E564" s="10" t="s">
        <v>8366</v>
      </c>
      <c r="F564" t="s">
        <v>9134</v>
      </c>
      <c r="G564" t="s">
        <v>3996</v>
      </c>
    </row>
    <row r="565" spans="1:7" x14ac:dyDescent="0.25">
      <c r="A565" t="s">
        <v>2428</v>
      </c>
      <c r="B565" t="s">
        <v>1294</v>
      </c>
      <c r="C565">
        <v>2008</v>
      </c>
      <c r="E565" s="10" t="s">
        <v>8366</v>
      </c>
      <c r="F565" t="s">
        <v>9227</v>
      </c>
      <c r="G565" t="s">
        <v>3996</v>
      </c>
    </row>
    <row r="566" spans="1:7" x14ac:dyDescent="0.25">
      <c r="A566" t="s">
        <v>160</v>
      </c>
      <c r="B566" t="s">
        <v>1294</v>
      </c>
      <c r="C566">
        <v>2011</v>
      </c>
      <c r="E566" s="10" t="s">
        <v>8366</v>
      </c>
      <c r="F566" t="s">
        <v>9291</v>
      </c>
      <c r="G566" t="s">
        <v>3996</v>
      </c>
    </row>
    <row r="567" spans="1:7" x14ac:dyDescent="0.25">
      <c r="A567" t="s">
        <v>2906</v>
      </c>
      <c r="B567" t="s">
        <v>1294</v>
      </c>
      <c r="C567">
        <v>2018</v>
      </c>
      <c r="E567" s="10" t="s">
        <v>8366</v>
      </c>
      <c r="F567" t="s">
        <v>9385</v>
      </c>
      <c r="G567" t="s">
        <v>3996</v>
      </c>
    </row>
    <row r="568" spans="1:7" x14ac:dyDescent="0.25">
      <c r="A568" t="s">
        <v>1294</v>
      </c>
      <c r="B568" t="s">
        <v>1298</v>
      </c>
      <c r="C568">
        <v>2019</v>
      </c>
      <c r="D568" t="s">
        <v>187</v>
      </c>
      <c r="F568" t="s">
        <v>9657</v>
      </c>
      <c r="G568" t="s">
        <v>3996</v>
      </c>
    </row>
    <row r="569" spans="1:7" x14ac:dyDescent="0.25">
      <c r="A569" t="s">
        <v>847</v>
      </c>
      <c r="B569" t="s">
        <v>1302</v>
      </c>
      <c r="C569">
        <v>1996</v>
      </c>
      <c r="E569" t="s">
        <v>3134</v>
      </c>
      <c r="F569" t="s">
        <v>9658</v>
      </c>
      <c r="G569" t="s">
        <v>187</v>
      </c>
    </row>
    <row r="570" spans="1:7" x14ac:dyDescent="0.25">
      <c r="A570" t="s">
        <v>2804</v>
      </c>
      <c r="B570" t="s">
        <v>1302</v>
      </c>
      <c r="C570">
        <v>2021</v>
      </c>
      <c r="E570" t="s">
        <v>3013</v>
      </c>
      <c r="F570" t="s">
        <v>9659</v>
      </c>
      <c r="G570" t="s">
        <v>187</v>
      </c>
    </row>
    <row r="571" spans="1:7" x14ac:dyDescent="0.25">
      <c r="A571" t="s">
        <v>1144</v>
      </c>
      <c r="B571" t="s">
        <v>1306</v>
      </c>
      <c r="C571">
        <v>2012</v>
      </c>
      <c r="E571" t="s">
        <v>3204</v>
      </c>
      <c r="F571" t="s">
        <v>9448</v>
      </c>
      <c r="G571" t="s">
        <v>3996</v>
      </c>
    </row>
    <row r="572" spans="1:7" x14ac:dyDescent="0.25">
      <c r="A572" t="s">
        <v>1306</v>
      </c>
      <c r="B572" t="s">
        <v>1310</v>
      </c>
      <c r="C572">
        <v>2014</v>
      </c>
      <c r="D572" t="s">
        <v>187</v>
      </c>
      <c r="F572" t="s">
        <v>9660</v>
      </c>
      <c r="G572" t="s">
        <v>3996</v>
      </c>
    </row>
    <row r="573" spans="1:7" x14ac:dyDescent="0.25">
      <c r="A573" t="s">
        <v>811</v>
      </c>
      <c r="B573" t="s">
        <v>1312</v>
      </c>
      <c r="C573">
        <v>2024</v>
      </c>
      <c r="E573" t="s">
        <v>2982</v>
      </c>
      <c r="F573" t="s">
        <v>8655</v>
      </c>
      <c r="G573" t="s">
        <v>3996</v>
      </c>
    </row>
    <row r="574" spans="1:7" x14ac:dyDescent="0.25">
      <c r="A574" t="s">
        <v>1306</v>
      </c>
      <c r="B574" t="s">
        <v>1312</v>
      </c>
      <c r="C574">
        <v>2014</v>
      </c>
      <c r="D574" t="s">
        <v>187</v>
      </c>
      <c r="F574" t="s">
        <v>9661</v>
      </c>
      <c r="G574" t="s">
        <v>3996</v>
      </c>
    </row>
    <row r="575" spans="1:7" x14ac:dyDescent="0.25">
      <c r="A575" t="s">
        <v>90</v>
      </c>
      <c r="B575" t="s">
        <v>7860</v>
      </c>
      <c r="C575">
        <v>2017</v>
      </c>
      <c r="E575" t="s">
        <v>7859</v>
      </c>
      <c r="F575" t="s">
        <v>9135</v>
      </c>
      <c r="G575" t="s">
        <v>3996</v>
      </c>
    </row>
    <row r="576" spans="1:7" x14ac:dyDescent="0.25">
      <c r="A576" t="s">
        <v>341</v>
      </c>
      <c r="B576" t="s">
        <v>1317</v>
      </c>
      <c r="C576">
        <v>1997</v>
      </c>
      <c r="E576" t="s">
        <v>3009</v>
      </c>
      <c r="F576" t="s">
        <v>9450</v>
      </c>
      <c r="G576" t="s">
        <v>3996</v>
      </c>
    </row>
    <row r="577" spans="1:7" x14ac:dyDescent="0.25">
      <c r="A577" t="s">
        <v>1795</v>
      </c>
      <c r="B577" t="s">
        <v>1317</v>
      </c>
      <c r="C577">
        <v>1987</v>
      </c>
      <c r="E577" t="s">
        <v>3281</v>
      </c>
      <c r="F577" t="s">
        <v>8947</v>
      </c>
      <c r="G577" t="s">
        <v>3996</v>
      </c>
    </row>
    <row r="578" spans="1:7" x14ac:dyDescent="0.25">
      <c r="A578" t="s">
        <v>1855</v>
      </c>
      <c r="B578" t="s">
        <v>1317</v>
      </c>
      <c r="C578">
        <v>2015</v>
      </c>
      <c r="E578" t="s">
        <v>3009</v>
      </c>
      <c r="F578" t="s">
        <v>9662</v>
      </c>
      <c r="G578" t="s">
        <v>187</v>
      </c>
    </row>
    <row r="579" spans="1:7" x14ac:dyDescent="0.25">
      <c r="A579" t="s">
        <v>2023</v>
      </c>
      <c r="B579" t="s">
        <v>1317</v>
      </c>
      <c r="C579">
        <v>2003</v>
      </c>
      <c r="E579" t="s">
        <v>3308</v>
      </c>
      <c r="F579" t="s">
        <v>9449</v>
      </c>
      <c r="G579" t="s">
        <v>3996</v>
      </c>
    </row>
    <row r="580" spans="1:7" x14ac:dyDescent="0.25">
      <c r="A580" t="s">
        <v>1144</v>
      </c>
      <c r="B580" t="s">
        <v>1320</v>
      </c>
      <c r="C580">
        <v>2012</v>
      </c>
      <c r="E580" t="s">
        <v>3205</v>
      </c>
      <c r="F580" t="s">
        <v>8769</v>
      </c>
      <c r="G580" t="s">
        <v>3996</v>
      </c>
    </row>
    <row r="581" spans="1:7" x14ac:dyDescent="0.25">
      <c r="A581" t="s">
        <v>160</v>
      </c>
      <c r="B581" t="s">
        <v>1320</v>
      </c>
      <c r="C581">
        <v>2011</v>
      </c>
      <c r="E581" t="s">
        <v>3205</v>
      </c>
      <c r="F581" t="s">
        <v>9292</v>
      </c>
      <c r="G581" t="s">
        <v>3996</v>
      </c>
    </row>
    <row r="582" spans="1:7" x14ac:dyDescent="0.25">
      <c r="A582" t="s">
        <v>1294</v>
      </c>
      <c r="B582" t="s">
        <v>1326</v>
      </c>
      <c r="C582">
        <v>2019</v>
      </c>
      <c r="E582" t="s">
        <v>3228</v>
      </c>
      <c r="F582" t="s">
        <v>9663</v>
      </c>
      <c r="G582" t="s">
        <v>187</v>
      </c>
    </row>
    <row r="583" spans="1:7" x14ac:dyDescent="0.25">
      <c r="A583" t="s">
        <v>344</v>
      </c>
      <c r="B583" t="s">
        <v>1330</v>
      </c>
      <c r="C583">
        <v>2023</v>
      </c>
      <c r="E583" t="s">
        <v>2982</v>
      </c>
      <c r="F583" t="s">
        <v>8496</v>
      </c>
      <c r="G583" t="s">
        <v>3996</v>
      </c>
    </row>
    <row r="584" spans="1:7" x14ac:dyDescent="0.25">
      <c r="A584" t="s">
        <v>1144</v>
      </c>
      <c r="B584" t="s">
        <v>1334</v>
      </c>
      <c r="C584">
        <v>2012</v>
      </c>
      <c r="E584" s="10" t="s">
        <v>8459</v>
      </c>
      <c r="F584" t="s">
        <v>8458</v>
      </c>
      <c r="G584" t="s">
        <v>3996</v>
      </c>
    </row>
    <row r="585" spans="1:7" x14ac:dyDescent="0.25">
      <c r="A585" t="s">
        <v>1144</v>
      </c>
      <c r="B585" t="s">
        <v>1336</v>
      </c>
      <c r="C585">
        <v>2012</v>
      </c>
      <c r="E585" s="10" t="s">
        <v>8361</v>
      </c>
      <c r="F585" t="s">
        <v>8770</v>
      </c>
      <c r="G585" t="s">
        <v>3996</v>
      </c>
    </row>
    <row r="586" spans="1:7" x14ac:dyDescent="0.25">
      <c r="A586" t="s">
        <v>2428</v>
      </c>
      <c r="B586" t="s">
        <v>1340</v>
      </c>
      <c r="C586">
        <v>2008</v>
      </c>
      <c r="E586" s="10" t="s">
        <v>8431</v>
      </c>
      <c r="F586" t="s">
        <v>9228</v>
      </c>
      <c r="G586" t="s">
        <v>3996</v>
      </c>
    </row>
    <row r="587" spans="1:7" x14ac:dyDescent="0.25">
      <c r="A587" t="s">
        <v>746</v>
      </c>
      <c r="B587" t="s">
        <v>1344</v>
      </c>
      <c r="C587">
        <v>2015</v>
      </c>
      <c r="E587" t="s">
        <v>3103</v>
      </c>
      <c r="F587" t="s">
        <v>9664</v>
      </c>
      <c r="G587" t="s">
        <v>187</v>
      </c>
    </row>
    <row r="588" spans="1:7" x14ac:dyDescent="0.25">
      <c r="A588" t="s">
        <v>847</v>
      </c>
      <c r="B588" t="s">
        <v>1344</v>
      </c>
      <c r="C588">
        <v>1996</v>
      </c>
      <c r="E588" t="s">
        <v>3135</v>
      </c>
      <c r="F588" t="s">
        <v>8671</v>
      </c>
      <c r="G588" t="s">
        <v>3996</v>
      </c>
    </row>
    <row r="589" spans="1:7" x14ac:dyDescent="0.25">
      <c r="A589" t="s">
        <v>1294</v>
      </c>
      <c r="B589" t="s">
        <v>1344</v>
      </c>
      <c r="C589">
        <v>2019</v>
      </c>
      <c r="E589" t="s">
        <v>3103</v>
      </c>
      <c r="F589" t="s">
        <v>9665</v>
      </c>
      <c r="G589" t="s">
        <v>187</v>
      </c>
    </row>
    <row r="590" spans="1:7" x14ac:dyDescent="0.25">
      <c r="A590" t="s">
        <v>1294</v>
      </c>
      <c r="B590" t="s">
        <v>1348</v>
      </c>
      <c r="C590">
        <v>2019</v>
      </c>
      <c r="E590" t="s">
        <v>3229</v>
      </c>
      <c r="F590" t="s">
        <v>8818</v>
      </c>
      <c r="G590" t="s">
        <v>3996</v>
      </c>
    </row>
    <row r="591" spans="1:7" x14ac:dyDescent="0.25">
      <c r="A591" t="s">
        <v>1302</v>
      </c>
      <c r="B591" t="s">
        <v>1348</v>
      </c>
      <c r="C591">
        <v>2023</v>
      </c>
      <c r="E591" t="s">
        <v>3240</v>
      </c>
      <c r="F591" t="s">
        <v>8840</v>
      </c>
      <c r="G591" t="s">
        <v>3996</v>
      </c>
    </row>
    <row r="592" spans="1:7" x14ac:dyDescent="0.25">
      <c r="A592" t="s">
        <v>90</v>
      </c>
      <c r="B592" t="s">
        <v>1348</v>
      </c>
      <c r="C592">
        <v>2017</v>
      </c>
      <c r="E592" t="s">
        <v>3363</v>
      </c>
      <c r="F592" t="s">
        <v>9136</v>
      </c>
      <c r="G592" t="s">
        <v>3996</v>
      </c>
    </row>
    <row r="593" spans="1:7" x14ac:dyDescent="0.25">
      <c r="A593" t="s">
        <v>2804</v>
      </c>
      <c r="B593" t="s">
        <v>1348</v>
      </c>
      <c r="C593">
        <v>2021</v>
      </c>
      <c r="E593" t="s">
        <v>3240</v>
      </c>
      <c r="F593" t="s">
        <v>9352</v>
      </c>
      <c r="G593" t="s">
        <v>3996</v>
      </c>
    </row>
    <row r="594" spans="1:7" x14ac:dyDescent="0.25">
      <c r="A594" t="s">
        <v>2878</v>
      </c>
      <c r="B594" t="s">
        <v>1351</v>
      </c>
      <c r="C594">
        <v>2020</v>
      </c>
      <c r="D594" t="s">
        <v>187</v>
      </c>
      <c r="F594" t="s">
        <v>9666</v>
      </c>
      <c r="G594" t="s">
        <v>3996</v>
      </c>
    </row>
    <row r="595" spans="1:7" x14ac:dyDescent="0.25">
      <c r="A595" t="s">
        <v>462</v>
      </c>
      <c r="B595" t="s">
        <v>1353</v>
      </c>
      <c r="C595">
        <v>2018</v>
      </c>
      <c r="D595" t="s">
        <v>187</v>
      </c>
      <c r="E595" t="s">
        <v>3057</v>
      </c>
      <c r="F595" t="s">
        <v>8554</v>
      </c>
      <c r="G595" t="s">
        <v>3996</v>
      </c>
    </row>
    <row r="596" spans="1:7" x14ac:dyDescent="0.25">
      <c r="A596" t="s">
        <v>90</v>
      </c>
      <c r="B596" t="s">
        <v>1353</v>
      </c>
      <c r="C596">
        <v>2017</v>
      </c>
      <c r="E596" t="s">
        <v>3057</v>
      </c>
      <c r="F596" t="s">
        <v>9137</v>
      </c>
      <c r="G596" t="s">
        <v>3996</v>
      </c>
    </row>
    <row r="597" spans="1:7" x14ac:dyDescent="0.25">
      <c r="A597" t="s">
        <v>1294</v>
      </c>
      <c r="B597" t="s">
        <v>1357</v>
      </c>
      <c r="C597">
        <v>2019</v>
      </c>
      <c r="E597" t="s">
        <v>3230</v>
      </c>
      <c r="F597" t="s">
        <v>9667</v>
      </c>
      <c r="G597" t="s">
        <v>187</v>
      </c>
    </row>
    <row r="598" spans="1:7" x14ac:dyDescent="0.25">
      <c r="A598" t="s">
        <v>497</v>
      </c>
      <c r="B598" t="s">
        <v>1361</v>
      </c>
      <c r="C598">
        <v>2022</v>
      </c>
      <c r="E598" t="s">
        <v>3067</v>
      </c>
      <c r="F598" t="s">
        <v>8567</v>
      </c>
      <c r="G598" t="s">
        <v>3996</v>
      </c>
    </row>
    <row r="599" spans="1:7" x14ac:dyDescent="0.25">
      <c r="A599" t="s">
        <v>2804</v>
      </c>
      <c r="B599" t="s">
        <v>1361</v>
      </c>
      <c r="C599">
        <v>2021</v>
      </c>
      <c r="E599" t="s">
        <v>3013</v>
      </c>
      <c r="F599" t="s">
        <v>9668</v>
      </c>
      <c r="G599" t="s">
        <v>187</v>
      </c>
    </row>
    <row r="600" spans="1:7" x14ac:dyDescent="0.25">
      <c r="A600" t="s">
        <v>1365</v>
      </c>
      <c r="B600" t="s">
        <v>1369</v>
      </c>
      <c r="C600">
        <v>2018</v>
      </c>
      <c r="D600" t="s">
        <v>187</v>
      </c>
      <c r="F600" t="s">
        <v>9669</v>
      </c>
      <c r="G600" t="s">
        <v>3996</v>
      </c>
    </row>
    <row r="601" spans="1:7" x14ac:dyDescent="0.25">
      <c r="A601" t="s">
        <v>571</v>
      </c>
      <c r="B601" t="s">
        <v>1373</v>
      </c>
      <c r="C601">
        <v>2022</v>
      </c>
      <c r="D601" t="s">
        <v>187</v>
      </c>
      <c r="F601" t="s">
        <v>9670</v>
      </c>
      <c r="G601" t="s">
        <v>3996</v>
      </c>
    </row>
    <row r="602" spans="1:7" x14ac:dyDescent="0.25">
      <c r="A602" t="s">
        <v>464</v>
      </c>
      <c r="B602" t="s">
        <v>1376</v>
      </c>
      <c r="C602">
        <v>2022</v>
      </c>
      <c r="D602" t="s">
        <v>187</v>
      </c>
      <c r="F602" t="s">
        <v>9671</v>
      </c>
      <c r="G602" t="s">
        <v>3996</v>
      </c>
    </row>
    <row r="603" spans="1:7" x14ac:dyDescent="0.25">
      <c r="A603" t="s">
        <v>90</v>
      </c>
      <c r="B603" t="s">
        <v>1376</v>
      </c>
      <c r="C603">
        <v>2017</v>
      </c>
      <c r="E603" t="s">
        <v>2982</v>
      </c>
      <c r="F603" t="s">
        <v>9672</v>
      </c>
      <c r="G603" t="s">
        <v>187</v>
      </c>
    </row>
    <row r="604" spans="1:7" x14ac:dyDescent="0.25">
      <c r="A604" t="s">
        <v>1592</v>
      </c>
      <c r="B604" t="s">
        <v>1378</v>
      </c>
      <c r="C604">
        <v>2019</v>
      </c>
      <c r="E604" s="10" t="s">
        <v>1381</v>
      </c>
      <c r="F604" t="s">
        <v>8912</v>
      </c>
      <c r="G604" t="s">
        <v>3996</v>
      </c>
    </row>
    <row r="605" spans="1:7" x14ac:dyDescent="0.25">
      <c r="A605" t="s">
        <v>2804</v>
      </c>
      <c r="B605" t="s">
        <v>1378</v>
      </c>
      <c r="C605">
        <v>2021</v>
      </c>
      <c r="E605" s="10" t="s">
        <v>1381</v>
      </c>
      <c r="F605" t="s">
        <v>9353</v>
      </c>
      <c r="G605" t="s">
        <v>3996</v>
      </c>
    </row>
    <row r="606" spans="1:7" x14ac:dyDescent="0.25">
      <c r="A606" t="s">
        <v>2721</v>
      </c>
      <c r="B606" t="s">
        <v>1382</v>
      </c>
      <c r="C606">
        <v>1993</v>
      </c>
      <c r="E606" t="s">
        <v>3013</v>
      </c>
      <c r="F606" t="s">
        <v>9673</v>
      </c>
      <c r="G606" t="s">
        <v>187</v>
      </c>
    </row>
    <row r="607" spans="1:7" x14ac:dyDescent="0.25">
      <c r="A607" t="s">
        <v>1761</v>
      </c>
      <c r="B607" t="s">
        <v>1388</v>
      </c>
      <c r="C607">
        <v>1995</v>
      </c>
      <c r="E607" t="s">
        <v>3273</v>
      </c>
      <c r="F607" t="s">
        <v>8937</v>
      </c>
      <c r="G607" t="s">
        <v>3996</v>
      </c>
    </row>
    <row r="608" spans="1:7" x14ac:dyDescent="0.25">
      <c r="A608" t="s">
        <v>2721</v>
      </c>
      <c r="B608" t="s">
        <v>1388</v>
      </c>
      <c r="C608">
        <v>1993</v>
      </c>
      <c r="E608" t="s">
        <v>3273</v>
      </c>
      <c r="F608" t="s">
        <v>9334</v>
      </c>
      <c r="G608" t="s">
        <v>3996</v>
      </c>
    </row>
    <row r="609" spans="1:7" x14ac:dyDescent="0.25">
      <c r="A609" t="s">
        <v>353</v>
      </c>
      <c r="B609" t="s">
        <v>1391</v>
      </c>
      <c r="C609">
        <v>2023</v>
      </c>
      <c r="E609" t="s">
        <v>3031</v>
      </c>
      <c r="F609" t="s">
        <v>8526</v>
      </c>
      <c r="G609" t="s">
        <v>3996</v>
      </c>
    </row>
    <row r="610" spans="1:7" x14ac:dyDescent="0.25">
      <c r="A610" t="s">
        <v>497</v>
      </c>
      <c r="B610" t="s">
        <v>1391</v>
      </c>
      <c r="C610">
        <v>2022</v>
      </c>
      <c r="E610" t="s">
        <v>2982</v>
      </c>
      <c r="F610" t="s">
        <v>8568</v>
      </c>
      <c r="G610" t="s">
        <v>3996</v>
      </c>
    </row>
    <row r="611" spans="1:7" x14ac:dyDescent="0.25">
      <c r="A611" t="s">
        <v>353</v>
      </c>
      <c r="B611" t="s">
        <v>1394</v>
      </c>
      <c r="C611">
        <v>2023</v>
      </c>
      <c r="E611" t="s">
        <v>3032</v>
      </c>
      <c r="F611" t="s">
        <v>9394</v>
      </c>
      <c r="G611" t="s">
        <v>3996</v>
      </c>
    </row>
    <row r="612" spans="1:7" x14ac:dyDescent="0.25">
      <c r="A612" t="s">
        <v>918</v>
      </c>
      <c r="B612" t="s">
        <v>1394</v>
      </c>
      <c r="C612">
        <v>2014</v>
      </c>
      <c r="E612" t="s">
        <v>3032</v>
      </c>
      <c r="F612" t="s">
        <v>9414</v>
      </c>
      <c r="G612" t="s">
        <v>3996</v>
      </c>
    </row>
    <row r="613" spans="1:7" x14ac:dyDescent="0.25">
      <c r="A613" t="s">
        <v>90</v>
      </c>
      <c r="B613" t="s">
        <v>1394</v>
      </c>
      <c r="C613">
        <v>2017</v>
      </c>
      <c r="E613" t="s">
        <v>3032</v>
      </c>
      <c r="F613" t="s">
        <v>9395</v>
      </c>
      <c r="G613" t="s">
        <v>3996</v>
      </c>
    </row>
    <row r="614" spans="1:7" x14ac:dyDescent="0.25">
      <c r="A614" t="s">
        <v>2890</v>
      </c>
      <c r="B614" t="s">
        <v>1394</v>
      </c>
      <c r="C614">
        <v>2023</v>
      </c>
      <c r="E614" s="10" t="s">
        <v>3032</v>
      </c>
      <c r="F614" t="s">
        <v>9393</v>
      </c>
      <c r="G614" t="s">
        <v>3996</v>
      </c>
    </row>
    <row r="615" spans="1:7" x14ac:dyDescent="0.25">
      <c r="A615" t="s">
        <v>2804</v>
      </c>
      <c r="B615" t="s">
        <v>1396</v>
      </c>
      <c r="C615">
        <v>2021</v>
      </c>
      <c r="E615" t="s">
        <v>3013</v>
      </c>
      <c r="F615" t="s">
        <v>9674</v>
      </c>
      <c r="G615" t="s">
        <v>187</v>
      </c>
    </row>
    <row r="616" spans="1:7" x14ac:dyDescent="0.25">
      <c r="A616" t="s">
        <v>256</v>
      </c>
      <c r="B616" t="s">
        <v>1400</v>
      </c>
      <c r="C616">
        <v>1994</v>
      </c>
      <c r="E616" t="s">
        <v>2991</v>
      </c>
      <c r="F616" t="s">
        <v>8475</v>
      </c>
      <c r="G616" t="s">
        <v>3996</v>
      </c>
    </row>
    <row r="617" spans="1:7" x14ac:dyDescent="0.25">
      <c r="A617" t="s">
        <v>689</v>
      </c>
      <c r="B617" t="s">
        <v>1400</v>
      </c>
      <c r="C617">
        <v>2015</v>
      </c>
      <c r="E617" t="s">
        <v>2991</v>
      </c>
      <c r="F617" t="s">
        <v>8595</v>
      </c>
      <c r="G617" t="s">
        <v>3996</v>
      </c>
    </row>
    <row r="618" spans="1:7" x14ac:dyDescent="0.25">
      <c r="A618" t="s">
        <v>1385</v>
      </c>
      <c r="B618" t="s">
        <v>1400</v>
      </c>
      <c r="C618">
        <v>2013</v>
      </c>
      <c r="E618" t="s">
        <v>2991</v>
      </c>
      <c r="F618" t="s">
        <v>8847</v>
      </c>
      <c r="G618" t="s">
        <v>3996</v>
      </c>
    </row>
    <row r="619" spans="1:7" x14ac:dyDescent="0.25">
      <c r="A619" t="s">
        <v>1795</v>
      </c>
      <c r="B619" t="s">
        <v>1400</v>
      </c>
      <c r="C619">
        <v>1987</v>
      </c>
      <c r="E619" t="s">
        <v>2991</v>
      </c>
      <c r="F619" t="s">
        <v>8948</v>
      </c>
      <c r="G619" t="s">
        <v>3996</v>
      </c>
    </row>
    <row r="620" spans="1:7" x14ac:dyDescent="0.25">
      <c r="A620" t="s">
        <v>2053</v>
      </c>
      <c r="B620" t="s">
        <v>1400</v>
      </c>
      <c r="C620">
        <v>1992</v>
      </c>
      <c r="E620" t="s">
        <v>2991</v>
      </c>
      <c r="F620" t="s">
        <v>9008</v>
      </c>
      <c r="G620" t="s">
        <v>3996</v>
      </c>
    </row>
    <row r="621" spans="1:7" x14ac:dyDescent="0.25">
      <c r="A621" t="s">
        <v>2154</v>
      </c>
      <c r="B621" t="s">
        <v>1400</v>
      </c>
      <c r="C621">
        <v>1980</v>
      </c>
      <c r="E621" t="s">
        <v>2991</v>
      </c>
      <c r="F621" t="s">
        <v>9047</v>
      </c>
      <c r="G621" t="s">
        <v>3996</v>
      </c>
    </row>
    <row r="622" spans="1:7" x14ac:dyDescent="0.25">
      <c r="A622" t="s">
        <v>2804</v>
      </c>
      <c r="B622" t="s">
        <v>1403</v>
      </c>
      <c r="C622">
        <v>2021</v>
      </c>
      <c r="E622" t="s">
        <v>3013</v>
      </c>
      <c r="F622" t="s">
        <v>9675</v>
      </c>
      <c r="G622" t="s">
        <v>187</v>
      </c>
    </row>
    <row r="623" spans="1:7" x14ac:dyDescent="0.25">
      <c r="A623" t="s">
        <v>836</v>
      </c>
      <c r="B623" t="s">
        <v>1407</v>
      </c>
      <c r="C623">
        <v>2010</v>
      </c>
      <c r="E623" s="10" t="s">
        <v>9424</v>
      </c>
      <c r="F623" t="s">
        <v>9423</v>
      </c>
      <c r="G623" t="s">
        <v>3996</v>
      </c>
    </row>
    <row r="624" spans="1:7" x14ac:dyDescent="0.25">
      <c r="A624" t="s">
        <v>994</v>
      </c>
      <c r="B624" t="s">
        <v>1407</v>
      </c>
      <c r="C624">
        <v>2011</v>
      </c>
      <c r="E624" t="s">
        <v>3170</v>
      </c>
      <c r="F624" t="s">
        <v>8719</v>
      </c>
      <c r="G624" t="s">
        <v>3996</v>
      </c>
    </row>
    <row r="625" spans="1:7" x14ac:dyDescent="0.25">
      <c r="A625" t="s">
        <v>1572</v>
      </c>
      <c r="B625" t="s">
        <v>1407</v>
      </c>
      <c r="C625">
        <v>2001</v>
      </c>
      <c r="E625" t="s">
        <v>3170</v>
      </c>
      <c r="F625" t="s">
        <v>8890</v>
      </c>
      <c r="G625" t="s">
        <v>3996</v>
      </c>
    </row>
    <row r="626" spans="1:7" x14ac:dyDescent="0.25">
      <c r="A626" t="s">
        <v>2804</v>
      </c>
      <c r="B626" t="s">
        <v>1409</v>
      </c>
      <c r="C626">
        <v>2021</v>
      </c>
      <c r="E626" t="s">
        <v>3429</v>
      </c>
      <c r="F626" t="s">
        <v>9676</v>
      </c>
      <c r="G626" t="s">
        <v>187</v>
      </c>
    </row>
    <row r="627" spans="1:7" x14ac:dyDescent="0.25">
      <c r="A627" t="s">
        <v>1046</v>
      </c>
      <c r="B627" t="s">
        <v>1413</v>
      </c>
      <c r="C627">
        <v>2016</v>
      </c>
      <c r="E627" s="10" t="s">
        <v>8415</v>
      </c>
      <c r="F627" t="s">
        <v>8741</v>
      </c>
      <c r="G627" t="s">
        <v>3996</v>
      </c>
    </row>
    <row r="628" spans="1:7" x14ac:dyDescent="0.25">
      <c r="A628" t="s">
        <v>2173</v>
      </c>
      <c r="B628" t="s">
        <v>1413</v>
      </c>
      <c r="C628">
        <v>2013</v>
      </c>
      <c r="E628" t="s">
        <v>3334</v>
      </c>
      <c r="F628" t="s">
        <v>9068</v>
      </c>
      <c r="G628" t="s">
        <v>3996</v>
      </c>
    </row>
    <row r="629" spans="1:7" x14ac:dyDescent="0.25">
      <c r="A629" t="s">
        <v>2428</v>
      </c>
      <c r="B629" t="s">
        <v>1413</v>
      </c>
      <c r="C629">
        <v>2008</v>
      </c>
      <c r="E629" s="10" t="s">
        <v>8415</v>
      </c>
      <c r="F629" t="s">
        <v>9229</v>
      </c>
      <c r="G629" t="s">
        <v>3996</v>
      </c>
    </row>
    <row r="630" spans="1:7" x14ac:dyDescent="0.25">
      <c r="A630" t="s">
        <v>2954</v>
      </c>
      <c r="B630" t="s">
        <v>1413</v>
      </c>
      <c r="C630">
        <v>2014</v>
      </c>
      <c r="E630" s="10" t="s">
        <v>8414</v>
      </c>
      <c r="F630" t="s">
        <v>9390</v>
      </c>
      <c r="G630" t="s">
        <v>3996</v>
      </c>
    </row>
    <row r="631" spans="1:7" x14ac:dyDescent="0.25">
      <c r="A631" t="s">
        <v>2132</v>
      </c>
      <c r="B631" t="s">
        <v>1417</v>
      </c>
      <c r="C631">
        <v>2013</v>
      </c>
      <c r="E631" t="s">
        <v>3313</v>
      </c>
      <c r="F631" t="s">
        <v>9019</v>
      </c>
      <c r="G631" t="s">
        <v>3996</v>
      </c>
    </row>
    <row r="632" spans="1:7" x14ac:dyDescent="0.25">
      <c r="A632" t="s">
        <v>256</v>
      </c>
      <c r="B632" t="s">
        <v>1420</v>
      </c>
      <c r="C632">
        <v>1994</v>
      </c>
      <c r="E632" t="s">
        <v>2992</v>
      </c>
      <c r="F632" t="s">
        <v>9677</v>
      </c>
      <c r="G632" t="s">
        <v>187</v>
      </c>
    </row>
    <row r="633" spans="1:7" x14ac:dyDescent="0.25">
      <c r="A633" t="s">
        <v>260</v>
      </c>
      <c r="B633" t="s">
        <v>1420</v>
      </c>
      <c r="C633">
        <v>1990</v>
      </c>
      <c r="E633" t="s">
        <v>2992</v>
      </c>
      <c r="F633" t="s">
        <v>9678</v>
      </c>
      <c r="G633" t="s">
        <v>187</v>
      </c>
    </row>
    <row r="634" spans="1:7" x14ac:dyDescent="0.25">
      <c r="A634" t="s">
        <v>1795</v>
      </c>
      <c r="B634" t="s">
        <v>1420</v>
      </c>
      <c r="C634">
        <v>1987</v>
      </c>
      <c r="E634" t="s">
        <v>2992</v>
      </c>
      <c r="F634" t="s">
        <v>9679</v>
      </c>
      <c r="G634" t="s">
        <v>187</v>
      </c>
    </row>
    <row r="635" spans="1:7" x14ac:dyDescent="0.25">
      <c r="A635" t="s">
        <v>1882</v>
      </c>
      <c r="B635" t="s">
        <v>1420</v>
      </c>
      <c r="C635">
        <v>1987</v>
      </c>
      <c r="E635" t="s">
        <v>2992</v>
      </c>
      <c r="F635" t="s">
        <v>9680</v>
      </c>
      <c r="G635" t="s">
        <v>187</v>
      </c>
    </row>
    <row r="636" spans="1:7" x14ac:dyDescent="0.25">
      <c r="A636" t="s">
        <v>2571</v>
      </c>
      <c r="B636" t="s">
        <v>1420</v>
      </c>
      <c r="C636">
        <v>1998</v>
      </c>
      <c r="E636" t="s">
        <v>2992</v>
      </c>
      <c r="F636" t="s">
        <v>9681</v>
      </c>
      <c r="G636" t="s">
        <v>187</v>
      </c>
    </row>
    <row r="637" spans="1:7" x14ac:dyDescent="0.25">
      <c r="A637" t="s">
        <v>2874</v>
      </c>
      <c r="B637" t="s">
        <v>1423</v>
      </c>
      <c r="C637">
        <v>2005</v>
      </c>
      <c r="D637" t="s">
        <v>187</v>
      </c>
      <c r="F637" t="s">
        <v>9682</v>
      </c>
      <c r="G637" t="s">
        <v>3996</v>
      </c>
    </row>
    <row r="638" spans="1:7" x14ac:dyDescent="0.25">
      <c r="A638" t="s">
        <v>260</v>
      </c>
      <c r="B638" t="s">
        <v>1425</v>
      </c>
      <c r="C638">
        <v>1990</v>
      </c>
      <c r="E638" t="s">
        <v>2982</v>
      </c>
      <c r="F638" t="s">
        <v>9451</v>
      </c>
      <c r="G638" t="s">
        <v>3996</v>
      </c>
    </row>
    <row r="639" spans="1:7" x14ac:dyDescent="0.25">
      <c r="A639" t="s">
        <v>922</v>
      </c>
      <c r="B639" t="s">
        <v>1425</v>
      </c>
      <c r="C639">
        <v>2002</v>
      </c>
      <c r="E639" t="s">
        <v>2982</v>
      </c>
      <c r="F639" t="s">
        <v>8697</v>
      </c>
      <c r="G639" t="s">
        <v>3996</v>
      </c>
    </row>
    <row r="640" spans="1:7" x14ac:dyDescent="0.25">
      <c r="A640" t="s">
        <v>2154</v>
      </c>
      <c r="B640" t="s">
        <v>1425</v>
      </c>
      <c r="C640">
        <v>1980</v>
      </c>
      <c r="E640" t="s">
        <v>2982</v>
      </c>
      <c r="F640" t="s">
        <v>9048</v>
      </c>
      <c r="G640" t="s">
        <v>3996</v>
      </c>
    </row>
    <row r="641" spans="1:7" x14ac:dyDescent="0.25">
      <c r="A641" t="s">
        <v>1690</v>
      </c>
      <c r="B641" t="s">
        <v>1428</v>
      </c>
      <c r="C641">
        <v>2020</v>
      </c>
      <c r="D641" t="s">
        <v>187</v>
      </c>
      <c r="F641" t="s">
        <v>9683</v>
      </c>
      <c r="G641" t="s">
        <v>3996</v>
      </c>
    </row>
    <row r="642" spans="1:7" x14ac:dyDescent="0.25">
      <c r="A642" t="s">
        <v>1306</v>
      </c>
      <c r="B642" t="s">
        <v>1432</v>
      </c>
      <c r="C642">
        <v>2014</v>
      </c>
      <c r="E642" t="s">
        <v>2982</v>
      </c>
      <c r="F642" t="s">
        <v>8844</v>
      </c>
      <c r="G642" t="s">
        <v>3996</v>
      </c>
    </row>
    <row r="643" spans="1:7" x14ac:dyDescent="0.25">
      <c r="A643" t="s">
        <v>1435</v>
      </c>
      <c r="B643" t="s">
        <v>1432</v>
      </c>
      <c r="C643">
        <v>2021</v>
      </c>
      <c r="E643" t="s">
        <v>2982</v>
      </c>
      <c r="F643" t="s">
        <v>8855</v>
      </c>
      <c r="G643" t="s">
        <v>3996</v>
      </c>
    </row>
    <row r="644" spans="1:7" x14ac:dyDescent="0.25">
      <c r="A644" t="s">
        <v>1690</v>
      </c>
      <c r="B644" t="s">
        <v>1435</v>
      </c>
      <c r="C644">
        <v>2020</v>
      </c>
      <c r="E644" t="s">
        <v>3269</v>
      </c>
      <c r="F644" t="s">
        <v>8922</v>
      </c>
      <c r="G644" t="s">
        <v>3996</v>
      </c>
    </row>
    <row r="645" spans="1:7" x14ac:dyDescent="0.25">
      <c r="A645" t="s">
        <v>90</v>
      </c>
      <c r="B645" t="s">
        <v>1435</v>
      </c>
      <c r="C645">
        <v>2017</v>
      </c>
      <c r="E645" t="s">
        <v>3269</v>
      </c>
      <c r="F645" t="s">
        <v>9138</v>
      </c>
      <c r="G645" t="s">
        <v>3996</v>
      </c>
    </row>
    <row r="646" spans="1:7" x14ac:dyDescent="0.25">
      <c r="A646" t="s">
        <v>353</v>
      </c>
      <c r="B646" t="s">
        <v>7995</v>
      </c>
      <c r="C646">
        <v>2023</v>
      </c>
      <c r="E646" s="10" t="s">
        <v>7994</v>
      </c>
      <c r="F646" t="s">
        <v>8527</v>
      </c>
      <c r="G646" t="s">
        <v>3996</v>
      </c>
    </row>
    <row r="647" spans="1:7" x14ac:dyDescent="0.25">
      <c r="A647" t="s">
        <v>353</v>
      </c>
      <c r="B647" t="s">
        <v>7995</v>
      </c>
      <c r="C647">
        <v>2023</v>
      </c>
      <c r="E647" s="10" t="s">
        <v>7994</v>
      </c>
      <c r="F647" t="s">
        <v>8527</v>
      </c>
      <c r="G647" t="s">
        <v>3996</v>
      </c>
    </row>
    <row r="648" spans="1:7" x14ac:dyDescent="0.25">
      <c r="A648" t="s">
        <v>720</v>
      </c>
      <c r="B648" t="s">
        <v>1439</v>
      </c>
      <c r="C648">
        <v>2016</v>
      </c>
      <c r="E648" t="s">
        <v>3090</v>
      </c>
      <c r="F648" t="s">
        <v>8601</v>
      </c>
      <c r="G648" t="s">
        <v>3996</v>
      </c>
    </row>
    <row r="649" spans="1:7" x14ac:dyDescent="0.25">
      <c r="A649" t="s">
        <v>1144</v>
      </c>
      <c r="B649" t="s">
        <v>1439</v>
      </c>
      <c r="C649">
        <v>2012</v>
      </c>
      <c r="E649" t="s">
        <v>3090</v>
      </c>
      <c r="F649" t="s">
        <v>8771</v>
      </c>
      <c r="G649" t="s">
        <v>3996</v>
      </c>
    </row>
    <row r="650" spans="1:7" x14ac:dyDescent="0.25">
      <c r="A650" t="s">
        <v>1144</v>
      </c>
      <c r="B650" t="s">
        <v>1443</v>
      </c>
      <c r="C650">
        <v>2012</v>
      </c>
      <c r="D650" t="s">
        <v>187</v>
      </c>
      <c r="E650" t="s">
        <v>3206</v>
      </c>
      <c r="F650" t="s">
        <v>8772</v>
      </c>
      <c r="G650" t="s">
        <v>3996</v>
      </c>
    </row>
    <row r="651" spans="1:7" x14ac:dyDescent="0.25">
      <c r="A651" t="s">
        <v>1385</v>
      </c>
      <c r="B651" t="s">
        <v>1443</v>
      </c>
      <c r="C651">
        <v>2013</v>
      </c>
      <c r="E651" t="s">
        <v>3241</v>
      </c>
      <c r="F651" t="s">
        <v>9684</v>
      </c>
      <c r="G651" t="s">
        <v>187</v>
      </c>
    </row>
    <row r="652" spans="1:7" x14ac:dyDescent="0.25">
      <c r="A652" t="s">
        <v>90</v>
      </c>
      <c r="B652" t="s">
        <v>1447</v>
      </c>
      <c r="C652">
        <v>2017</v>
      </c>
      <c r="E652" t="s">
        <v>2982</v>
      </c>
      <c r="F652" t="s">
        <v>9139</v>
      </c>
      <c r="G652" t="s">
        <v>3996</v>
      </c>
    </row>
    <row r="653" spans="1:7" x14ac:dyDescent="0.25">
      <c r="A653" t="s">
        <v>746</v>
      </c>
      <c r="B653" t="s">
        <v>1450</v>
      </c>
      <c r="C653">
        <v>2015</v>
      </c>
      <c r="E653" t="s">
        <v>3104</v>
      </c>
      <c r="F653" t="s">
        <v>8617</v>
      </c>
      <c r="G653" t="s">
        <v>3996</v>
      </c>
    </row>
    <row r="654" spans="1:7" x14ac:dyDescent="0.25">
      <c r="A654" t="s">
        <v>90</v>
      </c>
      <c r="B654" t="s">
        <v>1450</v>
      </c>
      <c r="C654">
        <v>2017</v>
      </c>
      <c r="E654" t="s">
        <v>3104</v>
      </c>
      <c r="F654" t="s">
        <v>9140</v>
      </c>
      <c r="G654" t="s">
        <v>3996</v>
      </c>
    </row>
    <row r="655" spans="1:7" x14ac:dyDescent="0.25">
      <c r="A655" t="s">
        <v>1795</v>
      </c>
      <c r="B655" t="s">
        <v>1454</v>
      </c>
      <c r="C655">
        <v>1987</v>
      </c>
      <c r="E655" t="s">
        <v>3282</v>
      </c>
      <c r="F655" t="s">
        <v>8949</v>
      </c>
      <c r="G655" t="s">
        <v>3996</v>
      </c>
    </row>
    <row r="656" spans="1:7" x14ac:dyDescent="0.25">
      <c r="A656" t="s">
        <v>1460</v>
      </c>
      <c r="B656" t="s">
        <v>1457</v>
      </c>
      <c r="C656">
        <v>2006</v>
      </c>
      <c r="D656" t="s">
        <v>187</v>
      </c>
      <c r="F656" t="s">
        <v>9685</v>
      </c>
      <c r="G656" t="s">
        <v>3996</v>
      </c>
    </row>
    <row r="657" spans="1:7" x14ac:dyDescent="0.25">
      <c r="A657" t="s">
        <v>2721</v>
      </c>
      <c r="B657" t="s">
        <v>1460</v>
      </c>
      <c r="C657">
        <v>1993</v>
      </c>
      <c r="E657" t="s">
        <v>3013</v>
      </c>
      <c r="F657" t="s">
        <v>9686</v>
      </c>
      <c r="G657" t="s">
        <v>187</v>
      </c>
    </row>
    <row r="658" spans="1:7" x14ac:dyDescent="0.25">
      <c r="A658" t="s">
        <v>778</v>
      </c>
      <c r="B658" t="s">
        <v>1463</v>
      </c>
      <c r="C658">
        <v>2023</v>
      </c>
      <c r="E658" t="s">
        <v>3126</v>
      </c>
      <c r="F658" t="s">
        <v>8650</v>
      </c>
      <c r="G658" t="s">
        <v>3996</v>
      </c>
    </row>
    <row r="659" spans="1:7" x14ac:dyDescent="0.25">
      <c r="A659" t="s">
        <v>847</v>
      </c>
      <c r="B659" t="s">
        <v>1463</v>
      </c>
      <c r="C659">
        <v>1996</v>
      </c>
      <c r="E659" t="s">
        <v>3126</v>
      </c>
      <c r="F659" t="s">
        <v>9452</v>
      </c>
      <c r="G659" t="s">
        <v>3996</v>
      </c>
    </row>
    <row r="660" spans="1:7" x14ac:dyDescent="0.25">
      <c r="A660" t="s">
        <v>1302</v>
      </c>
      <c r="B660" t="s">
        <v>1463</v>
      </c>
      <c r="C660">
        <v>2023</v>
      </c>
      <c r="E660" t="s">
        <v>3126</v>
      </c>
      <c r="F660" t="s">
        <v>8841</v>
      </c>
      <c r="G660" t="s">
        <v>3996</v>
      </c>
    </row>
    <row r="661" spans="1:7" x14ac:dyDescent="0.25">
      <c r="A661" t="s">
        <v>2804</v>
      </c>
      <c r="B661" t="s">
        <v>1463</v>
      </c>
      <c r="C661">
        <v>2021</v>
      </c>
      <c r="E661" t="s">
        <v>3126</v>
      </c>
      <c r="F661" t="s">
        <v>9354</v>
      </c>
      <c r="G661" t="s">
        <v>3996</v>
      </c>
    </row>
    <row r="662" spans="1:7" x14ac:dyDescent="0.25">
      <c r="A662" t="s">
        <v>922</v>
      </c>
      <c r="B662" t="s">
        <v>1467</v>
      </c>
      <c r="C662">
        <v>2002</v>
      </c>
      <c r="D662" t="s">
        <v>187</v>
      </c>
      <c r="F662" t="s">
        <v>9687</v>
      </c>
      <c r="G662" t="s">
        <v>3996</v>
      </c>
    </row>
    <row r="663" spans="1:7" x14ac:dyDescent="0.25">
      <c r="A663" t="s">
        <v>2377</v>
      </c>
      <c r="B663" t="s">
        <v>1471</v>
      </c>
      <c r="C663">
        <v>2021</v>
      </c>
      <c r="E663" t="s">
        <v>3013</v>
      </c>
      <c r="F663" t="s">
        <v>9688</v>
      </c>
      <c r="G663" t="s">
        <v>187</v>
      </c>
    </row>
    <row r="664" spans="1:7" x14ac:dyDescent="0.25">
      <c r="A664" t="s">
        <v>1933</v>
      </c>
      <c r="B664" t="s">
        <v>1475</v>
      </c>
      <c r="C664">
        <v>2021</v>
      </c>
      <c r="E664" t="s">
        <v>2982</v>
      </c>
      <c r="F664" t="s">
        <v>8998</v>
      </c>
      <c r="G664" t="s">
        <v>3996</v>
      </c>
    </row>
    <row r="665" spans="1:7" x14ac:dyDescent="0.25">
      <c r="A665" t="s">
        <v>90</v>
      </c>
      <c r="B665" t="s">
        <v>1475</v>
      </c>
      <c r="C665">
        <v>2017</v>
      </c>
      <c r="E665" t="s">
        <v>3364</v>
      </c>
      <c r="F665" t="s">
        <v>9141</v>
      </c>
      <c r="G665" t="s">
        <v>3996</v>
      </c>
    </row>
    <row r="666" spans="1:7" x14ac:dyDescent="0.25">
      <c r="A666" t="s">
        <v>2506</v>
      </c>
      <c r="B666" t="s">
        <v>1475</v>
      </c>
      <c r="C666">
        <v>2021</v>
      </c>
      <c r="E666" t="s">
        <v>2982</v>
      </c>
      <c r="F666" t="s">
        <v>9248</v>
      </c>
      <c r="G666" t="s">
        <v>3996</v>
      </c>
    </row>
    <row r="667" spans="1:7" x14ac:dyDescent="0.25">
      <c r="A667" t="s">
        <v>759</v>
      </c>
      <c r="B667" t="s">
        <v>1479</v>
      </c>
      <c r="C667">
        <v>2018</v>
      </c>
      <c r="E667" t="s">
        <v>3120</v>
      </c>
      <c r="F667" t="s">
        <v>8639</v>
      </c>
      <c r="G667" t="s">
        <v>3996</v>
      </c>
    </row>
    <row r="668" spans="1:7" x14ac:dyDescent="0.25">
      <c r="A668" t="s">
        <v>256</v>
      </c>
      <c r="B668" t="s">
        <v>1482</v>
      </c>
      <c r="C668">
        <v>1994</v>
      </c>
      <c r="E668" t="s">
        <v>2982</v>
      </c>
      <c r="F668" t="s">
        <v>8476</v>
      </c>
      <c r="G668" t="s">
        <v>3996</v>
      </c>
    </row>
    <row r="669" spans="1:7" x14ac:dyDescent="0.25">
      <c r="A669" t="s">
        <v>1004</v>
      </c>
      <c r="B669" t="s">
        <v>1482</v>
      </c>
      <c r="C669">
        <v>2006</v>
      </c>
      <c r="E669" t="s">
        <v>3172</v>
      </c>
      <c r="F669" t="s">
        <v>8723</v>
      </c>
      <c r="G669" t="s">
        <v>3996</v>
      </c>
    </row>
    <row r="670" spans="1:7" x14ac:dyDescent="0.25">
      <c r="A670" t="s">
        <v>1795</v>
      </c>
      <c r="B670" t="s">
        <v>1482</v>
      </c>
      <c r="C670">
        <v>1987</v>
      </c>
      <c r="E670" t="s">
        <v>2982</v>
      </c>
      <c r="F670" t="s">
        <v>8950</v>
      </c>
      <c r="G670" t="s">
        <v>3996</v>
      </c>
    </row>
    <row r="671" spans="1:7" x14ac:dyDescent="0.25">
      <c r="A671" t="s">
        <v>2804</v>
      </c>
      <c r="B671" t="s">
        <v>1486</v>
      </c>
      <c r="C671">
        <v>2021</v>
      </c>
      <c r="E671" s="10" t="s">
        <v>9967</v>
      </c>
      <c r="F671" t="s">
        <v>9689</v>
      </c>
      <c r="G671" t="s">
        <v>3996</v>
      </c>
    </row>
    <row r="672" spans="1:7" x14ac:dyDescent="0.25">
      <c r="A672" t="s">
        <v>379</v>
      </c>
      <c r="B672" t="s">
        <v>7986</v>
      </c>
      <c r="C672">
        <v>1998</v>
      </c>
      <c r="E672" s="10" t="s">
        <v>7989</v>
      </c>
      <c r="F672" t="s">
        <v>9690</v>
      </c>
      <c r="G672" t="s">
        <v>187</v>
      </c>
    </row>
    <row r="673" spans="1:7" x14ac:dyDescent="0.25">
      <c r="A673" t="s">
        <v>379</v>
      </c>
      <c r="B673" t="s">
        <v>7986</v>
      </c>
      <c r="C673">
        <v>1998</v>
      </c>
      <c r="E673" s="10" t="s">
        <v>7989</v>
      </c>
      <c r="F673" t="s">
        <v>9690</v>
      </c>
      <c r="G673" t="s">
        <v>187</v>
      </c>
    </row>
    <row r="674" spans="1:7" x14ac:dyDescent="0.25">
      <c r="A674" t="s">
        <v>1951</v>
      </c>
      <c r="B674" t="s">
        <v>1490</v>
      </c>
      <c r="C674">
        <v>2022</v>
      </c>
      <c r="E674" s="10" t="s">
        <v>8363</v>
      </c>
      <c r="F674" t="s">
        <v>9002</v>
      </c>
      <c r="G674" t="s">
        <v>3996</v>
      </c>
    </row>
    <row r="675" spans="1:7" x14ac:dyDescent="0.25">
      <c r="A675" t="s">
        <v>497</v>
      </c>
      <c r="B675" t="s">
        <v>1492</v>
      </c>
      <c r="C675">
        <v>2022</v>
      </c>
      <c r="E675" t="s">
        <v>3068</v>
      </c>
      <c r="F675" t="s">
        <v>8569</v>
      </c>
      <c r="G675" t="s">
        <v>3996</v>
      </c>
    </row>
    <row r="676" spans="1:7" x14ac:dyDescent="0.25">
      <c r="A676" t="s">
        <v>689</v>
      </c>
      <c r="B676" t="s">
        <v>1492</v>
      </c>
      <c r="C676">
        <v>2015</v>
      </c>
      <c r="E676" t="s">
        <v>3087</v>
      </c>
      <c r="F676" t="s">
        <v>8596</v>
      </c>
      <c r="G676" t="s">
        <v>3996</v>
      </c>
    </row>
    <row r="677" spans="1:7" x14ac:dyDescent="0.25">
      <c r="A677" t="s">
        <v>1294</v>
      </c>
      <c r="B677" t="s">
        <v>1492</v>
      </c>
      <c r="C677">
        <v>2019</v>
      </c>
      <c r="E677" t="s">
        <v>3087</v>
      </c>
      <c r="F677" t="s">
        <v>8819</v>
      </c>
      <c r="G677" t="s">
        <v>3996</v>
      </c>
    </row>
    <row r="678" spans="1:7" x14ac:dyDescent="0.25">
      <c r="A678" t="s">
        <v>2804</v>
      </c>
      <c r="B678" t="s">
        <v>1492</v>
      </c>
      <c r="C678">
        <v>2021</v>
      </c>
      <c r="E678" t="s">
        <v>3087</v>
      </c>
      <c r="F678" t="s">
        <v>9355</v>
      </c>
      <c r="G678" t="s">
        <v>3996</v>
      </c>
    </row>
    <row r="679" spans="1:7" x14ac:dyDescent="0.25">
      <c r="A679" t="s">
        <v>2804</v>
      </c>
      <c r="B679" t="s">
        <v>1500</v>
      </c>
      <c r="C679">
        <v>2021</v>
      </c>
      <c r="E679" t="s">
        <v>3013</v>
      </c>
      <c r="F679" t="s">
        <v>9691</v>
      </c>
      <c r="G679" t="s">
        <v>187</v>
      </c>
    </row>
    <row r="680" spans="1:7" x14ac:dyDescent="0.25">
      <c r="A680" t="s">
        <v>344</v>
      </c>
      <c r="B680" t="s">
        <v>1503</v>
      </c>
      <c r="C680">
        <v>2023</v>
      </c>
      <c r="E680" t="s">
        <v>3011</v>
      </c>
      <c r="F680" t="s">
        <v>8497</v>
      </c>
      <c r="G680" t="s">
        <v>3996</v>
      </c>
    </row>
    <row r="681" spans="1:7" x14ac:dyDescent="0.25">
      <c r="A681" t="s">
        <v>2506</v>
      </c>
      <c r="B681" t="s">
        <v>1503</v>
      </c>
      <c r="C681">
        <v>2021</v>
      </c>
      <c r="E681" t="s">
        <v>3011</v>
      </c>
      <c r="F681" t="s">
        <v>9249</v>
      </c>
      <c r="G681" t="s">
        <v>3996</v>
      </c>
    </row>
    <row r="682" spans="1:7" x14ac:dyDescent="0.25">
      <c r="A682" t="s">
        <v>2594</v>
      </c>
      <c r="B682" t="s">
        <v>1503</v>
      </c>
      <c r="C682">
        <v>2019</v>
      </c>
      <c r="E682" t="s">
        <v>3011</v>
      </c>
      <c r="F682" t="s">
        <v>9266</v>
      </c>
      <c r="G682" t="s">
        <v>3996</v>
      </c>
    </row>
    <row r="683" spans="1:7" x14ac:dyDescent="0.25">
      <c r="A683" t="s">
        <v>1089</v>
      </c>
      <c r="B683" t="s">
        <v>1507</v>
      </c>
      <c r="C683">
        <v>2021</v>
      </c>
      <c r="D683" t="s">
        <v>187</v>
      </c>
      <c r="F683" t="s">
        <v>9692</v>
      </c>
      <c r="G683" t="s">
        <v>3996</v>
      </c>
    </row>
    <row r="684" spans="1:7" x14ac:dyDescent="0.25">
      <c r="A684" t="s">
        <v>90</v>
      </c>
      <c r="B684" t="s">
        <v>1511</v>
      </c>
      <c r="C684">
        <v>2017</v>
      </c>
      <c r="E684" t="s">
        <v>2982</v>
      </c>
      <c r="F684" t="s">
        <v>9142</v>
      </c>
      <c r="G684" t="s">
        <v>3996</v>
      </c>
    </row>
    <row r="685" spans="1:7" x14ac:dyDescent="0.25">
      <c r="A685" t="s">
        <v>490</v>
      </c>
      <c r="B685" t="s">
        <v>1513</v>
      </c>
      <c r="C685">
        <v>2009</v>
      </c>
      <c r="E685" t="s">
        <v>3059</v>
      </c>
      <c r="F685" t="s">
        <v>8556</v>
      </c>
      <c r="G685" t="s">
        <v>3996</v>
      </c>
    </row>
    <row r="686" spans="1:7" x14ac:dyDescent="0.25">
      <c r="A686" t="s">
        <v>2571</v>
      </c>
      <c r="B686" t="s">
        <v>1513</v>
      </c>
      <c r="C686">
        <v>1998</v>
      </c>
      <c r="E686" t="s">
        <v>3059</v>
      </c>
      <c r="F686" t="s">
        <v>9261</v>
      </c>
      <c r="G686" t="s">
        <v>3996</v>
      </c>
    </row>
    <row r="687" spans="1:7" x14ac:dyDescent="0.25">
      <c r="A687" t="s">
        <v>2578</v>
      </c>
      <c r="B687" t="s">
        <v>1513</v>
      </c>
      <c r="C687">
        <v>2017</v>
      </c>
      <c r="E687" t="s">
        <v>3059</v>
      </c>
      <c r="F687" t="s">
        <v>9263</v>
      </c>
      <c r="G687" t="s">
        <v>3996</v>
      </c>
    </row>
    <row r="688" spans="1:7" x14ac:dyDescent="0.25">
      <c r="A688" t="s">
        <v>1046</v>
      </c>
      <c r="B688" t="s">
        <v>1516</v>
      </c>
      <c r="C688">
        <v>2016</v>
      </c>
      <c r="E688" t="s">
        <v>2982</v>
      </c>
      <c r="F688" t="s">
        <v>8742</v>
      </c>
      <c r="G688" t="s">
        <v>3996</v>
      </c>
    </row>
    <row r="689" spans="1:7" x14ac:dyDescent="0.25">
      <c r="A689" t="s">
        <v>160</v>
      </c>
      <c r="B689" t="s">
        <v>1516</v>
      </c>
      <c r="C689">
        <v>2011</v>
      </c>
      <c r="E689" t="s">
        <v>2982</v>
      </c>
      <c r="F689" t="s">
        <v>9293</v>
      </c>
      <c r="G689" t="s">
        <v>3996</v>
      </c>
    </row>
    <row r="690" spans="1:7" x14ac:dyDescent="0.25">
      <c r="A690" t="s">
        <v>256</v>
      </c>
      <c r="B690" t="s">
        <v>1520</v>
      </c>
      <c r="C690">
        <v>1994</v>
      </c>
      <c r="E690" t="s">
        <v>2993</v>
      </c>
      <c r="F690" t="s">
        <v>8477</v>
      </c>
      <c r="G690" t="s">
        <v>3996</v>
      </c>
    </row>
    <row r="691" spans="1:7" x14ac:dyDescent="0.25">
      <c r="A691" t="s">
        <v>260</v>
      </c>
      <c r="B691" t="s">
        <v>1520</v>
      </c>
      <c r="C691">
        <v>1990</v>
      </c>
      <c r="E691" t="s">
        <v>2993</v>
      </c>
      <c r="F691" t="s">
        <v>8486</v>
      </c>
      <c r="G691" t="s">
        <v>3996</v>
      </c>
    </row>
    <row r="692" spans="1:7" x14ac:dyDescent="0.25">
      <c r="A692" t="s">
        <v>847</v>
      </c>
      <c r="B692" t="s">
        <v>1520</v>
      </c>
      <c r="C692">
        <v>1996</v>
      </c>
      <c r="E692" t="s">
        <v>3136</v>
      </c>
      <c r="F692" t="s">
        <v>8672</v>
      </c>
      <c r="G692" t="s">
        <v>3996</v>
      </c>
    </row>
    <row r="693" spans="1:7" x14ac:dyDescent="0.25">
      <c r="A693" t="s">
        <v>1795</v>
      </c>
      <c r="B693" t="s">
        <v>1520</v>
      </c>
      <c r="C693">
        <v>1987</v>
      </c>
      <c r="E693" t="s">
        <v>2993</v>
      </c>
      <c r="F693" t="s">
        <v>8951</v>
      </c>
      <c r="G693" t="s">
        <v>3996</v>
      </c>
    </row>
    <row r="694" spans="1:7" x14ac:dyDescent="0.25">
      <c r="A694" t="s">
        <v>2154</v>
      </c>
      <c r="B694" t="s">
        <v>1523</v>
      </c>
      <c r="C694">
        <v>1980</v>
      </c>
      <c r="E694" t="s">
        <v>3325</v>
      </c>
      <c r="F694" t="s">
        <v>9049</v>
      </c>
      <c r="G694" t="s">
        <v>3996</v>
      </c>
    </row>
    <row r="695" spans="1:7" x14ac:dyDescent="0.25">
      <c r="A695" t="s">
        <v>2154</v>
      </c>
      <c r="B695" t="s">
        <v>8108</v>
      </c>
      <c r="C695">
        <v>1980</v>
      </c>
      <c r="E695" s="10" t="s">
        <v>8129</v>
      </c>
      <c r="F695" t="s">
        <v>9050</v>
      </c>
      <c r="G695" t="s">
        <v>3996</v>
      </c>
    </row>
    <row r="696" spans="1:7" x14ac:dyDescent="0.25">
      <c r="A696" t="s">
        <v>383</v>
      </c>
      <c r="B696" t="s">
        <v>1526</v>
      </c>
      <c r="C696">
        <v>2017</v>
      </c>
      <c r="E696" s="10" t="s">
        <v>3054</v>
      </c>
      <c r="F696" t="s">
        <v>9475</v>
      </c>
      <c r="G696" t="s">
        <v>3996</v>
      </c>
    </row>
    <row r="697" spans="1:7" x14ac:dyDescent="0.25">
      <c r="A697" t="s">
        <v>746</v>
      </c>
      <c r="B697" t="s">
        <v>1526</v>
      </c>
      <c r="C697">
        <v>2015</v>
      </c>
      <c r="E697" s="10" t="s">
        <v>3054</v>
      </c>
      <c r="F697" t="s">
        <v>9476</v>
      </c>
      <c r="G697" t="s">
        <v>3996</v>
      </c>
    </row>
    <row r="698" spans="1:7" x14ac:dyDescent="0.25">
      <c r="A698" t="s">
        <v>1115</v>
      </c>
      <c r="B698" t="s">
        <v>1526</v>
      </c>
      <c r="C698">
        <v>2018</v>
      </c>
      <c r="E698" s="10" t="s">
        <v>3054</v>
      </c>
      <c r="F698" t="s">
        <v>9477</v>
      </c>
      <c r="G698" t="s">
        <v>3996</v>
      </c>
    </row>
    <row r="699" spans="1:7" x14ac:dyDescent="0.25">
      <c r="A699" t="s">
        <v>90</v>
      </c>
      <c r="B699" t="s">
        <v>1526</v>
      </c>
      <c r="C699">
        <v>2017</v>
      </c>
      <c r="E699" s="10" t="s">
        <v>3054</v>
      </c>
      <c r="F699" t="s">
        <v>9478</v>
      </c>
      <c r="G699" t="s">
        <v>3996</v>
      </c>
    </row>
    <row r="700" spans="1:7" x14ac:dyDescent="0.25">
      <c r="A700" t="s">
        <v>2804</v>
      </c>
      <c r="B700" t="s">
        <v>7961</v>
      </c>
      <c r="C700">
        <v>2021</v>
      </c>
      <c r="E700" s="10" t="s">
        <v>7960</v>
      </c>
      <c r="F700" t="s">
        <v>9356</v>
      </c>
      <c r="G700" t="s">
        <v>3996</v>
      </c>
    </row>
    <row r="701" spans="1:7" x14ac:dyDescent="0.25">
      <c r="A701" t="s">
        <v>2804</v>
      </c>
      <c r="B701" t="s">
        <v>1530</v>
      </c>
      <c r="C701">
        <v>2021</v>
      </c>
      <c r="E701" t="s">
        <v>3013</v>
      </c>
      <c r="F701" t="s">
        <v>9693</v>
      </c>
      <c r="G701" t="s">
        <v>187</v>
      </c>
    </row>
    <row r="702" spans="1:7" x14ac:dyDescent="0.25">
      <c r="A702" t="s">
        <v>1435</v>
      </c>
      <c r="B702" t="s">
        <v>1532</v>
      </c>
      <c r="C702">
        <v>2021</v>
      </c>
      <c r="E702" s="10" t="s">
        <v>8405</v>
      </c>
      <c r="F702" t="s">
        <v>8856</v>
      </c>
      <c r="G702" t="s">
        <v>3996</v>
      </c>
    </row>
    <row r="703" spans="1:7" x14ac:dyDescent="0.25">
      <c r="A703" t="s">
        <v>1655</v>
      </c>
      <c r="B703" t="s">
        <v>1532</v>
      </c>
      <c r="C703">
        <v>2024</v>
      </c>
      <c r="D703" t="s">
        <v>187</v>
      </c>
      <c r="F703" t="s">
        <v>9694</v>
      </c>
      <c r="G703" t="s">
        <v>3996</v>
      </c>
    </row>
    <row r="704" spans="1:7" x14ac:dyDescent="0.25">
      <c r="A704" t="s">
        <v>1385</v>
      </c>
      <c r="B704" t="s">
        <v>1534</v>
      </c>
      <c r="C704">
        <v>2013</v>
      </c>
      <c r="E704" s="10" t="s">
        <v>8432</v>
      </c>
      <c r="F704" t="s">
        <v>8848</v>
      </c>
      <c r="G704" t="s">
        <v>3996</v>
      </c>
    </row>
    <row r="705" spans="1:7" x14ac:dyDescent="0.25">
      <c r="A705" t="s">
        <v>1443</v>
      </c>
      <c r="B705" t="s">
        <v>1534</v>
      </c>
      <c r="C705">
        <v>2018</v>
      </c>
      <c r="E705" s="10" t="s">
        <v>8432</v>
      </c>
      <c r="F705" t="s">
        <v>9453</v>
      </c>
      <c r="G705" t="s">
        <v>3996</v>
      </c>
    </row>
    <row r="706" spans="1:7" x14ac:dyDescent="0.25">
      <c r="A706" t="s">
        <v>353</v>
      </c>
      <c r="B706" t="s">
        <v>7999</v>
      </c>
      <c r="C706">
        <v>2023</v>
      </c>
      <c r="E706" s="10" t="s">
        <v>7998</v>
      </c>
      <c r="F706" t="s">
        <v>9695</v>
      </c>
      <c r="G706" t="s">
        <v>187</v>
      </c>
    </row>
    <row r="707" spans="1:7" x14ac:dyDescent="0.25">
      <c r="A707" t="s">
        <v>353</v>
      </c>
      <c r="B707" t="s">
        <v>7999</v>
      </c>
      <c r="C707">
        <v>2023</v>
      </c>
      <c r="E707" s="10" t="s">
        <v>7998</v>
      </c>
      <c r="F707" t="s">
        <v>9695</v>
      </c>
      <c r="G707" t="s">
        <v>187</v>
      </c>
    </row>
    <row r="708" spans="1:7" x14ac:dyDescent="0.25">
      <c r="A708" t="s">
        <v>1795</v>
      </c>
      <c r="B708" t="s">
        <v>1538</v>
      </c>
      <c r="C708">
        <v>1987</v>
      </c>
      <c r="E708" t="s">
        <v>3283</v>
      </c>
      <c r="F708" t="s">
        <v>8952</v>
      </c>
      <c r="G708" t="s">
        <v>3996</v>
      </c>
    </row>
    <row r="709" spans="1:7" x14ac:dyDescent="0.25">
      <c r="A709" t="s">
        <v>930</v>
      </c>
      <c r="B709" t="s">
        <v>1541</v>
      </c>
      <c r="C709">
        <v>2015</v>
      </c>
      <c r="E709" t="s">
        <v>3157</v>
      </c>
      <c r="F709" t="s">
        <v>8704</v>
      </c>
      <c r="G709" t="s">
        <v>3996</v>
      </c>
    </row>
    <row r="710" spans="1:7" x14ac:dyDescent="0.25">
      <c r="A710" t="s">
        <v>1855</v>
      </c>
      <c r="B710" t="s">
        <v>1541</v>
      </c>
      <c r="C710">
        <v>2015</v>
      </c>
      <c r="E710" t="s">
        <v>3157</v>
      </c>
      <c r="F710" t="s">
        <v>8984</v>
      </c>
      <c r="G710" t="s">
        <v>3996</v>
      </c>
    </row>
    <row r="711" spans="1:7" x14ac:dyDescent="0.25">
      <c r="A711" t="s">
        <v>2377</v>
      </c>
      <c r="B711" t="s">
        <v>1541</v>
      </c>
      <c r="C711">
        <v>2021</v>
      </c>
      <c r="E711" t="s">
        <v>3157</v>
      </c>
      <c r="F711" t="s">
        <v>9203</v>
      </c>
      <c r="G711" t="s">
        <v>3996</v>
      </c>
    </row>
    <row r="712" spans="1:7" x14ac:dyDescent="0.25">
      <c r="A712" t="s">
        <v>1144</v>
      </c>
      <c r="B712" t="s">
        <v>1545</v>
      </c>
      <c r="C712">
        <v>2012</v>
      </c>
      <c r="E712" t="s">
        <v>3013</v>
      </c>
      <c r="F712" t="s">
        <v>9696</v>
      </c>
      <c r="G712" t="s">
        <v>187</v>
      </c>
    </row>
    <row r="713" spans="1:7" x14ac:dyDescent="0.25">
      <c r="A713" t="s">
        <v>930</v>
      </c>
      <c r="B713" t="s">
        <v>1553</v>
      </c>
      <c r="C713">
        <v>2015</v>
      </c>
      <c r="E713" t="s">
        <v>3158</v>
      </c>
      <c r="F713" t="s">
        <v>9697</v>
      </c>
      <c r="G713" t="s">
        <v>187</v>
      </c>
    </row>
    <row r="714" spans="1:7" x14ac:dyDescent="0.25">
      <c r="A714" t="s">
        <v>2428</v>
      </c>
      <c r="B714" t="s">
        <v>1553</v>
      </c>
      <c r="C714">
        <v>2008</v>
      </c>
      <c r="E714" t="s">
        <v>3158</v>
      </c>
      <c r="F714" t="s">
        <v>9698</v>
      </c>
      <c r="G714" t="s">
        <v>187</v>
      </c>
    </row>
    <row r="715" spans="1:7" x14ac:dyDescent="0.25">
      <c r="A715" t="s">
        <v>344</v>
      </c>
      <c r="B715" t="s">
        <v>1559</v>
      </c>
      <c r="C715">
        <v>2023</v>
      </c>
      <c r="E715" t="s">
        <v>3012</v>
      </c>
      <c r="F715" t="s">
        <v>8498</v>
      </c>
      <c r="G715" t="s">
        <v>3996</v>
      </c>
    </row>
    <row r="716" spans="1:7" x14ac:dyDescent="0.25">
      <c r="A716" t="s">
        <v>353</v>
      </c>
      <c r="B716" t="s">
        <v>1559</v>
      </c>
      <c r="C716">
        <v>2023</v>
      </c>
      <c r="E716" t="s">
        <v>3012</v>
      </c>
      <c r="F716" t="s">
        <v>8528</v>
      </c>
      <c r="G716" t="s">
        <v>3996</v>
      </c>
    </row>
    <row r="717" spans="1:7" x14ac:dyDescent="0.25">
      <c r="A717" t="s">
        <v>1752</v>
      </c>
      <c r="B717" t="s">
        <v>1561</v>
      </c>
      <c r="C717">
        <v>2021</v>
      </c>
      <c r="E717" t="s">
        <v>3271</v>
      </c>
      <c r="F717" t="s">
        <v>8933</v>
      </c>
      <c r="G717" t="s">
        <v>3996</v>
      </c>
    </row>
    <row r="718" spans="1:7" x14ac:dyDescent="0.25">
      <c r="A718" t="s">
        <v>2136</v>
      </c>
      <c r="B718" t="s">
        <v>1561</v>
      </c>
      <c r="C718">
        <v>2020</v>
      </c>
      <c r="E718" t="s">
        <v>3271</v>
      </c>
      <c r="F718" t="s">
        <v>9027</v>
      </c>
      <c r="G718" t="s">
        <v>3996</v>
      </c>
    </row>
    <row r="719" spans="1:7" x14ac:dyDescent="0.25">
      <c r="A719" t="s">
        <v>1795</v>
      </c>
      <c r="B719" t="s">
        <v>1563</v>
      </c>
      <c r="C719">
        <v>1987</v>
      </c>
      <c r="E719" t="s">
        <v>2982</v>
      </c>
      <c r="F719" t="s">
        <v>8953</v>
      </c>
      <c r="G719" t="s">
        <v>3996</v>
      </c>
    </row>
    <row r="720" spans="1:7" x14ac:dyDescent="0.25">
      <c r="A720" t="s">
        <v>160</v>
      </c>
      <c r="B720" t="s">
        <v>1563</v>
      </c>
      <c r="C720">
        <v>2011</v>
      </c>
      <c r="E720" t="s">
        <v>2982</v>
      </c>
      <c r="F720" t="s">
        <v>9294</v>
      </c>
      <c r="G720" t="s">
        <v>3996</v>
      </c>
    </row>
    <row r="721" spans="1:7" x14ac:dyDescent="0.25">
      <c r="A721" t="s">
        <v>836</v>
      </c>
      <c r="B721" t="s">
        <v>1565</v>
      </c>
      <c r="C721">
        <v>2010</v>
      </c>
      <c r="E721" t="s">
        <v>3128</v>
      </c>
      <c r="F721" t="s">
        <v>8659</v>
      </c>
      <c r="G721" t="s">
        <v>3996</v>
      </c>
    </row>
    <row r="722" spans="1:7" x14ac:dyDescent="0.25">
      <c r="A722" t="s">
        <v>2286</v>
      </c>
      <c r="B722" t="s">
        <v>1565</v>
      </c>
      <c r="C722">
        <v>2014</v>
      </c>
      <c r="E722" t="s">
        <v>3128</v>
      </c>
      <c r="F722" t="s">
        <v>9082</v>
      </c>
      <c r="G722" t="s">
        <v>3996</v>
      </c>
    </row>
    <row r="723" spans="1:7" x14ac:dyDescent="0.25">
      <c r="A723" t="s">
        <v>90</v>
      </c>
      <c r="B723" t="s">
        <v>1565</v>
      </c>
      <c r="C723">
        <v>2017</v>
      </c>
      <c r="E723" t="s">
        <v>3128</v>
      </c>
      <c r="F723" t="s">
        <v>9143</v>
      </c>
      <c r="G723" t="s">
        <v>3996</v>
      </c>
    </row>
    <row r="724" spans="1:7" x14ac:dyDescent="0.25">
      <c r="A724" t="s">
        <v>90</v>
      </c>
      <c r="B724" t="s">
        <v>1568</v>
      </c>
      <c r="C724">
        <v>2017</v>
      </c>
      <c r="E724" s="10" t="s">
        <v>3365</v>
      </c>
      <c r="F724" t="s">
        <v>9144</v>
      </c>
      <c r="G724" t="s">
        <v>3996</v>
      </c>
    </row>
    <row r="725" spans="1:7" x14ac:dyDescent="0.25">
      <c r="A725" t="s">
        <v>1294</v>
      </c>
      <c r="B725" t="s">
        <v>1570</v>
      </c>
      <c r="C725">
        <v>2019</v>
      </c>
      <c r="E725" t="s">
        <v>3231</v>
      </c>
      <c r="F725" t="s">
        <v>8820</v>
      </c>
      <c r="G725" t="s">
        <v>3996</v>
      </c>
    </row>
    <row r="726" spans="1:7" x14ac:dyDescent="0.25">
      <c r="A726" t="s">
        <v>1284</v>
      </c>
      <c r="B726" t="s">
        <v>1572</v>
      </c>
      <c r="C726">
        <v>1984</v>
      </c>
      <c r="E726" t="s">
        <v>3223</v>
      </c>
      <c r="F726" t="s">
        <v>8799</v>
      </c>
      <c r="G726" t="s">
        <v>3996</v>
      </c>
    </row>
    <row r="727" spans="1:7" x14ac:dyDescent="0.25">
      <c r="A727" t="s">
        <v>746</v>
      </c>
      <c r="B727" t="s">
        <v>1574</v>
      </c>
      <c r="C727">
        <v>2015</v>
      </c>
      <c r="E727" t="s">
        <v>2982</v>
      </c>
      <c r="F727" t="s">
        <v>8618</v>
      </c>
      <c r="G727" t="s">
        <v>3996</v>
      </c>
    </row>
    <row r="728" spans="1:7" x14ac:dyDescent="0.25">
      <c r="A728" t="s">
        <v>90</v>
      </c>
      <c r="B728" t="s">
        <v>1574</v>
      </c>
      <c r="C728">
        <v>2017</v>
      </c>
      <c r="E728" t="s">
        <v>2982</v>
      </c>
      <c r="F728" t="s">
        <v>9145</v>
      </c>
      <c r="G728" t="s">
        <v>3996</v>
      </c>
    </row>
    <row r="729" spans="1:7" x14ac:dyDescent="0.25">
      <c r="A729" t="s">
        <v>2361</v>
      </c>
      <c r="B729" t="s">
        <v>1574</v>
      </c>
      <c r="C729">
        <v>2018</v>
      </c>
      <c r="E729" t="s">
        <v>2982</v>
      </c>
      <c r="F729" t="s">
        <v>9199</v>
      </c>
      <c r="G729" t="s">
        <v>3996</v>
      </c>
    </row>
    <row r="730" spans="1:7" x14ac:dyDescent="0.25">
      <c r="A730" t="s">
        <v>90</v>
      </c>
      <c r="B730" t="s">
        <v>1576</v>
      </c>
      <c r="C730">
        <v>2017</v>
      </c>
      <c r="E730" t="s">
        <v>3366</v>
      </c>
      <c r="F730" t="s">
        <v>9146</v>
      </c>
      <c r="G730" t="s">
        <v>3996</v>
      </c>
    </row>
    <row r="731" spans="1:7" x14ac:dyDescent="0.25">
      <c r="A731" t="s">
        <v>1576</v>
      </c>
      <c r="B731" t="s">
        <v>1580</v>
      </c>
      <c r="C731">
        <v>2021</v>
      </c>
      <c r="E731" t="s">
        <v>3013</v>
      </c>
      <c r="F731" t="s">
        <v>9699</v>
      </c>
      <c r="G731" t="s">
        <v>187</v>
      </c>
    </row>
    <row r="732" spans="1:7" x14ac:dyDescent="0.25">
      <c r="A732" t="s">
        <v>353</v>
      </c>
      <c r="B732" t="s">
        <v>1584</v>
      </c>
      <c r="C732">
        <v>2023</v>
      </c>
      <c r="E732" t="s">
        <v>3033</v>
      </c>
      <c r="F732" t="s">
        <v>8529</v>
      </c>
      <c r="G732" t="s">
        <v>3996</v>
      </c>
    </row>
    <row r="733" spans="1:7" x14ac:dyDescent="0.25">
      <c r="A733" t="s">
        <v>2506</v>
      </c>
      <c r="B733" t="s">
        <v>1587</v>
      </c>
      <c r="C733">
        <v>2021</v>
      </c>
      <c r="E733" t="s">
        <v>2982</v>
      </c>
      <c r="F733" t="s">
        <v>9250</v>
      </c>
      <c r="G733" t="s">
        <v>3996</v>
      </c>
    </row>
    <row r="734" spans="1:7" x14ac:dyDescent="0.25">
      <c r="A734" t="s">
        <v>1817</v>
      </c>
      <c r="B734" t="s">
        <v>1594</v>
      </c>
      <c r="C734">
        <v>2019</v>
      </c>
      <c r="E734" t="s">
        <v>3293</v>
      </c>
      <c r="F734" t="s">
        <v>8967</v>
      </c>
      <c r="G734" t="s">
        <v>3996</v>
      </c>
    </row>
    <row r="735" spans="1:7" x14ac:dyDescent="0.25">
      <c r="A735" t="s">
        <v>90</v>
      </c>
      <c r="B735" t="s">
        <v>1594</v>
      </c>
      <c r="C735">
        <v>2017</v>
      </c>
      <c r="E735" t="s">
        <v>3293</v>
      </c>
      <c r="F735" t="s">
        <v>9454</v>
      </c>
      <c r="G735" t="s">
        <v>3996</v>
      </c>
    </row>
    <row r="736" spans="1:7" x14ac:dyDescent="0.25">
      <c r="A736" t="s">
        <v>160</v>
      </c>
      <c r="B736" t="s">
        <v>1594</v>
      </c>
      <c r="C736">
        <v>2011</v>
      </c>
      <c r="E736" t="s">
        <v>3293</v>
      </c>
      <c r="F736" t="s">
        <v>9455</v>
      </c>
      <c r="G736" t="s">
        <v>3996</v>
      </c>
    </row>
    <row r="737" spans="1:7" x14ac:dyDescent="0.25">
      <c r="A737" t="s">
        <v>497</v>
      </c>
      <c r="B737" t="s">
        <v>1596</v>
      </c>
      <c r="C737">
        <v>2022</v>
      </c>
      <c r="E737" t="s">
        <v>3069</v>
      </c>
      <c r="F737" t="s">
        <v>8570</v>
      </c>
      <c r="G737" t="s">
        <v>3996</v>
      </c>
    </row>
    <row r="738" spans="1:7" x14ac:dyDescent="0.25">
      <c r="A738" t="s">
        <v>623</v>
      </c>
      <c r="B738" t="s">
        <v>1598</v>
      </c>
      <c r="C738">
        <v>2017</v>
      </c>
      <c r="E738" t="s">
        <v>3079</v>
      </c>
      <c r="F738" t="s">
        <v>8588</v>
      </c>
      <c r="G738" t="s">
        <v>3996</v>
      </c>
    </row>
    <row r="739" spans="1:7" x14ac:dyDescent="0.25">
      <c r="A739" t="s">
        <v>2428</v>
      </c>
      <c r="B739" t="s">
        <v>1602</v>
      </c>
      <c r="C739">
        <v>2008</v>
      </c>
      <c r="E739" t="s">
        <v>3396</v>
      </c>
      <c r="F739" t="s">
        <v>9230</v>
      </c>
      <c r="G739" t="s">
        <v>3996</v>
      </c>
    </row>
    <row r="740" spans="1:7" x14ac:dyDescent="0.25">
      <c r="A740" t="s">
        <v>160</v>
      </c>
      <c r="B740" t="s">
        <v>1602</v>
      </c>
      <c r="C740">
        <v>2011</v>
      </c>
      <c r="E740" t="s">
        <v>3396</v>
      </c>
      <c r="F740" t="s">
        <v>9295</v>
      </c>
      <c r="G740" t="s">
        <v>3996</v>
      </c>
    </row>
    <row r="741" spans="1:7" x14ac:dyDescent="0.25">
      <c r="A741" t="s">
        <v>1294</v>
      </c>
      <c r="B741" t="s">
        <v>1606</v>
      </c>
      <c r="C741">
        <v>2019</v>
      </c>
      <c r="E741" t="s">
        <v>3232</v>
      </c>
      <c r="F741" t="s">
        <v>8821</v>
      </c>
      <c r="G741" t="s">
        <v>3996</v>
      </c>
    </row>
    <row r="742" spans="1:7" x14ac:dyDescent="0.25">
      <c r="A742" t="s">
        <v>1713</v>
      </c>
      <c r="B742" t="s">
        <v>1606</v>
      </c>
      <c r="C742">
        <v>2018</v>
      </c>
      <c r="E742" t="s">
        <v>3232</v>
      </c>
      <c r="F742" t="s">
        <v>8929</v>
      </c>
      <c r="G742" t="s">
        <v>3996</v>
      </c>
    </row>
    <row r="743" spans="1:7" x14ac:dyDescent="0.25">
      <c r="A743" t="s">
        <v>160</v>
      </c>
      <c r="B743" t="s">
        <v>1606</v>
      </c>
      <c r="C743">
        <v>2011</v>
      </c>
      <c r="E743" t="s">
        <v>3232</v>
      </c>
      <c r="F743" t="s">
        <v>9296</v>
      </c>
      <c r="G743" t="s">
        <v>3996</v>
      </c>
    </row>
    <row r="744" spans="1:7" x14ac:dyDescent="0.25">
      <c r="A744" t="s">
        <v>1435</v>
      </c>
      <c r="B744" t="s">
        <v>1610</v>
      </c>
      <c r="C744">
        <v>2021</v>
      </c>
      <c r="E744" t="s">
        <v>3243</v>
      </c>
      <c r="F744" t="s">
        <v>8857</v>
      </c>
      <c r="G744" t="s">
        <v>3996</v>
      </c>
    </row>
    <row r="745" spans="1:7" x14ac:dyDescent="0.25">
      <c r="A745" t="s">
        <v>1443</v>
      </c>
      <c r="B745" t="s">
        <v>1610</v>
      </c>
      <c r="C745">
        <v>2018</v>
      </c>
      <c r="E745" t="s">
        <v>3243</v>
      </c>
      <c r="F745" t="s">
        <v>8873</v>
      </c>
      <c r="G745" t="s">
        <v>3996</v>
      </c>
    </row>
    <row r="746" spans="1:7" x14ac:dyDescent="0.25">
      <c r="A746" t="s">
        <v>1690</v>
      </c>
      <c r="B746" t="s">
        <v>1610</v>
      </c>
      <c r="C746">
        <v>2020</v>
      </c>
      <c r="E746" t="s">
        <v>3243</v>
      </c>
      <c r="F746" t="s">
        <v>8923</v>
      </c>
      <c r="G746" t="s">
        <v>3996</v>
      </c>
    </row>
    <row r="747" spans="1:7" x14ac:dyDescent="0.25">
      <c r="A747" t="s">
        <v>90</v>
      </c>
      <c r="B747" t="s">
        <v>1610</v>
      </c>
      <c r="C747">
        <v>2017</v>
      </c>
      <c r="E747" t="s">
        <v>3243</v>
      </c>
      <c r="F747" t="s">
        <v>9147</v>
      </c>
      <c r="G747" t="s">
        <v>3996</v>
      </c>
    </row>
    <row r="748" spans="1:7" x14ac:dyDescent="0.25">
      <c r="A748" t="s">
        <v>1576</v>
      </c>
      <c r="B748" t="s">
        <v>1613</v>
      </c>
      <c r="C748">
        <v>2021</v>
      </c>
      <c r="D748" t="s">
        <v>187</v>
      </c>
      <c r="F748" t="s">
        <v>9700</v>
      </c>
      <c r="G748" t="s">
        <v>3996</v>
      </c>
    </row>
    <row r="749" spans="1:7" x14ac:dyDescent="0.25">
      <c r="A749" t="s">
        <v>2804</v>
      </c>
      <c r="B749" t="s">
        <v>1613</v>
      </c>
      <c r="C749">
        <v>2021</v>
      </c>
      <c r="E749" t="s">
        <v>3430</v>
      </c>
      <c r="F749" t="s">
        <v>9701</v>
      </c>
      <c r="G749" t="s">
        <v>187</v>
      </c>
    </row>
    <row r="750" spans="1:7" x14ac:dyDescent="0.25">
      <c r="A750" t="s">
        <v>1752</v>
      </c>
      <c r="B750" t="s">
        <v>1621</v>
      </c>
      <c r="C750">
        <v>2021</v>
      </c>
      <c r="D750" t="s">
        <v>187</v>
      </c>
      <c r="F750" t="s">
        <v>9702</v>
      </c>
      <c r="G750" t="s">
        <v>3996</v>
      </c>
    </row>
    <row r="751" spans="1:7" x14ac:dyDescent="0.25">
      <c r="A751" t="s">
        <v>2136</v>
      </c>
      <c r="B751" t="s">
        <v>1621</v>
      </c>
      <c r="C751">
        <v>2020</v>
      </c>
      <c r="E751" t="s">
        <v>2982</v>
      </c>
      <c r="F751" t="s">
        <v>9028</v>
      </c>
      <c r="G751" t="s">
        <v>3996</v>
      </c>
    </row>
    <row r="752" spans="1:7" x14ac:dyDescent="0.25">
      <c r="A752" t="s">
        <v>2804</v>
      </c>
      <c r="B752" t="s">
        <v>1621</v>
      </c>
      <c r="C752">
        <v>2021</v>
      </c>
      <c r="E752" t="s">
        <v>2982</v>
      </c>
      <c r="F752" t="s">
        <v>9357</v>
      </c>
      <c r="G752" t="s">
        <v>3996</v>
      </c>
    </row>
    <row r="753" spans="1:7" x14ac:dyDescent="0.25">
      <c r="A753" t="s">
        <v>90</v>
      </c>
      <c r="B753" t="s">
        <v>1625</v>
      </c>
      <c r="C753">
        <v>2017</v>
      </c>
      <c r="E753" t="s">
        <v>3367</v>
      </c>
      <c r="F753" t="s">
        <v>9703</v>
      </c>
      <c r="G753" t="s">
        <v>187</v>
      </c>
    </row>
    <row r="754" spans="1:7" x14ac:dyDescent="0.25">
      <c r="A754" t="s">
        <v>90</v>
      </c>
      <c r="B754" t="s">
        <v>1627</v>
      </c>
      <c r="C754">
        <v>2017</v>
      </c>
      <c r="E754" t="s">
        <v>3368</v>
      </c>
      <c r="F754" t="s">
        <v>9704</v>
      </c>
      <c r="G754" t="s">
        <v>187</v>
      </c>
    </row>
    <row r="755" spans="1:7" x14ac:dyDescent="0.25">
      <c r="A755" t="s">
        <v>353</v>
      </c>
      <c r="B755" t="s">
        <v>1631</v>
      </c>
      <c r="C755">
        <v>2023</v>
      </c>
      <c r="E755" t="s">
        <v>3034</v>
      </c>
      <c r="F755" t="s">
        <v>9705</v>
      </c>
      <c r="G755" t="s">
        <v>187</v>
      </c>
    </row>
    <row r="756" spans="1:7" x14ac:dyDescent="0.25">
      <c r="A756" t="s">
        <v>364</v>
      </c>
      <c r="B756" t="s">
        <v>1631</v>
      </c>
      <c r="C756">
        <v>2024</v>
      </c>
      <c r="E756" t="s">
        <v>3034</v>
      </c>
      <c r="F756" t="s">
        <v>9706</v>
      </c>
      <c r="G756" t="s">
        <v>187</v>
      </c>
    </row>
    <row r="757" spans="1:7" x14ac:dyDescent="0.25">
      <c r="A757" t="s">
        <v>2506</v>
      </c>
      <c r="B757" t="s">
        <v>1633</v>
      </c>
      <c r="C757">
        <v>2021</v>
      </c>
      <c r="E757" t="s">
        <v>2982</v>
      </c>
      <c r="F757" t="s">
        <v>9251</v>
      </c>
      <c r="G757" t="s">
        <v>3996</v>
      </c>
    </row>
    <row r="758" spans="1:7" x14ac:dyDescent="0.25">
      <c r="A758" t="s">
        <v>1443</v>
      </c>
      <c r="B758" t="s">
        <v>1637</v>
      </c>
      <c r="C758">
        <v>2018</v>
      </c>
      <c r="E758" t="s">
        <v>3251</v>
      </c>
      <c r="F758" t="s">
        <v>8874</v>
      </c>
      <c r="G758" t="s">
        <v>3996</v>
      </c>
    </row>
    <row r="759" spans="1:7" x14ac:dyDescent="0.25">
      <c r="A759" t="s">
        <v>759</v>
      </c>
      <c r="B759" t="s">
        <v>1641</v>
      </c>
      <c r="C759">
        <v>2018</v>
      </c>
      <c r="E759" t="s">
        <v>3121</v>
      </c>
      <c r="F759" t="s">
        <v>9464</v>
      </c>
      <c r="G759" t="s">
        <v>3996</v>
      </c>
    </row>
    <row r="760" spans="1:7" x14ac:dyDescent="0.25">
      <c r="A760" t="s">
        <v>1294</v>
      </c>
      <c r="B760" t="s">
        <v>1645</v>
      </c>
      <c r="C760">
        <v>2019</v>
      </c>
      <c r="E760" s="10" t="s">
        <v>8399</v>
      </c>
      <c r="F760" t="s">
        <v>9463</v>
      </c>
      <c r="G760" t="s">
        <v>3996</v>
      </c>
    </row>
    <row r="761" spans="1:7" x14ac:dyDescent="0.25">
      <c r="A761" t="s">
        <v>847</v>
      </c>
      <c r="B761" t="s">
        <v>1649</v>
      </c>
      <c r="C761">
        <v>1996</v>
      </c>
      <c r="E761" t="s">
        <v>3137</v>
      </c>
      <c r="F761" t="s">
        <v>8673</v>
      </c>
      <c r="G761" t="s">
        <v>3996</v>
      </c>
    </row>
    <row r="762" spans="1:7" x14ac:dyDescent="0.25">
      <c r="A762" t="s">
        <v>160</v>
      </c>
      <c r="B762" t="s">
        <v>1649</v>
      </c>
      <c r="C762">
        <v>2011</v>
      </c>
      <c r="D762" t="s">
        <v>187</v>
      </c>
      <c r="F762" t="s">
        <v>9707</v>
      </c>
      <c r="G762" t="s">
        <v>3996</v>
      </c>
    </row>
    <row r="763" spans="1:7" x14ac:dyDescent="0.25">
      <c r="A763" t="s">
        <v>1761</v>
      </c>
      <c r="B763" t="s">
        <v>1653</v>
      </c>
      <c r="C763">
        <v>1995</v>
      </c>
      <c r="E763" s="10" t="s">
        <v>8398</v>
      </c>
      <c r="F763" t="s">
        <v>9708</v>
      </c>
      <c r="G763" t="s">
        <v>187</v>
      </c>
    </row>
    <row r="764" spans="1:7" x14ac:dyDescent="0.25">
      <c r="A764" t="s">
        <v>1661</v>
      </c>
      <c r="B764" t="s">
        <v>1659</v>
      </c>
      <c r="C764">
        <v>2011</v>
      </c>
      <c r="D764" t="s">
        <v>187</v>
      </c>
      <c r="F764" t="s">
        <v>9709</v>
      </c>
      <c r="G764" t="s">
        <v>3996</v>
      </c>
    </row>
    <row r="765" spans="1:7" x14ac:dyDescent="0.25">
      <c r="A765" t="s">
        <v>1155</v>
      </c>
      <c r="B765" t="s">
        <v>1661</v>
      </c>
      <c r="C765">
        <v>2010</v>
      </c>
      <c r="D765" t="s">
        <v>187</v>
      </c>
      <c r="F765" t="s">
        <v>9710</v>
      </c>
      <c r="G765" t="s">
        <v>3996</v>
      </c>
    </row>
    <row r="766" spans="1:7" x14ac:dyDescent="0.25">
      <c r="A766" t="s">
        <v>2154</v>
      </c>
      <c r="B766" t="s">
        <v>1663</v>
      </c>
      <c r="C766">
        <v>1980</v>
      </c>
      <c r="E766" t="s">
        <v>3013</v>
      </c>
      <c r="F766" t="s">
        <v>9711</v>
      </c>
      <c r="G766" t="s">
        <v>187</v>
      </c>
    </row>
    <row r="767" spans="1:7" x14ac:dyDescent="0.25">
      <c r="A767" t="s">
        <v>2721</v>
      </c>
      <c r="B767" t="s">
        <v>1666</v>
      </c>
      <c r="C767">
        <v>1993</v>
      </c>
      <c r="E767" t="s">
        <v>1669</v>
      </c>
      <c r="F767" t="s">
        <v>9335</v>
      </c>
      <c r="G767" t="s">
        <v>3996</v>
      </c>
    </row>
    <row r="768" spans="1:7" x14ac:dyDescent="0.25">
      <c r="A768" t="s">
        <v>2804</v>
      </c>
      <c r="B768" t="s">
        <v>1670</v>
      </c>
      <c r="C768">
        <v>2021</v>
      </c>
      <c r="E768" t="s">
        <v>3013</v>
      </c>
      <c r="F768" t="s">
        <v>9712</v>
      </c>
      <c r="G768" t="s">
        <v>187</v>
      </c>
    </row>
    <row r="769" spans="1:7" x14ac:dyDescent="0.25">
      <c r="A769" t="s">
        <v>90</v>
      </c>
      <c r="B769" t="s">
        <v>1672</v>
      </c>
      <c r="C769">
        <v>2017</v>
      </c>
      <c r="E769" t="s">
        <v>3369</v>
      </c>
      <c r="F769" t="s">
        <v>9148</v>
      </c>
      <c r="G769" t="s">
        <v>3996</v>
      </c>
    </row>
    <row r="770" spans="1:7" x14ac:dyDescent="0.25">
      <c r="A770" t="s">
        <v>2721</v>
      </c>
      <c r="B770" t="s">
        <v>1676</v>
      </c>
      <c r="C770">
        <v>1993</v>
      </c>
      <c r="E770" t="s">
        <v>3013</v>
      </c>
      <c r="F770" t="s">
        <v>9713</v>
      </c>
      <c r="G770" t="s">
        <v>187</v>
      </c>
    </row>
    <row r="771" spans="1:7" x14ac:dyDescent="0.25">
      <c r="A771" t="s">
        <v>1676</v>
      </c>
      <c r="B771" t="s">
        <v>1679</v>
      </c>
      <c r="C771">
        <v>2002</v>
      </c>
      <c r="D771" t="s">
        <v>187</v>
      </c>
      <c r="F771" t="s">
        <v>9714</v>
      </c>
      <c r="G771" t="s">
        <v>3996</v>
      </c>
    </row>
    <row r="772" spans="1:7" x14ac:dyDescent="0.25">
      <c r="A772" t="s">
        <v>2721</v>
      </c>
      <c r="B772" t="s">
        <v>1682</v>
      </c>
      <c r="C772">
        <v>1993</v>
      </c>
      <c r="E772" t="s">
        <v>3422</v>
      </c>
      <c r="F772" t="s">
        <v>9336</v>
      </c>
      <c r="G772" t="s">
        <v>3996</v>
      </c>
    </row>
    <row r="773" spans="1:7" x14ac:dyDescent="0.25">
      <c r="A773" t="s">
        <v>1682</v>
      </c>
      <c r="B773" t="s">
        <v>1684</v>
      </c>
      <c r="C773">
        <v>2022</v>
      </c>
      <c r="D773" t="s">
        <v>187</v>
      </c>
      <c r="F773" t="s">
        <v>9715</v>
      </c>
      <c r="G773" t="s">
        <v>3996</v>
      </c>
    </row>
    <row r="774" spans="1:7" x14ac:dyDescent="0.25">
      <c r="A774" t="s">
        <v>946</v>
      </c>
      <c r="B774" t="s">
        <v>1686</v>
      </c>
      <c r="C774">
        <v>2014</v>
      </c>
      <c r="E774" t="s">
        <v>1689</v>
      </c>
      <c r="F774" t="s">
        <v>8710</v>
      </c>
      <c r="G774" t="s">
        <v>3996</v>
      </c>
    </row>
    <row r="775" spans="1:7" x14ac:dyDescent="0.25">
      <c r="A775" t="s">
        <v>90</v>
      </c>
      <c r="B775" t="s">
        <v>1690</v>
      </c>
      <c r="C775">
        <v>2017</v>
      </c>
      <c r="E775" t="s">
        <v>3013</v>
      </c>
      <c r="F775" t="s">
        <v>9716</v>
      </c>
      <c r="G775" t="s">
        <v>187</v>
      </c>
    </row>
    <row r="776" spans="1:7" x14ac:dyDescent="0.25">
      <c r="A776" t="s">
        <v>1428</v>
      </c>
      <c r="B776" t="s">
        <v>1694</v>
      </c>
      <c r="C776">
        <v>2023</v>
      </c>
      <c r="D776" t="s">
        <v>187</v>
      </c>
      <c r="E776" s="10" t="s">
        <v>9470</v>
      </c>
      <c r="F776" t="s">
        <v>9469</v>
      </c>
      <c r="G776" t="s">
        <v>3996</v>
      </c>
    </row>
    <row r="777" spans="1:7" x14ac:dyDescent="0.25">
      <c r="A777" t="s">
        <v>1690</v>
      </c>
      <c r="B777" t="s">
        <v>1694</v>
      </c>
      <c r="C777">
        <v>2020</v>
      </c>
      <c r="D777" t="s">
        <v>187</v>
      </c>
      <c r="F777" t="s">
        <v>9717</v>
      </c>
      <c r="G777" t="s">
        <v>3996</v>
      </c>
    </row>
    <row r="778" spans="1:7" x14ac:dyDescent="0.25">
      <c r="A778" t="s">
        <v>904</v>
      </c>
      <c r="B778" t="s">
        <v>1696</v>
      </c>
      <c r="C778">
        <v>2022</v>
      </c>
      <c r="E778" t="s">
        <v>3145</v>
      </c>
      <c r="F778" t="s">
        <v>8690</v>
      </c>
      <c r="G778" t="s">
        <v>3996</v>
      </c>
    </row>
    <row r="779" spans="1:7" x14ac:dyDescent="0.25">
      <c r="A779" t="s">
        <v>2804</v>
      </c>
      <c r="B779" t="s">
        <v>1696</v>
      </c>
      <c r="C779">
        <v>2021</v>
      </c>
      <c r="E779" t="s">
        <v>3145</v>
      </c>
      <c r="F779" t="s">
        <v>9358</v>
      </c>
      <c r="G779" t="s">
        <v>3996</v>
      </c>
    </row>
    <row r="780" spans="1:7" x14ac:dyDescent="0.25">
      <c r="A780" t="s">
        <v>1144</v>
      </c>
      <c r="B780" t="s">
        <v>1700</v>
      </c>
      <c r="C780">
        <v>2012</v>
      </c>
      <c r="E780" t="s">
        <v>3207</v>
      </c>
      <c r="F780" t="s">
        <v>9456</v>
      </c>
      <c r="G780" t="s">
        <v>3996</v>
      </c>
    </row>
    <row r="781" spans="1:7" x14ac:dyDescent="0.25">
      <c r="A781" t="s">
        <v>2428</v>
      </c>
      <c r="B781" t="s">
        <v>1700</v>
      </c>
      <c r="C781">
        <v>2008</v>
      </c>
      <c r="E781" t="s">
        <v>3207</v>
      </c>
      <c r="F781" t="s">
        <v>9457</v>
      </c>
      <c r="G781" t="s">
        <v>3996</v>
      </c>
    </row>
    <row r="782" spans="1:7" x14ac:dyDescent="0.25">
      <c r="A782" t="s">
        <v>160</v>
      </c>
      <c r="B782" t="s">
        <v>1700</v>
      </c>
      <c r="C782">
        <v>2011</v>
      </c>
      <c r="E782" t="s">
        <v>3207</v>
      </c>
      <c r="F782" t="s">
        <v>9458</v>
      </c>
      <c r="G782" t="s">
        <v>3996</v>
      </c>
    </row>
    <row r="783" spans="1:7" x14ac:dyDescent="0.25">
      <c r="A783" t="s">
        <v>241</v>
      </c>
      <c r="B783" t="s">
        <v>1704</v>
      </c>
      <c r="C783">
        <v>2025</v>
      </c>
      <c r="E783" t="s">
        <v>2986</v>
      </c>
      <c r="F783" t="s">
        <v>9405</v>
      </c>
      <c r="G783" t="s">
        <v>3996</v>
      </c>
    </row>
    <row r="784" spans="1:7" x14ac:dyDescent="0.25">
      <c r="A784" t="s">
        <v>2016</v>
      </c>
      <c r="B784" t="s">
        <v>1704</v>
      </c>
      <c r="C784">
        <v>2024</v>
      </c>
      <c r="E784" t="s">
        <v>2986</v>
      </c>
      <c r="F784" t="s">
        <v>9415</v>
      </c>
      <c r="G784" t="s">
        <v>3996</v>
      </c>
    </row>
    <row r="785" spans="1:7" x14ac:dyDescent="0.25">
      <c r="A785" t="s">
        <v>90</v>
      </c>
      <c r="B785" t="s">
        <v>1704</v>
      </c>
      <c r="C785">
        <v>2017</v>
      </c>
      <c r="E785" t="s">
        <v>3370</v>
      </c>
      <c r="F785" t="s">
        <v>9149</v>
      </c>
      <c r="G785" t="s">
        <v>3996</v>
      </c>
    </row>
    <row r="786" spans="1:7" x14ac:dyDescent="0.25">
      <c r="A786" t="s">
        <v>346</v>
      </c>
      <c r="B786" t="s">
        <v>1711</v>
      </c>
      <c r="C786">
        <v>2022</v>
      </c>
      <c r="D786" t="s">
        <v>187</v>
      </c>
      <c r="F786" t="s">
        <v>9718</v>
      </c>
      <c r="G786" t="s">
        <v>3996</v>
      </c>
    </row>
    <row r="787" spans="1:7" x14ac:dyDescent="0.25">
      <c r="A787" t="s">
        <v>2173</v>
      </c>
      <c r="B787" t="s">
        <v>1713</v>
      </c>
      <c r="C787">
        <v>2013</v>
      </c>
      <c r="E787" t="s">
        <v>3335</v>
      </c>
      <c r="F787" t="s">
        <v>9069</v>
      </c>
      <c r="G787" t="s">
        <v>3996</v>
      </c>
    </row>
    <row r="788" spans="1:7" x14ac:dyDescent="0.25">
      <c r="A788" t="s">
        <v>160</v>
      </c>
      <c r="B788" t="s">
        <v>1713</v>
      </c>
      <c r="C788">
        <v>2011</v>
      </c>
      <c r="E788" t="s">
        <v>3335</v>
      </c>
      <c r="F788" t="s">
        <v>9297</v>
      </c>
      <c r="G788" t="s">
        <v>3996</v>
      </c>
    </row>
    <row r="789" spans="1:7" x14ac:dyDescent="0.25">
      <c r="A789" t="s">
        <v>1713</v>
      </c>
      <c r="B789" t="s">
        <v>1717</v>
      </c>
      <c r="C789">
        <v>2018</v>
      </c>
      <c r="D789" t="s">
        <v>187</v>
      </c>
      <c r="F789" t="s">
        <v>9719</v>
      </c>
      <c r="G789" t="s">
        <v>3996</v>
      </c>
    </row>
    <row r="790" spans="1:7" x14ac:dyDescent="0.25">
      <c r="A790" t="s">
        <v>1294</v>
      </c>
      <c r="B790" t="s">
        <v>8434</v>
      </c>
      <c r="C790">
        <v>2019</v>
      </c>
      <c r="E790" s="10" t="s">
        <v>8433</v>
      </c>
      <c r="F790" t="s">
        <v>8822</v>
      </c>
      <c r="G790" t="s">
        <v>3996</v>
      </c>
    </row>
    <row r="791" spans="1:7" x14ac:dyDescent="0.25">
      <c r="A791" t="s">
        <v>256</v>
      </c>
      <c r="B791" t="s">
        <v>1719</v>
      </c>
      <c r="C791">
        <v>1994</v>
      </c>
      <c r="E791" t="s">
        <v>2982</v>
      </c>
      <c r="F791" t="s">
        <v>8478</v>
      </c>
      <c r="G791" t="s">
        <v>3996</v>
      </c>
    </row>
    <row r="792" spans="1:7" x14ac:dyDescent="0.25">
      <c r="A792" t="s">
        <v>490</v>
      </c>
      <c r="B792" t="s">
        <v>1719</v>
      </c>
      <c r="C792">
        <v>2009</v>
      </c>
      <c r="E792" t="s">
        <v>2982</v>
      </c>
      <c r="F792" t="s">
        <v>8557</v>
      </c>
      <c r="G792" t="s">
        <v>3996</v>
      </c>
    </row>
    <row r="793" spans="1:7" x14ac:dyDescent="0.25">
      <c r="A793" t="s">
        <v>1795</v>
      </c>
      <c r="B793" t="s">
        <v>1719</v>
      </c>
      <c r="C793">
        <v>1987</v>
      </c>
      <c r="E793" t="s">
        <v>2982</v>
      </c>
      <c r="F793" t="s">
        <v>8954</v>
      </c>
      <c r="G793" t="s">
        <v>3996</v>
      </c>
    </row>
    <row r="794" spans="1:7" x14ac:dyDescent="0.25">
      <c r="A794" t="s">
        <v>2788</v>
      </c>
      <c r="B794" t="s">
        <v>1719</v>
      </c>
      <c r="C794">
        <v>2017</v>
      </c>
      <c r="E794" t="s">
        <v>2982</v>
      </c>
      <c r="F794" t="s">
        <v>9338</v>
      </c>
      <c r="G794" t="s">
        <v>3996</v>
      </c>
    </row>
    <row r="795" spans="1:7" x14ac:dyDescent="0.25">
      <c r="A795" t="s">
        <v>2095</v>
      </c>
      <c r="B795" t="s">
        <v>1723</v>
      </c>
      <c r="C795">
        <v>2023</v>
      </c>
      <c r="E795" s="10" t="s">
        <v>8435</v>
      </c>
      <c r="F795" t="s">
        <v>9013</v>
      </c>
      <c r="G795" t="s">
        <v>3996</v>
      </c>
    </row>
    <row r="796" spans="1:7" x14ac:dyDescent="0.25">
      <c r="A796" t="s">
        <v>2136</v>
      </c>
      <c r="B796" t="s">
        <v>1723</v>
      </c>
      <c r="C796">
        <v>2020</v>
      </c>
      <c r="E796" t="s">
        <v>2982</v>
      </c>
      <c r="F796" t="s">
        <v>9029</v>
      </c>
      <c r="G796" t="s">
        <v>3996</v>
      </c>
    </row>
    <row r="797" spans="1:7" x14ac:dyDescent="0.25">
      <c r="A797" t="s">
        <v>2154</v>
      </c>
      <c r="B797" t="s">
        <v>1725</v>
      </c>
      <c r="C797">
        <v>1980</v>
      </c>
      <c r="E797" t="s">
        <v>3326</v>
      </c>
      <c r="F797" t="s">
        <v>9051</v>
      </c>
      <c r="G797" t="s">
        <v>3996</v>
      </c>
    </row>
    <row r="798" spans="1:7" x14ac:dyDescent="0.25">
      <c r="A798" t="s">
        <v>90</v>
      </c>
      <c r="B798" t="s">
        <v>1728</v>
      </c>
      <c r="C798">
        <v>2017</v>
      </c>
      <c r="E798" t="s">
        <v>3371</v>
      </c>
      <c r="F798" t="s">
        <v>9720</v>
      </c>
      <c r="G798" t="s">
        <v>187</v>
      </c>
    </row>
    <row r="799" spans="1:7" x14ac:dyDescent="0.25">
      <c r="A799" t="s">
        <v>90</v>
      </c>
      <c r="B799" t="s">
        <v>1734</v>
      </c>
      <c r="C799">
        <v>2017</v>
      </c>
      <c r="E799" t="s">
        <v>2982</v>
      </c>
      <c r="F799" t="s">
        <v>9150</v>
      </c>
      <c r="G799" t="s">
        <v>3996</v>
      </c>
    </row>
    <row r="800" spans="1:7" x14ac:dyDescent="0.25">
      <c r="A800" t="s">
        <v>2804</v>
      </c>
      <c r="B800" t="s">
        <v>1734</v>
      </c>
      <c r="C800">
        <v>2021</v>
      </c>
      <c r="E800" t="s">
        <v>2982</v>
      </c>
      <c r="F800" t="s">
        <v>9359</v>
      </c>
      <c r="G800" t="s">
        <v>3996</v>
      </c>
    </row>
    <row r="801" spans="1:7" x14ac:dyDescent="0.25">
      <c r="A801" t="s">
        <v>2747</v>
      </c>
      <c r="B801" t="s">
        <v>1738</v>
      </c>
      <c r="C801">
        <v>2014</v>
      </c>
      <c r="D801" t="s">
        <v>187</v>
      </c>
      <c r="F801" t="s">
        <v>9721</v>
      </c>
      <c r="G801" t="s">
        <v>3996</v>
      </c>
    </row>
    <row r="802" spans="1:7" x14ac:dyDescent="0.25">
      <c r="A802" t="s">
        <v>1738</v>
      </c>
      <c r="B802" t="s">
        <v>1742</v>
      </c>
      <c r="C802">
        <v>2018</v>
      </c>
      <c r="D802" t="s">
        <v>187</v>
      </c>
      <c r="F802" t="s">
        <v>9722</v>
      </c>
      <c r="G802" t="s">
        <v>3996</v>
      </c>
    </row>
    <row r="803" spans="1:7" x14ac:dyDescent="0.25">
      <c r="A803" t="s">
        <v>1155</v>
      </c>
      <c r="B803" t="s">
        <v>1746</v>
      </c>
      <c r="C803">
        <v>2010</v>
      </c>
      <c r="D803" t="s">
        <v>187</v>
      </c>
      <c r="F803" t="s">
        <v>9723</v>
      </c>
      <c r="G803" t="s">
        <v>3996</v>
      </c>
    </row>
    <row r="804" spans="1:7" x14ac:dyDescent="0.25">
      <c r="A804" t="s">
        <v>2428</v>
      </c>
      <c r="B804" t="s">
        <v>1748</v>
      </c>
      <c r="C804">
        <v>2008</v>
      </c>
      <c r="E804" t="s">
        <v>3397</v>
      </c>
      <c r="F804" t="s">
        <v>9231</v>
      </c>
      <c r="G804" t="s">
        <v>3996</v>
      </c>
    </row>
    <row r="805" spans="1:7" x14ac:dyDescent="0.25">
      <c r="A805" t="s">
        <v>2136</v>
      </c>
      <c r="B805" t="s">
        <v>1752</v>
      </c>
      <c r="C805">
        <v>2020</v>
      </c>
      <c r="E805" t="s">
        <v>3316</v>
      </c>
      <c r="F805" t="s">
        <v>9724</v>
      </c>
      <c r="G805" t="s">
        <v>187</v>
      </c>
    </row>
    <row r="806" spans="1:7" x14ac:dyDescent="0.25">
      <c r="A806" t="s">
        <v>1435</v>
      </c>
      <c r="B806" t="s">
        <v>1756</v>
      </c>
      <c r="C806">
        <v>2021</v>
      </c>
      <c r="E806" t="s">
        <v>2982</v>
      </c>
      <c r="F806" t="s">
        <v>8858</v>
      </c>
      <c r="G806" t="s">
        <v>3996</v>
      </c>
    </row>
    <row r="807" spans="1:7" x14ac:dyDescent="0.25">
      <c r="A807" t="s">
        <v>1899</v>
      </c>
      <c r="B807" t="s">
        <v>1758</v>
      </c>
      <c r="C807">
        <v>2014</v>
      </c>
      <c r="D807" t="s">
        <v>187</v>
      </c>
      <c r="F807" t="s">
        <v>9725</v>
      </c>
      <c r="G807" t="s">
        <v>3996</v>
      </c>
    </row>
    <row r="808" spans="1:7" x14ac:dyDescent="0.25">
      <c r="A808" t="s">
        <v>1795</v>
      </c>
      <c r="B808" t="s">
        <v>1761</v>
      </c>
      <c r="C808">
        <v>1987</v>
      </c>
      <c r="E808" s="10" t="s">
        <v>8452</v>
      </c>
      <c r="F808" t="s">
        <v>8453</v>
      </c>
      <c r="G808" t="s">
        <v>3996</v>
      </c>
    </row>
    <row r="809" spans="1:7" x14ac:dyDescent="0.25">
      <c r="A809" t="s">
        <v>2721</v>
      </c>
      <c r="B809" t="s">
        <v>1761</v>
      </c>
      <c r="C809">
        <v>1993</v>
      </c>
      <c r="D809" t="s">
        <v>187</v>
      </c>
      <c r="E809" t="s">
        <v>3032</v>
      </c>
      <c r="F809" t="s">
        <v>9726</v>
      </c>
      <c r="G809" t="s">
        <v>3996</v>
      </c>
    </row>
    <row r="810" spans="1:7" x14ac:dyDescent="0.25">
      <c r="A810" t="s">
        <v>2804</v>
      </c>
      <c r="B810" t="s">
        <v>1764</v>
      </c>
      <c r="C810">
        <v>2021</v>
      </c>
      <c r="E810" t="s">
        <v>3013</v>
      </c>
      <c r="F810" t="s">
        <v>9727</v>
      </c>
      <c r="G810" t="s">
        <v>187</v>
      </c>
    </row>
    <row r="811" spans="1:7" x14ac:dyDescent="0.25">
      <c r="A811" t="s">
        <v>746</v>
      </c>
      <c r="B811" t="s">
        <v>1768</v>
      </c>
      <c r="C811">
        <v>2015</v>
      </c>
      <c r="E811" t="s">
        <v>3105</v>
      </c>
      <c r="F811" t="s">
        <v>8619</v>
      </c>
      <c r="G811" t="s">
        <v>3996</v>
      </c>
    </row>
    <row r="812" spans="1:7" x14ac:dyDescent="0.25">
      <c r="A812" t="s">
        <v>90</v>
      </c>
      <c r="B812" t="s">
        <v>1768</v>
      </c>
      <c r="C812">
        <v>2017</v>
      </c>
      <c r="E812" t="s">
        <v>3105</v>
      </c>
      <c r="F812" t="s">
        <v>9151</v>
      </c>
      <c r="G812" t="s">
        <v>3996</v>
      </c>
    </row>
    <row r="813" spans="1:7" x14ac:dyDescent="0.25">
      <c r="A813" t="s">
        <v>1046</v>
      </c>
      <c r="B813" t="s">
        <v>1771</v>
      </c>
      <c r="C813">
        <v>2016</v>
      </c>
      <c r="E813" t="s">
        <v>3188</v>
      </c>
      <c r="F813" t="s">
        <v>8743</v>
      </c>
      <c r="G813" t="s">
        <v>3996</v>
      </c>
    </row>
    <row r="814" spans="1:7" x14ac:dyDescent="0.25">
      <c r="A814" t="s">
        <v>1855</v>
      </c>
      <c r="B814" t="s">
        <v>1771</v>
      </c>
      <c r="C814">
        <v>2015</v>
      </c>
      <c r="E814" t="s">
        <v>3188</v>
      </c>
      <c r="F814" t="s">
        <v>8985</v>
      </c>
      <c r="G814" t="s">
        <v>3996</v>
      </c>
    </row>
    <row r="815" spans="1:7" x14ac:dyDescent="0.25">
      <c r="A815" t="s">
        <v>1779</v>
      </c>
      <c r="B815" t="s">
        <v>1783</v>
      </c>
      <c r="C815">
        <v>2022</v>
      </c>
      <c r="D815" t="s">
        <v>187</v>
      </c>
      <c r="F815" t="s">
        <v>9728</v>
      </c>
      <c r="G815" t="s">
        <v>3996</v>
      </c>
    </row>
    <row r="816" spans="1:7" x14ac:dyDescent="0.25">
      <c r="A816" t="s">
        <v>759</v>
      </c>
      <c r="B816" t="s">
        <v>1787</v>
      </c>
      <c r="C816">
        <v>2018</v>
      </c>
      <c r="E816" s="10" t="s">
        <v>8411</v>
      </c>
      <c r="F816" t="s">
        <v>8640</v>
      </c>
      <c r="G816" t="s">
        <v>3996</v>
      </c>
    </row>
    <row r="817" spans="1:7" x14ac:dyDescent="0.25">
      <c r="A817" t="s">
        <v>1046</v>
      </c>
      <c r="B817" t="s">
        <v>1787</v>
      </c>
      <c r="C817">
        <v>2016</v>
      </c>
      <c r="E817" s="10" t="s">
        <v>8411</v>
      </c>
      <c r="F817" t="s">
        <v>8744</v>
      </c>
      <c r="G817" t="s">
        <v>3996</v>
      </c>
    </row>
    <row r="818" spans="1:7" x14ac:dyDescent="0.25">
      <c r="A818" t="s">
        <v>160</v>
      </c>
      <c r="B818" t="s">
        <v>1787</v>
      </c>
      <c r="C818">
        <v>2011</v>
      </c>
      <c r="E818" t="s">
        <v>2982</v>
      </c>
      <c r="F818" t="s">
        <v>9298</v>
      </c>
      <c r="G818" t="s">
        <v>3996</v>
      </c>
    </row>
    <row r="819" spans="1:7" x14ac:dyDescent="0.25">
      <c r="A819" t="s">
        <v>1787</v>
      </c>
      <c r="B819" t="s">
        <v>1791</v>
      </c>
      <c r="C819">
        <v>2019</v>
      </c>
      <c r="D819" t="s">
        <v>187</v>
      </c>
      <c r="F819" t="s">
        <v>9729</v>
      </c>
      <c r="G819" t="s">
        <v>3996</v>
      </c>
    </row>
    <row r="820" spans="1:7" x14ac:dyDescent="0.25">
      <c r="A820" t="s">
        <v>2804</v>
      </c>
      <c r="B820" t="s">
        <v>1793</v>
      </c>
      <c r="C820">
        <v>2021</v>
      </c>
      <c r="E820" t="s">
        <v>3013</v>
      </c>
      <c r="F820" t="s">
        <v>9730</v>
      </c>
      <c r="G820" t="s">
        <v>187</v>
      </c>
    </row>
    <row r="821" spans="1:7" x14ac:dyDescent="0.25">
      <c r="A821" t="s">
        <v>1284</v>
      </c>
      <c r="B821" t="s">
        <v>1795</v>
      </c>
      <c r="C821">
        <v>1984</v>
      </c>
      <c r="E821" t="s">
        <v>3224</v>
      </c>
      <c r="F821" t="s">
        <v>8800</v>
      </c>
      <c r="G821" t="s">
        <v>3996</v>
      </c>
    </row>
    <row r="822" spans="1:7" x14ac:dyDescent="0.25">
      <c r="A822" t="s">
        <v>726</v>
      </c>
      <c r="B822" t="s">
        <v>1798</v>
      </c>
      <c r="C822">
        <v>2020</v>
      </c>
      <c r="E822" t="s">
        <v>3092</v>
      </c>
      <c r="F822" t="s">
        <v>8603</v>
      </c>
      <c r="G822" t="s">
        <v>3996</v>
      </c>
    </row>
    <row r="823" spans="1:7" x14ac:dyDescent="0.25">
      <c r="A823" t="s">
        <v>1294</v>
      </c>
      <c r="B823" t="s">
        <v>1798</v>
      </c>
      <c r="C823">
        <v>2019</v>
      </c>
      <c r="E823" t="s">
        <v>3092</v>
      </c>
      <c r="F823" t="s">
        <v>8823</v>
      </c>
      <c r="G823" t="s">
        <v>3996</v>
      </c>
    </row>
    <row r="824" spans="1:7" x14ac:dyDescent="0.25">
      <c r="A824" t="s">
        <v>1294</v>
      </c>
      <c r="B824" t="s">
        <v>1801</v>
      </c>
      <c r="C824">
        <v>2019</v>
      </c>
      <c r="E824" t="s">
        <v>3013</v>
      </c>
      <c r="F824" t="s">
        <v>9731</v>
      </c>
      <c r="G824" t="s">
        <v>187</v>
      </c>
    </row>
    <row r="825" spans="1:7" x14ac:dyDescent="0.25">
      <c r="A825" t="s">
        <v>2804</v>
      </c>
      <c r="B825" t="s">
        <v>1804</v>
      </c>
      <c r="C825">
        <v>2021</v>
      </c>
      <c r="E825" t="s">
        <v>3013</v>
      </c>
      <c r="F825" t="s">
        <v>9732</v>
      </c>
      <c r="G825" t="s">
        <v>187</v>
      </c>
    </row>
    <row r="826" spans="1:7" x14ac:dyDescent="0.25">
      <c r="A826" t="s">
        <v>2804</v>
      </c>
      <c r="B826" t="s">
        <v>1809</v>
      </c>
      <c r="C826">
        <v>2021</v>
      </c>
      <c r="E826" t="s">
        <v>2982</v>
      </c>
      <c r="F826" t="s">
        <v>9360</v>
      </c>
      <c r="G826" t="s">
        <v>3996</v>
      </c>
    </row>
    <row r="827" spans="1:7" x14ac:dyDescent="0.25">
      <c r="A827" t="s">
        <v>1576</v>
      </c>
      <c r="B827" t="s">
        <v>1811</v>
      </c>
      <c r="C827">
        <v>2021</v>
      </c>
      <c r="E827" t="s">
        <v>2982</v>
      </c>
      <c r="F827" t="s">
        <v>8904</v>
      </c>
      <c r="G827" t="s">
        <v>3996</v>
      </c>
    </row>
    <row r="828" spans="1:7" x14ac:dyDescent="0.25">
      <c r="A828" t="s">
        <v>1813</v>
      </c>
      <c r="B828" t="s">
        <v>1811</v>
      </c>
      <c r="C828">
        <v>2024</v>
      </c>
      <c r="D828" t="s">
        <v>187</v>
      </c>
      <c r="F828" t="s">
        <v>8966</v>
      </c>
      <c r="G828" t="s">
        <v>3996</v>
      </c>
    </row>
    <row r="829" spans="1:7" x14ac:dyDescent="0.25">
      <c r="A829" t="s">
        <v>90</v>
      </c>
      <c r="B829" t="s">
        <v>1811</v>
      </c>
      <c r="C829">
        <v>2017</v>
      </c>
      <c r="E829" t="s">
        <v>2982</v>
      </c>
      <c r="F829" t="s">
        <v>9152</v>
      </c>
      <c r="G829" t="s">
        <v>3996</v>
      </c>
    </row>
    <row r="830" spans="1:7" x14ac:dyDescent="0.25">
      <c r="A830" t="s">
        <v>2377</v>
      </c>
      <c r="B830" t="s">
        <v>1811</v>
      </c>
      <c r="C830">
        <v>2021</v>
      </c>
      <c r="E830" t="s">
        <v>2982</v>
      </c>
      <c r="F830" t="s">
        <v>9204</v>
      </c>
      <c r="G830" t="s">
        <v>3996</v>
      </c>
    </row>
    <row r="831" spans="1:7" x14ac:dyDescent="0.25">
      <c r="A831" t="s">
        <v>2522</v>
      </c>
      <c r="B831" t="s">
        <v>1811</v>
      </c>
      <c r="C831">
        <v>2025</v>
      </c>
      <c r="E831" t="s">
        <v>2982</v>
      </c>
      <c r="F831" t="s">
        <v>9259</v>
      </c>
      <c r="G831" t="s">
        <v>3996</v>
      </c>
    </row>
    <row r="832" spans="1:7" x14ac:dyDescent="0.25">
      <c r="A832" t="s">
        <v>2428</v>
      </c>
      <c r="B832" t="s">
        <v>1817</v>
      </c>
      <c r="C832">
        <v>2008</v>
      </c>
      <c r="E832" t="s">
        <v>2982</v>
      </c>
      <c r="F832" t="s">
        <v>9232</v>
      </c>
      <c r="G832" t="s">
        <v>3996</v>
      </c>
    </row>
    <row r="833" spans="1:7" x14ac:dyDescent="0.25">
      <c r="A833" t="s">
        <v>2804</v>
      </c>
      <c r="B833" t="s">
        <v>1821</v>
      </c>
      <c r="C833">
        <v>2021</v>
      </c>
      <c r="E833" t="s">
        <v>3013</v>
      </c>
      <c r="F833" t="s">
        <v>9733</v>
      </c>
      <c r="G833" t="s">
        <v>187</v>
      </c>
    </row>
    <row r="834" spans="1:7" x14ac:dyDescent="0.25">
      <c r="A834" t="s">
        <v>497</v>
      </c>
      <c r="B834" t="s">
        <v>1825</v>
      </c>
      <c r="C834">
        <v>2022</v>
      </c>
      <c r="E834" t="s">
        <v>1828</v>
      </c>
      <c r="F834" t="s">
        <v>8571</v>
      </c>
      <c r="G834" t="s">
        <v>3996</v>
      </c>
    </row>
    <row r="835" spans="1:7" x14ac:dyDescent="0.25">
      <c r="A835" t="s">
        <v>160</v>
      </c>
      <c r="B835" t="s">
        <v>1825</v>
      </c>
      <c r="C835">
        <v>2011</v>
      </c>
      <c r="E835" t="s">
        <v>1828</v>
      </c>
      <c r="F835" t="s">
        <v>9299</v>
      </c>
      <c r="G835" t="s">
        <v>3996</v>
      </c>
    </row>
    <row r="836" spans="1:7" x14ac:dyDescent="0.25">
      <c r="A836" t="s">
        <v>2804</v>
      </c>
      <c r="B836" t="s">
        <v>1829</v>
      </c>
      <c r="C836">
        <v>2021</v>
      </c>
      <c r="E836" t="s">
        <v>3013</v>
      </c>
      <c r="F836" t="s">
        <v>9734</v>
      </c>
      <c r="G836" t="s">
        <v>187</v>
      </c>
    </row>
    <row r="837" spans="1:7" x14ac:dyDescent="0.25">
      <c r="A837" t="s">
        <v>2185</v>
      </c>
      <c r="B837" t="s">
        <v>1833</v>
      </c>
      <c r="C837">
        <v>2022</v>
      </c>
      <c r="E837" t="s">
        <v>2982</v>
      </c>
      <c r="F837" t="s">
        <v>9075</v>
      </c>
      <c r="G837" t="s">
        <v>3996</v>
      </c>
    </row>
    <row r="838" spans="1:7" x14ac:dyDescent="0.25">
      <c r="A838" t="s">
        <v>90</v>
      </c>
      <c r="B838" t="s">
        <v>1833</v>
      </c>
      <c r="C838">
        <v>2017</v>
      </c>
      <c r="E838" t="s">
        <v>2982</v>
      </c>
      <c r="F838" t="s">
        <v>9153</v>
      </c>
      <c r="G838" t="s">
        <v>3996</v>
      </c>
    </row>
    <row r="839" spans="1:7" x14ac:dyDescent="0.25">
      <c r="A839" t="s">
        <v>2173</v>
      </c>
      <c r="B839" t="s">
        <v>1837</v>
      </c>
      <c r="C839">
        <v>2013</v>
      </c>
      <c r="E839" s="10" t="s">
        <v>8376</v>
      </c>
      <c r="F839" t="s">
        <v>9070</v>
      </c>
      <c r="G839" t="s">
        <v>3996</v>
      </c>
    </row>
    <row r="840" spans="1:7" x14ac:dyDescent="0.25">
      <c r="A840" t="s">
        <v>160</v>
      </c>
      <c r="B840" t="s">
        <v>1837</v>
      </c>
      <c r="C840">
        <v>2011</v>
      </c>
      <c r="E840" s="10" t="s">
        <v>8376</v>
      </c>
      <c r="F840" t="s">
        <v>9300</v>
      </c>
      <c r="G840" t="s">
        <v>3996</v>
      </c>
    </row>
    <row r="841" spans="1:7" x14ac:dyDescent="0.25">
      <c r="A841" t="s">
        <v>2804</v>
      </c>
      <c r="B841" t="s">
        <v>1837</v>
      </c>
      <c r="C841">
        <v>2021</v>
      </c>
      <c r="E841" t="s">
        <v>3013</v>
      </c>
      <c r="F841" t="s">
        <v>9735</v>
      </c>
      <c r="G841" t="s">
        <v>187</v>
      </c>
    </row>
    <row r="842" spans="1:7" x14ac:dyDescent="0.25">
      <c r="A842" t="s">
        <v>160</v>
      </c>
      <c r="B842" t="s">
        <v>1843</v>
      </c>
      <c r="C842">
        <v>2011</v>
      </c>
      <c r="E842" t="s">
        <v>3408</v>
      </c>
      <c r="F842" t="s">
        <v>9301</v>
      </c>
      <c r="G842" t="s">
        <v>3996</v>
      </c>
    </row>
    <row r="843" spans="1:7" x14ac:dyDescent="0.25">
      <c r="A843" t="s">
        <v>946</v>
      </c>
      <c r="B843" t="s">
        <v>1847</v>
      </c>
      <c r="C843">
        <v>2014</v>
      </c>
      <c r="E843" t="s">
        <v>3164</v>
      </c>
      <c r="F843" t="s">
        <v>9736</v>
      </c>
      <c r="G843" t="s">
        <v>187</v>
      </c>
    </row>
    <row r="844" spans="1:7" x14ac:dyDescent="0.25">
      <c r="A844" t="s">
        <v>1144</v>
      </c>
      <c r="B844" t="s">
        <v>1847</v>
      </c>
      <c r="C844">
        <v>2012</v>
      </c>
      <c r="E844" t="s">
        <v>3208</v>
      </c>
      <c r="F844" t="s">
        <v>8773</v>
      </c>
      <c r="G844" t="s">
        <v>3996</v>
      </c>
    </row>
    <row r="845" spans="1:7" x14ac:dyDescent="0.25">
      <c r="A845" t="s">
        <v>2506</v>
      </c>
      <c r="B845" t="s">
        <v>1851</v>
      </c>
      <c r="C845">
        <v>2021</v>
      </c>
      <c r="E845" t="s">
        <v>2982</v>
      </c>
      <c r="F845" t="s">
        <v>9252</v>
      </c>
      <c r="G845" t="s">
        <v>3996</v>
      </c>
    </row>
    <row r="846" spans="1:7" x14ac:dyDescent="0.25">
      <c r="A846" t="s">
        <v>160</v>
      </c>
      <c r="B846" t="s">
        <v>1851</v>
      </c>
      <c r="C846">
        <v>2011</v>
      </c>
      <c r="E846" t="s">
        <v>2982</v>
      </c>
      <c r="F846" t="s">
        <v>9302</v>
      </c>
      <c r="G846" t="s">
        <v>3996</v>
      </c>
    </row>
    <row r="847" spans="1:7" x14ac:dyDescent="0.25">
      <c r="A847" t="s">
        <v>2804</v>
      </c>
      <c r="B847" t="s">
        <v>1851</v>
      </c>
      <c r="C847">
        <v>2021</v>
      </c>
      <c r="E847" t="s">
        <v>2982</v>
      </c>
      <c r="F847" t="s">
        <v>9361</v>
      </c>
      <c r="G847" t="s">
        <v>3996</v>
      </c>
    </row>
    <row r="848" spans="1:7" x14ac:dyDescent="0.25">
      <c r="A848" t="s">
        <v>1144</v>
      </c>
      <c r="B848" t="s">
        <v>1855</v>
      </c>
      <c r="C848">
        <v>2012</v>
      </c>
      <c r="E848" s="10" t="s">
        <v>8416</v>
      </c>
      <c r="F848" t="s">
        <v>8774</v>
      </c>
      <c r="G848" t="s">
        <v>3996</v>
      </c>
    </row>
    <row r="849" spans="1:7" x14ac:dyDescent="0.25">
      <c r="A849" t="s">
        <v>2322</v>
      </c>
      <c r="B849" t="s">
        <v>1855</v>
      </c>
      <c r="C849">
        <v>2010</v>
      </c>
      <c r="E849" t="s">
        <v>3340</v>
      </c>
      <c r="F849" t="s">
        <v>9084</v>
      </c>
      <c r="G849" t="s">
        <v>3996</v>
      </c>
    </row>
    <row r="850" spans="1:7" x14ac:dyDescent="0.25">
      <c r="A850" t="s">
        <v>2428</v>
      </c>
      <c r="B850" t="s">
        <v>1855</v>
      </c>
      <c r="C850">
        <v>2008</v>
      </c>
      <c r="E850" s="10" t="s">
        <v>8416</v>
      </c>
      <c r="F850" t="s">
        <v>9233</v>
      </c>
      <c r="G850" t="s">
        <v>3996</v>
      </c>
    </row>
    <row r="851" spans="1:7" x14ac:dyDescent="0.25">
      <c r="A851" t="s">
        <v>160</v>
      </c>
      <c r="B851" t="s">
        <v>1855</v>
      </c>
      <c r="C851">
        <v>2011</v>
      </c>
      <c r="E851" s="10" t="s">
        <v>8416</v>
      </c>
      <c r="F851" t="s">
        <v>9303</v>
      </c>
      <c r="G851" t="s">
        <v>3996</v>
      </c>
    </row>
    <row r="852" spans="1:7" x14ac:dyDescent="0.25">
      <c r="A852" t="s">
        <v>1294</v>
      </c>
      <c r="B852" t="s">
        <v>1859</v>
      </c>
      <c r="C852">
        <v>2019</v>
      </c>
      <c r="E852" t="s">
        <v>3013</v>
      </c>
      <c r="F852" t="s">
        <v>9737</v>
      </c>
      <c r="G852" t="s">
        <v>187</v>
      </c>
    </row>
    <row r="853" spans="1:7" x14ac:dyDescent="0.25">
      <c r="A853" t="s">
        <v>344</v>
      </c>
      <c r="B853" t="s">
        <v>1863</v>
      </c>
      <c r="C853">
        <v>2023</v>
      </c>
      <c r="E853" t="s">
        <v>2982</v>
      </c>
      <c r="F853" t="s">
        <v>8499</v>
      </c>
      <c r="G853" t="s">
        <v>3996</v>
      </c>
    </row>
    <row r="854" spans="1:7" x14ac:dyDescent="0.25">
      <c r="A854" t="s">
        <v>2506</v>
      </c>
      <c r="B854" t="s">
        <v>1863</v>
      </c>
      <c r="C854">
        <v>2021</v>
      </c>
      <c r="E854" t="s">
        <v>2982</v>
      </c>
      <c r="F854" t="s">
        <v>9253</v>
      </c>
      <c r="G854" t="s">
        <v>3996</v>
      </c>
    </row>
    <row r="855" spans="1:7" x14ac:dyDescent="0.25">
      <c r="A855" t="s">
        <v>2614</v>
      </c>
      <c r="B855" t="s">
        <v>1863</v>
      </c>
      <c r="C855">
        <v>2025</v>
      </c>
      <c r="E855" t="s">
        <v>2982</v>
      </c>
      <c r="F855" t="s">
        <v>9271</v>
      </c>
      <c r="G855" t="s">
        <v>3996</v>
      </c>
    </row>
    <row r="856" spans="1:7" x14ac:dyDescent="0.25">
      <c r="A856" t="s">
        <v>759</v>
      </c>
      <c r="B856" t="s">
        <v>1865</v>
      </c>
      <c r="C856">
        <v>2018</v>
      </c>
      <c r="E856" t="s">
        <v>3013</v>
      </c>
      <c r="F856" t="s">
        <v>9738</v>
      </c>
      <c r="G856" t="s">
        <v>187</v>
      </c>
    </row>
    <row r="857" spans="1:7" x14ac:dyDescent="0.25">
      <c r="A857" t="s">
        <v>90</v>
      </c>
      <c r="B857" t="s">
        <v>1867</v>
      </c>
      <c r="C857">
        <v>2017</v>
      </c>
      <c r="E857" t="s">
        <v>3372</v>
      </c>
      <c r="F857" t="s">
        <v>9739</v>
      </c>
      <c r="G857" t="s">
        <v>187</v>
      </c>
    </row>
    <row r="858" spans="1:7" x14ac:dyDescent="0.25">
      <c r="A858" t="s">
        <v>160</v>
      </c>
      <c r="B858" t="s">
        <v>1867</v>
      </c>
      <c r="C858">
        <v>2011</v>
      </c>
      <c r="E858" t="s">
        <v>3372</v>
      </c>
      <c r="F858" t="s">
        <v>9740</v>
      </c>
      <c r="G858" t="s">
        <v>187</v>
      </c>
    </row>
    <row r="859" spans="1:7" x14ac:dyDescent="0.25">
      <c r="A859" t="s">
        <v>651</v>
      </c>
      <c r="B859" t="s">
        <v>1875</v>
      </c>
      <c r="C859">
        <v>2023</v>
      </c>
      <c r="E859" t="s">
        <v>3081</v>
      </c>
      <c r="F859" t="s">
        <v>9741</v>
      </c>
      <c r="G859" t="s">
        <v>187</v>
      </c>
    </row>
    <row r="860" spans="1:7" x14ac:dyDescent="0.25">
      <c r="A860" t="s">
        <v>1046</v>
      </c>
      <c r="B860" t="s">
        <v>1877</v>
      </c>
      <c r="C860">
        <v>2016</v>
      </c>
      <c r="E860" t="s">
        <v>3189</v>
      </c>
      <c r="F860" t="s">
        <v>8745</v>
      </c>
      <c r="G860" t="s">
        <v>3996</v>
      </c>
    </row>
    <row r="861" spans="1:7" x14ac:dyDescent="0.25">
      <c r="A861" t="s">
        <v>1855</v>
      </c>
      <c r="B861" t="s">
        <v>1877</v>
      </c>
      <c r="C861">
        <v>2015</v>
      </c>
      <c r="E861" t="s">
        <v>3189</v>
      </c>
      <c r="F861" t="s">
        <v>8986</v>
      </c>
      <c r="G861" t="s">
        <v>3996</v>
      </c>
    </row>
    <row r="862" spans="1:7" x14ac:dyDescent="0.25">
      <c r="A862" t="s">
        <v>1516</v>
      </c>
      <c r="B862" t="s">
        <v>1879</v>
      </c>
      <c r="C862">
        <v>2024</v>
      </c>
      <c r="D862" t="s">
        <v>187</v>
      </c>
      <c r="F862" t="s">
        <v>9742</v>
      </c>
      <c r="G862" t="s">
        <v>3996</v>
      </c>
    </row>
    <row r="863" spans="1:7" x14ac:dyDescent="0.25">
      <c r="A863" t="s">
        <v>1855</v>
      </c>
      <c r="B863" t="s">
        <v>1879</v>
      </c>
      <c r="C863">
        <v>2015</v>
      </c>
      <c r="E863" t="s">
        <v>3301</v>
      </c>
      <c r="F863" t="s">
        <v>9743</v>
      </c>
      <c r="G863" t="s">
        <v>187</v>
      </c>
    </row>
    <row r="864" spans="1:7" x14ac:dyDescent="0.25">
      <c r="A864" t="s">
        <v>2254</v>
      </c>
      <c r="B864" t="s">
        <v>1879</v>
      </c>
      <c r="C864">
        <v>2020</v>
      </c>
      <c r="E864" t="s">
        <v>3301</v>
      </c>
      <c r="F864" t="s">
        <v>9744</v>
      </c>
      <c r="G864" t="s">
        <v>187</v>
      </c>
    </row>
    <row r="865" spans="1:7" x14ac:dyDescent="0.25">
      <c r="A865" t="s">
        <v>2154</v>
      </c>
      <c r="B865" t="s">
        <v>1882</v>
      </c>
      <c r="C865">
        <v>1980</v>
      </c>
      <c r="E865" s="10" t="s">
        <v>8460</v>
      </c>
      <c r="F865" t="s">
        <v>8461</v>
      </c>
      <c r="G865" t="s">
        <v>3996</v>
      </c>
    </row>
    <row r="866" spans="1:7" x14ac:dyDescent="0.25">
      <c r="A866" t="s">
        <v>2721</v>
      </c>
      <c r="B866" t="s">
        <v>1885</v>
      </c>
      <c r="C866">
        <v>1993</v>
      </c>
      <c r="D866" t="s">
        <v>187</v>
      </c>
      <c r="F866" t="s">
        <v>9745</v>
      </c>
      <c r="G866" t="s">
        <v>3996</v>
      </c>
    </row>
    <row r="867" spans="1:7" x14ac:dyDescent="0.25">
      <c r="A867" t="s">
        <v>1891</v>
      </c>
      <c r="B867" t="s">
        <v>1887</v>
      </c>
      <c r="C867">
        <v>2017</v>
      </c>
      <c r="D867" t="s">
        <v>187</v>
      </c>
      <c r="F867" t="s">
        <v>9746</v>
      </c>
      <c r="G867" t="s">
        <v>3996</v>
      </c>
    </row>
    <row r="868" spans="1:7" x14ac:dyDescent="0.25">
      <c r="A868" t="s">
        <v>1885</v>
      </c>
      <c r="B868" t="s">
        <v>1891</v>
      </c>
      <c r="C868">
        <v>2015</v>
      </c>
      <c r="D868" t="s">
        <v>187</v>
      </c>
      <c r="F868" t="s">
        <v>9747</v>
      </c>
      <c r="G868" t="s">
        <v>3996</v>
      </c>
    </row>
    <row r="869" spans="1:7" x14ac:dyDescent="0.25">
      <c r="A869" t="s">
        <v>353</v>
      </c>
      <c r="B869" t="s">
        <v>1893</v>
      </c>
      <c r="C869">
        <v>2023</v>
      </c>
      <c r="E869" t="s">
        <v>3035</v>
      </c>
      <c r="F869" t="s">
        <v>8530</v>
      </c>
      <c r="G869" t="s">
        <v>3996</v>
      </c>
    </row>
    <row r="870" spans="1:7" x14ac:dyDescent="0.25">
      <c r="A870" t="s">
        <v>364</v>
      </c>
      <c r="B870" t="s">
        <v>1893</v>
      </c>
      <c r="C870">
        <v>2024</v>
      </c>
      <c r="E870" t="s">
        <v>3035</v>
      </c>
      <c r="F870" t="s">
        <v>8551</v>
      </c>
      <c r="G870" t="s">
        <v>3996</v>
      </c>
    </row>
    <row r="871" spans="1:7" x14ac:dyDescent="0.25">
      <c r="A871" t="s">
        <v>1576</v>
      </c>
      <c r="B871" t="s">
        <v>1893</v>
      </c>
      <c r="C871">
        <v>2021</v>
      </c>
      <c r="E871" t="s">
        <v>3035</v>
      </c>
      <c r="F871" t="s">
        <v>8905</v>
      </c>
      <c r="G871" t="s">
        <v>3996</v>
      </c>
    </row>
    <row r="872" spans="1:7" x14ac:dyDescent="0.25">
      <c r="A872" t="s">
        <v>1144</v>
      </c>
      <c r="B872" t="s">
        <v>1895</v>
      </c>
      <c r="C872">
        <v>2012</v>
      </c>
      <c r="E872" t="s">
        <v>3209</v>
      </c>
      <c r="F872" t="s">
        <v>8775</v>
      </c>
      <c r="G872" t="s">
        <v>3996</v>
      </c>
    </row>
    <row r="873" spans="1:7" x14ac:dyDescent="0.25">
      <c r="A873" t="s">
        <v>1855</v>
      </c>
      <c r="B873" t="s">
        <v>1895</v>
      </c>
      <c r="C873">
        <v>2015</v>
      </c>
      <c r="E873" t="s">
        <v>3209</v>
      </c>
      <c r="F873" t="s">
        <v>8987</v>
      </c>
      <c r="G873" t="s">
        <v>3996</v>
      </c>
    </row>
    <row r="874" spans="1:7" x14ac:dyDescent="0.25">
      <c r="A874" t="s">
        <v>90</v>
      </c>
      <c r="B874" t="s">
        <v>1895</v>
      </c>
      <c r="C874">
        <v>2017</v>
      </c>
      <c r="E874" t="s">
        <v>3209</v>
      </c>
      <c r="F874" t="s">
        <v>9154</v>
      </c>
      <c r="G874" t="s">
        <v>3996</v>
      </c>
    </row>
    <row r="875" spans="1:7" x14ac:dyDescent="0.25">
      <c r="A875" t="s">
        <v>1761</v>
      </c>
      <c r="B875" t="s">
        <v>1899</v>
      </c>
      <c r="C875">
        <v>1995</v>
      </c>
      <c r="E875" t="s">
        <v>3274</v>
      </c>
      <c r="F875" t="s">
        <v>9748</v>
      </c>
      <c r="G875" t="s">
        <v>187</v>
      </c>
    </row>
    <row r="876" spans="1:7" x14ac:dyDescent="0.25">
      <c r="A876" t="s">
        <v>2721</v>
      </c>
      <c r="B876" t="s">
        <v>1899</v>
      </c>
      <c r="C876">
        <v>1993</v>
      </c>
      <c r="E876" t="s">
        <v>3274</v>
      </c>
      <c r="F876" t="s">
        <v>9749</v>
      </c>
      <c r="G876" t="s">
        <v>187</v>
      </c>
    </row>
    <row r="877" spans="1:7" x14ac:dyDescent="0.25">
      <c r="A877" t="s">
        <v>1970</v>
      </c>
      <c r="B877" t="s">
        <v>1903</v>
      </c>
      <c r="C877">
        <v>2012</v>
      </c>
      <c r="E877" t="s">
        <v>3305</v>
      </c>
      <c r="F877" t="s">
        <v>9750</v>
      </c>
      <c r="G877" t="s">
        <v>187</v>
      </c>
    </row>
    <row r="878" spans="1:7" x14ac:dyDescent="0.25">
      <c r="A878" t="s">
        <v>205</v>
      </c>
      <c r="B878" t="s">
        <v>7837</v>
      </c>
      <c r="C878">
        <v>2015</v>
      </c>
      <c r="E878" s="10" t="s">
        <v>8377</v>
      </c>
      <c r="F878" t="s">
        <v>8470</v>
      </c>
      <c r="G878" t="s">
        <v>3996</v>
      </c>
    </row>
    <row r="879" spans="1:7" x14ac:dyDescent="0.25">
      <c r="A879" t="s">
        <v>1553</v>
      </c>
      <c r="B879" t="s">
        <v>7837</v>
      </c>
      <c r="C879">
        <v>2017</v>
      </c>
      <c r="E879" t="s">
        <v>7822</v>
      </c>
      <c r="F879" t="s">
        <v>8888</v>
      </c>
      <c r="G879" t="s">
        <v>3996</v>
      </c>
    </row>
    <row r="880" spans="1:7" x14ac:dyDescent="0.25">
      <c r="A880" t="s">
        <v>2324</v>
      </c>
      <c r="B880" t="s">
        <v>7837</v>
      </c>
      <c r="C880">
        <v>2022</v>
      </c>
      <c r="E880" s="10" t="s">
        <v>8378</v>
      </c>
      <c r="F880" t="s">
        <v>9086</v>
      </c>
      <c r="G880" t="s">
        <v>3996</v>
      </c>
    </row>
    <row r="881" spans="1:7" x14ac:dyDescent="0.25">
      <c r="A881" t="s">
        <v>2361</v>
      </c>
      <c r="B881" t="s">
        <v>7837</v>
      </c>
      <c r="C881">
        <v>2018</v>
      </c>
      <c r="E881" s="10" t="s">
        <v>8378</v>
      </c>
      <c r="F881" t="s">
        <v>9200</v>
      </c>
      <c r="G881" t="s">
        <v>3996</v>
      </c>
    </row>
    <row r="882" spans="1:7" x14ac:dyDescent="0.25">
      <c r="A882" t="s">
        <v>2506</v>
      </c>
      <c r="B882" t="s">
        <v>7837</v>
      </c>
      <c r="C882">
        <v>2021</v>
      </c>
      <c r="E882" t="s">
        <v>7822</v>
      </c>
      <c r="F882" t="s">
        <v>9254</v>
      </c>
      <c r="G882" t="s">
        <v>3996</v>
      </c>
    </row>
    <row r="883" spans="1:7" x14ac:dyDescent="0.25">
      <c r="A883" t="s">
        <v>847</v>
      </c>
      <c r="B883" t="s">
        <v>1911</v>
      </c>
      <c r="C883">
        <v>1996</v>
      </c>
      <c r="E883" s="10" t="s">
        <v>8379</v>
      </c>
      <c r="F883" t="s">
        <v>8674</v>
      </c>
      <c r="G883" t="s">
        <v>3996</v>
      </c>
    </row>
    <row r="884" spans="1:7" x14ac:dyDescent="0.25">
      <c r="A884" t="s">
        <v>914</v>
      </c>
      <c r="B884" t="s">
        <v>1911</v>
      </c>
      <c r="C884">
        <v>2013</v>
      </c>
      <c r="E884" s="10" t="s">
        <v>8379</v>
      </c>
      <c r="F884" t="s">
        <v>8692</v>
      </c>
      <c r="G884" t="s">
        <v>3996</v>
      </c>
    </row>
    <row r="885" spans="1:7" x14ac:dyDescent="0.25">
      <c r="A885" t="s">
        <v>1144</v>
      </c>
      <c r="B885" t="s">
        <v>1911</v>
      </c>
      <c r="C885">
        <v>2012</v>
      </c>
      <c r="E885" t="s">
        <v>3210</v>
      </c>
      <c r="F885" t="s">
        <v>8776</v>
      </c>
      <c r="G885" t="s">
        <v>3996</v>
      </c>
    </row>
    <row r="886" spans="1:7" x14ac:dyDescent="0.25">
      <c r="A886" t="s">
        <v>160</v>
      </c>
      <c r="B886" t="s">
        <v>1911</v>
      </c>
      <c r="C886">
        <v>2011</v>
      </c>
      <c r="E886" t="s">
        <v>3210</v>
      </c>
      <c r="F886" t="s">
        <v>9304</v>
      </c>
      <c r="G886" t="s">
        <v>3996</v>
      </c>
    </row>
    <row r="887" spans="1:7" x14ac:dyDescent="0.25">
      <c r="A887" t="s">
        <v>1795</v>
      </c>
      <c r="B887" t="s">
        <v>1918</v>
      </c>
      <c r="C887">
        <v>1987</v>
      </c>
      <c r="E887" t="s">
        <v>2982</v>
      </c>
      <c r="F887" t="s">
        <v>8955</v>
      </c>
      <c r="G887" t="s">
        <v>3996</v>
      </c>
    </row>
    <row r="888" spans="1:7" x14ac:dyDescent="0.25">
      <c r="A888" t="s">
        <v>90</v>
      </c>
      <c r="B888" t="s">
        <v>1921</v>
      </c>
      <c r="C888">
        <v>2017</v>
      </c>
      <c r="E888" t="s">
        <v>3013</v>
      </c>
      <c r="F888" t="s">
        <v>9751</v>
      </c>
      <c r="G888" t="s">
        <v>187</v>
      </c>
    </row>
    <row r="889" spans="1:7" x14ac:dyDescent="0.25">
      <c r="A889" t="s">
        <v>2009</v>
      </c>
      <c r="B889" t="s">
        <v>1925</v>
      </c>
      <c r="C889">
        <v>2005</v>
      </c>
      <c r="E889" t="s">
        <v>3306</v>
      </c>
      <c r="F889" t="s">
        <v>9007</v>
      </c>
      <c r="G889" t="s">
        <v>3996</v>
      </c>
    </row>
    <row r="890" spans="1:7" x14ac:dyDescent="0.25">
      <c r="A890" t="s">
        <v>160</v>
      </c>
      <c r="B890" t="s">
        <v>1927</v>
      </c>
      <c r="C890">
        <v>2011</v>
      </c>
      <c r="E890" t="s">
        <v>2982</v>
      </c>
      <c r="F890" t="s">
        <v>9305</v>
      </c>
      <c r="G890" t="s">
        <v>3996</v>
      </c>
    </row>
    <row r="891" spans="1:7" x14ac:dyDescent="0.25">
      <c r="A891" t="s">
        <v>1046</v>
      </c>
      <c r="B891" t="s">
        <v>7924</v>
      </c>
      <c r="C891">
        <v>2016</v>
      </c>
      <c r="E891" s="10" t="s">
        <v>7923</v>
      </c>
      <c r="F891" t="s">
        <v>9752</v>
      </c>
      <c r="G891" t="s">
        <v>187</v>
      </c>
    </row>
    <row r="892" spans="1:7" x14ac:dyDescent="0.25">
      <c r="A892" t="s">
        <v>353</v>
      </c>
      <c r="B892" t="s">
        <v>1931</v>
      </c>
      <c r="C892">
        <v>2023</v>
      </c>
      <c r="E892" t="s">
        <v>3036</v>
      </c>
      <c r="F892" t="s">
        <v>8531</v>
      </c>
      <c r="G892" t="s">
        <v>3996</v>
      </c>
    </row>
    <row r="893" spans="1:7" x14ac:dyDescent="0.25">
      <c r="A893" t="s">
        <v>1046</v>
      </c>
      <c r="B893" t="s">
        <v>1933</v>
      </c>
      <c r="C893">
        <v>2016</v>
      </c>
      <c r="E893" s="10" t="s">
        <v>8418</v>
      </c>
      <c r="F893" t="s">
        <v>9753</v>
      </c>
      <c r="G893" t="s">
        <v>187</v>
      </c>
    </row>
    <row r="894" spans="1:7" x14ac:dyDescent="0.25">
      <c r="A894" t="s">
        <v>160</v>
      </c>
      <c r="B894" t="s">
        <v>1933</v>
      </c>
      <c r="C894">
        <v>2011</v>
      </c>
      <c r="E894" t="s">
        <v>3409</v>
      </c>
      <c r="F894" t="s">
        <v>9754</v>
      </c>
      <c r="G894" t="s">
        <v>187</v>
      </c>
    </row>
    <row r="895" spans="1:7" x14ac:dyDescent="0.25">
      <c r="A895" t="s">
        <v>964</v>
      </c>
      <c r="B895" t="s">
        <v>1937</v>
      </c>
      <c r="C895">
        <v>2006</v>
      </c>
      <c r="E895" t="s">
        <v>1940</v>
      </c>
      <c r="F895" t="s">
        <v>8715</v>
      </c>
      <c r="G895" t="s">
        <v>3996</v>
      </c>
    </row>
    <row r="896" spans="1:7" x14ac:dyDescent="0.25">
      <c r="A896" t="s">
        <v>2107</v>
      </c>
      <c r="B896" t="s">
        <v>1937</v>
      </c>
      <c r="C896">
        <v>2020</v>
      </c>
      <c r="E896" t="s">
        <v>1940</v>
      </c>
      <c r="F896" t="s">
        <v>9016</v>
      </c>
      <c r="G896" t="s">
        <v>3996</v>
      </c>
    </row>
    <row r="897" spans="1:7" x14ac:dyDescent="0.25">
      <c r="A897" t="s">
        <v>2571</v>
      </c>
      <c r="B897" t="s">
        <v>1937</v>
      </c>
      <c r="C897">
        <v>1998</v>
      </c>
      <c r="E897" t="s">
        <v>1940</v>
      </c>
      <c r="F897" t="s">
        <v>9755</v>
      </c>
      <c r="G897" t="s">
        <v>187</v>
      </c>
    </row>
    <row r="898" spans="1:7" x14ac:dyDescent="0.25">
      <c r="A898" t="s">
        <v>1046</v>
      </c>
      <c r="B898" t="s">
        <v>1941</v>
      </c>
      <c r="C898">
        <v>2016</v>
      </c>
      <c r="E898" t="s">
        <v>3190</v>
      </c>
      <c r="F898" t="s">
        <v>8746</v>
      </c>
      <c r="G898" t="s">
        <v>3996</v>
      </c>
    </row>
    <row r="899" spans="1:7" x14ac:dyDescent="0.25">
      <c r="A899" t="s">
        <v>1817</v>
      </c>
      <c r="B899" t="s">
        <v>1941</v>
      </c>
      <c r="C899">
        <v>2019</v>
      </c>
      <c r="E899" t="s">
        <v>3294</v>
      </c>
      <c r="F899" t="s">
        <v>8968</v>
      </c>
      <c r="G899" t="s">
        <v>3996</v>
      </c>
    </row>
    <row r="900" spans="1:7" x14ac:dyDescent="0.25">
      <c r="A900" t="s">
        <v>160</v>
      </c>
      <c r="B900" t="s">
        <v>1941</v>
      </c>
      <c r="C900">
        <v>2011</v>
      </c>
      <c r="E900" t="s">
        <v>3410</v>
      </c>
      <c r="F900" t="s">
        <v>9306</v>
      </c>
      <c r="G900" t="s">
        <v>3996</v>
      </c>
    </row>
    <row r="901" spans="1:7" x14ac:dyDescent="0.25">
      <c r="A901" t="s">
        <v>1795</v>
      </c>
      <c r="B901" t="s">
        <v>1944</v>
      </c>
      <c r="C901">
        <v>1987</v>
      </c>
      <c r="E901" t="s">
        <v>3284</v>
      </c>
      <c r="F901" t="s">
        <v>8956</v>
      </c>
      <c r="G901" t="s">
        <v>3996</v>
      </c>
    </row>
    <row r="902" spans="1:7" x14ac:dyDescent="0.25">
      <c r="A902" t="s">
        <v>1443</v>
      </c>
      <c r="B902" t="s">
        <v>1947</v>
      </c>
      <c r="C902">
        <v>2018</v>
      </c>
      <c r="E902" t="s">
        <v>3252</v>
      </c>
      <c r="F902" t="s">
        <v>8875</v>
      </c>
      <c r="G902" t="s">
        <v>3996</v>
      </c>
    </row>
    <row r="903" spans="1:7" x14ac:dyDescent="0.25">
      <c r="A903" t="s">
        <v>90</v>
      </c>
      <c r="B903" t="s">
        <v>1947</v>
      </c>
      <c r="C903">
        <v>2017</v>
      </c>
      <c r="E903" t="s">
        <v>3252</v>
      </c>
      <c r="F903" t="s">
        <v>9155</v>
      </c>
      <c r="G903" t="s">
        <v>3996</v>
      </c>
    </row>
    <row r="904" spans="1:7" x14ac:dyDescent="0.25">
      <c r="A904" t="s">
        <v>497</v>
      </c>
      <c r="B904" t="s">
        <v>8126</v>
      </c>
      <c r="C904">
        <v>2022</v>
      </c>
      <c r="E904" s="10" t="s">
        <v>8134</v>
      </c>
      <c r="F904" t="s">
        <v>8572</v>
      </c>
      <c r="G904" t="s">
        <v>3996</v>
      </c>
    </row>
    <row r="905" spans="1:7" x14ac:dyDescent="0.25">
      <c r="A905" t="s">
        <v>2377</v>
      </c>
      <c r="B905" t="s">
        <v>8126</v>
      </c>
      <c r="C905">
        <v>2021</v>
      </c>
      <c r="E905" s="10" t="s">
        <v>8134</v>
      </c>
      <c r="F905" t="s">
        <v>9205</v>
      </c>
      <c r="G905" t="s">
        <v>3996</v>
      </c>
    </row>
    <row r="906" spans="1:7" x14ac:dyDescent="0.25">
      <c r="A906" t="s">
        <v>90</v>
      </c>
      <c r="B906" t="s">
        <v>1951</v>
      </c>
      <c r="C906">
        <v>2017</v>
      </c>
      <c r="E906" t="s">
        <v>3373</v>
      </c>
      <c r="F906" t="s">
        <v>9156</v>
      </c>
      <c r="G906" t="s">
        <v>3996</v>
      </c>
    </row>
    <row r="907" spans="1:7" x14ac:dyDescent="0.25">
      <c r="A907" t="s">
        <v>353</v>
      </c>
      <c r="B907" t="s">
        <v>1955</v>
      </c>
      <c r="C907">
        <v>2023</v>
      </c>
      <c r="E907" t="s">
        <v>3037</v>
      </c>
      <c r="F907" t="s">
        <v>8532</v>
      </c>
      <c r="G907" t="s">
        <v>3996</v>
      </c>
    </row>
    <row r="908" spans="1:7" x14ac:dyDescent="0.25">
      <c r="A908" t="s">
        <v>1851</v>
      </c>
      <c r="B908" t="s">
        <v>1955</v>
      </c>
      <c r="C908">
        <v>2024</v>
      </c>
      <c r="E908" t="s">
        <v>3037</v>
      </c>
      <c r="F908" t="s">
        <v>8973</v>
      </c>
      <c r="G908" t="s">
        <v>3996</v>
      </c>
    </row>
    <row r="909" spans="1:7" x14ac:dyDescent="0.25">
      <c r="A909" t="s">
        <v>1951</v>
      </c>
      <c r="B909" t="s">
        <v>1955</v>
      </c>
      <c r="C909">
        <v>2022</v>
      </c>
      <c r="E909" t="s">
        <v>3037</v>
      </c>
      <c r="F909" t="s">
        <v>9003</v>
      </c>
      <c r="G909" t="s">
        <v>3996</v>
      </c>
    </row>
    <row r="910" spans="1:7" x14ac:dyDescent="0.25">
      <c r="A910" t="s">
        <v>185</v>
      </c>
      <c r="B910" t="s">
        <v>7652</v>
      </c>
      <c r="C910">
        <v>2022</v>
      </c>
      <c r="E910" t="s">
        <v>7655</v>
      </c>
      <c r="F910" t="s">
        <v>9404</v>
      </c>
      <c r="G910" t="s">
        <v>3996</v>
      </c>
    </row>
    <row r="911" spans="1:7" x14ac:dyDescent="0.25">
      <c r="A911" t="s">
        <v>360</v>
      </c>
      <c r="B911" t="s">
        <v>7652</v>
      </c>
      <c r="C911">
        <v>2025</v>
      </c>
      <c r="E911" t="s">
        <v>7655</v>
      </c>
      <c r="F911" t="s">
        <v>9406</v>
      </c>
      <c r="G911" t="s">
        <v>3996</v>
      </c>
    </row>
    <row r="912" spans="1:7" x14ac:dyDescent="0.25">
      <c r="A912" t="s">
        <v>497</v>
      </c>
      <c r="B912" t="s">
        <v>7652</v>
      </c>
      <c r="C912">
        <v>2022</v>
      </c>
      <c r="E912" t="s">
        <v>7655</v>
      </c>
      <c r="F912" t="s">
        <v>9407</v>
      </c>
      <c r="G912" t="s">
        <v>3996</v>
      </c>
    </row>
    <row r="913" spans="1:7" x14ac:dyDescent="0.25">
      <c r="A913" t="s">
        <v>606</v>
      </c>
      <c r="B913" t="s">
        <v>7652</v>
      </c>
      <c r="C913">
        <v>2025</v>
      </c>
      <c r="E913" t="s">
        <v>7655</v>
      </c>
      <c r="F913" t="s">
        <v>9408</v>
      </c>
      <c r="G913" t="s">
        <v>3996</v>
      </c>
    </row>
    <row r="914" spans="1:7" x14ac:dyDescent="0.25">
      <c r="A914" t="s">
        <v>811</v>
      </c>
      <c r="B914" t="s">
        <v>7652</v>
      </c>
      <c r="C914">
        <v>2024</v>
      </c>
      <c r="E914" t="s">
        <v>7655</v>
      </c>
      <c r="F914" t="s">
        <v>9409</v>
      </c>
      <c r="G914" t="s">
        <v>3996</v>
      </c>
    </row>
    <row r="915" spans="1:7" x14ac:dyDescent="0.25">
      <c r="A915" t="s">
        <v>1621</v>
      </c>
      <c r="B915" t="s">
        <v>7652</v>
      </c>
      <c r="C915">
        <v>2025</v>
      </c>
      <c r="E915" t="s">
        <v>7655</v>
      </c>
      <c r="F915" t="s">
        <v>9410</v>
      </c>
      <c r="G915" t="s">
        <v>3996</v>
      </c>
    </row>
    <row r="916" spans="1:7" x14ac:dyDescent="0.25">
      <c r="A916" t="s">
        <v>160</v>
      </c>
      <c r="B916" t="s">
        <v>7652</v>
      </c>
      <c r="C916">
        <v>2011</v>
      </c>
      <c r="E916" t="s">
        <v>7655</v>
      </c>
      <c r="F916" t="s">
        <v>9411</v>
      </c>
      <c r="G916" t="s">
        <v>3996</v>
      </c>
    </row>
    <row r="917" spans="1:7" x14ac:dyDescent="0.25">
      <c r="A917" t="s">
        <v>333</v>
      </c>
      <c r="B917" t="s">
        <v>1958</v>
      </c>
      <c r="C917">
        <v>2020</v>
      </c>
      <c r="E917" t="s">
        <v>1961</v>
      </c>
      <c r="F917" t="s">
        <v>8494</v>
      </c>
      <c r="G917" t="s">
        <v>3996</v>
      </c>
    </row>
    <row r="918" spans="1:7" x14ac:dyDescent="0.25">
      <c r="A918" t="s">
        <v>497</v>
      </c>
      <c r="B918" t="s">
        <v>1958</v>
      </c>
      <c r="C918">
        <v>2022</v>
      </c>
      <c r="E918" t="s">
        <v>1961</v>
      </c>
      <c r="F918" t="s">
        <v>8573</v>
      </c>
      <c r="G918" t="s">
        <v>3996</v>
      </c>
    </row>
    <row r="919" spans="1:7" x14ac:dyDescent="0.25">
      <c r="A919" t="s">
        <v>2804</v>
      </c>
      <c r="B919" t="s">
        <v>1958</v>
      </c>
      <c r="C919">
        <v>2021</v>
      </c>
      <c r="E919" s="10" t="s">
        <v>1961</v>
      </c>
      <c r="F919" t="s">
        <v>9362</v>
      </c>
      <c r="G919" t="s">
        <v>3996</v>
      </c>
    </row>
    <row r="920" spans="1:7" x14ac:dyDescent="0.25">
      <c r="A920" t="s">
        <v>847</v>
      </c>
      <c r="B920" t="s">
        <v>1962</v>
      </c>
      <c r="C920">
        <v>1996</v>
      </c>
      <c r="E920" s="10" t="s">
        <v>1965</v>
      </c>
      <c r="F920" t="s">
        <v>8675</v>
      </c>
      <c r="G920" t="s">
        <v>3996</v>
      </c>
    </row>
    <row r="921" spans="1:7" x14ac:dyDescent="0.25">
      <c r="A921" t="s">
        <v>2804</v>
      </c>
      <c r="B921" t="s">
        <v>1962</v>
      </c>
      <c r="C921">
        <v>2021</v>
      </c>
      <c r="E921" t="s">
        <v>3013</v>
      </c>
      <c r="F921" t="s">
        <v>9756</v>
      </c>
      <c r="G921" t="s">
        <v>187</v>
      </c>
    </row>
    <row r="922" spans="1:7" x14ac:dyDescent="0.25">
      <c r="A922" t="s">
        <v>353</v>
      </c>
      <c r="B922" t="s">
        <v>1966</v>
      </c>
      <c r="C922">
        <v>2023</v>
      </c>
      <c r="E922" t="s">
        <v>1969</v>
      </c>
      <c r="F922" t="s">
        <v>8533</v>
      </c>
      <c r="G922" t="s">
        <v>3996</v>
      </c>
    </row>
    <row r="923" spans="1:7" x14ac:dyDescent="0.25">
      <c r="A923" t="s">
        <v>490</v>
      </c>
      <c r="B923" t="s">
        <v>1970</v>
      </c>
      <c r="C923">
        <v>2009</v>
      </c>
      <c r="E923" t="s">
        <v>3060</v>
      </c>
      <c r="F923" t="s">
        <v>8558</v>
      </c>
      <c r="G923" t="s">
        <v>3996</v>
      </c>
    </row>
    <row r="924" spans="1:7" x14ac:dyDescent="0.25">
      <c r="A924" t="s">
        <v>353</v>
      </c>
      <c r="B924" t="s">
        <v>1977</v>
      </c>
      <c r="C924">
        <v>2023</v>
      </c>
      <c r="E924" t="s">
        <v>3013</v>
      </c>
      <c r="F924" t="s">
        <v>9757</v>
      </c>
      <c r="G924" t="s">
        <v>187</v>
      </c>
    </row>
    <row r="925" spans="1:7" x14ac:dyDescent="0.25">
      <c r="A925" t="s">
        <v>1576</v>
      </c>
      <c r="B925" t="s">
        <v>1980</v>
      </c>
      <c r="C925">
        <v>2021</v>
      </c>
      <c r="E925" t="s">
        <v>3265</v>
      </c>
      <c r="F925" t="s">
        <v>8906</v>
      </c>
      <c r="G925" t="s">
        <v>3996</v>
      </c>
    </row>
    <row r="926" spans="1:7" x14ac:dyDescent="0.25">
      <c r="A926" t="s">
        <v>90</v>
      </c>
      <c r="B926" t="s">
        <v>1982</v>
      </c>
      <c r="C926">
        <v>2017</v>
      </c>
      <c r="E926" t="s">
        <v>2982</v>
      </c>
      <c r="F926" t="s">
        <v>9157</v>
      </c>
      <c r="G926" t="s">
        <v>3996</v>
      </c>
    </row>
    <row r="927" spans="1:7" x14ac:dyDescent="0.25">
      <c r="A927" t="s">
        <v>1435</v>
      </c>
      <c r="B927" t="s">
        <v>1984</v>
      </c>
      <c r="C927">
        <v>2021</v>
      </c>
      <c r="E927" t="s">
        <v>3244</v>
      </c>
      <c r="F927" t="s">
        <v>8859</v>
      </c>
      <c r="G927" t="s">
        <v>3996</v>
      </c>
    </row>
    <row r="928" spans="1:7" x14ac:dyDescent="0.25">
      <c r="A928" t="s">
        <v>90</v>
      </c>
      <c r="B928" t="s">
        <v>1992</v>
      </c>
      <c r="C928">
        <v>2017</v>
      </c>
      <c r="E928" t="s">
        <v>3374</v>
      </c>
      <c r="F928" t="s">
        <v>9158</v>
      </c>
      <c r="G928" t="s">
        <v>3996</v>
      </c>
    </row>
    <row r="929" spans="1:7" x14ac:dyDescent="0.25">
      <c r="A929" t="s">
        <v>924</v>
      </c>
      <c r="B929" t="s">
        <v>1995</v>
      </c>
      <c r="C929">
        <v>2019</v>
      </c>
      <c r="F929" t="s">
        <v>9758</v>
      </c>
      <c r="G929" t="s">
        <v>187</v>
      </c>
    </row>
    <row r="930" spans="1:7" x14ac:dyDescent="0.25">
      <c r="A930" t="s">
        <v>1995</v>
      </c>
      <c r="B930" t="s">
        <v>1998</v>
      </c>
      <c r="C930">
        <v>2021</v>
      </c>
      <c r="F930" t="s">
        <v>9759</v>
      </c>
      <c r="G930" t="s">
        <v>187</v>
      </c>
    </row>
    <row r="931" spans="1:7" x14ac:dyDescent="0.25">
      <c r="A931" t="s">
        <v>90</v>
      </c>
      <c r="B931" t="s">
        <v>1998</v>
      </c>
      <c r="C931">
        <v>2017</v>
      </c>
      <c r="F931" t="s">
        <v>9760</v>
      </c>
      <c r="G931" t="s">
        <v>187</v>
      </c>
    </row>
    <row r="932" spans="1:7" x14ac:dyDescent="0.25">
      <c r="A932" t="s">
        <v>2004</v>
      </c>
      <c r="B932" t="s">
        <v>2001</v>
      </c>
      <c r="C932">
        <v>2007</v>
      </c>
      <c r="D932" t="s">
        <v>187</v>
      </c>
      <c r="F932" t="s">
        <v>9761</v>
      </c>
      <c r="G932" t="s">
        <v>3996</v>
      </c>
    </row>
    <row r="933" spans="1:7" x14ac:dyDescent="0.25">
      <c r="A933" t="s">
        <v>2009</v>
      </c>
      <c r="B933" t="s">
        <v>2004</v>
      </c>
      <c r="C933">
        <v>2005</v>
      </c>
      <c r="D933" t="s">
        <v>187</v>
      </c>
      <c r="F933" t="s">
        <v>9762</v>
      </c>
      <c r="G933" t="s">
        <v>3996</v>
      </c>
    </row>
    <row r="934" spans="1:7" x14ac:dyDescent="0.25">
      <c r="A934" t="s">
        <v>2009</v>
      </c>
      <c r="B934" t="s">
        <v>2007</v>
      </c>
      <c r="C934">
        <v>2005</v>
      </c>
      <c r="D934" t="s">
        <v>187</v>
      </c>
      <c r="F934" t="s">
        <v>9763</v>
      </c>
      <c r="G934" t="s">
        <v>3996</v>
      </c>
    </row>
    <row r="935" spans="1:7" x14ac:dyDescent="0.25">
      <c r="A935" t="s">
        <v>2721</v>
      </c>
      <c r="B935" t="s">
        <v>2009</v>
      </c>
      <c r="C935">
        <v>1993</v>
      </c>
      <c r="D935" t="s">
        <v>187</v>
      </c>
      <c r="F935" t="s">
        <v>9764</v>
      </c>
      <c r="G935" t="s">
        <v>3996</v>
      </c>
    </row>
    <row r="936" spans="1:7" x14ac:dyDescent="0.25">
      <c r="A936" t="s">
        <v>2009</v>
      </c>
      <c r="B936" t="s">
        <v>2012</v>
      </c>
      <c r="C936">
        <v>2005</v>
      </c>
      <c r="D936" t="s">
        <v>187</v>
      </c>
      <c r="F936" t="s">
        <v>9765</v>
      </c>
      <c r="G936" t="s">
        <v>3996</v>
      </c>
    </row>
    <row r="937" spans="1:7" x14ac:dyDescent="0.25">
      <c r="A937" t="s">
        <v>2009</v>
      </c>
      <c r="B937" t="s">
        <v>2014</v>
      </c>
      <c r="C937">
        <v>2005</v>
      </c>
      <c r="D937" t="s">
        <v>187</v>
      </c>
      <c r="F937" t="s">
        <v>9766</v>
      </c>
      <c r="G937" t="s">
        <v>3996</v>
      </c>
    </row>
    <row r="938" spans="1:7" x14ac:dyDescent="0.25">
      <c r="A938" t="s">
        <v>2804</v>
      </c>
      <c r="B938" t="s">
        <v>7943</v>
      </c>
      <c r="C938">
        <v>2021</v>
      </c>
      <c r="E938" s="10" t="s">
        <v>7946</v>
      </c>
      <c r="F938" t="s">
        <v>9767</v>
      </c>
      <c r="G938" t="s">
        <v>187</v>
      </c>
    </row>
    <row r="939" spans="1:7" x14ac:dyDescent="0.25">
      <c r="A939" t="s">
        <v>2136</v>
      </c>
      <c r="B939" t="s">
        <v>2016</v>
      </c>
      <c r="C939">
        <v>2020</v>
      </c>
      <c r="E939" t="s">
        <v>2982</v>
      </c>
      <c r="F939" t="s">
        <v>9768</v>
      </c>
      <c r="G939" t="s">
        <v>187</v>
      </c>
    </row>
    <row r="940" spans="1:7" x14ac:dyDescent="0.25">
      <c r="A940" t="s">
        <v>1435</v>
      </c>
      <c r="B940" t="s">
        <v>2018</v>
      </c>
      <c r="C940">
        <v>2021</v>
      </c>
      <c r="E940" t="s">
        <v>3245</v>
      </c>
      <c r="F940" t="s">
        <v>9769</v>
      </c>
      <c r="G940" t="s">
        <v>187</v>
      </c>
    </row>
    <row r="941" spans="1:7" x14ac:dyDescent="0.25">
      <c r="A941" t="s">
        <v>2016</v>
      </c>
      <c r="B941" t="s">
        <v>2018</v>
      </c>
      <c r="C941">
        <v>2024</v>
      </c>
      <c r="E941" t="s">
        <v>3245</v>
      </c>
      <c r="F941" t="s">
        <v>9770</v>
      </c>
      <c r="G941" t="s">
        <v>187</v>
      </c>
    </row>
    <row r="942" spans="1:7" x14ac:dyDescent="0.25">
      <c r="A942" t="s">
        <v>90</v>
      </c>
      <c r="B942" t="s">
        <v>2018</v>
      </c>
      <c r="C942">
        <v>2017</v>
      </c>
      <c r="E942" t="s">
        <v>3245</v>
      </c>
      <c r="F942" t="s">
        <v>9771</v>
      </c>
      <c r="G942" t="s">
        <v>187</v>
      </c>
    </row>
    <row r="943" spans="1:7" x14ac:dyDescent="0.25">
      <c r="A943" t="s">
        <v>256</v>
      </c>
      <c r="B943" t="s">
        <v>2023</v>
      </c>
      <c r="C943">
        <v>1994</v>
      </c>
      <c r="E943" t="s">
        <v>2994</v>
      </c>
      <c r="F943" t="s">
        <v>8479</v>
      </c>
      <c r="G943" t="s">
        <v>3996</v>
      </c>
    </row>
    <row r="944" spans="1:7" x14ac:dyDescent="0.25">
      <c r="A944" t="s">
        <v>260</v>
      </c>
      <c r="B944" t="s">
        <v>2023</v>
      </c>
      <c r="C944">
        <v>1990</v>
      </c>
      <c r="E944" t="s">
        <v>2994</v>
      </c>
      <c r="F944" t="s">
        <v>8487</v>
      </c>
      <c r="G944" t="s">
        <v>3996</v>
      </c>
    </row>
    <row r="945" spans="1:7" x14ac:dyDescent="0.25">
      <c r="A945" t="s">
        <v>847</v>
      </c>
      <c r="B945" t="s">
        <v>2023</v>
      </c>
      <c r="C945">
        <v>1996</v>
      </c>
      <c r="E945" t="s">
        <v>2994</v>
      </c>
      <c r="F945" t="s">
        <v>8676</v>
      </c>
      <c r="G945" t="s">
        <v>3996</v>
      </c>
    </row>
    <row r="946" spans="1:7" x14ac:dyDescent="0.25">
      <c r="A946" t="s">
        <v>1538</v>
      </c>
      <c r="B946" t="s">
        <v>2023</v>
      </c>
      <c r="C946">
        <v>1995</v>
      </c>
      <c r="E946" t="s">
        <v>2994</v>
      </c>
      <c r="F946" t="s">
        <v>9465</v>
      </c>
      <c r="G946" t="s">
        <v>3996</v>
      </c>
    </row>
    <row r="947" spans="1:7" x14ac:dyDescent="0.25">
      <c r="A947" t="s">
        <v>1725</v>
      </c>
      <c r="B947" t="s">
        <v>2023</v>
      </c>
      <c r="C947">
        <v>1983</v>
      </c>
      <c r="E947" t="s">
        <v>2994</v>
      </c>
      <c r="F947" t="s">
        <v>8932</v>
      </c>
      <c r="G947" t="s">
        <v>3996</v>
      </c>
    </row>
    <row r="948" spans="1:7" x14ac:dyDescent="0.25">
      <c r="A948" t="s">
        <v>1795</v>
      </c>
      <c r="B948" t="s">
        <v>2023</v>
      </c>
      <c r="C948">
        <v>1987</v>
      </c>
      <c r="E948" t="s">
        <v>3285</v>
      </c>
      <c r="F948" t="s">
        <v>8957</v>
      </c>
      <c r="G948" t="s">
        <v>3996</v>
      </c>
    </row>
    <row r="949" spans="1:7" x14ac:dyDescent="0.25">
      <c r="A949" t="s">
        <v>1817</v>
      </c>
      <c r="B949" t="s">
        <v>2026</v>
      </c>
      <c r="C949">
        <v>2019</v>
      </c>
      <c r="E949" t="s">
        <v>3295</v>
      </c>
      <c r="F949" t="s">
        <v>9772</v>
      </c>
      <c r="G949" t="s">
        <v>187</v>
      </c>
    </row>
    <row r="950" spans="1:7" x14ac:dyDescent="0.25">
      <c r="A950" t="s">
        <v>160</v>
      </c>
      <c r="B950" t="s">
        <v>2028</v>
      </c>
      <c r="C950">
        <v>2011</v>
      </c>
      <c r="E950" t="s">
        <v>3411</v>
      </c>
      <c r="F950" t="s">
        <v>9307</v>
      </c>
      <c r="G950" t="s">
        <v>3996</v>
      </c>
    </row>
    <row r="951" spans="1:7" x14ac:dyDescent="0.25">
      <c r="A951" t="s">
        <v>2652</v>
      </c>
      <c r="B951" t="s">
        <v>2028</v>
      </c>
      <c r="C951">
        <v>2019</v>
      </c>
      <c r="E951" t="s">
        <v>3418</v>
      </c>
      <c r="F951" t="s">
        <v>9330</v>
      </c>
      <c r="G951" t="s">
        <v>3996</v>
      </c>
    </row>
    <row r="952" spans="1:7" x14ac:dyDescent="0.25">
      <c r="A952" t="s">
        <v>1294</v>
      </c>
      <c r="B952" t="s">
        <v>2031</v>
      </c>
      <c r="C952">
        <v>2019</v>
      </c>
      <c r="E952" t="s">
        <v>3233</v>
      </c>
      <c r="F952" t="s">
        <v>8824</v>
      </c>
      <c r="G952" t="s">
        <v>3996</v>
      </c>
    </row>
    <row r="953" spans="1:7" x14ac:dyDescent="0.25">
      <c r="A953" t="s">
        <v>2132</v>
      </c>
      <c r="B953" t="s">
        <v>2031</v>
      </c>
      <c r="C953">
        <v>2013</v>
      </c>
      <c r="E953" t="s">
        <v>3233</v>
      </c>
      <c r="F953" t="s">
        <v>9020</v>
      </c>
      <c r="G953" t="s">
        <v>3996</v>
      </c>
    </row>
    <row r="954" spans="1:7" x14ac:dyDescent="0.25">
      <c r="A954" t="s">
        <v>2906</v>
      </c>
      <c r="B954" t="s">
        <v>2031</v>
      </c>
      <c r="C954">
        <v>2018</v>
      </c>
      <c r="E954" t="s">
        <v>3233</v>
      </c>
      <c r="F954" t="s">
        <v>9386</v>
      </c>
      <c r="G954" t="s">
        <v>3996</v>
      </c>
    </row>
    <row r="955" spans="1:7" x14ac:dyDescent="0.25">
      <c r="A955" t="s">
        <v>1129</v>
      </c>
      <c r="B955" t="s">
        <v>8114</v>
      </c>
      <c r="C955">
        <v>2022</v>
      </c>
      <c r="D955" t="s">
        <v>187</v>
      </c>
      <c r="F955" t="s">
        <v>9773</v>
      </c>
      <c r="G955" t="s">
        <v>3996</v>
      </c>
    </row>
    <row r="956" spans="1:7" x14ac:dyDescent="0.25">
      <c r="A956" t="s">
        <v>922</v>
      </c>
      <c r="B956" t="s">
        <v>2035</v>
      </c>
      <c r="C956">
        <v>2002</v>
      </c>
      <c r="E956" t="s">
        <v>3151</v>
      </c>
      <c r="F956" t="s">
        <v>8698</v>
      </c>
      <c r="G956" t="s">
        <v>3996</v>
      </c>
    </row>
    <row r="957" spans="1:7" x14ac:dyDescent="0.25">
      <c r="A957" t="s">
        <v>2154</v>
      </c>
      <c r="B957" t="s">
        <v>2035</v>
      </c>
      <c r="C957">
        <v>1980</v>
      </c>
      <c r="E957" t="s">
        <v>3151</v>
      </c>
      <c r="F957" t="s">
        <v>9052</v>
      </c>
      <c r="G957" t="s">
        <v>3996</v>
      </c>
    </row>
    <row r="958" spans="1:7" x14ac:dyDescent="0.25">
      <c r="A958" t="s">
        <v>178</v>
      </c>
      <c r="B958" t="s">
        <v>2039</v>
      </c>
      <c r="C958">
        <v>2010</v>
      </c>
      <c r="E958" t="s">
        <v>2981</v>
      </c>
      <c r="F958" t="s">
        <v>8465</v>
      </c>
      <c r="G958" t="s">
        <v>3996</v>
      </c>
    </row>
    <row r="959" spans="1:7" x14ac:dyDescent="0.25">
      <c r="A959" t="s">
        <v>994</v>
      </c>
      <c r="B959" t="s">
        <v>2039</v>
      </c>
      <c r="C959">
        <v>2011</v>
      </c>
      <c r="E959" t="s">
        <v>2981</v>
      </c>
      <c r="F959" t="s">
        <v>8720</v>
      </c>
      <c r="G959" t="s">
        <v>3996</v>
      </c>
    </row>
    <row r="960" spans="1:7" x14ac:dyDescent="0.25">
      <c r="A960" t="s">
        <v>1294</v>
      </c>
      <c r="B960" t="s">
        <v>2043</v>
      </c>
      <c r="C960">
        <v>2019</v>
      </c>
      <c r="E960" s="10" t="s">
        <v>8436</v>
      </c>
      <c r="F960" t="s">
        <v>8825</v>
      </c>
      <c r="G960" t="s">
        <v>3996</v>
      </c>
    </row>
    <row r="961" spans="1:7" x14ac:dyDescent="0.25">
      <c r="A961" t="s">
        <v>353</v>
      </c>
      <c r="B961" t="s">
        <v>2045</v>
      </c>
      <c r="C961">
        <v>2023</v>
      </c>
      <c r="E961" t="s">
        <v>3038</v>
      </c>
      <c r="F961" t="s">
        <v>8534</v>
      </c>
      <c r="G961" t="s">
        <v>3996</v>
      </c>
    </row>
    <row r="962" spans="1:7" x14ac:dyDescent="0.25">
      <c r="A962" t="s">
        <v>717</v>
      </c>
      <c r="B962" t="s">
        <v>2045</v>
      </c>
      <c r="C962">
        <v>2024</v>
      </c>
      <c r="E962" t="s">
        <v>3066</v>
      </c>
      <c r="F962" t="s">
        <v>8600</v>
      </c>
      <c r="G962" t="s">
        <v>3996</v>
      </c>
    </row>
    <row r="963" spans="1:7" x14ac:dyDescent="0.25">
      <c r="A963" t="s">
        <v>337</v>
      </c>
      <c r="B963" t="s">
        <v>2049</v>
      </c>
      <c r="C963">
        <v>2014</v>
      </c>
      <c r="E963" t="s">
        <v>3008</v>
      </c>
      <c r="F963" t="s">
        <v>9774</v>
      </c>
      <c r="G963" t="s">
        <v>187</v>
      </c>
    </row>
    <row r="964" spans="1:7" x14ac:dyDescent="0.25">
      <c r="A964" t="s">
        <v>497</v>
      </c>
      <c r="B964" t="s">
        <v>2049</v>
      </c>
      <c r="C964">
        <v>2022</v>
      </c>
      <c r="E964" t="s">
        <v>3008</v>
      </c>
      <c r="F964" t="s">
        <v>9775</v>
      </c>
      <c r="G964" t="s">
        <v>187</v>
      </c>
    </row>
    <row r="965" spans="1:7" x14ac:dyDescent="0.25">
      <c r="A965" t="s">
        <v>1795</v>
      </c>
      <c r="B965" t="s">
        <v>2053</v>
      </c>
      <c r="C965">
        <v>1987</v>
      </c>
      <c r="E965" t="s">
        <v>3286</v>
      </c>
      <c r="F965" t="s">
        <v>8958</v>
      </c>
      <c r="G965" t="s">
        <v>3996</v>
      </c>
    </row>
    <row r="966" spans="1:7" x14ac:dyDescent="0.25">
      <c r="A966" t="s">
        <v>2154</v>
      </c>
      <c r="B966" t="s">
        <v>2053</v>
      </c>
      <c r="C966">
        <v>1980</v>
      </c>
      <c r="E966" t="s">
        <v>3286</v>
      </c>
      <c r="F966" t="s">
        <v>9053</v>
      </c>
      <c r="G966" t="s">
        <v>3996</v>
      </c>
    </row>
    <row r="967" spans="1:7" x14ac:dyDescent="0.25">
      <c r="A967" t="s">
        <v>1046</v>
      </c>
      <c r="B967" t="s">
        <v>2056</v>
      </c>
      <c r="C967">
        <v>2016</v>
      </c>
      <c r="E967" t="s">
        <v>3191</v>
      </c>
      <c r="F967" t="s">
        <v>8747</v>
      </c>
      <c r="G967" t="s">
        <v>3996</v>
      </c>
    </row>
    <row r="968" spans="1:7" x14ac:dyDescent="0.25">
      <c r="A968" t="s">
        <v>1855</v>
      </c>
      <c r="B968" t="s">
        <v>2056</v>
      </c>
      <c r="C968">
        <v>2015</v>
      </c>
      <c r="E968" t="s">
        <v>3191</v>
      </c>
      <c r="F968" t="s">
        <v>8988</v>
      </c>
      <c r="G968" t="s">
        <v>3996</v>
      </c>
    </row>
    <row r="969" spans="1:7" x14ac:dyDescent="0.25">
      <c r="A969" t="s">
        <v>160</v>
      </c>
      <c r="B969" t="s">
        <v>2058</v>
      </c>
      <c r="C969">
        <v>2011</v>
      </c>
      <c r="E969" t="s">
        <v>3412</v>
      </c>
      <c r="F969" t="s">
        <v>9308</v>
      </c>
      <c r="G969" t="s">
        <v>3996</v>
      </c>
    </row>
    <row r="970" spans="1:7" x14ac:dyDescent="0.25">
      <c r="A970" t="s">
        <v>819</v>
      </c>
      <c r="B970" t="s">
        <v>7928</v>
      </c>
      <c r="C970">
        <v>2012</v>
      </c>
      <c r="E970" s="10" t="s">
        <v>7929</v>
      </c>
      <c r="F970" t="s">
        <v>9459</v>
      </c>
      <c r="G970" t="s">
        <v>3996</v>
      </c>
    </row>
    <row r="971" spans="1:7" x14ac:dyDescent="0.25">
      <c r="A971" t="s">
        <v>1496</v>
      </c>
      <c r="B971" t="s">
        <v>2061</v>
      </c>
      <c r="C971">
        <v>2016</v>
      </c>
      <c r="E971" t="s">
        <v>3013</v>
      </c>
      <c r="F971" t="s">
        <v>9776</v>
      </c>
      <c r="G971" t="s">
        <v>187</v>
      </c>
    </row>
    <row r="972" spans="1:7" x14ac:dyDescent="0.25">
      <c r="A972" t="s">
        <v>90</v>
      </c>
      <c r="B972" t="s">
        <v>2061</v>
      </c>
      <c r="C972">
        <v>2017</v>
      </c>
      <c r="E972" t="s">
        <v>3013</v>
      </c>
      <c r="F972" t="s">
        <v>9777</v>
      </c>
      <c r="G972" t="s">
        <v>187</v>
      </c>
    </row>
    <row r="973" spans="1:7" x14ac:dyDescent="0.25">
      <c r="A973" t="s">
        <v>726</v>
      </c>
      <c r="B973" t="s">
        <v>2065</v>
      </c>
      <c r="C973">
        <v>2020</v>
      </c>
      <c r="D973" t="s">
        <v>187</v>
      </c>
      <c r="F973" t="s">
        <v>9778</v>
      </c>
      <c r="G973" t="s">
        <v>3996</v>
      </c>
    </row>
    <row r="974" spans="1:7" x14ac:dyDescent="0.25">
      <c r="A974" t="s">
        <v>759</v>
      </c>
      <c r="B974" t="s">
        <v>2069</v>
      </c>
      <c r="C974">
        <v>2018</v>
      </c>
      <c r="E974" t="s">
        <v>2982</v>
      </c>
      <c r="F974" t="s">
        <v>8641</v>
      </c>
      <c r="G974" t="s">
        <v>3996</v>
      </c>
    </row>
    <row r="975" spans="1:7" x14ac:dyDescent="0.25">
      <c r="A975" t="s">
        <v>1294</v>
      </c>
      <c r="B975" t="s">
        <v>2069</v>
      </c>
      <c r="C975">
        <v>2019</v>
      </c>
      <c r="E975" t="s">
        <v>2982</v>
      </c>
      <c r="F975" t="s">
        <v>8826</v>
      </c>
      <c r="G975" t="s">
        <v>3996</v>
      </c>
    </row>
    <row r="976" spans="1:7" x14ac:dyDescent="0.25">
      <c r="A976" t="s">
        <v>1294</v>
      </c>
      <c r="B976" t="s">
        <v>2071</v>
      </c>
      <c r="C976">
        <v>2019</v>
      </c>
      <c r="E976" t="s">
        <v>3234</v>
      </c>
      <c r="F976" t="s">
        <v>8827</v>
      </c>
      <c r="G976" t="s">
        <v>3996</v>
      </c>
    </row>
    <row r="977" spans="1:7" x14ac:dyDescent="0.25">
      <c r="A977" t="s">
        <v>2335</v>
      </c>
      <c r="B977" t="s">
        <v>2071</v>
      </c>
      <c r="C977">
        <v>2020</v>
      </c>
      <c r="E977" t="s">
        <v>3234</v>
      </c>
      <c r="F977" t="s">
        <v>9087</v>
      </c>
      <c r="G977" t="s">
        <v>3996</v>
      </c>
    </row>
    <row r="978" spans="1:7" x14ac:dyDescent="0.25">
      <c r="A978" t="s">
        <v>1795</v>
      </c>
      <c r="B978" t="s">
        <v>2073</v>
      </c>
      <c r="C978">
        <v>1987</v>
      </c>
      <c r="E978" s="10" t="s">
        <v>8407</v>
      </c>
      <c r="F978" t="s">
        <v>8959</v>
      </c>
      <c r="G978" t="s">
        <v>3996</v>
      </c>
    </row>
    <row r="979" spans="1:7" x14ac:dyDescent="0.25">
      <c r="A979" t="s">
        <v>2428</v>
      </c>
      <c r="B979" t="s">
        <v>2073</v>
      </c>
      <c r="C979">
        <v>2008</v>
      </c>
      <c r="E979" s="10" t="s">
        <v>8407</v>
      </c>
      <c r="F979" t="s">
        <v>9234</v>
      </c>
      <c r="G979" t="s">
        <v>3996</v>
      </c>
    </row>
    <row r="980" spans="1:7" x14ac:dyDescent="0.25">
      <c r="A980" t="s">
        <v>540</v>
      </c>
      <c r="B980" t="s">
        <v>2077</v>
      </c>
      <c r="C980">
        <v>2015</v>
      </c>
      <c r="E980" t="s">
        <v>3075</v>
      </c>
      <c r="F980" t="s">
        <v>9779</v>
      </c>
      <c r="G980" t="s">
        <v>187</v>
      </c>
    </row>
    <row r="981" spans="1:7" x14ac:dyDescent="0.25">
      <c r="A981" t="s">
        <v>2154</v>
      </c>
      <c r="B981" t="s">
        <v>2077</v>
      </c>
      <c r="C981">
        <v>1980</v>
      </c>
      <c r="E981" t="s">
        <v>3327</v>
      </c>
      <c r="F981" t="s">
        <v>9780</v>
      </c>
      <c r="G981" t="s">
        <v>187</v>
      </c>
    </row>
    <row r="982" spans="1:7" x14ac:dyDescent="0.25">
      <c r="A982" t="s">
        <v>2428</v>
      </c>
      <c r="B982" t="s">
        <v>2077</v>
      </c>
      <c r="C982">
        <v>2008</v>
      </c>
      <c r="E982" t="s">
        <v>3327</v>
      </c>
      <c r="F982" t="s">
        <v>9781</v>
      </c>
      <c r="G982" t="s">
        <v>187</v>
      </c>
    </row>
    <row r="983" spans="1:7" x14ac:dyDescent="0.25">
      <c r="A983" t="s">
        <v>847</v>
      </c>
      <c r="B983" t="s">
        <v>7918</v>
      </c>
      <c r="C983">
        <v>1996</v>
      </c>
      <c r="E983" s="10" t="s">
        <v>7917</v>
      </c>
      <c r="F983" t="s">
        <v>9782</v>
      </c>
      <c r="G983" t="s">
        <v>187</v>
      </c>
    </row>
    <row r="984" spans="1:7" x14ac:dyDescent="0.25">
      <c r="A984" t="s">
        <v>1294</v>
      </c>
      <c r="B984" t="s">
        <v>7918</v>
      </c>
      <c r="C984">
        <v>2019</v>
      </c>
      <c r="E984" s="10" t="s">
        <v>7917</v>
      </c>
      <c r="F984" t="s">
        <v>9783</v>
      </c>
      <c r="G984" t="s">
        <v>187</v>
      </c>
    </row>
    <row r="985" spans="1:7" x14ac:dyDescent="0.25">
      <c r="A985" t="s">
        <v>1144</v>
      </c>
      <c r="B985" t="s">
        <v>2080</v>
      </c>
      <c r="C985">
        <v>2012</v>
      </c>
      <c r="E985" t="s">
        <v>3211</v>
      </c>
      <c r="F985" t="s">
        <v>8777</v>
      </c>
      <c r="G985" t="s">
        <v>3996</v>
      </c>
    </row>
    <row r="986" spans="1:7" x14ac:dyDescent="0.25">
      <c r="A986" t="s">
        <v>1855</v>
      </c>
      <c r="B986" t="s">
        <v>2084</v>
      </c>
      <c r="C986">
        <v>2015</v>
      </c>
      <c r="E986" t="s">
        <v>2982</v>
      </c>
      <c r="F986" t="s">
        <v>8989</v>
      </c>
      <c r="G986" t="s">
        <v>3996</v>
      </c>
    </row>
    <row r="987" spans="1:7" x14ac:dyDescent="0.25">
      <c r="A987" t="s">
        <v>353</v>
      </c>
      <c r="B987" t="s">
        <v>2088</v>
      </c>
      <c r="C987">
        <v>2023</v>
      </c>
      <c r="E987" t="s">
        <v>3039</v>
      </c>
      <c r="F987" t="s">
        <v>8535</v>
      </c>
      <c r="G987" t="s">
        <v>3996</v>
      </c>
    </row>
    <row r="988" spans="1:7" x14ac:dyDescent="0.25">
      <c r="A988" t="s">
        <v>90</v>
      </c>
      <c r="B988" t="s">
        <v>2088</v>
      </c>
      <c r="C988">
        <v>2017</v>
      </c>
      <c r="E988" t="s">
        <v>3039</v>
      </c>
      <c r="F988" t="s">
        <v>9159</v>
      </c>
      <c r="G988" t="s">
        <v>3996</v>
      </c>
    </row>
    <row r="989" spans="1:7" x14ac:dyDescent="0.25">
      <c r="A989" t="s">
        <v>2804</v>
      </c>
      <c r="B989" t="s">
        <v>2091</v>
      </c>
      <c r="C989">
        <v>2021</v>
      </c>
      <c r="E989" t="s">
        <v>3013</v>
      </c>
      <c r="F989" t="s">
        <v>9784</v>
      </c>
      <c r="G989" t="s">
        <v>187</v>
      </c>
    </row>
    <row r="990" spans="1:7" x14ac:dyDescent="0.25">
      <c r="A990" t="s">
        <v>160</v>
      </c>
      <c r="B990" t="s">
        <v>2099</v>
      </c>
      <c r="C990">
        <v>2011</v>
      </c>
      <c r="E990" t="s">
        <v>3413</v>
      </c>
      <c r="F990" t="s">
        <v>9309</v>
      </c>
      <c r="G990" t="s">
        <v>3996</v>
      </c>
    </row>
    <row r="991" spans="1:7" x14ac:dyDescent="0.25">
      <c r="A991" t="s">
        <v>2804</v>
      </c>
      <c r="B991" t="s">
        <v>2103</v>
      </c>
      <c r="C991">
        <v>2021</v>
      </c>
      <c r="E991" t="s">
        <v>3013</v>
      </c>
      <c r="F991" t="s">
        <v>9785</v>
      </c>
      <c r="G991" t="s">
        <v>187</v>
      </c>
    </row>
    <row r="992" spans="1:7" x14ac:dyDescent="0.25">
      <c r="A992" t="s">
        <v>2965</v>
      </c>
      <c r="B992" t="s">
        <v>2103</v>
      </c>
      <c r="C992">
        <v>2023</v>
      </c>
      <c r="D992" t="s">
        <v>187</v>
      </c>
      <c r="F992" t="s">
        <v>9786</v>
      </c>
      <c r="G992" t="s">
        <v>3996</v>
      </c>
    </row>
    <row r="993" spans="1:7" x14ac:dyDescent="0.25">
      <c r="A993" t="s">
        <v>490</v>
      </c>
      <c r="B993" t="s">
        <v>2107</v>
      </c>
      <c r="C993">
        <v>2009</v>
      </c>
      <c r="E993" s="10" t="s">
        <v>2110</v>
      </c>
      <c r="F993" t="s">
        <v>8559</v>
      </c>
      <c r="G993" t="s">
        <v>3996</v>
      </c>
    </row>
    <row r="994" spans="1:7" x14ac:dyDescent="0.25">
      <c r="A994" t="s">
        <v>847</v>
      </c>
      <c r="B994" t="s">
        <v>2107</v>
      </c>
      <c r="C994">
        <v>1996</v>
      </c>
      <c r="E994" t="s">
        <v>3138</v>
      </c>
      <c r="F994" t="s">
        <v>9787</v>
      </c>
      <c r="G994" t="s">
        <v>187</v>
      </c>
    </row>
    <row r="995" spans="1:7" x14ac:dyDescent="0.25">
      <c r="A995" t="s">
        <v>964</v>
      </c>
      <c r="B995" t="s">
        <v>2107</v>
      </c>
      <c r="C995">
        <v>2006</v>
      </c>
      <c r="E995" t="s">
        <v>3138</v>
      </c>
      <c r="F995" t="s">
        <v>9788</v>
      </c>
      <c r="G995" t="s">
        <v>187</v>
      </c>
    </row>
    <row r="996" spans="1:7" x14ac:dyDescent="0.25">
      <c r="A996" t="s">
        <v>1795</v>
      </c>
      <c r="B996" t="s">
        <v>2107</v>
      </c>
      <c r="C996">
        <v>1987</v>
      </c>
      <c r="E996" t="s">
        <v>3138</v>
      </c>
      <c r="F996" t="s">
        <v>9789</v>
      </c>
      <c r="G996" t="s">
        <v>187</v>
      </c>
    </row>
    <row r="997" spans="1:7" x14ac:dyDescent="0.25">
      <c r="A997" t="s">
        <v>2571</v>
      </c>
      <c r="B997" t="s">
        <v>2107</v>
      </c>
      <c r="C997">
        <v>1998</v>
      </c>
      <c r="E997" t="s">
        <v>3138</v>
      </c>
      <c r="F997" t="s">
        <v>9790</v>
      </c>
      <c r="G997" t="s">
        <v>187</v>
      </c>
    </row>
    <row r="998" spans="1:7" x14ac:dyDescent="0.25">
      <c r="A998" t="s">
        <v>2107</v>
      </c>
      <c r="B998" t="s">
        <v>2111</v>
      </c>
      <c r="C998">
        <v>2020</v>
      </c>
      <c r="D998" t="s">
        <v>187</v>
      </c>
      <c r="F998" t="s">
        <v>9791</v>
      </c>
      <c r="G998" t="s">
        <v>3996</v>
      </c>
    </row>
    <row r="999" spans="1:7" x14ac:dyDescent="0.25">
      <c r="A999" t="s">
        <v>2111</v>
      </c>
      <c r="B999" t="s">
        <v>2115</v>
      </c>
      <c r="C999">
        <v>2024</v>
      </c>
      <c r="D999" t="s">
        <v>187</v>
      </c>
      <c r="F999" t="s">
        <v>9792</v>
      </c>
      <c r="G999" t="s">
        <v>3996</v>
      </c>
    </row>
    <row r="1000" spans="1:7" x14ac:dyDescent="0.25">
      <c r="A1000" t="s">
        <v>2136</v>
      </c>
      <c r="B1000" t="s">
        <v>7933</v>
      </c>
      <c r="C1000">
        <v>2020</v>
      </c>
      <c r="E1000" s="10" t="s">
        <v>7932</v>
      </c>
      <c r="F1000" t="s">
        <v>9793</v>
      </c>
      <c r="G1000" t="s">
        <v>187</v>
      </c>
    </row>
    <row r="1001" spans="1:7" x14ac:dyDescent="0.25">
      <c r="A1001" t="s">
        <v>2804</v>
      </c>
      <c r="B1001" t="s">
        <v>7933</v>
      </c>
      <c r="C1001">
        <v>2021</v>
      </c>
      <c r="E1001" s="10" t="s">
        <v>7932</v>
      </c>
      <c r="F1001" t="s">
        <v>9794</v>
      </c>
      <c r="G1001" t="s">
        <v>187</v>
      </c>
    </row>
    <row r="1002" spans="1:7" x14ac:dyDescent="0.25">
      <c r="A1002" t="s">
        <v>90</v>
      </c>
      <c r="B1002" t="s">
        <v>2118</v>
      </c>
      <c r="C1002">
        <v>2017</v>
      </c>
      <c r="E1002" t="s">
        <v>3375</v>
      </c>
      <c r="F1002" t="s">
        <v>9160</v>
      </c>
      <c r="G1002" t="s">
        <v>3996</v>
      </c>
    </row>
    <row r="1003" spans="1:7" x14ac:dyDescent="0.25">
      <c r="A1003" t="s">
        <v>90</v>
      </c>
      <c r="B1003" t="s">
        <v>2122</v>
      </c>
      <c r="C1003">
        <v>2017</v>
      </c>
      <c r="E1003" t="s">
        <v>3376</v>
      </c>
      <c r="F1003" t="s">
        <v>9161</v>
      </c>
      <c r="G1003" t="s">
        <v>3996</v>
      </c>
    </row>
    <row r="1004" spans="1:7" x14ac:dyDescent="0.25">
      <c r="A1004" t="s">
        <v>930</v>
      </c>
      <c r="B1004" t="s">
        <v>2130</v>
      </c>
      <c r="C1004">
        <v>2015</v>
      </c>
      <c r="E1004" t="s">
        <v>3159</v>
      </c>
      <c r="F1004" t="s">
        <v>8705</v>
      </c>
      <c r="G1004" t="s">
        <v>3996</v>
      </c>
    </row>
    <row r="1005" spans="1:7" x14ac:dyDescent="0.25">
      <c r="A1005" t="s">
        <v>2132</v>
      </c>
      <c r="B1005" t="s">
        <v>2136</v>
      </c>
      <c r="C1005">
        <v>2013</v>
      </c>
      <c r="D1005" t="s">
        <v>187</v>
      </c>
      <c r="F1005" t="s">
        <v>9795</v>
      </c>
      <c r="G1005" t="s">
        <v>3996</v>
      </c>
    </row>
    <row r="1006" spans="1:7" x14ac:dyDescent="0.25">
      <c r="A1006" t="s">
        <v>2132</v>
      </c>
      <c r="B1006" t="s">
        <v>2140</v>
      </c>
      <c r="C1006">
        <v>2013</v>
      </c>
      <c r="D1006" t="s">
        <v>187</v>
      </c>
      <c r="F1006" t="s">
        <v>9796</v>
      </c>
      <c r="G1006" t="s">
        <v>3996</v>
      </c>
    </row>
    <row r="1007" spans="1:7" x14ac:dyDescent="0.25">
      <c r="A1007" t="s">
        <v>914</v>
      </c>
      <c r="B1007" t="s">
        <v>2144</v>
      </c>
      <c r="C1007">
        <v>2013</v>
      </c>
      <c r="E1007" t="s">
        <v>3147</v>
      </c>
      <c r="F1007" t="s">
        <v>8693</v>
      </c>
      <c r="G1007" t="s">
        <v>3996</v>
      </c>
    </row>
    <row r="1008" spans="1:7" x14ac:dyDescent="0.25">
      <c r="A1008" t="s">
        <v>1144</v>
      </c>
      <c r="B1008" t="s">
        <v>2144</v>
      </c>
      <c r="C1008">
        <v>2012</v>
      </c>
      <c r="E1008" t="s">
        <v>3147</v>
      </c>
      <c r="F1008" t="s">
        <v>8778</v>
      </c>
      <c r="G1008" t="s">
        <v>3996</v>
      </c>
    </row>
    <row r="1009" spans="1:7" x14ac:dyDescent="0.25">
      <c r="A1009" t="s">
        <v>759</v>
      </c>
      <c r="B1009" t="s">
        <v>2146</v>
      </c>
      <c r="C1009">
        <v>2018</v>
      </c>
      <c r="E1009" s="10" t="s">
        <v>9466</v>
      </c>
      <c r="F1009" t="s">
        <v>9460</v>
      </c>
      <c r="G1009" t="s">
        <v>3996</v>
      </c>
    </row>
    <row r="1010" spans="1:7" x14ac:dyDescent="0.25">
      <c r="A1010" t="s">
        <v>1046</v>
      </c>
      <c r="B1010" t="s">
        <v>2146</v>
      </c>
      <c r="C1010">
        <v>2016</v>
      </c>
      <c r="E1010" s="10" t="s">
        <v>8380</v>
      </c>
      <c r="F1010" t="s">
        <v>8748</v>
      </c>
      <c r="G1010" t="s">
        <v>3996</v>
      </c>
    </row>
    <row r="1011" spans="1:7" x14ac:dyDescent="0.25">
      <c r="A1011" t="s">
        <v>1272</v>
      </c>
      <c r="B1011" t="s">
        <v>2146</v>
      </c>
      <c r="C1011">
        <v>2020</v>
      </c>
      <c r="E1011" s="10" t="s">
        <v>9466</v>
      </c>
      <c r="F1011" t="s">
        <v>9461</v>
      </c>
      <c r="G1011" t="s">
        <v>3996</v>
      </c>
    </row>
    <row r="1012" spans="1:7" x14ac:dyDescent="0.25">
      <c r="A1012" t="s">
        <v>1855</v>
      </c>
      <c r="B1012" t="s">
        <v>2146</v>
      </c>
      <c r="C1012">
        <v>2015</v>
      </c>
      <c r="E1012" s="10" t="s">
        <v>9466</v>
      </c>
      <c r="F1012" t="s">
        <v>9462</v>
      </c>
      <c r="G1012" t="s">
        <v>3996</v>
      </c>
    </row>
    <row r="1013" spans="1:7" x14ac:dyDescent="0.25">
      <c r="A1013" t="s">
        <v>1855</v>
      </c>
      <c r="B1013" t="s">
        <v>2150</v>
      </c>
      <c r="C1013">
        <v>2015</v>
      </c>
      <c r="E1013" t="s">
        <v>2982</v>
      </c>
      <c r="F1013" t="s">
        <v>8990</v>
      </c>
      <c r="G1013" t="s">
        <v>3996</v>
      </c>
    </row>
    <row r="1014" spans="1:7" x14ac:dyDescent="0.25">
      <c r="A1014" t="s">
        <v>185</v>
      </c>
      <c r="B1014" t="s">
        <v>2158</v>
      </c>
      <c r="C1014">
        <v>2022</v>
      </c>
      <c r="E1014" t="s">
        <v>2983</v>
      </c>
      <c r="F1014" t="s">
        <v>8467</v>
      </c>
      <c r="G1014" t="s">
        <v>3996</v>
      </c>
    </row>
    <row r="1015" spans="1:7" x14ac:dyDescent="0.25">
      <c r="A1015" t="s">
        <v>1690</v>
      </c>
      <c r="B1015" t="s">
        <v>2158</v>
      </c>
      <c r="C1015">
        <v>2020</v>
      </c>
      <c r="E1015" t="s">
        <v>2983</v>
      </c>
      <c r="F1015" t="s">
        <v>8924</v>
      </c>
      <c r="G1015" t="s">
        <v>3996</v>
      </c>
    </row>
    <row r="1016" spans="1:7" x14ac:dyDescent="0.25">
      <c r="A1016" t="s">
        <v>90</v>
      </c>
      <c r="B1016" t="s">
        <v>2158</v>
      </c>
      <c r="C1016">
        <v>2017</v>
      </c>
      <c r="E1016" t="s">
        <v>2983</v>
      </c>
      <c r="F1016" t="s">
        <v>9162</v>
      </c>
      <c r="G1016" t="s">
        <v>3996</v>
      </c>
    </row>
    <row r="1017" spans="1:7" x14ac:dyDescent="0.25">
      <c r="A1017" t="s">
        <v>256</v>
      </c>
      <c r="B1017" t="s">
        <v>2160</v>
      </c>
      <c r="C1017">
        <v>1994</v>
      </c>
      <c r="E1017" t="s">
        <v>2995</v>
      </c>
      <c r="F1017" t="s">
        <v>9467</v>
      </c>
      <c r="G1017" t="s">
        <v>3996</v>
      </c>
    </row>
    <row r="1018" spans="1:7" x14ac:dyDescent="0.25">
      <c r="A1018" t="s">
        <v>2571</v>
      </c>
      <c r="B1018" t="s">
        <v>2160</v>
      </c>
      <c r="C1018">
        <v>1998</v>
      </c>
      <c r="E1018" t="s">
        <v>2995</v>
      </c>
      <c r="F1018" t="s">
        <v>9468</v>
      </c>
      <c r="G1018" t="s">
        <v>3996</v>
      </c>
    </row>
    <row r="1019" spans="1:7" x14ac:dyDescent="0.25">
      <c r="A1019" t="s">
        <v>353</v>
      </c>
      <c r="B1019" t="s">
        <v>2162</v>
      </c>
      <c r="C1019">
        <v>2023</v>
      </c>
      <c r="E1019" t="s">
        <v>2982</v>
      </c>
      <c r="F1019" t="s">
        <v>8536</v>
      </c>
      <c r="G1019" t="s">
        <v>3996</v>
      </c>
    </row>
    <row r="1020" spans="1:7" x14ac:dyDescent="0.25">
      <c r="A1020" t="s">
        <v>2804</v>
      </c>
      <c r="B1020" t="s">
        <v>2162</v>
      </c>
      <c r="C1020">
        <v>2021</v>
      </c>
      <c r="E1020" t="s">
        <v>2982</v>
      </c>
      <c r="F1020" t="s">
        <v>9363</v>
      </c>
      <c r="G1020" t="s">
        <v>3996</v>
      </c>
    </row>
    <row r="1021" spans="1:7" x14ac:dyDescent="0.25">
      <c r="A1021" t="s">
        <v>2154</v>
      </c>
      <c r="B1021" t="s">
        <v>2166</v>
      </c>
      <c r="C1021">
        <v>1980</v>
      </c>
      <c r="E1021" t="s">
        <v>3328</v>
      </c>
      <c r="F1021" t="s">
        <v>9054</v>
      </c>
      <c r="G1021" t="s">
        <v>3996</v>
      </c>
    </row>
    <row r="1022" spans="1:7" x14ac:dyDescent="0.25">
      <c r="A1022" t="s">
        <v>2625</v>
      </c>
      <c r="B1022" t="s">
        <v>2166</v>
      </c>
      <c r="C1022">
        <v>2000</v>
      </c>
      <c r="D1022" t="s">
        <v>187</v>
      </c>
      <c r="F1022" t="s">
        <v>9797</v>
      </c>
      <c r="G1022" t="s">
        <v>3996</v>
      </c>
    </row>
    <row r="1023" spans="1:7" x14ac:dyDescent="0.25">
      <c r="A1023" t="s">
        <v>2173</v>
      </c>
      <c r="B1023" t="s">
        <v>2169</v>
      </c>
      <c r="C1023">
        <v>2013</v>
      </c>
      <c r="E1023" t="s">
        <v>3336</v>
      </c>
      <c r="F1023" t="s">
        <v>9798</v>
      </c>
      <c r="G1023" t="s">
        <v>187</v>
      </c>
    </row>
    <row r="1024" spans="1:7" x14ac:dyDescent="0.25">
      <c r="A1024" t="s">
        <v>2428</v>
      </c>
      <c r="B1024" t="s">
        <v>2173</v>
      </c>
      <c r="C1024">
        <v>2008</v>
      </c>
      <c r="E1024" t="s">
        <v>3398</v>
      </c>
      <c r="F1024" t="s">
        <v>9235</v>
      </c>
      <c r="G1024" t="s">
        <v>3996</v>
      </c>
    </row>
    <row r="1025" spans="1:7" x14ac:dyDescent="0.25">
      <c r="A1025" t="s">
        <v>160</v>
      </c>
      <c r="B1025" t="s">
        <v>2173</v>
      </c>
      <c r="C1025">
        <v>2011</v>
      </c>
      <c r="E1025" t="s">
        <v>3398</v>
      </c>
      <c r="F1025" t="s">
        <v>9310</v>
      </c>
      <c r="G1025" t="s">
        <v>3996</v>
      </c>
    </row>
    <row r="1026" spans="1:7" x14ac:dyDescent="0.25">
      <c r="A1026" t="s">
        <v>2173</v>
      </c>
      <c r="B1026" t="s">
        <v>2177</v>
      </c>
      <c r="C1026">
        <v>2013</v>
      </c>
      <c r="D1026" t="s">
        <v>187</v>
      </c>
      <c r="F1026" t="s">
        <v>9799</v>
      </c>
      <c r="G1026" t="s">
        <v>3996</v>
      </c>
    </row>
    <row r="1027" spans="1:7" x14ac:dyDescent="0.25">
      <c r="A1027" t="s">
        <v>90</v>
      </c>
      <c r="B1027" t="s">
        <v>2181</v>
      </c>
      <c r="C1027">
        <v>2017</v>
      </c>
      <c r="E1027" s="10" t="s">
        <v>9954</v>
      </c>
      <c r="F1027" t="s">
        <v>9800</v>
      </c>
      <c r="G1027" t="s">
        <v>3996</v>
      </c>
    </row>
    <row r="1028" spans="1:7" x14ac:dyDescent="0.25">
      <c r="A1028" t="s">
        <v>344</v>
      </c>
      <c r="B1028" t="s">
        <v>2187</v>
      </c>
      <c r="C1028">
        <v>2023</v>
      </c>
      <c r="E1028" s="10" t="s">
        <v>8381</v>
      </c>
      <c r="F1028" t="s">
        <v>8500</v>
      </c>
      <c r="G1028" t="s">
        <v>3996</v>
      </c>
    </row>
    <row r="1029" spans="1:7" x14ac:dyDescent="0.25">
      <c r="A1029" t="s">
        <v>346</v>
      </c>
      <c r="B1029" t="s">
        <v>2187</v>
      </c>
      <c r="C1029">
        <v>2022</v>
      </c>
      <c r="E1029" t="s">
        <v>3017</v>
      </c>
      <c r="F1029" t="s">
        <v>8506</v>
      </c>
      <c r="G1029" t="s">
        <v>3996</v>
      </c>
    </row>
    <row r="1030" spans="1:7" x14ac:dyDescent="0.25">
      <c r="A1030" t="s">
        <v>1144</v>
      </c>
      <c r="B1030" t="s">
        <v>2187</v>
      </c>
      <c r="C1030">
        <v>2012</v>
      </c>
      <c r="E1030" t="s">
        <v>3017</v>
      </c>
      <c r="F1030" t="s">
        <v>8779</v>
      </c>
      <c r="G1030" t="s">
        <v>3996</v>
      </c>
    </row>
    <row r="1031" spans="1:7" x14ac:dyDescent="0.25">
      <c r="A1031" t="s">
        <v>1443</v>
      </c>
      <c r="B1031" t="s">
        <v>2187</v>
      </c>
      <c r="C1031">
        <v>2018</v>
      </c>
      <c r="E1031" t="s">
        <v>3017</v>
      </c>
      <c r="F1031" t="s">
        <v>8876</v>
      </c>
      <c r="G1031" t="s">
        <v>3996</v>
      </c>
    </row>
    <row r="1032" spans="1:7" x14ac:dyDescent="0.25">
      <c r="A1032" t="s">
        <v>1951</v>
      </c>
      <c r="B1032" t="s">
        <v>2187</v>
      </c>
      <c r="C1032">
        <v>2022</v>
      </c>
      <c r="E1032" s="10" t="s">
        <v>8381</v>
      </c>
      <c r="F1032" t="s">
        <v>9004</v>
      </c>
      <c r="G1032" t="s">
        <v>3996</v>
      </c>
    </row>
    <row r="1033" spans="1:7" x14ac:dyDescent="0.25">
      <c r="A1033" t="s">
        <v>90</v>
      </c>
      <c r="B1033" t="s">
        <v>2187</v>
      </c>
      <c r="C1033">
        <v>2017</v>
      </c>
      <c r="E1033" t="s">
        <v>3017</v>
      </c>
      <c r="F1033" t="s">
        <v>9163</v>
      </c>
      <c r="G1033" t="s">
        <v>3996</v>
      </c>
    </row>
    <row r="1034" spans="1:7" x14ac:dyDescent="0.25">
      <c r="A1034" t="s">
        <v>994</v>
      </c>
      <c r="B1034" t="s">
        <v>2190</v>
      </c>
      <c r="C1034">
        <v>2011</v>
      </c>
      <c r="E1034" t="s">
        <v>3171</v>
      </c>
      <c r="F1034" t="s">
        <v>9801</v>
      </c>
      <c r="G1034" t="s">
        <v>187</v>
      </c>
    </row>
    <row r="1035" spans="1:7" x14ac:dyDescent="0.25">
      <c r="A1035" t="s">
        <v>2534</v>
      </c>
      <c r="B1035" t="s">
        <v>2190</v>
      </c>
      <c r="C1035">
        <v>1982</v>
      </c>
      <c r="E1035" t="s">
        <v>3171</v>
      </c>
      <c r="F1035" t="s">
        <v>9260</v>
      </c>
      <c r="G1035" t="s">
        <v>3996</v>
      </c>
    </row>
    <row r="1036" spans="1:7" x14ac:dyDescent="0.25">
      <c r="A1036" t="s">
        <v>90</v>
      </c>
      <c r="B1036" t="s">
        <v>2192</v>
      </c>
      <c r="C1036">
        <v>2017</v>
      </c>
      <c r="E1036" s="10" t="s">
        <v>8382</v>
      </c>
      <c r="F1036" t="s">
        <v>9164</v>
      </c>
      <c r="G1036" t="s">
        <v>3996</v>
      </c>
    </row>
    <row r="1037" spans="1:7" x14ac:dyDescent="0.25">
      <c r="A1037" t="s">
        <v>2804</v>
      </c>
      <c r="B1037" t="s">
        <v>2192</v>
      </c>
      <c r="C1037">
        <v>2021</v>
      </c>
      <c r="E1037" s="10" t="s">
        <v>8382</v>
      </c>
      <c r="F1037" t="s">
        <v>9364</v>
      </c>
      <c r="G1037" t="s">
        <v>3996</v>
      </c>
    </row>
    <row r="1038" spans="1:7" x14ac:dyDescent="0.25">
      <c r="A1038" t="s">
        <v>90</v>
      </c>
      <c r="B1038" t="s">
        <v>2196</v>
      </c>
      <c r="C1038">
        <v>2017</v>
      </c>
      <c r="E1038" t="s">
        <v>3377</v>
      </c>
      <c r="F1038" t="s">
        <v>9802</v>
      </c>
      <c r="G1038" t="s">
        <v>187</v>
      </c>
    </row>
    <row r="1039" spans="1:7" x14ac:dyDescent="0.25">
      <c r="A1039" t="s">
        <v>490</v>
      </c>
      <c r="B1039" t="s">
        <v>2200</v>
      </c>
      <c r="C1039">
        <v>2009</v>
      </c>
      <c r="E1039" t="s">
        <v>3061</v>
      </c>
      <c r="F1039" t="s">
        <v>8560</v>
      </c>
      <c r="G1039" t="s">
        <v>3996</v>
      </c>
    </row>
    <row r="1040" spans="1:7" x14ac:dyDescent="0.25">
      <c r="A1040" t="s">
        <v>2154</v>
      </c>
      <c r="B1040" t="s">
        <v>2200</v>
      </c>
      <c r="C1040">
        <v>1980</v>
      </c>
      <c r="E1040" t="s">
        <v>3061</v>
      </c>
      <c r="F1040" t="s">
        <v>9055</v>
      </c>
      <c r="G1040" t="s">
        <v>3996</v>
      </c>
    </row>
    <row r="1041" spans="1:7" x14ac:dyDescent="0.25">
      <c r="A1041" t="s">
        <v>353</v>
      </c>
      <c r="B1041" t="s">
        <v>2202</v>
      </c>
      <c r="C1041">
        <v>2023</v>
      </c>
      <c r="E1041" s="10" t="s">
        <v>3040</v>
      </c>
      <c r="F1041" t="s">
        <v>9803</v>
      </c>
      <c r="G1041" t="s">
        <v>187</v>
      </c>
    </row>
    <row r="1042" spans="1:7" x14ac:dyDescent="0.25">
      <c r="A1042" t="s">
        <v>90</v>
      </c>
      <c r="B1042" t="s">
        <v>2202</v>
      </c>
      <c r="C1042">
        <v>2017</v>
      </c>
      <c r="E1042" s="10" t="s">
        <v>3040</v>
      </c>
      <c r="F1042" t="s">
        <v>9804</v>
      </c>
      <c r="G1042" t="s">
        <v>187</v>
      </c>
    </row>
    <row r="1043" spans="1:7" x14ac:dyDescent="0.25">
      <c r="A1043" t="s">
        <v>2154</v>
      </c>
      <c r="B1043" t="s">
        <v>2204</v>
      </c>
      <c r="C1043">
        <v>1980</v>
      </c>
      <c r="E1043" t="s">
        <v>3329</v>
      </c>
      <c r="F1043" t="s">
        <v>9056</v>
      </c>
      <c r="G1043" t="s">
        <v>3996</v>
      </c>
    </row>
    <row r="1044" spans="1:7" x14ac:dyDescent="0.25">
      <c r="A1044" t="s">
        <v>353</v>
      </c>
      <c r="B1044" t="s">
        <v>2215</v>
      </c>
      <c r="C1044">
        <v>2023</v>
      </c>
      <c r="E1044" t="s">
        <v>3041</v>
      </c>
      <c r="F1044" t="s">
        <v>8537</v>
      </c>
      <c r="G1044" t="s">
        <v>3996</v>
      </c>
    </row>
    <row r="1045" spans="1:7" x14ac:dyDescent="0.25">
      <c r="A1045" t="s">
        <v>2211</v>
      </c>
      <c r="B1045" t="s">
        <v>2215</v>
      </c>
      <c r="C1045">
        <v>2021</v>
      </c>
      <c r="E1045" t="s">
        <v>3041</v>
      </c>
      <c r="F1045" t="s">
        <v>9079</v>
      </c>
      <c r="G1045" t="s">
        <v>3996</v>
      </c>
    </row>
    <row r="1046" spans="1:7" x14ac:dyDescent="0.25">
      <c r="A1046" t="s">
        <v>960</v>
      </c>
      <c r="B1046" t="s">
        <v>2219</v>
      </c>
      <c r="C1046">
        <v>2024</v>
      </c>
      <c r="E1046" t="s">
        <v>2982</v>
      </c>
      <c r="F1046" t="s">
        <v>8711</v>
      </c>
      <c r="G1046" t="s">
        <v>3996</v>
      </c>
    </row>
    <row r="1047" spans="1:7" x14ac:dyDescent="0.25">
      <c r="A1047" t="s">
        <v>353</v>
      </c>
      <c r="B1047" t="s">
        <v>2222</v>
      </c>
      <c r="C1047">
        <v>2023</v>
      </c>
      <c r="E1047" t="s">
        <v>3042</v>
      </c>
      <c r="F1047" t="s">
        <v>8538</v>
      </c>
      <c r="G1047" t="s">
        <v>3996</v>
      </c>
    </row>
    <row r="1048" spans="1:7" x14ac:dyDescent="0.25">
      <c r="A1048" t="s">
        <v>1576</v>
      </c>
      <c r="B1048" t="s">
        <v>2222</v>
      </c>
      <c r="C1048">
        <v>2021</v>
      </c>
      <c r="E1048" t="s">
        <v>3042</v>
      </c>
      <c r="F1048" t="s">
        <v>8907</v>
      </c>
      <c r="G1048" t="s">
        <v>3996</v>
      </c>
    </row>
    <row r="1049" spans="1:7" x14ac:dyDescent="0.25">
      <c r="A1049" t="s">
        <v>90</v>
      </c>
      <c r="B1049" t="s">
        <v>2222</v>
      </c>
      <c r="C1049">
        <v>2017</v>
      </c>
      <c r="E1049" t="s">
        <v>3042</v>
      </c>
      <c r="F1049" t="s">
        <v>9165</v>
      </c>
      <c r="G1049" t="s">
        <v>3996</v>
      </c>
    </row>
    <row r="1050" spans="1:7" x14ac:dyDescent="0.25">
      <c r="A1050" t="s">
        <v>2506</v>
      </c>
      <c r="B1050" t="s">
        <v>2222</v>
      </c>
      <c r="C1050">
        <v>2021</v>
      </c>
      <c r="E1050" t="s">
        <v>3042</v>
      </c>
      <c r="F1050" t="s">
        <v>9255</v>
      </c>
      <c r="G1050" t="s">
        <v>3996</v>
      </c>
    </row>
    <row r="1051" spans="1:7" x14ac:dyDescent="0.25">
      <c r="A1051" t="s">
        <v>1951</v>
      </c>
      <c r="B1051" t="s">
        <v>2229</v>
      </c>
      <c r="C1051">
        <v>2022</v>
      </c>
      <c r="E1051" t="s">
        <v>3304</v>
      </c>
      <c r="F1051" t="s">
        <v>9005</v>
      </c>
      <c r="G1051" t="s">
        <v>3996</v>
      </c>
    </row>
    <row r="1052" spans="1:7" x14ac:dyDescent="0.25">
      <c r="A1052" t="s">
        <v>353</v>
      </c>
      <c r="B1052" t="s">
        <v>2232</v>
      </c>
      <c r="C1052">
        <v>2023</v>
      </c>
      <c r="E1052" t="s">
        <v>3043</v>
      </c>
      <c r="F1052" t="s">
        <v>8539</v>
      </c>
      <c r="G1052" t="s">
        <v>3996</v>
      </c>
    </row>
    <row r="1053" spans="1:7" x14ac:dyDescent="0.25">
      <c r="A1053" t="s">
        <v>746</v>
      </c>
      <c r="B1053" t="s">
        <v>2232</v>
      </c>
      <c r="C1053">
        <v>2015</v>
      </c>
      <c r="E1053" s="10" t="s">
        <v>9471</v>
      </c>
      <c r="F1053" t="s">
        <v>9473</v>
      </c>
      <c r="G1053" t="s">
        <v>3996</v>
      </c>
    </row>
    <row r="1054" spans="1:7" x14ac:dyDescent="0.25">
      <c r="A1054" t="s">
        <v>847</v>
      </c>
      <c r="B1054" t="s">
        <v>2232</v>
      </c>
      <c r="C1054">
        <v>1996</v>
      </c>
      <c r="E1054" s="10" t="s">
        <v>9471</v>
      </c>
      <c r="F1054" t="s">
        <v>9472</v>
      </c>
      <c r="G1054" t="s">
        <v>3996</v>
      </c>
    </row>
    <row r="1055" spans="1:7" x14ac:dyDescent="0.25">
      <c r="A1055" t="s">
        <v>1576</v>
      </c>
      <c r="B1055" t="s">
        <v>2232</v>
      </c>
      <c r="C1055">
        <v>2021</v>
      </c>
      <c r="E1055" t="s">
        <v>3266</v>
      </c>
      <c r="F1055" t="s">
        <v>9805</v>
      </c>
      <c r="G1055" t="s">
        <v>187</v>
      </c>
    </row>
    <row r="1056" spans="1:7" x14ac:dyDescent="0.25">
      <c r="A1056" t="s">
        <v>353</v>
      </c>
      <c r="B1056" t="s">
        <v>2236</v>
      </c>
      <c r="C1056">
        <v>2023</v>
      </c>
      <c r="E1056" t="s">
        <v>3044</v>
      </c>
      <c r="F1056" t="s">
        <v>8540</v>
      </c>
      <c r="G1056" t="s">
        <v>3996</v>
      </c>
    </row>
    <row r="1057" spans="1:7" x14ac:dyDescent="0.25">
      <c r="A1057" t="s">
        <v>90</v>
      </c>
      <c r="B1057" t="s">
        <v>2236</v>
      </c>
      <c r="C1057">
        <v>2017</v>
      </c>
      <c r="E1057" t="s">
        <v>3044</v>
      </c>
      <c r="F1057" t="s">
        <v>9166</v>
      </c>
      <c r="G1057" t="s">
        <v>3996</v>
      </c>
    </row>
    <row r="1058" spans="1:7" x14ac:dyDescent="0.25">
      <c r="A1058" t="s">
        <v>1549</v>
      </c>
      <c r="B1058" t="s">
        <v>2239</v>
      </c>
      <c r="C1058">
        <v>2021</v>
      </c>
      <c r="E1058" t="s">
        <v>2241</v>
      </c>
      <c r="F1058" t="s">
        <v>8887</v>
      </c>
      <c r="G1058" t="s">
        <v>3996</v>
      </c>
    </row>
    <row r="1059" spans="1:7" x14ac:dyDescent="0.25">
      <c r="A1059" t="s">
        <v>90</v>
      </c>
      <c r="B1059" t="s">
        <v>2239</v>
      </c>
      <c r="C1059">
        <v>2017</v>
      </c>
      <c r="E1059" t="s">
        <v>2241</v>
      </c>
      <c r="F1059" t="s">
        <v>9167</v>
      </c>
      <c r="G1059" t="s">
        <v>3996</v>
      </c>
    </row>
    <row r="1060" spans="1:7" x14ac:dyDescent="0.25">
      <c r="A1060" t="s">
        <v>2804</v>
      </c>
      <c r="B1060" t="s">
        <v>8383</v>
      </c>
      <c r="C1060">
        <v>2021</v>
      </c>
      <c r="E1060" t="s">
        <v>3013</v>
      </c>
      <c r="F1060" t="s">
        <v>9806</v>
      </c>
      <c r="G1060" t="s">
        <v>187</v>
      </c>
    </row>
    <row r="1061" spans="1:7" x14ac:dyDescent="0.25">
      <c r="A1061" t="s">
        <v>1155</v>
      </c>
      <c r="B1061" t="s">
        <v>2242</v>
      </c>
      <c r="C1061">
        <v>2010</v>
      </c>
      <c r="D1061" t="s">
        <v>187</v>
      </c>
      <c r="F1061" t="s">
        <v>9807</v>
      </c>
      <c r="G1061" t="s">
        <v>3996</v>
      </c>
    </row>
    <row r="1062" spans="1:7" x14ac:dyDescent="0.25">
      <c r="A1062" t="s">
        <v>720</v>
      </c>
      <c r="B1062" t="s">
        <v>2244</v>
      </c>
      <c r="C1062">
        <v>2016</v>
      </c>
      <c r="E1062" t="s">
        <v>3091</v>
      </c>
      <c r="F1062" t="s">
        <v>8602</v>
      </c>
      <c r="G1062" t="s">
        <v>3996</v>
      </c>
    </row>
    <row r="1063" spans="1:7" x14ac:dyDescent="0.25">
      <c r="A1063" t="s">
        <v>746</v>
      </c>
      <c r="B1063" t="s">
        <v>2244</v>
      </c>
      <c r="C1063">
        <v>2015</v>
      </c>
      <c r="E1063" t="s">
        <v>3091</v>
      </c>
      <c r="F1063" t="s">
        <v>8620</v>
      </c>
      <c r="G1063" t="s">
        <v>3996</v>
      </c>
    </row>
    <row r="1064" spans="1:7" x14ac:dyDescent="0.25">
      <c r="A1064" t="s">
        <v>1115</v>
      </c>
      <c r="B1064" t="s">
        <v>2244</v>
      </c>
      <c r="C1064">
        <v>2018</v>
      </c>
      <c r="E1064" t="s">
        <v>3091</v>
      </c>
      <c r="F1064" t="s">
        <v>8756</v>
      </c>
      <c r="G1064" t="s">
        <v>3996</v>
      </c>
    </row>
    <row r="1065" spans="1:7" x14ac:dyDescent="0.25">
      <c r="A1065" t="s">
        <v>2804</v>
      </c>
      <c r="B1065" t="s">
        <v>2247</v>
      </c>
      <c r="C1065">
        <v>2021</v>
      </c>
      <c r="E1065" t="s">
        <v>3013</v>
      </c>
      <c r="F1065" t="s">
        <v>9808</v>
      </c>
      <c r="G1065" t="s">
        <v>187</v>
      </c>
    </row>
    <row r="1066" spans="1:7" x14ac:dyDescent="0.25">
      <c r="A1066" t="s">
        <v>353</v>
      </c>
      <c r="B1066" t="s">
        <v>2251</v>
      </c>
      <c r="C1066">
        <v>2023</v>
      </c>
      <c r="E1066" t="s">
        <v>2982</v>
      </c>
      <c r="F1066" t="s">
        <v>8541</v>
      </c>
      <c r="G1066" t="s">
        <v>3996</v>
      </c>
    </row>
    <row r="1067" spans="1:7" x14ac:dyDescent="0.25">
      <c r="A1067" t="s">
        <v>160</v>
      </c>
      <c r="B1067" t="s">
        <v>2251</v>
      </c>
      <c r="C1067">
        <v>2011</v>
      </c>
      <c r="E1067" t="s">
        <v>2982</v>
      </c>
      <c r="F1067" t="s">
        <v>9311</v>
      </c>
      <c r="G1067" t="s">
        <v>3996</v>
      </c>
    </row>
    <row r="1068" spans="1:7" x14ac:dyDescent="0.25">
      <c r="A1068" t="s">
        <v>435</v>
      </c>
      <c r="B1068" t="s">
        <v>2254</v>
      </c>
      <c r="C1068">
        <v>2019</v>
      </c>
      <c r="E1068" t="s">
        <v>2982</v>
      </c>
      <c r="F1068" t="s">
        <v>9809</v>
      </c>
      <c r="G1068" t="s">
        <v>187</v>
      </c>
    </row>
    <row r="1069" spans="1:7" x14ac:dyDescent="0.25">
      <c r="A1069" t="s">
        <v>759</v>
      </c>
      <c r="B1069" t="s">
        <v>2254</v>
      </c>
      <c r="C1069">
        <v>2018</v>
      </c>
      <c r="E1069" t="s">
        <v>2982</v>
      </c>
      <c r="F1069" t="s">
        <v>8642</v>
      </c>
      <c r="G1069" t="s">
        <v>3996</v>
      </c>
    </row>
    <row r="1070" spans="1:7" x14ac:dyDescent="0.25">
      <c r="A1070" t="s">
        <v>930</v>
      </c>
      <c r="B1070" t="s">
        <v>2254</v>
      </c>
      <c r="C1070">
        <v>2015</v>
      </c>
      <c r="E1070" t="s">
        <v>2982</v>
      </c>
      <c r="F1070" t="s">
        <v>8706</v>
      </c>
      <c r="G1070" t="s">
        <v>3996</v>
      </c>
    </row>
    <row r="1071" spans="1:7" x14ac:dyDescent="0.25">
      <c r="A1071" t="s">
        <v>2130</v>
      </c>
      <c r="B1071" t="s">
        <v>2254</v>
      </c>
      <c r="C1071">
        <v>2017</v>
      </c>
      <c r="E1071" t="s">
        <v>2982</v>
      </c>
      <c r="F1071" t="s">
        <v>9017</v>
      </c>
      <c r="G1071" t="s">
        <v>3996</v>
      </c>
    </row>
    <row r="1072" spans="1:7" x14ac:dyDescent="0.25">
      <c r="A1072" t="s">
        <v>2459</v>
      </c>
      <c r="B1072" t="s">
        <v>2254</v>
      </c>
      <c r="C1072">
        <v>2017</v>
      </c>
      <c r="E1072" t="s">
        <v>2982</v>
      </c>
      <c r="F1072" t="s">
        <v>9244</v>
      </c>
      <c r="G1072" t="s">
        <v>3996</v>
      </c>
    </row>
    <row r="1073" spans="1:7" x14ac:dyDescent="0.25">
      <c r="A1073" t="s">
        <v>2804</v>
      </c>
      <c r="B1073" t="s">
        <v>2258</v>
      </c>
      <c r="C1073">
        <v>2021</v>
      </c>
      <c r="E1073" t="s">
        <v>3013</v>
      </c>
      <c r="F1073" t="s">
        <v>9810</v>
      </c>
      <c r="G1073" t="s">
        <v>187</v>
      </c>
    </row>
    <row r="1074" spans="1:7" x14ac:dyDescent="0.25">
      <c r="A1074" t="s">
        <v>2225</v>
      </c>
      <c r="B1074" t="s">
        <v>2260</v>
      </c>
      <c r="C1074">
        <v>2021</v>
      </c>
      <c r="E1074" s="10" t="s">
        <v>8396</v>
      </c>
      <c r="F1074" t="s">
        <v>9811</v>
      </c>
      <c r="G1074" t="s">
        <v>187</v>
      </c>
    </row>
    <row r="1075" spans="1:7" x14ac:dyDescent="0.25">
      <c r="A1075" t="s">
        <v>90</v>
      </c>
      <c r="B1075" t="s">
        <v>2264</v>
      </c>
      <c r="C1075">
        <v>2017</v>
      </c>
      <c r="E1075" t="s">
        <v>3378</v>
      </c>
      <c r="F1075" t="s">
        <v>9168</v>
      </c>
      <c r="G1075" t="s">
        <v>3996</v>
      </c>
    </row>
    <row r="1076" spans="1:7" x14ac:dyDescent="0.25">
      <c r="A1076" t="s">
        <v>2594</v>
      </c>
      <c r="B1076" t="s">
        <v>2264</v>
      </c>
      <c r="C1076">
        <v>2019</v>
      </c>
      <c r="E1076" t="s">
        <v>3378</v>
      </c>
      <c r="F1076" t="s">
        <v>9267</v>
      </c>
      <c r="G1076" t="s">
        <v>3996</v>
      </c>
    </row>
    <row r="1077" spans="1:7" x14ac:dyDescent="0.25">
      <c r="A1077" t="s">
        <v>847</v>
      </c>
      <c r="B1077" t="s">
        <v>2267</v>
      </c>
      <c r="C1077">
        <v>1996</v>
      </c>
      <c r="E1077" s="10" t="s">
        <v>9419</v>
      </c>
      <c r="F1077" t="s">
        <v>9481</v>
      </c>
      <c r="G1077" t="s">
        <v>3996</v>
      </c>
    </row>
    <row r="1078" spans="1:7" x14ac:dyDescent="0.25">
      <c r="A1078" t="s">
        <v>998</v>
      </c>
      <c r="B1078" t="s">
        <v>2267</v>
      </c>
      <c r="C1078">
        <v>2018</v>
      </c>
      <c r="D1078" t="s">
        <v>187</v>
      </c>
      <c r="F1078" t="s">
        <v>9479</v>
      </c>
      <c r="G1078" t="s">
        <v>3996</v>
      </c>
    </row>
    <row r="1079" spans="1:7" x14ac:dyDescent="0.25">
      <c r="A1079" t="s">
        <v>1046</v>
      </c>
      <c r="B1079" t="s">
        <v>2267</v>
      </c>
      <c r="C1079">
        <v>2016</v>
      </c>
      <c r="E1079" t="s">
        <v>2982</v>
      </c>
      <c r="F1079" t="s">
        <v>9812</v>
      </c>
      <c r="G1079" t="s">
        <v>187</v>
      </c>
    </row>
    <row r="1080" spans="1:7" x14ac:dyDescent="0.25">
      <c r="A1080" t="s">
        <v>1294</v>
      </c>
      <c r="B1080" t="s">
        <v>2267</v>
      </c>
      <c r="C1080">
        <v>2019</v>
      </c>
      <c r="E1080" s="10" t="s">
        <v>9419</v>
      </c>
      <c r="F1080" t="s">
        <v>9482</v>
      </c>
      <c r="G1080" t="s">
        <v>3996</v>
      </c>
    </row>
    <row r="1081" spans="1:7" x14ac:dyDescent="0.25">
      <c r="A1081" t="s">
        <v>1817</v>
      </c>
      <c r="B1081" t="s">
        <v>2267</v>
      </c>
      <c r="C1081">
        <v>2019</v>
      </c>
      <c r="E1081" s="10" t="s">
        <v>9419</v>
      </c>
      <c r="F1081" t="s">
        <v>9480</v>
      </c>
      <c r="G1081" t="s">
        <v>3996</v>
      </c>
    </row>
    <row r="1082" spans="1:7" x14ac:dyDescent="0.25">
      <c r="A1082" t="s">
        <v>1010</v>
      </c>
      <c r="B1082" t="s">
        <v>2273</v>
      </c>
      <c r="C1082">
        <v>2025</v>
      </c>
      <c r="E1082" t="s">
        <v>3180</v>
      </c>
      <c r="F1082" t="s">
        <v>8728</v>
      </c>
      <c r="G1082" t="s">
        <v>3996</v>
      </c>
    </row>
    <row r="1083" spans="1:7" x14ac:dyDescent="0.25">
      <c r="A1083" t="s">
        <v>1294</v>
      </c>
      <c r="B1083" t="s">
        <v>2273</v>
      </c>
      <c r="C1083">
        <v>2019</v>
      </c>
      <c r="E1083" t="s">
        <v>2982</v>
      </c>
      <c r="F1083" t="s">
        <v>8828</v>
      </c>
      <c r="G1083" t="s">
        <v>3996</v>
      </c>
    </row>
    <row r="1084" spans="1:7" x14ac:dyDescent="0.25">
      <c r="A1084" t="s">
        <v>2136</v>
      </c>
      <c r="B1084" t="s">
        <v>2273</v>
      </c>
      <c r="C1084">
        <v>2020</v>
      </c>
      <c r="E1084" t="s">
        <v>2982</v>
      </c>
      <c r="F1084" t="s">
        <v>9030</v>
      </c>
      <c r="G1084" t="s">
        <v>3996</v>
      </c>
    </row>
    <row r="1085" spans="1:7" x14ac:dyDescent="0.25">
      <c r="A1085" t="s">
        <v>256</v>
      </c>
      <c r="B1085" t="s">
        <v>2276</v>
      </c>
      <c r="C1085">
        <v>1994</v>
      </c>
      <c r="E1085" t="s">
        <v>2996</v>
      </c>
      <c r="F1085" t="s">
        <v>8480</v>
      </c>
      <c r="G1085" t="s">
        <v>3996</v>
      </c>
    </row>
    <row r="1086" spans="1:7" x14ac:dyDescent="0.25">
      <c r="A1086" t="s">
        <v>1882</v>
      </c>
      <c r="B1086" t="s">
        <v>2276</v>
      </c>
      <c r="C1086">
        <v>1987</v>
      </c>
      <c r="E1086" t="s">
        <v>2996</v>
      </c>
      <c r="F1086" t="s">
        <v>8997</v>
      </c>
      <c r="G1086" t="s">
        <v>3996</v>
      </c>
    </row>
    <row r="1087" spans="1:7" x14ac:dyDescent="0.25">
      <c r="A1087" t="s">
        <v>746</v>
      </c>
      <c r="B1087" t="s">
        <v>2279</v>
      </c>
      <c r="C1087">
        <v>2015</v>
      </c>
      <c r="E1087" t="s">
        <v>3106</v>
      </c>
      <c r="F1087" t="s">
        <v>8621</v>
      </c>
      <c r="G1087" t="s">
        <v>3996</v>
      </c>
    </row>
    <row r="1088" spans="1:7" x14ac:dyDescent="0.25">
      <c r="A1088" t="s">
        <v>1294</v>
      </c>
      <c r="B1088" t="s">
        <v>2279</v>
      </c>
      <c r="C1088">
        <v>2019</v>
      </c>
      <c r="E1088" s="10" t="s">
        <v>3106</v>
      </c>
      <c r="F1088" t="s">
        <v>8454</v>
      </c>
      <c r="G1088" t="s">
        <v>3996</v>
      </c>
    </row>
    <row r="1089" spans="1:7" x14ac:dyDescent="0.25">
      <c r="A1089" t="s">
        <v>90</v>
      </c>
      <c r="B1089" t="s">
        <v>2279</v>
      </c>
      <c r="C1089">
        <v>2017</v>
      </c>
      <c r="E1089" t="s">
        <v>3106</v>
      </c>
      <c r="F1089" t="s">
        <v>9169</v>
      </c>
      <c r="G1089" t="s">
        <v>3996</v>
      </c>
    </row>
    <row r="1090" spans="1:7" x14ac:dyDescent="0.25">
      <c r="A1090" t="s">
        <v>1144</v>
      </c>
      <c r="B1090" t="s">
        <v>2281</v>
      </c>
      <c r="C1090">
        <v>2012</v>
      </c>
      <c r="E1090" t="s">
        <v>3212</v>
      </c>
      <c r="F1090" t="s">
        <v>8780</v>
      </c>
      <c r="G1090" t="s">
        <v>3996</v>
      </c>
    </row>
    <row r="1091" spans="1:7" x14ac:dyDescent="0.25">
      <c r="A1091" t="s">
        <v>2065</v>
      </c>
      <c r="B1091" t="s">
        <v>2281</v>
      </c>
      <c r="C1091">
        <v>2023</v>
      </c>
      <c r="E1091" t="s">
        <v>3212</v>
      </c>
      <c r="F1091" t="s">
        <v>9009</v>
      </c>
      <c r="G1091" t="s">
        <v>3996</v>
      </c>
    </row>
    <row r="1092" spans="1:7" x14ac:dyDescent="0.25">
      <c r="A1092" t="s">
        <v>2132</v>
      </c>
      <c r="B1092" t="s">
        <v>2281</v>
      </c>
      <c r="C1092">
        <v>2013</v>
      </c>
      <c r="E1092" t="s">
        <v>3212</v>
      </c>
      <c r="F1092" t="s">
        <v>9021</v>
      </c>
      <c r="G1092" t="s">
        <v>3996</v>
      </c>
    </row>
    <row r="1093" spans="1:7" x14ac:dyDescent="0.25">
      <c r="A1093" t="s">
        <v>497</v>
      </c>
      <c r="B1093" t="s">
        <v>2283</v>
      </c>
      <c r="C1093">
        <v>2022</v>
      </c>
      <c r="E1093" t="s">
        <v>3070</v>
      </c>
      <c r="F1093" t="s">
        <v>8574</v>
      </c>
      <c r="G1093" t="s">
        <v>3996</v>
      </c>
    </row>
    <row r="1094" spans="1:7" x14ac:dyDescent="0.25">
      <c r="A1094" t="s">
        <v>2136</v>
      </c>
      <c r="B1094" t="s">
        <v>2283</v>
      </c>
      <c r="C1094">
        <v>2020</v>
      </c>
      <c r="E1094" t="s">
        <v>3070</v>
      </c>
      <c r="F1094" t="s">
        <v>9031</v>
      </c>
      <c r="G1094" t="s">
        <v>3996</v>
      </c>
    </row>
    <row r="1095" spans="1:7" x14ac:dyDescent="0.25">
      <c r="A1095" t="s">
        <v>1302</v>
      </c>
      <c r="B1095" t="s">
        <v>7941</v>
      </c>
      <c r="C1095">
        <v>2023</v>
      </c>
      <c r="E1095" s="10" t="s">
        <v>7939</v>
      </c>
      <c r="F1095" t="s">
        <v>8842</v>
      </c>
      <c r="G1095" t="s">
        <v>3996</v>
      </c>
    </row>
    <row r="1096" spans="1:7" x14ac:dyDescent="0.25">
      <c r="A1096" t="s">
        <v>1970</v>
      </c>
      <c r="B1096" t="s">
        <v>2286</v>
      </c>
      <c r="C1096">
        <v>2012</v>
      </c>
      <c r="D1096" t="s">
        <v>187</v>
      </c>
      <c r="F1096" t="s">
        <v>9813</v>
      </c>
      <c r="G1096" t="s">
        <v>3996</v>
      </c>
    </row>
    <row r="1097" spans="1:7" x14ac:dyDescent="0.25">
      <c r="A1097" t="s">
        <v>1294</v>
      </c>
      <c r="B1097" t="s">
        <v>2288</v>
      </c>
      <c r="C1097">
        <v>2019</v>
      </c>
      <c r="E1097" t="s">
        <v>2982</v>
      </c>
      <c r="F1097" t="s">
        <v>8829</v>
      </c>
      <c r="G1097" t="s">
        <v>3996</v>
      </c>
    </row>
    <row r="1098" spans="1:7" x14ac:dyDescent="0.25">
      <c r="A1098" t="s">
        <v>1690</v>
      </c>
      <c r="B1098" t="s">
        <v>2288</v>
      </c>
      <c r="C1098">
        <v>2020</v>
      </c>
      <c r="E1098" t="s">
        <v>2982</v>
      </c>
      <c r="F1098" t="s">
        <v>8925</v>
      </c>
      <c r="G1098" t="s">
        <v>3996</v>
      </c>
    </row>
    <row r="1099" spans="1:7" x14ac:dyDescent="0.25">
      <c r="A1099" t="s">
        <v>160</v>
      </c>
      <c r="B1099" t="s">
        <v>2288</v>
      </c>
      <c r="C1099">
        <v>2011</v>
      </c>
      <c r="E1099" t="s">
        <v>2982</v>
      </c>
      <c r="F1099" t="s">
        <v>9312</v>
      </c>
      <c r="G1099" t="s">
        <v>3996</v>
      </c>
    </row>
    <row r="1100" spans="1:7" x14ac:dyDescent="0.25">
      <c r="A1100" t="s">
        <v>2295</v>
      </c>
      <c r="B1100" t="s">
        <v>2292</v>
      </c>
      <c r="C1100">
        <v>2000</v>
      </c>
      <c r="D1100" t="s">
        <v>187</v>
      </c>
      <c r="F1100" t="s">
        <v>9814</v>
      </c>
      <c r="G1100" t="s">
        <v>3996</v>
      </c>
    </row>
    <row r="1101" spans="1:7" x14ac:dyDescent="0.25">
      <c r="A1101" t="s">
        <v>1761</v>
      </c>
      <c r="B1101" t="s">
        <v>2295</v>
      </c>
      <c r="C1101">
        <v>1995</v>
      </c>
      <c r="D1101" t="s">
        <v>187</v>
      </c>
      <c r="F1101" t="s">
        <v>9815</v>
      </c>
      <c r="G1101" t="s">
        <v>3996</v>
      </c>
    </row>
    <row r="1102" spans="1:7" x14ac:dyDescent="0.25">
      <c r="A1102" t="s">
        <v>2292</v>
      </c>
      <c r="B1102" t="s">
        <v>2298</v>
      </c>
      <c r="C1102">
        <v>2008</v>
      </c>
      <c r="D1102" t="s">
        <v>187</v>
      </c>
      <c r="F1102" t="s">
        <v>9816</v>
      </c>
      <c r="G1102" t="s">
        <v>3996</v>
      </c>
    </row>
    <row r="1103" spans="1:7" x14ac:dyDescent="0.25">
      <c r="A1103" t="s">
        <v>2295</v>
      </c>
      <c r="B1103" t="s">
        <v>2301</v>
      </c>
      <c r="C1103">
        <v>2000</v>
      </c>
      <c r="D1103" t="s">
        <v>187</v>
      </c>
      <c r="F1103" t="s">
        <v>9817</v>
      </c>
      <c r="G1103" t="s">
        <v>3996</v>
      </c>
    </row>
    <row r="1104" spans="1:7" x14ac:dyDescent="0.25">
      <c r="A1104" t="s">
        <v>1761</v>
      </c>
      <c r="B1104" t="s">
        <v>2304</v>
      </c>
      <c r="C1104">
        <v>1995</v>
      </c>
      <c r="D1104" t="s">
        <v>187</v>
      </c>
      <c r="F1104" t="s">
        <v>9818</v>
      </c>
      <c r="G1104" t="s">
        <v>3996</v>
      </c>
    </row>
    <row r="1105" spans="1:7" x14ac:dyDescent="0.25">
      <c r="A1105" t="s">
        <v>2304</v>
      </c>
      <c r="B1105" t="s">
        <v>2307</v>
      </c>
      <c r="C1105">
        <v>1996</v>
      </c>
      <c r="D1105" t="s">
        <v>187</v>
      </c>
      <c r="F1105" t="s">
        <v>9819</v>
      </c>
      <c r="G1105" t="s">
        <v>3996</v>
      </c>
    </row>
    <row r="1106" spans="1:7" x14ac:dyDescent="0.25">
      <c r="A1106" t="s">
        <v>2314</v>
      </c>
      <c r="B1106" t="s">
        <v>2310</v>
      </c>
      <c r="C1106">
        <v>2010</v>
      </c>
      <c r="D1106" t="s">
        <v>187</v>
      </c>
      <c r="F1106" t="s">
        <v>9820</v>
      </c>
      <c r="G1106" t="s">
        <v>3996</v>
      </c>
    </row>
    <row r="1107" spans="1:7" x14ac:dyDescent="0.25">
      <c r="A1107" t="s">
        <v>2298</v>
      </c>
      <c r="B1107" t="s">
        <v>2314</v>
      </c>
      <c r="C1107">
        <v>2010</v>
      </c>
      <c r="D1107" t="s">
        <v>187</v>
      </c>
      <c r="F1107" t="s">
        <v>9821</v>
      </c>
      <c r="G1107" t="s">
        <v>3996</v>
      </c>
    </row>
    <row r="1108" spans="1:7" x14ac:dyDescent="0.25">
      <c r="A1108" t="s">
        <v>689</v>
      </c>
      <c r="B1108" t="s">
        <v>2318</v>
      </c>
      <c r="C1108">
        <v>2015</v>
      </c>
      <c r="E1108" t="s">
        <v>3088</v>
      </c>
      <c r="F1108" t="s">
        <v>8597</v>
      </c>
      <c r="G1108" t="s">
        <v>3996</v>
      </c>
    </row>
    <row r="1109" spans="1:7" x14ac:dyDescent="0.25">
      <c r="A1109" t="s">
        <v>746</v>
      </c>
      <c r="B1109" t="s">
        <v>2318</v>
      </c>
      <c r="C1109">
        <v>2015</v>
      </c>
      <c r="E1109" t="s">
        <v>3088</v>
      </c>
      <c r="F1109" t="s">
        <v>8622</v>
      </c>
      <c r="G1109" t="s">
        <v>3996</v>
      </c>
    </row>
    <row r="1110" spans="1:7" x14ac:dyDescent="0.25">
      <c r="A1110" t="s">
        <v>1443</v>
      </c>
      <c r="B1110" t="s">
        <v>2318</v>
      </c>
      <c r="C1110">
        <v>2018</v>
      </c>
      <c r="E1110" t="s">
        <v>3088</v>
      </c>
      <c r="F1110" t="s">
        <v>8877</v>
      </c>
      <c r="G1110" t="s">
        <v>3996</v>
      </c>
    </row>
    <row r="1111" spans="1:7" x14ac:dyDescent="0.25">
      <c r="A1111" t="s">
        <v>90</v>
      </c>
      <c r="B1111" t="s">
        <v>2318</v>
      </c>
      <c r="C1111">
        <v>2017</v>
      </c>
      <c r="E1111" t="s">
        <v>3088</v>
      </c>
      <c r="F1111" t="s">
        <v>9170</v>
      </c>
      <c r="G1111" t="s">
        <v>3996</v>
      </c>
    </row>
    <row r="1112" spans="1:7" x14ac:dyDescent="0.25">
      <c r="A1112" t="s">
        <v>930</v>
      </c>
      <c r="B1112" t="s">
        <v>2328</v>
      </c>
      <c r="C1112">
        <v>2015</v>
      </c>
      <c r="E1112" t="s">
        <v>3160</v>
      </c>
      <c r="F1112" t="s">
        <v>9822</v>
      </c>
      <c r="G1112" t="s">
        <v>187</v>
      </c>
    </row>
    <row r="1113" spans="1:7" x14ac:dyDescent="0.25">
      <c r="A1113" t="s">
        <v>2428</v>
      </c>
      <c r="B1113" t="s">
        <v>2328</v>
      </c>
      <c r="C1113">
        <v>2008</v>
      </c>
      <c r="E1113" t="s">
        <v>3160</v>
      </c>
      <c r="F1113" t="s">
        <v>9823</v>
      </c>
      <c r="G1113" t="s">
        <v>187</v>
      </c>
    </row>
    <row r="1114" spans="1:7" x14ac:dyDescent="0.25">
      <c r="A1114" t="s">
        <v>1435</v>
      </c>
      <c r="B1114" t="s">
        <v>7948</v>
      </c>
      <c r="C1114">
        <v>2021</v>
      </c>
      <c r="E1114" s="10" t="s">
        <v>7947</v>
      </c>
      <c r="F1114" t="s">
        <v>9824</v>
      </c>
      <c r="G1114" t="s">
        <v>187</v>
      </c>
    </row>
    <row r="1115" spans="1:7" x14ac:dyDescent="0.25">
      <c r="A1115" t="s">
        <v>90</v>
      </c>
      <c r="B1115" t="s">
        <v>7948</v>
      </c>
      <c r="C1115">
        <v>2017</v>
      </c>
      <c r="E1115" s="10" t="s">
        <v>7947</v>
      </c>
      <c r="F1115" t="s">
        <v>9825</v>
      </c>
      <c r="G1115" t="s">
        <v>187</v>
      </c>
    </row>
    <row r="1116" spans="1:7" x14ac:dyDescent="0.25">
      <c r="A1116" t="s">
        <v>260</v>
      </c>
      <c r="B1116" t="s">
        <v>2330</v>
      </c>
      <c r="C1116">
        <v>1990</v>
      </c>
      <c r="E1116" t="s">
        <v>3003</v>
      </c>
      <c r="F1116" t="s">
        <v>8488</v>
      </c>
      <c r="G1116" t="s">
        <v>3996</v>
      </c>
    </row>
    <row r="1117" spans="1:7" x14ac:dyDescent="0.25">
      <c r="A1117" t="s">
        <v>2695</v>
      </c>
      <c r="B1117" t="s">
        <v>2332</v>
      </c>
      <c r="C1117">
        <v>2025</v>
      </c>
      <c r="D1117" t="s">
        <v>187</v>
      </c>
      <c r="F1117" t="s">
        <v>9826</v>
      </c>
      <c r="G1117" t="s">
        <v>3996</v>
      </c>
    </row>
    <row r="1118" spans="1:7" x14ac:dyDescent="0.25">
      <c r="A1118" t="s">
        <v>8401</v>
      </c>
      <c r="B1118" t="s">
        <v>2339</v>
      </c>
      <c r="C1118">
        <v>2021</v>
      </c>
      <c r="E1118" t="s">
        <v>2982</v>
      </c>
      <c r="F1118" t="s">
        <v>8660</v>
      </c>
      <c r="G1118" t="s">
        <v>3996</v>
      </c>
    </row>
    <row r="1119" spans="1:7" x14ac:dyDescent="0.25">
      <c r="A1119" t="s">
        <v>2365</v>
      </c>
      <c r="B1119" t="s">
        <v>2339</v>
      </c>
      <c r="C1119">
        <v>2023</v>
      </c>
      <c r="E1119" t="s">
        <v>2982</v>
      </c>
      <c r="F1119" t="s">
        <v>9201</v>
      </c>
      <c r="G1119" t="s">
        <v>3996</v>
      </c>
    </row>
    <row r="1120" spans="1:7" x14ac:dyDescent="0.25">
      <c r="A1120" t="s">
        <v>2828</v>
      </c>
      <c r="B1120" t="s">
        <v>2339</v>
      </c>
      <c r="C1120">
        <v>2022</v>
      </c>
      <c r="D1120" t="s">
        <v>187</v>
      </c>
      <c r="F1120" t="s">
        <v>9827</v>
      </c>
      <c r="G1120" t="s">
        <v>3996</v>
      </c>
    </row>
    <row r="1121" spans="1:7" x14ac:dyDescent="0.25">
      <c r="A1121" t="s">
        <v>2428</v>
      </c>
      <c r="B1121" t="s">
        <v>2341</v>
      </c>
      <c r="C1121">
        <v>2008</v>
      </c>
      <c r="E1121" t="s">
        <v>2982</v>
      </c>
      <c r="F1121" t="s">
        <v>9236</v>
      </c>
      <c r="G1121" t="s">
        <v>3996</v>
      </c>
    </row>
    <row r="1122" spans="1:7" x14ac:dyDescent="0.25">
      <c r="A1122" t="s">
        <v>353</v>
      </c>
      <c r="B1122" t="s">
        <v>2344</v>
      </c>
      <c r="C1122">
        <v>2023</v>
      </c>
      <c r="E1122" t="s">
        <v>3045</v>
      </c>
      <c r="F1122" t="s">
        <v>9828</v>
      </c>
      <c r="G1122" t="s">
        <v>187</v>
      </c>
    </row>
    <row r="1123" spans="1:7" x14ac:dyDescent="0.25">
      <c r="A1123" t="s">
        <v>1795</v>
      </c>
      <c r="B1123" t="s">
        <v>2348</v>
      </c>
      <c r="C1123">
        <v>1987</v>
      </c>
      <c r="E1123" t="s">
        <v>3287</v>
      </c>
      <c r="F1123" t="s">
        <v>8960</v>
      </c>
      <c r="G1123" t="s">
        <v>3996</v>
      </c>
    </row>
    <row r="1124" spans="1:7" x14ac:dyDescent="0.25">
      <c r="A1124" t="s">
        <v>746</v>
      </c>
      <c r="B1124" t="s">
        <v>90</v>
      </c>
      <c r="C1124">
        <v>2015</v>
      </c>
      <c r="E1124" t="s">
        <v>3107</v>
      </c>
      <c r="F1124" t="s">
        <v>8623</v>
      </c>
      <c r="G1124" t="s">
        <v>3996</v>
      </c>
    </row>
    <row r="1125" spans="1:7" x14ac:dyDescent="0.25">
      <c r="A1125" t="s">
        <v>946</v>
      </c>
      <c r="B1125" t="s">
        <v>90</v>
      </c>
      <c r="C1125">
        <v>2014</v>
      </c>
      <c r="E1125" t="s">
        <v>3165</v>
      </c>
      <c r="F1125" t="s">
        <v>9829</v>
      </c>
      <c r="G1125" t="s">
        <v>187</v>
      </c>
    </row>
    <row r="1126" spans="1:7" x14ac:dyDescent="0.25">
      <c r="A1126" t="s">
        <v>1144</v>
      </c>
      <c r="B1126" t="s">
        <v>90</v>
      </c>
      <c r="C1126">
        <v>2012</v>
      </c>
      <c r="E1126" t="s">
        <v>3213</v>
      </c>
      <c r="F1126" t="s">
        <v>8781</v>
      </c>
      <c r="G1126" t="s">
        <v>3996</v>
      </c>
    </row>
    <row r="1127" spans="1:7" x14ac:dyDescent="0.25">
      <c r="A1127" t="s">
        <v>160</v>
      </c>
      <c r="B1127" t="s">
        <v>90</v>
      </c>
      <c r="C1127">
        <v>2011</v>
      </c>
      <c r="E1127" t="s">
        <v>3165</v>
      </c>
      <c r="F1127" t="s">
        <v>9830</v>
      </c>
      <c r="G1127" t="s">
        <v>187</v>
      </c>
    </row>
    <row r="1128" spans="1:7" x14ac:dyDescent="0.25">
      <c r="A1128" t="s">
        <v>90</v>
      </c>
      <c r="B1128" t="s">
        <v>38</v>
      </c>
      <c r="C1128">
        <v>2017</v>
      </c>
      <c r="D1128" t="s">
        <v>187</v>
      </c>
      <c r="F1128" t="s">
        <v>9831</v>
      </c>
      <c r="G1128" t="s">
        <v>3996</v>
      </c>
    </row>
    <row r="1129" spans="1:7" x14ac:dyDescent="0.25">
      <c r="A1129" t="s">
        <v>1144</v>
      </c>
      <c r="B1129" t="s">
        <v>2361</v>
      </c>
      <c r="C1129">
        <v>2012</v>
      </c>
      <c r="E1129" t="s">
        <v>2982</v>
      </c>
      <c r="F1129" t="s">
        <v>8782</v>
      </c>
      <c r="G1129" t="s">
        <v>3996</v>
      </c>
    </row>
    <row r="1130" spans="1:7" x14ac:dyDescent="0.25">
      <c r="A1130" t="s">
        <v>90</v>
      </c>
      <c r="B1130" t="s">
        <v>2361</v>
      </c>
      <c r="C1130">
        <v>2017</v>
      </c>
      <c r="E1130" t="s">
        <v>2982</v>
      </c>
      <c r="F1130" t="s">
        <v>9171</v>
      </c>
      <c r="G1130" t="s">
        <v>3996</v>
      </c>
    </row>
    <row r="1131" spans="1:7" x14ac:dyDescent="0.25">
      <c r="A1131" t="s">
        <v>2365</v>
      </c>
      <c r="B1131" t="s">
        <v>8388</v>
      </c>
      <c r="C1131">
        <v>2023</v>
      </c>
      <c r="D1131" t="s">
        <v>187</v>
      </c>
      <c r="F1131" t="s">
        <v>9832</v>
      </c>
      <c r="G1131" t="s">
        <v>3996</v>
      </c>
    </row>
    <row r="1132" spans="1:7" x14ac:dyDescent="0.25">
      <c r="A1132" t="s">
        <v>185</v>
      </c>
      <c r="B1132" t="s">
        <v>2365</v>
      </c>
      <c r="C1132">
        <v>2022</v>
      </c>
      <c r="E1132" s="10" t="s">
        <v>2368</v>
      </c>
      <c r="F1132" t="s">
        <v>8468</v>
      </c>
      <c r="G1132" t="s">
        <v>3996</v>
      </c>
    </row>
    <row r="1133" spans="1:7" x14ac:dyDescent="0.25">
      <c r="A1133" t="s">
        <v>497</v>
      </c>
      <c r="B1133" t="s">
        <v>2365</v>
      </c>
      <c r="C1133">
        <v>2022</v>
      </c>
      <c r="E1133" s="10" t="s">
        <v>2368</v>
      </c>
      <c r="F1133" t="s">
        <v>8575</v>
      </c>
      <c r="G1133" t="s">
        <v>3996</v>
      </c>
    </row>
    <row r="1134" spans="1:7" x14ac:dyDescent="0.25">
      <c r="A1134" t="s">
        <v>8401</v>
      </c>
      <c r="B1134" t="s">
        <v>2365</v>
      </c>
      <c r="C1134">
        <v>2021</v>
      </c>
      <c r="D1134" t="s">
        <v>187</v>
      </c>
      <c r="F1134" t="s">
        <v>9833</v>
      </c>
      <c r="G1134" t="s">
        <v>3996</v>
      </c>
    </row>
    <row r="1135" spans="1:7" x14ac:dyDescent="0.25">
      <c r="A1135" t="s">
        <v>924</v>
      </c>
      <c r="B1135" t="s">
        <v>2365</v>
      </c>
      <c r="C1135">
        <v>2019</v>
      </c>
      <c r="E1135" s="10" t="s">
        <v>2368</v>
      </c>
      <c r="F1135" t="s">
        <v>9834</v>
      </c>
      <c r="G1135" t="s">
        <v>187</v>
      </c>
    </row>
    <row r="1136" spans="1:7" x14ac:dyDescent="0.25">
      <c r="A1136" t="s">
        <v>1302</v>
      </c>
      <c r="B1136" t="s">
        <v>2365</v>
      </c>
      <c r="C1136">
        <v>2023</v>
      </c>
      <c r="E1136" s="10" t="s">
        <v>2368</v>
      </c>
      <c r="F1136" t="s">
        <v>8843</v>
      </c>
      <c r="G1136" t="s">
        <v>3996</v>
      </c>
    </row>
    <row r="1137" spans="1:7" x14ac:dyDescent="0.25">
      <c r="A1137" t="s">
        <v>2397</v>
      </c>
      <c r="B1137" t="s">
        <v>2365</v>
      </c>
      <c r="C1137">
        <v>2022</v>
      </c>
      <c r="E1137" s="10" t="s">
        <v>2368</v>
      </c>
      <c r="F1137" t="s">
        <v>9207</v>
      </c>
      <c r="G1137" t="s">
        <v>3996</v>
      </c>
    </row>
    <row r="1138" spans="1:7" x14ac:dyDescent="0.25">
      <c r="A1138" t="s">
        <v>2804</v>
      </c>
      <c r="B1138" t="s">
        <v>2365</v>
      </c>
      <c r="C1138">
        <v>2021</v>
      </c>
      <c r="E1138" s="10" t="s">
        <v>8387</v>
      </c>
      <c r="F1138" t="s">
        <v>9365</v>
      </c>
      <c r="G1138" t="s">
        <v>3996</v>
      </c>
    </row>
    <row r="1139" spans="1:7" x14ac:dyDescent="0.25">
      <c r="A1139" t="s">
        <v>1565</v>
      </c>
      <c r="B1139" t="s">
        <v>2369</v>
      </c>
      <c r="C1139">
        <v>2023</v>
      </c>
      <c r="E1139" t="s">
        <v>3260</v>
      </c>
      <c r="F1139" t="s">
        <v>8889</v>
      </c>
      <c r="G1139" t="s">
        <v>3996</v>
      </c>
    </row>
    <row r="1140" spans="1:7" x14ac:dyDescent="0.25">
      <c r="A1140" t="s">
        <v>1576</v>
      </c>
      <c r="B1140" t="s">
        <v>2369</v>
      </c>
      <c r="C1140">
        <v>2021</v>
      </c>
      <c r="E1140" t="s">
        <v>3260</v>
      </c>
      <c r="F1140" t="s">
        <v>8908</v>
      </c>
      <c r="G1140" t="s">
        <v>3996</v>
      </c>
    </row>
    <row r="1141" spans="1:7" x14ac:dyDescent="0.25">
      <c r="A1141" t="s">
        <v>1761</v>
      </c>
      <c r="B1141" t="s">
        <v>2369</v>
      </c>
      <c r="C1141">
        <v>1995</v>
      </c>
      <c r="E1141" t="s">
        <v>3260</v>
      </c>
      <c r="F1141" t="s">
        <v>8938</v>
      </c>
      <c r="G1141" t="s">
        <v>3996</v>
      </c>
    </row>
    <row r="1142" spans="1:7" x14ac:dyDescent="0.25">
      <c r="A1142" t="s">
        <v>90</v>
      </c>
      <c r="B1142" t="s">
        <v>2369</v>
      </c>
      <c r="C1142">
        <v>2017</v>
      </c>
      <c r="E1142" t="s">
        <v>3260</v>
      </c>
      <c r="F1142" t="s">
        <v>9172</v>
      </c>
      <c r="G1142" t="s">
        <v>3996</v>
      </c>
    </row>
    <row r="1143" spans="1:7" x14ac:dyDescent="0.25">
      <c r="A1143" t="s">
        <v>353</v>
      </c>
      <c r="B1143" t="s">
        <v>2371</v>
      </c>
      <c r="C1143">
        <v>2023</v>
      </c>
      <c r="E1143" t="s">
        <v>3046</v>
      </c>
      <c r="F1143" t="s">
        <v>8542</v>
      </c>
      <c r="G1143" t="s">
        <v>3996</v>
      </c>
    </row>
    <row r="1144" spans="1:7" x14ac:dyDescent="0.25">
      <c r="A1144" t="s">
        <v>90</v>
      </c>
      <c r="B1144" t="s">
        <v>2371</v>
      </c>
      <c r="C1144">
        <v>2017</v>
      </c>
      <c r="E1144" t="s">
        <v>3046</v>
      </c>
      <c r="F1144" t="s">
        <v>9173</v>
      </c>
      <c r="G1144" t="s">
        <v>3996</v>
      </c>
    </row>
    <row r="1145" spans="1:7" x14ac:dyDescent="0.25">
      <c r="A1145" t="s">
        <v>353</v>
      </c>
      <c r="B1145" t="s">
        <v>2381</v>
      </c>
      <c r="C1145">
        <v>2023</v>
      </c>
      <c r="E1145" t="s">
        <v>3047</v>
      </c>
      <c r="F1145" t="s">
        <v>8543</v>
      </c>
      <c r="G1145" t="s">
        <v>3996</v>
      </c>
    </row>
    <row r="1146" spans="1:7" x14ac:dyDescent="0.25">
      <c r="A1146" t="s">
        <v>778</v>
      </c>
      <c r="B1146" t="s">
        <v>2381</v>
      </c>
      <c r="C1146">
        <v>2023</v>
      </c>
      <c r="E1146" t="s">
        <v>3047</v>
      </c>
      <c r="F1146" t="s">
        <v>8651</v>
      </c>
      <c r="G1146" t="s">
        <v>3996</v>
      </c>
    </row>
    <row r="1147" spans="1:7" x14ac:dyDescent="0.25">
      <c r="A1147" t="s">
        <v>2804</v>
      </c>
      <c r="B1147" t="s">
        <v>2381</v>
      </c>
      <c r="C1147">
        <v>2021</v>
      </c>
      <c r="E1147" t="s">
        <v>2982</v>
      </c>
      <c r="F1147" t="s">
        <v>9366</v>
      </c>
      <c r="G1147" t="s">
        <v>3996</v>
      </c>
    </row>
    <row r="1148" spans="1:7" x14ac:dyDescent="0.25">
      <c r="A1148" t="s">
        <v>353</v>
      </c>
      <c r="B1148" t="s">
        <v>2385</v>
      </c>
      <c r="C1148">
        <v>2023</v>
      </c>
      <c r="E1148" t="s">
        <v>3048</v>
      </c>
      <c r="F1148" t="s">
        <v>9835</v>
      </c>
      <c r="G1148" t="s">
        <v>187</v>
      </c>
    </row>
    <row r="1149" spans="1:7" x14ac:dyDescent="0.25">
      <c r="A1149" t="s">
        <v>873</v>
      </c>
      <c r="B1149" t="s">
        <v>2385</v>
      </c>
      <c r="C1149">
        <v>2019</v>
      </c>
      <c r="E1149" s="10" t="s">
        <v>8419</v>
      </c>
      <c r="F1149" t="s">
        <v>9836</v>
      </c>
      <c r="G1149" t="s">
        <v>187</v>
      </c>
    </row>
    <row r="1150" spans="1:7" x14ac:dyDescent="0.25">
      <c r="A1150" t="s">
        <v>1435</v>
      </c>
      <c r="B1150" t="s">
        <v>2385</v>
      </c>
      <c r="C1150">
        <v>2021</v>
      </c>
      <c r="E1150" s="10" t="s">
        <v>8419</v>
      </c>
      <c r="F1150" t="s">
        <v>8860</v>
      </c>
      <c r="G1150" t="s">
        <v>3996</v>
      </c>
    </row>
    <row r="1151" spans="1:7" x14ac:dyDescent="0.25">
      <c r="A1151" t="s">
        <v>1144</v>
      </c>
      <c r="B1151" t="s">
        <v>2389</v>
      </c>
      <c r="C1151">
        <v>2012</v>
      </c>
      <c r="E1151" t="s">
        <v>3214</v>
      </c>
      <c r="F1151" t="s">
        <v>9837</v>
      </c>
      <c r="G1151" t="s">
        <v>187</v>
      </c>
    </row>
    <row r="1152" spans="1:7" x14ac:dyDescent="0.25">
      <c r="A1152" t="s">
        <v>256</v>
      </c>
      <c r="B1152" t="s">
        <v>2393</v>
      </c>
      <c r="C1152">
        <v>1994</v>
      </c>
      <c r="E1152" t="s">
        <v>2997</v>
      </c>
      <c r="F1152" t="s">
        <v>8481</v>
      </c>
      <c r="G1152" t="s">
        <v>3996</v>
      </c>
    </row>
    <row r="1153" spans="1:7" x14ac:dyDescent="0.25">
      <c r="A1153" t="s">
        <v>2792</v>
      </c>
      <c r="B1153" t="s">
        <v>2393</v>
      </c>
      <c r="C1153">
        <v>1992</v>
      </c>
      <c r="E1153" t="s">
        <v>2997</v>
      </c>
      <c r="F1153" t="s">
        <v>9339</v>
      </c>
      <c r="G1153" t="s">
        <v>3996</v>
      </c>
    </row>
    <row r="1154" spans="1:7" x14ac:dyDescent="0.25">
      <c r="A1154" t="s">
        <v>1004</v>
      </c>
      <c r="B1154" t="s">
        <v>2395</v>
      </c>
      <c r="C1154">
        <v>2006</v>
      </c>
      <c r="E1154" t="s">
        <v>3173</v>
      </c>
      <c r="F1154" t="s">
        <v>8724</v>
      </c>
      <c r="G1154" t="s">
        <v>3996</v>
      </c>
    </row>
    <row r="1155" spans="1:7" x14ac:dyDescent="0.25">
      <c r="A1155" t="s">
        <v>2393</v>
      </c>
      <c r="B1155" t="s">
        <v>2395</v>
      </c>
      <c r="C1155">
        <v>2022</v>
      </c>
      <c r="D1155" t="s">
        <v>187</v>
      </c>
      <c r="F1155" t="s">
        <v>9838</v>
      </c>
      <c r="G1155" t="s">
        <v>3996</v>
      </c>
    </row>
    <row r="1156" spans="1:7" x14ac:dyDescent="0.25">
      <c r="A1156" t="s">
        <v>1294</v>
      </c>
      <c r="B1156" t="s">
        <v>2397</v>
      </c>
      <c r="C1156">
        <v>2019</v>
      </c>
      <c r="E1156" t="s">
        <v>3235</v>
      </c>
      <c r="F1156" t="s">
        <v>8830</v>
      </c>
      <c r="G1156" t="s">
        <v>3996</v>
      </c>
    </row>
    <row r="1157" spans="1:7" x14ac:dyDescent="0.25">
      <c r="A1157" t="s">
        <v>2136</v>
      </c>
      <c r="B1157" t="s">
        <v>2397</v>
      </c>
      <c r="C1157">
        <v>2020</v>
      </c>
      <c r="E1157" s="10" t="s">
        <v>8393</v>
      </c>
      <c r="F1157" t="s">
        <v>9032</v>
      </c>
      <c r="G1157" t="s">
        <v>3996</v>
      </c>
    </row>
    <row r="1158" spans="1:7" x14ac:dyDescent="0.25">
      <c r="A1158" t="s">
        <v>2804</v>
      </c>
      <c r="B1158" t="s">
        <v>2397</v>
      </c>
      <c r="C1158">
        <v>2021</v>
      </c>
      <c r="E1158" t="s">
        <v>3235</v>
      </c>
      <c r="F1158" t="s">
        <v>9367</v>
      </c>
      <c r="G1158" t="s">
        <v>3996</v>
      </c>
    </row>
    <row r="1159" spans="1:7" x14ac:dyDescent="0.25">
      <c r="A1159" t="s">
        <v>759</v>
      </c>
      <c r="B1159" t="s">
        <v>2403</v>
      </c>
      <c r="C1159">
        <v>2018</v>
      </c>
      <c r="E1159" t="s">
        <v>3122</v>
      </c>
      <c r="F1159" t="s">
        <v>8643</v>
      </c>
      <c r="G1159" t="s">
        <v>3996</v>
      </c>
    </row>
    <row r="1160" spans="1:7" x14ac:dyDescent="0.25">
      <c r="A1160" t="s">
        <v>2173</v>
      </c>
      <c r="B1160" t="s">
        <v>2403</v>
      </c>
      <c r="C1160">
        <v>2013</v>
      </c>
      <c r="E1160" t="s">
        <v>3122</v>
      </c>
      <c r="F1160" t="s">
        <v>9071</v>
      </c>
      <c r="G1160" t="s">
        <v>3996</v>
      </c>
    </row>
    <row r="1161" spans="1:7" x14ac:dyDescent="0.25">
      <c r="A1161" t="s">
        <v>160</v>
      </c>
      <c r="B1161" t="s">
        <v>2403</v>
      </c>
      <c r="C1161">
        <v>2011</v>
      </c>
      <c r="E1161" t="s">
        <v>3122</v>
      </c>
      <c r="F1161" t="s">
        <v>9313</v>
      </c>
      <c r="G1161" t="s">
        <v>3996</v>
      </c>
    </row>
    <row r="1162" spans="1:7" x14ac:dyDescent="0.25">
      <c r="A1162" t="s">
        <v>490</v>
      </c>
      <c r="B1162" t="s">
        <v>2406</v>
      </c>
      <c r="C1162">
        <v>2009</v>
      </c>
      <c r="E1162" t="s">
        <v>3062</v>
      </c>
      <c r="F1162" t="s">
        <v>8561</v>
      </c>
      <c r="G1162" t="s">
        <v>3996</v>
      </c>
    </row>
    <row r="1163" spans="1:7" x14ac:dyDescent="0.25">
      <c r="A1163" t="s">
        <v>922</v>
      </c>
      <c r="B1163" t="s">
        <v>2406</v>
      </c>
      <c r="C1163">
        <v>2002</v>
      </c>
      <c r="E1163" t="s">
        <v>3062</v>
      </c>
      <c r="F1163" t="s">
        <v>8699</v>
      </c>
      <c r="G1163" t="s">
        <v>3996</v>
      </c>
    </row>
    <row r="1164" spans="1:7" x14ac:dyDescent="0.25">
      <c r="A1164" t="s">
        <v>746</v>
      </c>
      <c r="B1164" t="s">
        <v>8117</v>
      </c>
      <c r="C1164">
        <v>2015</v>
      </c>
      <c r="E1164" s="10" t="s">
        <v>8131</v>
      </c>
      <c r="F1164" t="s">
        <v>9839</v>
      </c>
      <c r="G1164" t="s">
        <v>187</v>
      </c>
    </row>
    <row r="1165" spans="1:7" x14ac:dyDescent="0.25">
      <c r="A1165" t="s">
        <v>914</v>
      </c>
      <c r="B1165" t="s">
        <v>8117</v>
      </c>
      <c r="C1165">
        <v>2013</v>
      </c>
      <c r="E1165" s="10" t="s">
        <v>8131</v>
      </c>
      <c r="F1165" t="s">
        <v>9840</v>
      </c>
      <c r="G1165" t="s">
        <v>187</v>
      </c>
    </row>
    <row r="1166" spans="1:7" x14ac:dyDescent="0.25">
      <c r="A1166" t="s">
        <v>1255</v>
      </c>
      <c r="B1166" t="s">
        <v>8117</v>
      </c>
      <c r="C1166">
        <v>2020</v>
      </c>
      <c r="E1166" s="10" t="s">
        <v>8131</v>
      </c>
      <c r="F1166" t="s">
        <v>9841</v>
      </c>
      <c r="G1166" t="s">
        <v>187</v>
      </c>
    </row>
    <row r="1167" spans="1:7" x14ac:dyDescent="0.25">
      <c r="A1167" t="s">
        <v>1294</v>
      </c>
      <c r="B1167" t="s">
        <v>8117</v>
      </c>
      <c r="C1167">
        <v>2019</v>
      </c>
      <c r="E1167" s="10" t="s">
        <v>8131</v>
      </c>
      <c r="F1167" t="s">
        <v>9842</v>
      </c>
      <c r="G1167" t="s">
        <v>187</v>
      </c>
    </row>
    <row r="1168" spans="1:7" x14ac:dyDescent="0.25">
      <c r="A1168" t="s">
        <v>1144</v>
      </c>
      <c r="B1168" t="s">
        <v>7856</v>
      </c>
      <c r="C1168">
        <v>2012</v>
      </c>
      <c r="E1168" t="s">
        <v>7855</v>
      </c>
      <c r="F1168" t="s">
        <v>8783</v>
      </c>
      <c r="G1168" t="s">
        <v>3996</v>
      </c>
    </row>
    <row r="1169" spans="1:7" x14ac:dyDescent="0.25">
      <c r="A1169" t="s">
        <v>2173</v>
      </c>
      <c r="B1169" t="s">
        <v>7856</v>
      </c>
      <c r="C1169">
        <v>2013</v>
      </c>
      <c r="E1169" t="s">
        <v>7858</v>
      </c>
      <c r="F1169" t="s">
        <v>9072</v>
      </c>
      <c r="G1169" t="s">
        <v>3996</v>
      </c>
    </row>
    <row r="1170" spans="1:7" x14ac:dyDescent="0.25">
      <c r="A1170" t="s">
        <v>160</v>
      </c>
      <c r="B1170" t="s">
        <v>7856</v>
      </c>
      <c r="C1170">
        <v>2011</v>
      </c>
      <c r="E1170" t="s">
        <v>7855</v>
      </c>
      <c r="F1170" t="s">
        <v>9314</v>
      </c>
      <c r="G1170" t="s">
        <v>3996</v>
      </c>
    </row>
    <row r="1171" spans="1:7" x14ac:dyDescent="0.25">
      <c r="A1171" t="s">
        <v>2804</v>
      </c>
      <c r="B1171" t="s">
        <v>2410</v>
      </c>
      <c r="C1171">
        <v>2021</v>
      </c>
      <c r="E1171" t="s">
        <v>3013</v>
      </c>
      <c r="F1171" t="s">
        <v>9843</v>
      </c>
      <c r="G1171" t="s">
        <v>187</v>
      </c>
    </row>
    <row r="1172" spans="1:7" x14ac:dyDescent="0.25">
      <c r="A1172" t="s">
        <v>1385</v>
      </c>
      <c r="B1172" t="s">
        <v>2414</v>
      </c>
      <c r="C1172">
        <v>2013</v>
      </c>
      <c r="E1172" s="10" t="s">
        <v>8412</v>
      </c>
      <c r="F1172" t="s">
        <v>9844</v>
      </c>
      <c r="G1172" t="s">
        <v>187</v>
      </c>
    </row>
    <row r="1173" spans="1:7" x14ac:dyDescent="0.25">
      <c r="A1173" t="s">
        <v>1443</v>
      </c>
      <c r="B1173" t="s">
        <v>2414</v>
      </c>
      <c r="C1173">
        <v>2018</v>
      </c>
      <c r="E1173" t="s">
        <v>3253</v>
      </c>
      <c r="F1173" t="s">
        <v>9845</v>
      </c>
      <c r="G1173" t="s">
        <v>187</v>
      </c>
    </row>
    <row r="1174" spans="1:7" x14ac:dyDescent="0.25">
      <c r="A1174" t="s">
        <v>1855</v>
      </c>
      <c r="B1174" t="s">
        <v>2414</v>
      </c>
      <c r="C1174">
        <v>2015</v>
      </c>
      <c r="E1174" s="10" t="s">
        <v>8412</v>
      </c>
      <c r="F1174" t="s">
        <v>8991</v>
      </c>
      <c r="G1174" t="s">
        <v>3996</v>
      </c>
    </row>
    <row r="1175" spans="1:7" x14ac:dyDescent="0.25">
      <c r="A1175" t="s">
        <v>873</v>
      </c>
      <c r="B1175" t="s">
        <v>2416</v>
      </c>
      <c r="C1175">
        <v>2019</v>
      </c>
      <c r="E1175" t="s">
        <v>2982</v>
      </c>
      <c r="F1175" t="s">
        <v>9846</v>
      </c>
      <c r="G1175" t="s">
        <v>187</v>
      </c>
    </row>
    <row r="1176" spans="1:7" x14ac:dyDescent="0.25">
      <c r="A1176" t="s">
        <v>90</v>
      </c>
      <c r="B1176" t="s">
        <v>2416</v>
      </c>
      <c r="C1176">
        <v>2017</v>
      </c>
      <c r="E1176" t="s">
        <v>2982</v>
      </c>
      <c r="F1176" t="s">
        <v>9847</v>
      </c>
      <c r="G1176" t="s">
        <v>187</v>
      </c>
    </row>
    <row r="1177" spans="1:7" x14ac:dyDescent="0.25">
      <c r="A1177" t="s">
        <v>2428</v>
      </c>
      <c r="B1177" t="s">
        <v>2420</v>
      </c>
      <c r="C1177">
        <v>2008</v>
      </c>
      <c r="D1177" t="s">
        <v>187</v>
      </c>
      <c r="F1177" t="s">
        <v>9848</v>
      </c>
      <c r="G1177" t="s">
        <v>3996</v>
      </c>
    </row>
    <row r="1178" spans="1:7" x14ac:dyDescent="0.25">
      <c r="A1178" t="s">
        <v>2420</v>
      </c>
      <c r="B1178" t="s">
        <v>2424</v>
      </c>
      <c r="C1178">
        <v>2012</v>
      </c>
      <c r="D1178" t="s">
        <v>187</v>
      </c>
      <c r="F1178" t="s">
        <v>9849</v>
      </c>
      <c r="G1178" t="s">
        <v>3996</v>
      </c>
    </row>
    <row r="1179" spans="1:7" x14ac:dyDescent="0.25">
      <c r="A1179" t="s">
        <v>1795</v>
      </c>
      <c r="B1179" t="s">
        <v>2428</v>
      </c>
      <c r="C1179">
        <v>1987</v>
      </c>
      <c r="E1179" t="s">
        <v>3288</v>
      </c>
      <c r="F1179" t="s">
        <v>8961</v>
      </c>
      <c r="G1179" t="s">
        <v>3996</v>
      </c>
    </row>
    <row r="1180" spans="1:7" x14ac:dyDescent="0.25">
      <c r="A1180" t="s">
        <v>346</v>
      </c>
      <c r="B1180" t="s">
        <v>2431</v>
      </c>
      <c r="C1180">
        <v>2022</v>
      </c>
      <c r="E1180" t="s">
        <v>2982</v>
      </c>
      <c r="F1180" t="s">
        <v>8507</v>
      </c>
      <c r="G1180" t="s">
        <v>3996</v>
      </c>
    </row>
    <row r="1181" spans="1:7" x14ac:dyDescent="0.25">
      <c r="A1181" t="s">
        <v>1576</v>
      </c>
      <c r="B1181" t="s">
        <v>2431</v>
      </c>
      <c r="C1181">
        <v>2021</v>
      </c>
      <c r="E1181" t="s">
        <v>2982</v>
      </c>
      <c r="F1181" t="s">
        <v>8909</v>
      </c>
      <c r="G1181" t="s">
        <v>3996</v>
      </c>
    </row>
    <row r="1182" spans="1:7" x14ac:dyDescent="0.25">
      <c r="A1182" t="s">
        <v>90</v>
      </c>
      <c r="B1182" t="s">
        <v>2431</v>
      </c>
      <c r="C1182">
        <v>2017</v>
      </c>
      <c r="E1182" t="s">
        <v>2982</v>
      </c>
      <c r="F1182" t="s">
        <v>9174</v>
      </c>
      <c r="G1182" t="s">
        <v>3996</v>
      </c>
    </row>
    <row r="1183" spans="1:7" x14ac:dyDescent="0.25">
      <c r="A1183" t="s">
        <v>1592</v>
      </c>
      <c r="B1183" t="s">
        <v>2435</v>
      </c>
      <c r="C1183">
        <v>2019</v>
      </c>
      <c r="E1183" s="10" t="s">
        <v>8375</v>
      </c>
      <c r="F1183" t="s">
        <v>8913</v>
      </c>
      <c r="G1183" t="s">
        <v>3996</v>
      </c>
    </row>
    <row r="1184" spans="1:7" x14ac:dyDescent="0.25">
      <c r="A1184" t="s">
        <v>2804</v>
      </c>
      <c r="B1184" t="s">
        <v>2435</v>
      </c>
      <c r="C1184">
        <v>2021</v>
      </c>
      <c r="E1184" t="s">
        <v>3013</v>
      </c>
      <c r="F1184" t="s">
        <v>9850</v>
      </c>
      <c r="G1184" t="s">
        <v>187</v>
      </c>
    </row>
    <row r="1185" spans="1:7" x14ac:dyDescent="0.25">
      <c r="A1185" t="s">
        <v>1294</v>
      </c>
      <c r="B1185" t="s">
        <v>2439</v>
      </c>
      <c r="C1185">
        <v>2019</v>
      </c>
      <c r="E1185" t="s">
        <v>2982</v>
      </c>
      <c r="F1185" t="s">
        <v>8831</v>
      </c>
      <c r="G1185" t="s">
        <v>3996</v>
      </c>
    </row>
    <row r="1186" spans="1:7" x14ac:dyDescent="0.25">
      <c r="A1186" t="s">
        <v>90</v>
      </c>
      <c r="B1186" t="s">
        <v>2439</v>
      </c>
      <c r="C1186">
        <v>2017</v>
      </c>
      <c r="E1186" t="s">
        <v>2982</v>
      </c>
      <c r="F1186" t="s">
        <v>9175</v>
      </c>
      <c r="G1186" t="s">
        <v>3996</v>
      </c>
    </row>
    <row r="1187" spans="1:7" x14ac:dyDescent="0.25">
      <c r="A1187" t="s">
        <v>2428</v>
      </c>
      <c r="B1187" t="s">
        <v>2443</v>
      </c>
      <c r="C1187">
        <v>2008</v>
      </c>
      <c r="E1187" t="s">
        <v>2446</v>
      </c>
      <c r="F1187" t="s">
        <v>9237</v>
      </c>
      <c r="G1187" t="s">
        <v>3996</v>
      </c>
    </row>
    <row r="1188" spans="1:7" x14ac:dyDescent="0.25">
      <c r="A1188" t="s">
        <v>256</v>
      </c>
      <c r="B1188" t="s">
        <v>2447</v>
      </c>
      <c r="C1188">
        <v>1994</v>
      </c>
      <c r="E1188" t="s">
        <v>2998</v>
      </c>
      <c r="F1188" t="s">
        <v>8482</v>
      </c>
      <c r="G1188" t="s">
        <v>3996</v>
      </c>
    </row>
    <row r="1189" spans="1:7" x14ac:dyDescent="0.25">
      <c r="A1189" t="s">
        <v>553</v>
      </c>
      <c r="B1189" t="s">
        <v>2447</v>
      </c>
      <c r="C1189">
        <v>2010</v>
      </c>
      <c r="D1189" t="s">
        <v>187</v>
      </c>
      <c r="F1189" t="s">
        <v>9851</v>
      </c>
      <c r="G1189" t="s">
        <v>3996</v>
      </c>
    </row>
    <row r="1190" spans="1:7" x14ac:dyDescent="0.25">
      <c r="A1190" t="s">
        <v>353</v>
      </c>
      <c r="B1190" t="s">
        <v>2455</v>
      </c>
      <c r="C1190">
        <v>2023</v>
      </c>
      <c r="E1190" t="s">
        <v>3013</v>
      </c>
      <c r="F1190" t="s">
        <v>9852</v>
      </c>
      <c r="G1190" t="s">
        <v>187</v>
      </c>
    </row>
    <row r="1191" spans="1:7" x14ac:dyDescent="0.25">
      <c r="A1191" t="s">
        <v>2377</v>
      </c>
      <c r="B1191" t="s">
        <v>2455</v>
      </c>
      <c r="C1191">
        <v>2021</v>
      </c>
      <c r="E1191" t="s">
        <v>2982</v>
      </c>
      <c r="F1191" t="s">
        <v>9206</v>
      </c>
      <c r="G1191" t="s">
        <v>3996</v>
      </c>
    </row>
    <row r="1192" spans="1:7" x14ac:dyDescent="0.25">
      <c r="A1192" t="s">
        <v>160</v>
      </c>
      <c r="B1192" t="s">
        <v>2459</v>
      </c>
      <c r="C1192">
        <v>2011</v>
      </c>
      <c r="E1192" t="s">
        <v>3414</v>
      </c>
      <c r="F1192" t="s">
        <v>9315</v>
      </c>
      <c r="G1192" t="s">
        <v>3996</v>
      </c>
    </row>
    <row r="1193" spans="1:7" x14ac:dyDescent="0.25">
      <c r="A1193" t="s">
        <v>759</v>
      </c>
      <c r="B1193" t="s">
        <v>8340</v>
      </c>
      <c r="C1193">
        <v>2018</v>
      </c>
      <c r="E1193" s="10" t="s">
        <v>8350</v>
      </c>
      <c r="F1193" t="s">
        <v>9853</v>
      </c>
      <c r="G1193" t="s">
        <v>187</v>
      </c>
    </row>
    <row r="1194" spans="1:7" x14ac:dyDescent="0.25">
      <c r="A1194" t="s">
        <v>1443</v>
      </c>
      <c r="B1194" t="s">
        <v>8340</v>
      </c>
      <c r="C1194">
        <v>2018</v>
      </c>
      <c r="E1194" s="10" t="s">
        <v>8350</v>
      </c>
      <c r="F1194" t="s">
        <v>9854</v>
      </c>
      <c r="G1194" t="s">
        <v>187</v>
      </c>
    </row>
    <row r="1195" spans="1:7" x14ac:dyDescent="0.25">
      <c r="A1195" t="s">
        <v>90</v>
      </c>
      <c r="B1195" t="s">
        <v>8340</v>
      </c>
      <c r="C1195">
        <v>2017</v>
      </c>
      <c r="E1195" s="10" t="s">
        <v>8350</v>
      </c>
      <c r="F1195" t="s">
        <v>9855</v>
      </c>
      <c r="G1195" t="s">
        <v>187</v>
      </c>
    </row>
    <row r="1196" spans="1:7" x14ac:dyDescent="0.25">
      <c r="A1196" t="s">
        <v>185</v>
      </c>
      <c r="B1196" t="s">
        <v>2463</v>
      </c>
      <c r="C1196">
        <v>2022</v>
      </c>
      <c r="E1196" s="10" t="s">
        <v>2466</v>
      </c>
      <c r="F1196" t="s">
        <v>8469</v>
      </c>
      <c r="G1196" t="s">
        <v>3996</v>
      </c>
    </row>
    <row r="1197" spans="1:7" x14ac:dyDescent="0.25">
      <c r="A1197" t="s">
        <v>457</v>
      </c>
      <c r="B1197" t="s">
        <v>2463</v>
      </c>
      <c r="C1197">
        <v>2022</v>
      </c>
      <c r="E1197" s="10" t="s">
        <v>2466</v>
      </c>
      <c r="F1197" t="s">
        <v>8553</v>
      </c>
      <c r="G1197" t="s">
        <v>3996</v>
      </c>
    </row>
    <row r="1198" spans="1:7" x14ac:dyDescent="0.25">
      <c r="A1198" t="s">
        <v>497</v>
      </c>
      <c r="B1198" t="s">
        <v>2463</v>
      </c>
      <c r="C1198">
        <v>2022</v>
      </c>
      <c r="E1198" s="10" t="s">
        <v>2466</v>
      </c>
      <c r="F1198" t="s">
        <v>8576</v>
      </c>
      <c r="G1198" t="s">
        <v>3996</v>
      </c>
    </row>
    <row r="1199" spans="1:7" x14ac:dyDescent="0.25">
      <c r="A1199" t="s">
        <v>1843</v>
      </c>
      <c r="B1199" t="s">
        <v>2463</v>
      </c>
      <c r="C1199">
        <v>2019</v>
      </c>
      <c r="E1199" s="10" t="s">
        <v>2466</v>
      </c>
      <c r="F1199" t="s">
        <v>8971</v>
      </c>
      <c r="G1199" t="s">
        <v>3996</v>
      </c>
    </row>
    <row r="1200" spans="1:7" x14ac:dyDescent="0.25">
      <c r="A1200" t="s">
        <v>2192</v>
      </c>
      <c r="B1200" t="s">
        <v>2463</v>
      </c>
      <c r="C1200">
        <v>2022</v>
      </c>
      <c r="E1200" s="10" t="s">
        <v>2466</v>
      </c>
      <c r="F1200" t="s">
        <v>9077</v>
      </c>
      <c r="G1200" t="s">
        <v>3996</v>
      </c>
    </row>
    <row r="1201" spans="1:7" x14ac:dyDescent="0.25">
      <c r="A1201" t="s">
        <v>8383</v>
      </c>
      <c r="B1201" t="s">
        <v>2463</v>
      </c>
      <c r="C1201">
        <v>2022</v>
      </c>
      <c r="E1201" s="10" t="s">
        <v>2466</v>
      </c>
      <c r="F1201" t="s">
        <v>9080</v>
      </c>
      <c r="G1201" t="s">
        <v>3996</v>
      </c>
    </row>
    <row r="1202" spans="1:7" x14ac:dyDescent="0.25">
      <c r="A1202" t="s">
        <v>2397</v>
      </c>
      <c r="B1202" t="s">
        <v>2463</v>
      </c>
      <c r="C1202">
        <v>2022</v>
      </c>
      <c r="E1202" s="10" t="s">
        <v>2466</v>
      </c>
      <c r="F1202" t="s">
        <v>9208</v>
      </c>
      <c r="G1202" t="s">
        <v>3996</v>
      </c>
    </row>
    <row r="1203" spans="1:7" x14ac:dyDescent="0.25">
      <c r="A1203" t="s">
        <v>2410</v>
      </c>
      <c r="B1203" t="s">
        <v>2463</v>
      </c>
      <c r="C1203">
        <v>2022</v>
      </c>
      <c r="E1203" s="10" t="s">
        <v>2466</v>
      </c>
      <c r="F1203" t="s">
        <v>9209</v>
      </c>
      <c r="G1203" t="s">
        <v>3996</v>
      </c>
    </row>
    <row r="1204" spans="1:7" x14ac:dyDescent="0.25">
      <c r="A1204" t="s">
        <v>2804</v>
      </c>
      <c r="B1204" t="s">
        <v>2463</v>
      </c>
      <c r="C1204">
        <v>2021</v>
      </c>
      <c r="E1204" s="10" t="s">
        <v>2466</v>
      </c>
      <c r="F1204" t="s">
        <v>9856</v>
      </c>
      <c r="G1204" t="s">
        <v>187</v>
      </c>
    </row>
    <row r="1205" spans="1:7" x14ac:dyDescent="0.25">
      <c r="A1205" t="s">
        <v>2828</v>
      </c>
      <c r="B1205" t="s">
        <v>2463</v>
      </c>
      <c r="C1205">
        <v>2022</v>
      </c>
      <c r="E1205" s="10" t="s">
        <v>2466</v>
      </c>
      <c r="F1205" t="s">
        <v>9378</v>
      </c>
      <c r="G1205" t="s">
        <v>3996</v>
      </c>
    </row>
    <row r="1206" spans="1:7" x14ac:dyDescent="0.25">
      <c r="A1206" t="s">
        <v>1294</v>
      </c>
      <c r="B1206" t="s">
        <v>2467</v>
      </c>
      <c r="C1206">
        <v>2019</v>
      </c>
      <c r="E1206" t="s">
        <v>3236</v>
      </c>
      <c r="F1206" t="s">
        <v>9857</v>
      </c>
      <c r="G1206" t="s">
        <v>187</v>
      </c>
    </row>
    <row r="1207" spans="1:7" x14ac:dyDescent="0.25">
      <c r="A1207" t="s">
        <v>90</v>
      </c>
      <c r="B1207" t="s">
        <v>2471</v>
      </c>
      <c r="C1207">
        <v>2017</v>
      </c>
      <c r="E1207" s="10" t="s">
        <v>3379</v>
      </c>
      <c r="F1207" t="s">
        <v>9176</v>
      </c>
      <c r="G1207" t="s">
        <v>3996</v>
      </c>
    </row>
    <row r="1208" spans="1:7" x14ac:dyDescent="0.25">
      <c r="A1208" t="s">
        <v>353</v>
      </c>
      <c r="B1208" t="s">
        <v>2475</v>
      </c>
      <c r="C1208">
        <v>2023</v>
      </c>
      <c r="E1208" t="s">
        <v>3049</v>
      </c>
      <c r="F1208" t="s">
        <v>8544</v>
      </c>
      <c r="G1208" t="s">
        <v>3996</v>
      </c>
    </row>
    <row r="1209" spans="1:7" x14ac:dyDescent="0.25">
      <c r="A1209" t="s">
        <v>1576</v>
      </c>
      <c r="B1209" t="s">
        <v>2475</v>
      </c>
      <c r="C1209">
        <v>2021</v>
      </c>
      <c r="E1209" t="s">
        <v>3049</v>
      </c>
      <c r="F1209" t="s">
        <v>8910</v>
      </c>
      <c r="G1209" t="s">
        <v>3996</v>
      </c>
    </row>
    <row r="1210" spans="1:7" x14ac:dyDescent="0.25">
      <c r="A1210" t="s">
        <v>1951</v>
      </c>
      <c r="B1210" t="s">
        <v>2475</v>
      </c>
      <c r="C1210">
        <v>2022</v>
      </c>
      <c r="E1210" t="s">
        <v>3049</v>
      </c>
      <c r="F1210" t="s">
        <v>9006</v>
      </c>
      <c r="G1210" t="s">
        <v>3996</v>
      </c>
    </row>
    <row r="1211" spans="1:7" x14ac:dyDescent="0.25">
      <c r="A1211" t="s">
        <v>497</v>
      </c>
      <c r="B1211" t="s">
        <v>8111</v>
      </c>
      <c r="C1211">
        <v>2022</v>
      </c>
      <c r="E1211" s="10" t="s">
        <v>8130</v>
      </c>
      <c r="F1211" t="s">
        <v>8455</v>
      </c>
      <c r="G1211" t="s">
        <v>3996</v>
      </c>
    </row>
    <row r="1212" spans="1:7" x14ac:dyDescent="0.25">
      <c r="A1212" t="s">
        <v>847</v>
      </c>
      <c r="B1212" t="s">
        <v>8111</v>
      </c>
      <c r="C1212">
        <v>1996</v>
      </c>
      <c r="E1212" s="10" t="s">
        <v>8130</v>
      </c>
      <c r="F1212" t="s">
        <v>8677</v>
      </c>
      <c r="G1212" t="s">
        <v>3996</v>
      </c>
    </row>
    <row r="1213" spans="1:7" x14ac:dyDescent="0.25">
      <c r="A1213" t="s">
        <v>2804</v>
      </c>
      <c r="B1213" t="s">
        <v>8111</v>
      </c>
      <c r="C1213">
        <v>2021</v>
      </c>
      <c r="E1213" s="10" t="s">
        <v>8130</v>
      </c>
      <c r="F1213" t="s">
        <v>9368</v>
      </c>
      <c r="G1213" t="s">
        <v>3996</v>
      </c>
    </row>
    <row r="1214" spans="1:7" x14ac:dyDescent="0.25">
      <c r="A1214" t="s">
        <v>256</v>
      </c>
      <c r="B1214" t="s">
        <v>2481</v>
      </c>
      <c r="C1214">
        <v>1994</v>
      </c>
      <c r="E1214" t="s">
        <v>2999</v>
      </c>
      <c r="F1214" t="s">
        <v>9858</v>
      </c>
      <c r="G1214" t="s">
        <v>187</v>
      </c>
    </row>
    <row r="1215" spans="1:7" x14ac:dyDescent="0.25">
      <c r="A1215" t="s">
        <v>746</v>
      </c>
      <c r="B1215" t="s">
        <v>2481</v>
      </c>
      <c r="C1215">
        <v>2015</v>
      </c>
      <c r="E1215" t="s">
        <v>2999</v>
      </c>
      <c r="F1215" t="s">
        <v>9859</v>
      </c>
      <c r="G1215" t="s">
        <v>187</v>
      </c>
    </row>
    <row r="1216" spans="1:7" x14ac:dyDescent="0.25">
      <c r="A1216" t="s">
        <v>2428</v>
      </c>
      <c r="B1216" t="s">
        <v>2485</v>
      </c>
      <c r="C1216">
        <v>2008</v>
      </c>
      <c r="E1216" t="s">
        <v>3399</v>
      </c>
      <c r="F1216" t="s">
        <v>9860</v>
      </c>
      <c r="G1216" t="s">
        <v>187</v>
      </c>
    </row>
    <row r="1217" spans="1:7" x14ac:dyDescent="0.25">
      <c r="A1217" t="s">
        <v>1538</v>
      </c>
      <c r="B1217" t="s">
        <v>2489</v>
      </c>
      <c r="C1217">
        <v>1995</v>
      </c>
      <c r="E1217" t="s">
        <v>3258</v>
      </c>
      <c r="F1217" t="s">
        <v>8886</v>
      </c>
      <c r="G1217" t="s">
        <v>3996</v>
      </c>
    </row>
    <row r="1218" spans="1:7" x14ac:dyDescent="0.25">
      <c r="A1218" t="s">
        <v>1795</v>
      </c>
      <c r="B1218" t="s">
        <v>2489</v>
      </c>
      <c r="C1218">
        <v>1987</v>
      </c>
      <c r="E1218" t="s">
        <v>3258</v>
      </c>
      <c r="F1218" t="s">
        <v>8962</v>
      </c>
      <c r="G1218" t="s">
        <v>3996</v>
      </c>
    </row>
    <row r="1219" spans="1:7" x14ac:dyDescent="0.25">
      <c r="A1219" t="s">
        <v>1855</v>
      </c>
      <c r="B1219" t="s">
        <v>2492</v>
      </c>
      <c r="C1219">
        <v>2015</v>
      </c>
      <c r="E1219" t="s">
        <v>2495</v>
      </c>
      <c r="F1219" t="s">
        <v>8992</v>
      </c>
      <c r="G1219" t="s">
        <v>3996</v>
      </c>
    </row>
    <row r="1220" spans="1:7" x14ac:dyDescent="0.25">
      <c r="A1220" t="s">
        <v>2428</v>
      </c>
      <c r="B1220" t="s">
        <v>2492</v>
      </c>
      <c r="C1220">
        <v>2008</v>
      </c>
      <c r="E1220" t="s">
        <v>3400</v>
      </c>
      <c r="F1220" t="s">
        <v>9238</v>
      </c>
      <c r="G1220" t="s">
        <v>3996</v>
      </c>
    </row>
    <row r="1221" spans="1:7" x14ac:dyDescent="0.25">
      <c r="A1221" t="s">
        <v>160</v>
      </c>
      <c r="B1221" t="s">
        <v>2492</v>
      </c>
      <c r="C1221">
        <v>2011</v>
      </c>
      <c r="E1221" t="s">
        <v>3400</v>
      </c>
      <c r="F1221" t="s">
        <v>9316</v>
      </c>
      <c r="G1221" t="s">
        <v>3996</v>
      </c>
    </row>
    <row r="1222" spans="1:7" x14ac:dyDescent="0.25">
      <c r="A1222" t="s">
        <v>1454</v>
      </c>
      <c r="B1222" t="s">
        <v>8425</v>
      </c>
      <c r="C1222">
        <v>2001</v>
      </c>
      <c r="E1222" s="10" t="s">
        <v>8424</v>
      </c>
      <c r="F1222" t="s">
        <v>9861</v>
      </c>
      <c r="G1222" t="s">
        <v>187</v>
      </c>
    </row>
    <row r="1223" spans="1:7" x14ac:dyDescent="0.25">
      <c r="A1223" t="s">
        <v>1817</v>
      </c>
      <c r="B1223" t="s">
        <v>2496</v>
      </c>
      <c r="C1223">
        <v>2019</v>
      </c>
      <c r="E1223" t="s">
        <v>3296</v>
      </c>
      <c r="F1223" t="s">
        <v>8969</v>
      </c>
      <c r="G1223" t="s">
        <v>3996</v>
      </c>
    </row>
    <row r="1224" spans="1:7" x14ac:dyDescent="0.25">
      <c r="A1224" t="s">
        <v>2095</v>
      </c>
      <c r="B1224" t="s">
        <v>8425</v>
      </c>
      <c r="C1224">
        <v>2023</v>
      </c>
      <c r="E1224" s="10" t="s">
        <v>8424</v>
      </c>
      <c r="F1224" t="s">
        <v>9862</v>
      </c>
      <c r="G1224" t="s">
        <v>187</v>
      </c>
    </row>
    <row r="1225" spans="1:7" x14ac:dyDescent="0.25">
      <c r="A1225" t="s">
        <v>2173</v>
      </c>
      <c r="B1225" t="s">
        <v>2498</v>
      </c>
      <c r="C1225">
        <v>2013</v>
      </c>
      <c r="E1225" t="s">
        <v>3337</v>
      </c>
      <c r="F1225" t="s">
        <v>9073</v>
      </c>
      <c r="G1225" t="s">
        <v>3996</v>
      </c>
    </row>
    <row r="1226" spans="1:7" x14ac:dyDescent="0.25">
      <c r="A1226" t="s">
        <v>914</v>
      </c>
      <c r="B1226" t="s">
        <v>2502</v>
      </c>
      <c r="C1226">
        <v>2013</v>
      </c>
      <c r="E1226" s="10" t="s">
        <v>8422</v>
      </c>
      <c r="F1226" t="s">
        <v>9863</v>
      </c>
      <c r="G1226" t="s">
        <v>187</v>
      </c>
    </row>
    <row r="1227" spans="1:7" x14ac:dyDescent="0.25">
      <c r="A1227" t="s">
        <v>1144</v>
      </c>
      <c r="B1227" t="s">
        <v>2502</v>
      </c>
      <c r="C1227">
        <v>2012</v>
      </c>
      <c r="E1227" t="s">
        <v>3200</v>
      </c>
      <c r="F1227" t="s">
        <v>9864</v>
      </c>
      <c r="G1227" t="s">
        <v>187</v>
      </c>
    </row>
    <row r="1228" spans="1:7" x14ac:dyDescent="0.25">
      <c r="A1228" t="s">
        <v>924</v>
      </c>
      <c r="B1228" t="s">
        <v>2506</v>
      </c>
      <c r="C1228">
        <v>2019</v>
      </c>
      <c r="E1228" t="s">
        <v>3152</v>
      </c>
      <c r="F1228" t="s">
        <v>8700</v>
      </c>
      <c r="G1228" t="s">
        <v>3996</v>
      </c>
    </row>
    <row r="1229" spans="1:7" x14ac:dyDescent="0.25">
      <c r="A1229" t="s">
        <v>90</v>
      </c>
      <c r="B1229" t="s">
        <v>2510</v>
      </c>
      <c r="C1229">
        <v>2017</v>
      </c>
      <c r="E1229" s="10" t="s">
        <v>8397</v>
      </c>
      <c r="F1229" t="s">
        <v>9177</v>
      </c>
      <c r="G1229" t="s">
        <v>3996</v>
      </c>
    </row>
    <row r="1230" spans="1:7" x14ac:dyDescent="0.25">
      <c r="A1230" t="s">
        <v>1004</v>
      </c>
      <c r="B1230" t="s">
        <v>2514</v>
      </c>
      <c r="C1230">
        <v>2006</v>
      </c>
      <c r="E1230" t="s">
        <v>3174</v>
      </c>
      <c r="F1230" t="s">
        <v>9865</v>
      </c>
      <c r="G1230" t="s">
        <v>187</v>
      </c>
    </row>
    <row r="1231" spans="1:7" x14ac:dyDescent="0.25">
      <c r="A1231" t="s">
        <v>1294</v>
      </c>
      <c r="B1231" t="s">
        <v>2514</v>
      </c>
      <c r="C1231">
        <v>2019</v>
      </c>
      <c r="E1231" t="s">
        <v>3174</v>
      </c>
      <c r="F1231" t="s">
        <v>9402</v>
      </c>
      <c r="G1231" t="s">
        <v>3996</v>
      </c>
    </row>
    <row r="1232" spans="1:7" x14ac:dyDescent="0.25">
      <c r="A1232" t="s">
        <v>1549</v>
      </c>
      <c r="B1232" t="s">
        <v>2514</v>
      </c>
      <c r="C1232">
        <v>2021</v>
      </c>
      <c r="E1232" t="s">
        <v>3174</v>
      </c>
      <c r="F1232" t="s">
        <v>9403</v>
      </c>
      <c r="G1232" t="s">
        <v>3996</v>
      </c>
    </row>
    <row r="1233" spans="1:7" x14ac:dyDescent="0.25">
      <c r="A1233" t="s">
        <v>1576</v>
      </c>
      <c r="B1233" t="s">
        <v>2522</v>
      </c>
      <c r="C1233">
        <v>2021</v>
      </c>
      <c r="E1233" t="s">
        <v>3267</v>
      </c>
      <c r="F1233" t="s">
        <v>8911</v>
      </c>
      <c r="G1233" t="s">
        <v>3996</v>
      </c>
    </row>
    <row r="1234" spans="1:7" x14ac:dyDescent="0.25">
      <c r="A1234" t="s">
        <v>2095</v>
      </c>
      <c r="B1234" t="s">
        <v>2524</v>
      </c>
      <c r="C1234">
        <v>2023</v>
      </c>
      <c r="E1234" t="s">
        <v>3311</v>
      </c>
      <c r="F1234" t="s">
        <v>9014</v>
      </c>
      <c r="G1234" t="s">
        <v>3996</v>
      </c>
    </row>
    <row r="1235" spans="1:7" x14ac:dyDescent="0.25">
      <c r="A1235" t="s">
        <v>2136</v>
      </c>
      <c r="B1235" t="s">
        <v>2524</v>
      </c>
      <c r="C1235">
        <v>2020</v>
      </c>
      <c r="E1235" t="s">
        <v>3311</v>
      </c>
      <c r="F1235" t="s">
        <v>9033</v>
      </c>
      <c r="G1235" t="s">
        <v>3996</v>
      </c>
    </row>
    <row r="1236" spans="1:7" x14ac:dyDescent="0.25">
      <c r="A1236" t="s">
        <v>2146</v>
      </c>
      <c r="B1236" t="s">
        <v>2524</v>
      </c>
      <c r="C1236">
        <v>2020</v>
      </c>
      <c r="E1236" t="s">
        <v>3311</v>
      </c>
      <c r="F1236" t="s">
        <v>9039</v>
      </c>
      <c r="G1236" t="s">
        <v>3996</v>
      </c>
    </row>
    <row r="1237" spans="1:7" x14ac:dyDescent="0.25">
      <c r="A1237" t="s">
        <v>2804</v>
      </c>
      <c r="B1237" t="s">
        <v>2526</v>
      </c>
      <c r="C1237">
        <v>2021</v>
      </c>
      <c r="E1237" t="s">
        <v>3431</v>
      </c>
      <c r="F1237" t="s">
        <v>9369</v>
      </c>
      <c r="G1237" t="s">
        <v>3996</v>
      </c>
    </row>
    <row r="1238" spans="1:7" x14ac:dyDescent="0.25">
      <c r="A1238" t="s">
        <v>1144</v>
      </c>
      <c r="B1238" t="s">
        <v>2530</v>
      </c>
      <c r="C1238">
        <v>2012</v>
      </c>
      <c r="E1238" t="s">
        <v>3215</v>
      </c>
      <c r="F1238" t="s">
        <v>8784</v>
      </c>
      <c r="G1238" t="s">
        <v>3996</v>
      </c>
    </row>
    <row r="1239" spans="1:7" x14ac:dyDescent="0.25">
      <c r="A1239" t="s">
        <v>2428</v>
      </c>
      <c r="B1239" t="s">
        <v>2530</v>
      </c>
      <c r="C1239">
        <v>2008</v>
      </c>
      <c r="E1239" t="s">
        <v>3215</v>
      </c>
      <c r="F1239" t="s">
        <v>9239</v>
      </c>
      <c r="G1239" t="s">
        <v>3996</v>
      </c>
    </row>
    <row r="1240" spans="1:7" x14ac:dyDescent="0.25">
      <c r="A1240" t="s">
        <v>160</v>
      </c>
      <c r="B1240" t="s">
        <v>2530</v>
      </c>
      <c r="C1240">
        <v>2011</v>
      </c>
      <c r="E1240" t="s">
        <v>3215</v>
      </c>
      <c r="F1240" t="s">
        <v>9317</v>
      </c>
      <c r="G1240" t="s">
        <v>3996</v>
      </c>
    </row>
    <row r="1241" spans="1:7" x14ac:dyDescent="0.25">
      <c r="A1241" t="s">
        <v>341</v>
      </c>
      <c r="B1241" t="s">
        <v>2537</v>
      </c>
      <c r="C1241">
        <v>1997</v>
      </c>
      <c r="E1241" t="s">
        <v>3010</v>
      </c>
      <c r="F1241" t="s">
        <v>8495</v>
      </c>
      <c r="G1241" t="s">
        <v>3996</v>
      </c>
    </row>
    <row r="1242" spans="1:7" x14ac:dyDescent="0.25">
      <c r="A1242" t="s">
        <v>1046</v>
      </c>
      <c r="B1242" t="s">
        <v>2537</v>
      </c>
      <c r="C1242">
        <v>2016</v>
      </c>
      <c r="E1242" t="s">
        <v>3010</v>
      </c>
      <c r="F1242" t="s">
        <v>8749</v>
      </c>
      <c r="G1242" t="s">
        <v>3996</v>
      </c>
    </row>
    <row r="1243" spans="1:7" x14ac:dyDescent="0.25">
      <c r="A1243" t="s">
        <v>2537</v>
      </c>
      <c r="B1243" t="s">
        <v>2540</v>
      </c>
      <c r="C1243">
        <v>2021</v>
      </c>
      <c r="D1243" t="s">
        <v>187</v>
      </c>
      <c r="F1243" t="s">
        <v>9866</v>
      </c>
      <c r="G1243" t="s">
        <v>3996</v>
      </c>
    </row>
    <row r="1244" spans="1:7" x14ac:dyDescent="0.25">
      <c r="A1244" t="s">
        <v>847</v>
      </c>
      <c r="B1244" t="s">
        <v>2543</v>
      </c>
      <c r="C1244">
        <v>1996</v>
      </c>
      <c r="E1244" t="s">
        <v>3139</v>
      </c>
      <c r="F1244" t="s">
        <v>8678</v>
      </c>
      <c r="G1244" t="s">
        <v>3996</v>
      </c>
    </row>
    <row r="1245" spans="1:7" x14ac:dyDescent="0.25">
      <c r="A1245" t="s">
        <v>1795</v>
      </c>
      <c r="B1245" t="s">
        <v>2543</v>
      </c>
      <c r="C1245">
        <v>1987</v>
      </c>
      <c r="E1245" t="s">
        <v>3289</v>
      </c>
      <c r="F1245" t="s">
        <v>8963</v>
      </c>
      <c r="G1245" t="s">
        <v>3996</v>
      </c>
    </row>
    <row r="1246" spans="1:7" x14ac:dyDescent="0.25">
      <c r="A1246" t="s">
        <v>2154</v>
      </c>
      <c r="B1246" t="s">
        <v>2543</v>
      </c>
      <c r="C1246">
        <v>1980</v>
      </c>
      <c r="E1246" t="s">
        <v>3289</v>
      </c>
      <c r="F1246" t="s">
        <v>9057</v>
      </c>
      <c r="G1246" t="s">
        <v>3996</v>
      </c>
    </row>
    <row r="1247" spans="1:7" x14ac:dyDescent="0.25">
      <c r="A1247" t="s">
        <v>1443</v>
      </c>
      <c r="B1247" t="s">
        <v>2546</v>
      </c>
      <c r="C1247">
        <v>2018</v>
      </c>
      <c r="E1247" t="s">
        <v>2982</v>
      </c>
      <c r="F1247" t="s">
        <v>8878</v>
      </c>
      <c r="G1247" t="s">
        <v>3996</v>
      </c>
    </row>
    <row r="1248" spans="1:7" x14ac:dyDescent="0.25">
      <c r="A1248" t="s">
        <v>1294</v>
      </c>
      <c r="B1248" t="s">
        <v>2550</v>
      </c>
      <c r="C1248">
        <v>2019</v>
      </c>
      <c r="E1248" t="s">
        <v>3237</v>
      </c>
      <c r="F1248" t="s">
        <v>8832</v>
      </c>
      <c r="G1248" t="s">
        <v>3996</v>
      </c>
    </row>
    <row r="1249" spans="1:7" x14ac:dyDescent="0.25">
      <c r="A1249" t="s">
        <v>2556</v>
      </c>
      <c r="B1249" t="s">
        <v>2554</v>
      </c>
      <c r="C1249">
        <v>2018</v>
      </c>
      <c r="D1249" t="s">
        <v>187</v>
      </c>
      <c r="F1249" t="s">
        <v>9867</v>
      </c>
      <c r="G1249" t="s">
        <v>3996</v>
      </c>
    </row>
    <row r="1250" spans="1:7" x14ac:dyDescent="0.25">
      <c r="A1250" t="s">
        <v>2132</v>
      </c>
      <c r="B1250" t="s">
        <v>2556</v>
      </c>
      <c r="C1250">
        <v>2013</v>
      </c>
      <c r="E1250" t="s">
        <v>3314</v>
      </c>
      <c r="F1250" t="s">
        <v>9022</v>
      </c>
      <c r="G1250" t="s">
        <v>3996</v>
      </c>
    </row>
    <row r="1251" spans="1:7" x14ac:dyDescent="0.25">
      <c r="A1251" t="s">
        <v>350</v>
      </c>
      <c r="B1251" t="s">
        <v>2560</v>
      </c>
      <c r="C1251">
        <v>2018</v>
      </c>
      <c r="E1251" t="s">
        <v>2982</v>
      </c>
      <c r="F1251" t="s">
        <v>8508</v>
      </c>
      <c r="G1251" t="s">
        <v>3996</v>
      </c>
    </row>
    <row r="1252" spans="1:7" x14ac:dyDescent="0.25">
      <c r="A1252" t="s">
        <v>90</v>
      </c>
      <c r="B1252" t="s">
        <v>2560</v>
      </c>
      <c r="C1252">
        <v>2017</v>
      </c>
      <c r="E1252" t="s">
        <v>3380</v>
      </c>
      <c r="F1252" t="s">
        <v>9178</v>
      </c>
      <c r="G1252" t="s">
        <v>3996</v>
      </c>
    </row>
    <row r="1253" spans="1:7" x14ac:dyDescent="0.25">
      <c r="A1253" t="s">
        <v>90</v>
      </c>
      <c r="B1253" t="s">
        <v>2563</v>
      </c>
      <c r="C1253">
        <v>2017</v>
      </c>
      <c r="E1253" t="s">
        <v>3381</v>
      </c>
      <c r="F1253" t="s">
        <v>9179</v>
      </c>
      <c r="G1253" t="s">
        <v>3996</v>
      </c>
    </row>
    <row r="1254" spans="1:7" x14ac:dyDescent="0.25">
      <c r="A1254" t="s">
        <v>2073</v>
      </c>
      <c r="B1254" t="s">
        <v>2567</v>
      </c>
      <c r="C1254">
        <v>2010</v>
      </c>
      <c r="E1254" t="s">
        <v>2982</v>
      </c>
      <c r="F1254" t="s">
        <v>9011</v>
      </c>
      <c r="G1254" t="s">
        <v>3996</v>
      </c>
    </row>
    <row r="1255" spans="1:7" x14ac:dyDescent="0.25">
      <c r="A1255" t="s">
        <v>160</v>
      </c>
      <c r="B1255" t="s">
        <v>2567</v>
      </c>
      <c r="C1255">
        <v>2011</v>
      </c>
      <c r="E1255" t="s">
        <v>2982</v>
      </c>
      <c r="F1255" t="s">
        <v>9318</v>
      </c>
      <c r="G1255" t="s">
        <v>3996</v>
      </c>
    </row>
    <row r="1256" spans="1:7" x14ac:dyDescent="0.25">
      <c r="A1256" t="s">
        <v>2804</v>
      </c>
      <c r="B1256" t="s">
        <v>2567</v>
      </c>
      <c r="C1256">
        <v>2021</v>
      </c>
      <c r="E1256" s="10" t="s">
        <v>8463</v>
      </c>
      <c r="F1256" t="s">
        <v>8464</v>
      </c>
      <c r="G1256" t="s">
        <v>3996</v>
      </c>
    </row>
    <row r="1257" spans="1:7" x14ac:dyDescent="0.25">
      <c r="A1257" t="s">
        <v>2947</v>
      </c>
      <c r="B1257" t="s">
        <v>2571</v>
      </c>
      <c r="C1257">
        <v>1994</v>
      </c>
      <c r="E1257" t="s">
        <v>3439</v>
      </c>
      <c r="F1257" t="s">
        <v>9388</v>
      </c>
      <c r="G1257" t="s">
        <v>3996</v>
      </c>
    </row>
    <row r="1258" spans="1:7" x14ac:dyDescent="0.25">
      <c r="A1258" t="s">
        <v>90</v>
      </c>
      <c r="B1258" t="s">
        <v>2575</v>
      </c>
      <c r="C1258">
        <v>2017</v>
      </c>
      <c r="E1258" t="s">
        <v>3382</v>
      </c>
      <c r="F1258" t="s">
        <v>9180</v>
      </c>
      <c r="G1258" t="s">
        <v>3996</v>
      </c>
    </row>
    <row r="1259" spans="1:7" x14ac:dyDescent="0.25">
      <c r="A1259" t="s">
        <v>984</v>
      </c>
      <c r="B1259" t="s">
        <v>2578</v>
      </c>
      <c r="C1259">
        <v>2010</v>
      </c>
      <c r="E1259" t="s">
        <v>3169</v>
      </c>
      <c r="F1259" t="s">
        <v>8718</v>
      </c>
      <c r="G1259" t="s">
        <v>3996</v>
      </c>
    </row>
    <row r="1260" spans="1:7" x14ac:dyDescent="0.25">
      <c r="A1260" t="s">
        <v>1761</v>
      </c>
      <c r="B1260" t="s">
        <v>2578</v>
      </c>
      <c r="C1260">
        <v>1995</v>
      </c>
      <c r="E1260" t="s">
        <v>3275</v>
      </c>
      <c r="F1260" t="s">
        <v>8939</v>
      </c>
      <c r="G1260" t="s">
        <v>3996</v>
      </c>
    </row>
    <row r="1261" spans="1:7" x14ac:dyDescent="0.25">
      <c r="A1261" t="s">
        <v>2571</v>
      </c>
      <c r="B1261" t="s">
        <v>2578</v>
      </c>
      <c r="C1261">
        <v>1998</v>
      </c>
      <c r="E1261" t="s">
        <v>3169</v>
      </c>
      <c r="F1261" t="s">
        <v>9262</v>
      </c>
      <c r="G1261" t="s">
        <v>3996</v>
      </c>
    </row>
    <row r="1262" spans="1:7" x14ac:dyDescent="0.25">
      <c r="A1262" t="s">
        <v>341</v>
      </c>
      <c r="B1262" t="s">
        <v>2587</v>
      </c>
      <c r="C1262">
        <v>1997</v>
      </c>
      <c r="D1262" t="s">
        <v>187</v>
      </c>
      <c r="F1262" t="s">
        <v>9868</v>
      </c>
      <c r="G1262" t="s">
        <v>3996</v>
      </c>
    </row>
    <row r="1263" spans="1:7" x14ac:dyDescent="0.25">
      <c r="A1263" t="s">
        <v>1294</v>
      </c>
      <c r="B1263" t="s">
        <v>2590</v>
      </c>
      <c r="C1263">
        <v>2019</v>
      </c>
      <c r="E1263" t="s">
        <v>3238</v>
      </c>
      <c r="F1263" t="s">
        <v>8833</v>
      </c>
      <c r="G1263" t="s">
        <v>3996</v>
      </c>
    </row>
    <row r="1264" spans="1:7" x14ac:dyDescent="0.25">
      <c r="A1264" t="s">
        <v>90</v>
      </c>
      <c r="B1264" t="s">
        <v>2590</v>
      </c>
      <c r="C1264">
        <v>2017</v>
      </c>
      <c r="E1264" s="10" t="s">
        <v>3238</v>
      </c>
      <c r="F1264" t="s">
        <v>9416</v>
      </c>
      <c r="G1264" t="s">
        <v>3996</v>
      </c>
    </row>
    <row r="1265" spans="1:7" x14ac:dyDescent="0.25">
      <c r="A1265" t="s">
        <v>160</v>
      </c>
      <c r="B1265" t="s">
        <v>2590</v>
      </c>
      <c r="C1265">
        <v>2011</v>
      </c>
      <c r="E1265" s="10" t="s">
        <v>9418</v>
      </c>
      <c r="F1265" t="s">
        <v>9417</v>
      </c>
      <c r="G1265" t="s">
        <v>3996</v>
      </c>
    </row>
    <row r="1266" spans="1:7" x14ac:dyDescent="0.25">
      <c r="A1266" t="s">
        <v>924</v>
      </c>
      <c r="B1266" t="s">
        <v>2594</v>
      </c>
      <c r="C1266">
        <v>2019</v>
      </c>
      <c r="E1266" t="s">
        <v>3153</v>
      </c>
      <c r="F1266" t="s">
        <v>8701</v>
      </c>
      <c r="G1266" t="s">
        <v>3996</v>
      </c>
    </row>
    <row r="1267" spans="1:7" x14ac:dyDescent="0.25">
      <c r="A1267" t="s">
        <v>2136</v>
      </c>
      <c r="B1267" t="s">
        <v>2596</v>
      </c>
      <c r="C1267">
        <v>2020</v>
      </c>
      <c r="E1267" t="s">
        <v>3317</v>
      </c>
      <c r="F1267" t="s">
        <v>9869</v>
      </c>
      <c r="G1267" t="s">
        <v>187</v>
      </c>
    </row>
    <row r="1268" spans="1:7" x14ac:dyDescent="0.25">
      <c r="A1268" t="s">
        <v>574</v>
      </c>
      <c r="B1268" t="s">
        <v>2599</v>
      </c>
      <c r="C1268">
        <v>2019</v>
      </c>
      <c r="E1268" t="s">
        <v>3078</v>
      </c>
      <c r="F1268" t="s">
        <v>8586</v>
      </c>
      <c r="G1268" t="s">
        <v>3996</v>
      </c>
    </row>
    <row r="1269" spans="1:7" x14ac:dyDescent="0.25">
      <c r="A1269" t="s">
        <v>759</v>
      </c>
      <c r="B1269" t="s">
        <v>2599</v>
      </c>
      <c r="C1269">
        <v>2018</v>
      </c>
      <c r="E1269" t="s">
        <v>3078</v>
      </c>
      <c r="F1269" t="s">
        <v>8644</v>
      </c>
      <c r="G1269" t="s">
        <v>3996</v>
      </c>
    </row>
    <row r="1270" spans="1:7" x14ac:dyDescent="0.25">
      <c r="A1270" t="s">
        <v>1294</v>
      </c>
      <c r="B1270" t="s">
        <v>2599</v>
      </c>
      <c r="C1270">
        <v>2019</v>
      </c>
      <c r="E1270" t="s">
        <v>3239</v>
      </c>
      <c r="F1270" t="s">
        <v>8834</v>
      </c>
      <c r="G1270" t="s">
        <v>3996</v>
      </c>
    </row>
    <row r="1271" spans="1:7" x14ac:dyDescent="0.25">
      <c r="A1271" t="s">
        <v>2804</v>
      </c>
      <c r="B1271" t="s">
        <v>2603</v>
      </c>
      <c r="C1271">
        <v>2021</v>
      </c>
      <c r="E1271" t="s">
        <v>3013</v>
      </c>
      <c r="F1271" t="s">
        <v>9870</v>
      </c>
      <c r="G1271" t="s">
        <v>187</v>
      </c>
    </row>
    <row r="1272" spans="1:7" x14ac:dyDescent="0.25">
      <c r="A1272" t="s">
        <v>1144</v>
      </c>
      <c r="B1272" t="s">
        <v>2605</v>
      </c>
      <c r="C1272">
        <v>2012</v>
      </c>
      <c r="E1272" t="s">
        <v>2982</v>
      </c>
      <c r="F1272" t="s">
        <v>8785</v>
      </c>
      <c r="G1272" t="s">
        <v>3996</v>
      </c>
    </row>
    <row r="1273" spans="1:7" x14ac:dyDescent="0.25">
      <c r="A1273" t="s">
        <v>2804</v>
      </c>
      <c r="B1273" t="s">
        <v>2609</v>
      </c>
      <c r="C1273">
        <v>2021</v>
      </c>
      <c r="E1273" t="s">
        <v>3432</v>
      </c>
      <c r="F1273" t="s">
        <v>9871</v>
      </c>
      <c r="G1273" t="s">
        <v>187</v>
      </c>
    </row>
    <row r="1274" spans="1:7" x14ac:dyDescent="0.25">
      <c r="A1274" t="s">
        <v>2136</v>
      </c>
      <c r="B1274" t="s">
        <v>2612</v>
      </c>
      <c r="C1274">
        <v>2020</v>
      </c>
      <c r="E1274" t="s">
        <v>3318</v>
      </c>
      <c r="F1274" t="s">
        <v>9872</v>
      </c>
      <c r="G1274" t="s">
        <v>187</v>
      </c>
    </row>
    <row r="1275" spans="1:7" x14ac:dyDescent="0.25">
      <c r="A1275" t="s">
        <v>924</v>
      </c>
      <c r="B1275" t="s">
        <v>2614</v>
      </c>
      <c r="C1275">
        <v>2019</v>
      </c>
      <c r="E1275" t="s">
        <v>3154</v>
      </c>
      <c r="F1275" t="s">
        <v>9873</v>
      </c>
      <c r="G1275" t="s">
        <v>187</v>
      </c>
    </row>
    <row r="1276" spans="1:7" x14ac:dyDescent="0.25">
      <c r="A1276" t="s">
        <v>2594</v>
      </c>
      <c r="B1276" t="s">
        <v>2614</v>
      </c>
      <c r="C1276">
        <v>2019</v>
      </c>
      <c r="E1276" t="s">
        <v>3154</v>
      </c>
      <c r="F1276" t="s">
        <v>9268</v>
      </c>
      <c r="G1276" t="s">
        <v>3996</v>
      </c>
    </row>
    <row r="1277" spans="1:7" x14ac:dyDescent="0.25">
      <c r="A1277" t="s">
        <v>836</v>
      </c>
      <c r="B1277" t="s">
        <v>160</v>
      </c>
      <c r="C1277">
        <v>2010</v>
      </c>
      <c r="E1277" t="s">
        <v>3129</v>
      </c>
      <c r="F1277" t="s">
        <v>9874</v>
      </c>
      <c r="G1277" t="s">
        <v>187</v>
      </c>
    </row>
    <row r="1278" spans="1:7" x14ac:dyDescent="0.25">
      <c r="A1278" t="s">
        <v>2428</v>
      </c>
      <c r="B1278" t="s">
        <v>160</v>
      </c>
      <c r="C1278">
        <v>2008</v>
      </c>
      <c r="E1278" t="s">
        <v>3129</v>
      </c>
      <c r="F1278" t="s">
        <v>9875</v>
      </c>
      <c r="G1278" t="s">
        <v>187</v>
      </c>
    </row>
    <row r="1279" spans="1:7" x14ac:dyDescent="0.25">
      <c r="A1279" t="s">
        <v>160</v>
      </c>
      <c r="B1279" t="s">
        <v>2619</v>
      </c>
      <c r="C1279">
        <v>2011</v>
      </c>
      <c r="D1279" t="s">
        <v>187</v>
      </c>
      <c r="F1279" t="s">
        <v>9876</v>
      </c>
      <c r="G1279" t="s">
        <v>3996</v>
      </c>
    </row>
    <row r="1280" spans="1:7" x14ac:dyDescent="0.25">
      <c r="A1280" t="s">
        <v>623</v>
      </c>
      <c r="B1280" t="s">
        <v>2623</v>
      </c>
      <c r="C1280">
        <v>2017</v>
      </c>
      <c r="E1280" t="s">
        <v>3080</v>
      </c>
      <c r="F1280" t="s">
        <v>8589</v>
      </c>
      <c r="G1280" t="s">
        <v>3996</v>
      </c>
    </row>
    <row r="1281" spans="1:7" x14ac:dyDescent="0.25">
      <c r="A1281" t="s">
        <v>994</v>
      </c>
      <c r="B1281" t="s">
        <v>2623</v>
      </c>
      <c r="C1281">
        <v>2011</v>
      </c>
      <c r="E1281" t="s">
        <v>3080</v>
      </c>
      <c r="F1281" t="s">
        <v>8721</v>
      </c>
      <c r="G1281" t="s">
        <v>3996</v>
      </c>
    </row>
    <row r="1282" spans="1:7" x14ac:dyDescent="0.25">
      <c r="A1282" t="s">
        <v>1004</v>
      </c>
      <c r="B1282" t="s">
        <v>2623</v>
      </c>
      <c r="C1282">
        <v>2006</v>
      </c>
      <c r="E1282" t="s">
        <v>3175</v>
      </c>
      <c r="F1282" t="s">
        <v>8725</v>
      </c>
      <c r="G1282" t="s">
        <v>3996</v>
      </c>
    </row>
    <row r="1283" spans="1:7" x14ac:dyDescent="0.25">
      <c r="A1283" t="s">
        <v>2154</v>
      </c>
      <c r="B1283" t="s">
        <v>2625</v>
      </c>
      <c r="C1283">
        <v>1980</v>
      </c>
      <c r="E1283" t="s">
        <v>3328</v>
      </c>
      <c r="F1283" t="s">
        <v>9058</v>
      </c>
      <c r="G1283" t="s">
        <v>3996</v>
      </c>
    </row>
    <row r="1284" spans="1:7" x14ac:dyDescent="0.25">
      <c r="A1284" t="s">
        <v>2721</v>
      </c>
      <c r="B1284" t="s">
        <v>2625</v>
      </c>
      <c r="C1284">
        <v>1993</v>
      </c>
      <c r="E1284" t="s">
        <v>3423</v>
      </c>
      <c r="F1284" t="s">
        <v>9877</v>
      </c>
      <c r="G1284" t="s">
        <v>187</v>
      </c>
    </row>
    <row r="1285" spans="1:7" x14ac:dyDescent="0.25">
      <c r="A1285" t="s">
        <v>914</v>
      </c>
      <c r="B1285" t="s">
        <v>2630</v>
      </c>
      <c r="C1285">
        <v>2013</v>
      </c>
      <c r="E1285" t="s">
        <v>3148</v>
      </c>
      <c r="F1285" t="s">
        <v>8694</v>
      </c>
      <c r="G1285" t="s">
        <v>3996</v>
      </c>
    </row>
    <row r="1286" spans="1:7" x14ac:dyDescent="0.25">
      <c r="A1286" t="s">
        <v>260</v>
      </c>
      <c r="B1286" t="s">
        <v>2634</v>
      </c>
      <c r="C1286">
        <v>1990</v>
      </c>
      <c r="E1286" t="s">
        <v>3004</v>
      </c>
      <c r="F1286" t="s">
        <v>8489</v>
      </c>
      <c r="G1286" t="s">
        <v>3996</v>
      </c>
    </row>
    <row r="1287" spans="1:7" x14ac:dyDescent="0.25">
      <c r="A1287" t="s">
        <v>1420</v>
      </c>
      <c r="B1287" t="s">
        <v>2634</v>
      </c>
      <c r="C1287">
        <v>2007</v>
      </c>
      <c r="E1287" t="s">
        <v>3004</v>
      </c>
      <c r="F1287" t="s">
        <v>8849</v>
      </c>
      <c r="G1287" t="s">
        <v>3996</v>
      </c>
    </row>
    <row r="1288" spans="1:7" x14ac:dyDescent="0.25">
      <c r="A1288" t="s">
        <v>2023</v>
      </c>
      <c r="B1288" t="s">
        <v>2634</v>
      </c>
      <c r="C1288">
        <v>2003</v>
      </c>
      <c r="E1288" t="s">
        <v>3004</v>
      </c>
      <c r="F1288" t="s">
        <v>9878</v>
      </c>
      <c r="G1288" t="s">
        <v>187</v>
      </c>
    </row>
    <row r="1289" spans="1:7" x14ac:dyDescent="0.25">
      <c r="A1289" t="s">
        <v>2943</v>
      </c>
      <c r="B1289" t="s">
        <v>2637</v>
      </c>
      <c r="C1289">
        <v>2010</v>
      </c>
      <c r="D1289" t="s">
        <v>187</v>
      </c>
      <c r="E1289" t="s">
        <v>3437</v>
      </c>
      <c r="F1289" t="s">
        <v>9879</v>
      </c>
      <c r="G1289" t="s">
        <v>3996</v>
      </c>
    </row>
    <row r="1290" spans="1:7" x14ac:dyDescent="0.25">
      <c r="A1290" t="s">
        <v>323</v>
      </c>
      <c r="B1290" t="s">
        <v>2643</v>
      </c>
      <c r="C1290">
        <v>2020</v>
      </c>
      <c r="E1290" t="s">
        <v>3007</v>
      </c>
      <c r="F1290" t="s">
        <v>8493</v>
      </c>
      <c r="G1290" t="s">
        <v>3996</v>
      </c>
    </row>
    <row r="1291" spans="1:7" x14ac:dyDescent="0.25">
      <c r="A1291" t="s">
        <v>90</v>
      </c>
      <c r="B1291" t="s">
        <v>2643</v>
      </c>
      <c r="C1291">
        <v>2017</v>
      </c>
      <c r="E1291" t="s">
        <v>3383</v>
      </c>
      <c r="F1291" t="s">
        <v>9181</v>
      </c>
      <c r="G1291" t="s">
        <v>3996</v>
      </c>
    </row>
    <row r="1292" spans="1:7" x14ac:dyDescent="0.25">
      <c r="A1292" t="s">
        <v>160</v>
      </c>
      <c r="B1292" t="s">
        <v>2645</v>
      </c>
      <c r="C1292">
        <v>2011</v>
      </c>
      <c r="E1292" t="s">
        <v>3415</v>
      </c>
      <c r="F1292" t="s">
        <v>9319</v>
      </c>
      <c r="G1292" t="s">
        <v>3996</v>
      </c>
    </row>
    <row r="1293" spans="1:7" x14ac:dyDescent="0.25">
      <c r="A1293" t="s">
        <v>2698</v>
      </c>
      <c r="B1293" t="s">
        <v>2645</v>
      </c>
      <c r="C1293">
        <v>2022</v>
      </c>
      <c r="E1293" t="s">
        <v>3415</v>
      </c>
      <c r="F1293" t="s">
        <v>9331</v>
      </c>
      <c r="G1293" t="s">
        <v>3996</v>
      </c>
    </row>
    <row r="1294" spans="1:7" x14ac:dyDescent="0.25">
      <c r="A1294" t="s">
        <v>383</v>
      </c>
      <c r="B1294" t="s">
        <v>2648</v>
      </c>
      <c r="C1294">
        <v>2017</v>
      </c>
      <c r="E1294" t="s">
        <v>3055</v>
      </c>
      <c r="F1294" t="s">
        <v>8552</v>
      </c>
      <c r="G1294" t="s">
        <v>3996</v>
      </c>
    </row>
    <row r="1295" spans="1:7" x14ac:dyDescent="0.25">
      <c r="A1295" t="s">
        <v>1443</v>
      </c>
      <c r="B1295" t="s">
        <v>2648</v>
      </c>
      <c r="C1295">
        <v>2018</v>
      </c>
      <c r="E1295" t="s">
        <v>3055</v>
      </c>
      <c r="F1295" t="s">
        <v>8879</v>
      </c>
      <c r="G1295" t="s">
        <v>3996</v>
      </c>
    </row>
    <row r="1296" spans="1:7" x14ac:dyDescent="0.25">
      <c r="A1296" t="s">
        <v>90</v>
      </c>
      <c r="B1296" t="s">
        <v>2648</v>
      </c>
      <c r="C1296">
        <v>2017</v>
      </c>
      <c r="E1296" t="s">
        <v>3055</v>
      </c>
      <c r="F1296" t="s">
        <v>9182</v>
      </c>
      <c r="G1296" t="s">
        <v>3996</v>
      </c>
    </row>
    <row r="1297" spans="1:7" x14ac:dyDescent="0.25">
      <c r="A1297" t="s">
        <v>2481</v>
      </c>
      <c r="B1297" t="s">
        <v>2648</v>
      </c>
      <c r="C1297">
        <v>2020</v>
      </c>
      <c r="E1297" s="10" t="s">
        <v>8391</v>
      </c>
      <c r="F1297" t="s">
        <v>9246</v>
      </c>
      <c r="G1297" t="s">
        <v>3996</v>
      </c>
    </row>
    <row r="1298" spans="1:7" x14ac:dyDescent="0.25">
      <c r="A1298" t="s">
        <v>160</v>
      </c>
      <c r="B1298" t="s">
        <v>2652</v>
      </c>
      <c r="C1298">
        <v>2011</v>
      </c>
      <c r="D1298" t="s">
        <v>187</v>
      </c>
      <c r="F1298" t="s">
        <v>9880</v>
      </c>
      <c r="G1298" t="s">
        <v>3996</v>
      </c>
    </row>
    <row r="1299" spans="1:7" x14ac:dyDescent="0.25">
      <c r="A1299" t="s">
        <v>353</v>
      </c>
      <c r="B1299" t="s">
        <v>7936</v>
      </c>
      <c r="C1299">
        <v>2023</v>
      </c>
      <c r="E1299" t="s">
        <v>2982</v>
      </c>
      <c r="F1299" t="s">
        <v>8545</v>
      </c>
      <c r="G1299" t="s">
        <v>3996</v>
      </c>
    </row>
    <row r="1300" spans="1:7" x14ac:dyDescent="0.25">
      <c r="A1300" t="s">
        <v>2804</v>
      </c>
      <c r="B1300" t="s">
        <v>8148</v>
      </c>
      <c r="C1300">
        <v>2021</v>
      </c>
      <c r="E1300" s="10" t="s">
        <v>8149</v>
      </c>
      <c r="F1300" t="s">
        <v>9370</v>
      </c>
      <c r="G1300" t="s">
        <v>3996</v>
      </c>
    </row>
    <row r="1301" spans="1:7" x14ac:dyDescent="0.25">
      <c r="A1301" t="s">
        <v>2721</v>
      </c>
      <c r="B1301" t="s">
        <v>2656</v>
      </c>
      <c r="C1301">
        <v>1993</v>
      </c>
      <c r="D1301" t="s">
        <v>187</v>
      </c>
      <c r="F1301" t="s">
        <v>9881</v>
      </c>
      <c r="G1301" t="s">
        <v>3996</v>
      </c>
    </row>
    <row r="1302" spans="1:7" x14ac:dyDescent="0.25">
      <c r="A1302" t="s">
        <v>1443</v>
      </c>
      <c r="B1302" t="s">
        <v>2659</v>
      </c>
      <c r="C1302">
        <v>2018</v>
      </c>
      <c r="E1302" t="s">
        <v>3254</v>
      </c>
      <c r="F1302" t="s">
        <v>9882</v>
      </c>
      <c r="G1302" t="s">
        <v>187</v>
      </c>
    </row>
    <row r="1303" spans="1:7" x14ac:dyDescent="0.25">
      <c r="A1303" t="s">
        <v>1947</v>
      </c>
      <c r="B1303" t="s">
        <v>2659</v>
      </c>
      <c r="C1303">
        <v>2021</v>
      </c>
      <c r="E1303" t="s">
        <v>3254</v>
      </c>
      <c r="F1303" t="s">
        <v>9883</v>
      </c>
      <c r="G1303" t="s">
        <v>187</v>
      </c>
    </row>
    <row r="1304" spans="1:7" x14ac:dyDescent="0.25">
      <c r="A1304" t="s">
        <v>2324</v>
      </c>
      <c r="B1304" t="s">
        <v>2659</v>
      </c>
      <c r="C1304">
        <v>2022</v>
      </c>
      <c r="E1304" t="s">
        <v>3254</v>
      </c>
      <c r="F1304" t="s">
        <v>9884</v>
      </c>
      <c r="G1304" t="s">
        <v>187</v>
      </c>
    </row>
    <row r="1305" spans="1:7" x14ac:dyDescent="0.25">
      <c r="A1305" t="s">
        <v>90</v>
      </c>
      <c r="B1305" t="s">
        <v>2659</v>
      </c>
      <c r="C1305">
        <v>2017</v>
      </c>
      <c r="E1305" t="s">
        <v>3254</v>
      </c>
      <c r="F1305" t="s">
        <v>9183</v>
      </c>
      <c r="G1305" t="s">
        <v>3996</v>
      </c>
    </row>
    <row r="1306" spans="1:7" x14ac:dyDescent="0.25">
      <c r="A1306" t="s">
        <v>759</v>
      </c>
      <c r="B1306" t="s">
        <v>2663</v>
      </c>
      <c r="C1306">
        <v>2018</v>
      </c>
      <c r="D1306" t="s">
        <v>187</v>
      </c>
      <c r="E1306" t="s">
        <v>3123</v>
      </c>
      <c r="F1306" t="s">
        <v>8645</v>
      </c>
      <c r="G1306" t="s">
        <v>3996</v>
      </c>
    </row>
    <row r="1307" spans="1:7" x14ac:dyDescent="0.25">
      <c r="A1307" t="s">
        <v>237</v>
      </c>
      <c r="B1307" t="s">
        <v>2667</v>
      </c>
      <c r="C1307">
        <v>2021</v>
      </c>
      <c r="E1307" t="s">
        <v>2985</v>
      </c>
      <c r="F1307" t="s">
        <v>8472</v>
      </c>
      <c r="G1307" t="s">
        <v>3996</v>
      </c>
    </row>
    <row r="1308" spans="1:7" x14ac:dyDescent="0.25">
      <c r="A1308" t="s">
        <v>353</v>
      </c>
      <c r="B1308" t="s">
        <v>2667</v>
      </c>
      <c r="C1308">
        <v>2023</v>
      </c>
      <c r="E1308" t="s">
        <v>2985</v>
      </c>
      <c r="F1308" t="s">
        <v>8546</v>
      </c>
      <c r="G1308" t="s">
        <v>3996</v>
      </c>
    </row>
    <row r="1309" spans="1:7" x14ac:dyDescent="0.25">
      <c r="A1309" t="s">
        <v>1435</v>
      </c>
      <c r="B1309" t="s">
        <v>2667</v>
      </c>
      <c r="C1309">
        <v>2021</v>
      </c>
      <c r="E1309" t="s">
        <v>2985</v>
      </c>
      <c r="F1309" t="s">
        <v>8861</v>
      </c>
      <c r="G1309" t="s">
        <v>3996</v>
      </c>
    </row>
    <row r="1310" spans="1:7" x14ac:dyDescent="0.25">
      <c r="A1310" t="s">
        <v>1690</v>
      </c>
      <c r="B1310" t="s">
        <v>2667</v>
      </c>
      <c r="C1310">
        <v>2020</v>
      </c>
      <c r="E1310" t="s">
        <v>2985</v>
      </c>
      <c r="F1310" t="s">
        <v>8926</v>
      </c>
      <c r="G1310" t="s">
        <v>3996</v>
      </c>
    </row>
    <row r="1311" spans="1:7" x14ac:dyDescent="0.25">
      <c r="A1311" t="s">
        <v>90</v>
      </c>
      <c r="B1311" t="s">
        <v>2667</v>
      </c>
      <c r="C1311">
        <v>2017</v>
      </c>
      <c r="E1311" t="s">
        <v>2985</v>
      </c>
      <c r="F1311" t="s">
        <v>9184</v>
      </c>
      <c r="G1311" t="s">
        <v>3996</v>
      </c>
    </row>
    <row r="1312" spans="1:7" x14ac:dyDescent="0.25">
      <c r="A1312" t="s">
        <v>778</v>
      </c>
      <c r="B1312" t="s">
        <v>2669</v>
      </c>
      <c r="C1312">
        <v>2023</v>
      </c>
      <c r="E1312" t="s">
        <v>3127</v>
      </c>
      <c r="F1312" t="s">
        <v>8652</v>
      </c>
      <c r="G1312" t="s">
        <v>3996</v>
      </c>
    </row>
    <row r="1313" spans="1:7" x14ac:dyDescent="0.25">
      <c r="A1313" t="s">
        <v>811</v>
      </c>
      <c r="B1313" t="s">
        <v>2669</v>
      </c>
      <c r="C1313">
        <v>2024</v>
      </c>
      <c r="E1313" t="s">
        <v>3127</v>
      </c>
      <c r="F1313" t="s">
        <v>8656</v>
      </c>
      <c r="G1313" t="s">
        <v>3996</v>
      </c>
    </row>
    <row r="1314" spans="1:7" x14ac:dyDescent="0.25">
      <c r="A1314" t="s">
        <v>2804</v>
      </c>
      <c r="B1314" t="s">
        <v>2669</v>
      </c>
      <c r="C1314">
        <v>2021</v>
      </c>
      <c r="E1314" t="s">
        <v>3013</v>
      </c>
      <c r="F1314" t="s">
        <v>9885</v>
      </c>
      <c r="G1314" t="s">
        <v>187</v>
      </c>
    </row>
    <row r="1315" spans="1:7" x14ac:dyDescent="0.25">
      <c r="A1315" t="s">
        <v>2196</v>
      </c>
      <c r="B1315" t="s">
        <v>2671</v>
      </c>
      <c r="C1315">
        <v>2021</v>
      </c>
      <c r="E1315" t="s">
        <v>3339</v>
      </c>
      <c r="F1315" t="s">
        <v>9886</v>
      </c>
      <c r="G1315" t="s">
        <v>187</v>
      </c>
    </row>
    <row r="1316" spans="1:7" x14ac:dyDescent="0.25">
      <c r="A1316" t="s">
        <v>90</v>
      </c>
      <c r="B1316" t="s">
        <v>2671</v>
      </c>
      <c r="C1316">
        <v>2017</v>
      </c>
      <c r="E1316" t="s">
        <v>2982</v>
      </c>
      <c r="F1316" t="s">
        <v>9185</v>
      </c>
      <c r="G1316" t="s">
        <v>3996</v>
      </c>
    </row>
    <row r="1317" spans="1:7" x14ac:dyDescent="0.25">
      <c r="A1317" t="s">
        <v>1046</v>
      </c>
      <c r="B1317" t="s">
        <v>2675</v>
      </c>
      <c r="C1317">
        <v>2016</v>
      </c>
      <c r="E1317" t="s">
        <v>3192</v>
      </c>
      <c r="F1317" t="s">
        <v>8750</v>
      </c>
      <c r="G1317" t="s">
        <v>3996</v>
      </c>
    </row>
    <row r="1318" spans="1:7" x14ac:dyDescent="0.25">
      <c r="A1318" t="s">
        <v>1294</v>
      </c>
      <c r="B1318" t="s">
        <v>2675</v>
      </c>
      <c r="C1318">
        <v>2019</v>
      </c>
      <c r="E1318" t="s">
        <v>3192</v>
      </c>
      <c r="F1318" t="s">
        <v>8835</v>
      </c>
      <c r="G1318" t="s">
        <v>3996</v>
      </c>
    </row>
    <row r="1319" spans="1:7" x14ac:dyDescent="0.25">
      <c r="A1319" t="s">
        <v>160</v>
      </c>
      <c r="B1319" t="s">
        <v>2679</v>
      </c>
      <c r="C1319">
        <v>2011</v>
      </c>
      <c r="E1319" t="s">
        <v>3416</v>
      </c>
      <c r="F1319" t="s">
        <v>9320</v>
      </c>
      <c r="G1319" t="s">
        <v>3996</v>
      </c>
    </row>
    <row r="1320" spans="1:7" x14ac:dyDescent="0.25">
      <c r="A1320" t="s">
        <v>2721</v>
      </c>
      <c r="B1320" t="s">
        <v>2681</v>
      </c>
      <c r="C1320">
        <v>1993</v>
      </c>
      <c r="E1320" t="s">
        <v>3424</v>
      </c>
      <c r="F1320" t="s">
        <v>9337</v>
      </c>
      <c r="G1320" t="s">
        <v>3996</v>
      </c>
    </row>
    <row r="1321" spans="1:7" x14ac:dyDescent="0.25">
      <c r="A1321" t="s">
        <v>353</v>
      </c>
      <c r="B1321" t="s">
        <v>2686</v>
      </c>
      <c r="C1321">
        <v>2023</v>
      </c>
      <c r="E1321" t="s">
        <v>3050</v>
      </c>
      <c r="F1321" t="s">
        <v>8547</v>
      </c>
      <c r="G1321" t="s">
        <v>3996</v>
      </c>
    </row>
    <row r="1322" spans="1:7" x14ac:dyDescent="0.25">
      <c r="A1322" t="s">
        <v>2318</v>
      </c>
      <c r="B1322" t="s">
        <v>2686</v>
      </c>
      <c r="C1322">
        <v>2023</v>
      </c>
      <c r="E1322" t="s">
        <v>2982</v>
      </c>
      <c r="F1322" t="s">
        <v>9083</v>
      </c>
      <c r="G1322" t="s">
        <v>3996</v>
      </c>
    </row>
    <row r="1323" spans="1:7" x14ac:dyDescent="0.25">
      <c r="A1323" t="s">
        <v>90</v>
      </c>
      <c r="B1323" t="s">
        <v>2686</v>
      </c>
      <c r="C1323">
        <v>2017</v>
      </c>
      <c r="E1323" t="s">
        <v>2982</v>
      </c>
      <c r="F1323" t="s">
        <v>9186</v>
      </c>
      <c r="G1323" t="s">
        <v>3996</v>
      </c>
    </row>
    <row r="1324" spans="1:7" x14ac:dyDescent="0.25">
      <c r="A1324" t="s">
        <v>2804</v>
      </c>
      <c r="B1324" t="s">
        <v>2688</v>
      </c>
      <c r="C1324">
        <v>2021</v>
      </c>
      <c r="E1324" t="s">
        <v>3433</v>
      </c>
      <c r="F1324" t="s">
        <v>9371</v>
      </c>
      <c r="G1324" t="s">
        <v>3996</v>
      </c>
    </row>
    <row r="1325" spans="1:7" x14ac:dyDescent="0.25">
      <c r="A1325" t="s">
        <v>2804</v>
      </c>
      <c r="B1325" t="s">
        <v>2691</v>
      </c>
      <c r="C1325">
        <v>2021</v>
      </c>
      <c r="E1325" t="s">
        <v>3013</v>
      </c>
      <c r="F1325" t="s">
        <v>9887</v>
      </c>
      <c r="G1325" t="s">
        <v>187</v>
      </c>
    </row>
    <row r="1326" spans="1:7" x14ac:dyDescent="0.25">
      <c r="A1326" t="s">
        <v>1817</v>
      </c>
      <c r="B1326" t="s">
        <v>7965</v>
      </c>
      <c r="C1326">
        <v>2019</v>
      </c>
      <c r="E1326" s="10" t="s">
        <v>7964</v>
      </c>
      <c r="F1326" t="s">
        <v>8970</v>
      </c>
      <c r="G1326" t="s">
        <v>3996</v>
      </c>
    </row>
    <row r="1327" spans="1:7" x14ac:dyDescent="0.25">
      <c r="A1327" t="s">
        <v>90</v>
      </c>
      <c r="B1327" t="s">
        <v>7965</v>
      </c>
      <c r="C1327">
        <v>2017</v>
      </c>
      <c r="E1327" s="10" t="s">
        <v>7964</v>
      </c>
      <c r="F1327" t="s">
        <v>9187</v>
      </c>
      <c r="G1327" t="s">
        <v>3996</v>
      </c>
    </row>
    <row r="1328" spans="1:7" x14ac:dyDescent="0.25">
      <c r="A1328" t="s">
        <v>209</v>
      </c>
      <c r="B1328" t="s">
        <v>2695</v>
      </c>
      <c r="C1328">
        <v>2024</v>
      </c>
      <c r="E1328" t="s">
        <v>2984</v>
      </c>
      <c r="F1328" t="s">
        <v>8471</v>
      </c>
      <c r="G1328" t="s">
        <v>3996</v>
      </c>
    </row>
    <row r="1329" spans="1:7" x14ac:dyDescent="0.25">
      <c r="A1329" t="s">
        <v>344</v>
      </c>
      <c r="B1329" t="s">
        <v>2695</v>
      </c>
      <c r="C1329">
        <v>2023</v>
      </c>
      <c r="E1329" t="s">
        <v>2984</v>
      </c>
      <c r="F1329" t="s">
        <v>8501</v>
      </c>
      <c r="G1329" t="s">
        <v>3996</v>
      </c>
    </row>
    <row r="1330" spans="1:7" x14ac:dyDescent="0.25">
      <c r="A1330" t="s">
        <v>2506</v>
      </c>
      <c r="B1330" t="s">
        <v>2695</v>
      </c>
      <c r="C1330">
        <v>2021</v>
      </c>
      <c r="E1330" t="s">
        <v>2984</v>
      </c>
      <c r="F1330" t="s">
        <v>9256</v>
      </c>
      <c r="G1330" t="s">
        <v>3996</v>
      </c>
    </row>
    <row r="1331" spans="1:7" x14ac:dyDescent="0.25">
      <c r="A1331" t="s">
        <v>2594</v>
      </c>
      <c r="B1331" t="s">
        <v>2695</v>
      </c>
      <c r="C1331">
        <v>2019</v>
      </c>
      <c r="E1331" t="s">
        <v>2984</v>
      </c>
      <c r="F1331" t="s">
        <v>9269</v>
      </c>
      <c r="G1331" t="s">
        <v>3996</v>
      </c>
    </row>
    <row r="1332" spans="1:7" x14ac:dyDescent="0.25">
      <c r="A1332" t="s">
        <v>847</v>
      </c>
      <c r="B1332" t="s">
        <v>2698</v>
      </c>
      <c r="C1332">
        <v>1996</v>
      </c>
      <c r="E1332" s="10" t="s">
        <v>9397</v>
      </c>
      <c r="F1332" t="s">
        <v>9398</v>
      </c>
      <c r="G1332" t="s">
        <v>3996</v>
      </c>
    </row>
    <row r="1333" spans="1:7" x14ac:dyDescent="0.25">
      <c r="A1333" t="s">
        <v>1046</v>
      </c>
      <c r="B1333" t="s">
        <v>2698</v>
      </c>
      <c r="C1333">
        <v>2016</v>
      </c>
      <c r="E1333" t="s">
        <v>3193</v>
      </c>
      <c r="F1333" t="s">
        <v>9399</v>
      </c>
      <c r="G1333" t="s">
        <v>3996</v>
      </c>
    </row>
    <row r="1334" spans="1:7" x14ac:dyDescent="0.25">
      <c r="A1334" t="s">
        <v>1294</v>
      </c>
      <c r="B1334" t="s">
        <v>2698</v>
      </c>
      <c r="C1334">
        <v>2019</v>
      </c>
      <c r="E1334" t="s">
        <v>3193</v>
      </c>
      <c r="F1334" t="s">
        <v>8836</v>
      </c>
      <c r="G1334" t="s">
        <v>3996</v>
      </c>
    </row>
    <row r="1335" spans="1:7" x14ac:dyDescent="0.25">
      <c r="A1335" t="s">
        <v>1855</v>
      </c>
      <c r="B1335" t="s">
        <v>2698</v>
      </c>
      <c r="C1335">
        <v>2015</v>
      </c>
      <c r="E1335" t="s">
        <v>3193</v>
      </c>
      <c r="F1335" t="s">
        <v>9400</v>
      </c>
      <c r="G1335" t="s">
        <v>3996</v>
      </c>
    </row>
    <row r="1336" spans="1:7" x14ac:dyDescent="0.25">
      <c r="A1336" t="s">
        <v>2099</v>
      </c>
      <c r="B1336" t="s">
        <v>2698</v>
      </c>
      <c r="C1336">
        <v>2021</v>
      </c>
      <c r="E1336" s="10" t="s">
        <v>8392</v>
      </c>
      <c r="F1336" t="s">
        <v>9015</v>
      </c>
      <c r="G1336" t="s">
        <v>3996</v>
      </c>
    </row>
    <row r="1337" spans="1:7" x14ac:dyDescent="0.25">
      <c r="A1337" t="s">
        <v>160</v>
      </c>
      <c r="B1337" t="s">
        <v>2698</v>
      </c>
      <c r="C1337">
        <v>2011</v>
      </c>
      <c r="E1337" t="s">
        <v>3193</v>
      </c>
      <c r="F1337" t="s">
        <v>9401</v>
      </c>
      <c r="G1337" t="s">
        <v>3996</v>
      </c>
    </row>
    <row r="1338" spans="1:7" x14ac:dyDescent="0.25">
      <c r="A1338" t="s">
        <v>2804</v>
      </c>
      <c r="B1338" t="s">
        <v>2698</v>
      </c>
      <c r="C1338">
        <v>2021</v>
      </c>
      <c r="E1338" s="10" t="s">
        <v>3193</v>
      </c>
      <c r="F1338" t="s">
        <v>9396</v>
      </c>
      <c r="G1338" t="s">
        <v>3996</v>
      </c>
    </row>
    <row r="1339" spans="1:7" x14ac:dyDescent="0.25">
      <c r="A1339" t="s">
        <v>746</v>
      </c>
      <c r="B1339" t="s">
        <v>2702</v>
      </c>
      <c r="C1339">
        <v>2015</v>
      </c>
      <c r="E1339" t="s">
        <v>2982</v>
      </c>
      <c r="F1339" t="s">
        <v>8624</v>
      </c>
      <c r="G1339" t="s">
        <v>3996</v>
      </c>
    </row>
    <row r="1340" spans="1:7" x14ac:dyDescent="0.25">
      <c r="A1340" t="s">
        <v>2154</v>
      </c>
      <c r="B1340" t="s">
        <v>2706</v>
      </c>
      <c r="C1340">
        <v>1980</v>
      </c>
      <c r="E1340" t="s">
        <v>3330</v>
      </c>
      <c r="F1340" t="s">
        <v>9059</v>
      </c>
      <c r="G1340" t="s">
        <v>3996</v>
      </c>
    </row>
    <row r="1341" spans="1:7" x14ac:dyDescent="0.25">
      <c r="A1341" t="s">
        <v>2706</v>
      </c>
      <c r="B1341" t="s">
        <v>2709</v>
      </c>
      <c r="C1341">
        <v>1991</v>
      </c>
      <c r="D1341" t="s">
        <v>187</v>
      </c>
      <c r="F1341" t="s">
        <v>9888</v>
      </c>
      <c r="G1341" t="s">
        <v>3996</v>
      </c>
    </row>
    <row r="1342" spans="1:7" x14ac:dyDescent="0.25">
      <c r="A1342" t="s">
        <v>1046</v>
      </c>
      <c r="B1342" t="s">
        <v>2711</v>
      </c>
      <c r="C1342">
        <v>2016</v>
      </c>
      <c r="E1342" t="s">
        <v>3194</v>
      </c>
      <c r="F1342" t="s">
        <v>8751</v>
      </c>
      <c r="G1342" t="s">
        <v>3996</v>
      </c>
    </row>
    <row r="1343" spans="1:7" x14ac:dyDescent="0.25">
      <c r="A1343" t="s">
        <v>160</v>
      </c>
      <c r="B1343" t="s">
        <v>2711</v>
      </c>
      <c r="C1343">
        <v>2011</v>
      </c>
      <c r="E1343" t="s">
        <v>3194</v>
      </c>
      <c r="F1343" t="s">
        <v>9321</v>
      </c>
      <c r="G1343" t="s">
        <v>3996</v>
      </c>
    </row>
    <row r="1344" spans="1:7" x14ac:dyDescent="0.25">
      <c r="A1344" t="s">
        <v>2721</v>
      </c>
      <c r="B1344" t="s">
        <v>2715</v>
      </c>
      <c r="C1344">
        <v>1993</v>
      </c>
      <c r="D1344" t="s">
        <v>187</v>
      </c>
      <c r="F1344" t="s">
        <v>9889</v>
      </c>
      <c r="G1344" t="s">
        <v>3996</v>
      </c>
    </row>
    <row r="1345" spans="1:7" x14ac:dyDescent="0.25">
      <c r="A1345" t="s">
        <v>2715</v>
      </c>
      <c r="B1345" t="s">
        <v>2718</v>
      </c>
      <c r="C1345">
        <v>1999</v>
      </c>
      <c r="D1345" t="s">
        <v>187</v>
      </c>
      <c r="F1345" t="s">
        <v>9890</v>
      </c>
      <c r="G1345" t="s">
        <v>3996</v>
      </c>
    </row>
    <row r="1346" spans="1:7" x14ac:dyDescent="0.25">
      <c r="A1346" t="s">
        <v>2154</v>
      </c>
      <c r="B1346" t="s">
        <v>2721</v>
      </c>
      <c r="C1346">
        <v>1980</v>
      </c>
      <c r="E1346" t="s">
        <v>3331</v>
      </c>
      <c r="F1346" t="s">
        <v>9060</v>
      </c>
      <c r="G1346" t="s">
        <v>3996</v>
      </c>
    </row>
    <row r="1347" spans="1:7" x14ac:dyDescent="0.25">
      <c r="A1347" t="s">
        <v>964</v>
      </c>
      <c r="B1347" t="s">
        <v>2724</v>
      </c>
      <c r="C1347">
        <v>2006</v>
      </c>
      <c r="E1347" t="s">
        <v>2727</v>
      </c>
      <c r="F1347" t="s">
        <v>8716</v>
      </c>
      <c r="G1347" t="s">
        <v>3996</v>
      </c>
    </row>
    <row r="1348" spans="1:7" x14ac:dyDescent="0.25">
      <c r="A1348" t="s">
        <v>1157</v>
      </c>
      <c r="B1348" t="s">
        <v>2728</v>
      </c>
      <c r="C1348">
        <v>2014</v>
      </c>
      <c r="D1348" t="s">
        <v>187</v>
      </c>
      <c r="F1348" t="s">
        <v>9891</v>
      </c>
      <c r="G1348" t="s">
        <v>3996</v>
      </c>
    </row>
    <row r="1349" spans="1:7" x14ac:dyDescent="0.25">
      <c r="A1349" t="s">
        <v>1659</v>
      </c>
      <c r="B1349" t="s">
        <v>2731</v>
      </c>
      <c r="C1349">
        <v>2012</v>
      </c>
      <c r="D1349" t="s">
        <v>187</v>
      </c>
      <c r="F1349" t="s">
        <v>9892</v>
      </c>
      <c r="G1349" t="s">
        <v>3996</v>
      </c>
    </row>
    <row r="1350" spans="1:7" x14ac:dyDescent="0.25">
      <c r="A1350" t="s">
        <v>90</v>
      </c>
      <c r="B1350" t="s">
        <v>2734</v>
      </c>
      <c r="C1350">
        <v>2017</v>
      </c>
      <c r="E1350" t="s">
        <v>3384</v>
      </c>
      <c r="F1350" t="s">
        <v>9893</v>
      </c>
      <c r="G1350" t="s">
        <v>187</v>
      </c>
    </row>
    <row r="1351" spans="1:7" x14ac:dyDescent="0.25">
      <c r="A1351" t="s">
        <v>2185</v>
      </c>
      <c r="B1351" t="s">
        <v>2736</v>
      </c>
      <c r="C1351">
        <v>2022</v>
      </c>
      <c r="E1351" t="s">
        <v>3338</v>
      </c>
      <c r="F1351" t="s">
        <v>9076</v>
      </c>
      <c r="G1351" t="s">
        <v>3996</v>
      </c>
    </row>
    <row r="1352" spans="1:7" x14ac:dyDescent="0.25">
      <c r="A1352" t="s">
        <v>1690</v>
      </c>
      <c r="B1352" t="s">
        <v>2738</v>
      </c>
      <c r="C1352">
        <v>2020</v>
      </c>
      <c r="E1352" t="s">
        <v>2982</v>
      </c>
      <c r="F1352" t="s">
        <v>8927</v>
      </c>
      <c r="G1352" t="s">
        <v>3996</v>
      </c>
    </row>
    <row r="1353" spans="1:7" x14ac:dyDescent="0.25">
      <c r="A1353" t="s">
        <v>90</v>
      </c>
      <c r="B1353" t="s">
        <v>2738</v>
      </c>
      <c r="C1353">
        <v>2017</v>
      </c>
      <c r="E1353" t="s">
        <v>2982</v>
      </c>
      <c r="F1353" t="s">
        <v>9188</v>
      </c>
      <c r="G1353" t="s">
        <v>3996</v>
      </c>
    </row>
    <row r="1354" spans="1:7" x14ac:dyDescent="0.25">
      <c r="A1354" t="s">
        <v>1365</v>
      </c>
      <c r="B1354" t="s">
        <v>2742</v>
      </c>
      <c r="C1354">
        <v>2018</v>
      </c>
      <c r="E1354" t="s">
        <v>2982</v>
      </c>
      <c r="F1354" t="s">
        <v>8846</v>
      </c>
      <c r="G1354" t="s">
        <v>3996</v>
      </c>
    </row>
    <row r="1355" spans="1:7" x14ac:dyDescent="0.25">
      <c r="A1355" t="s">
        <v>2804</v>
      </c>
      <c r="B1355" t="s">
        <v>2742</v>
      </c>
      <c r="C1355">
        <v>2021</v>
      </c>
      <c r="E1355" t="s">
        <v>2982</v>
      </c>
      <c r="F1355" t="s">
        <v>9372</v>
      </c>
      <c r="G1355" t="s">
        <v>3996</v>
      </c>
    </row>
    <row r="1356" spans="1:7" x14ac:dyDescent="0.25">
      <c r="A1356" t="s">
        <v>930</v>
      </c>
      <c r="B1356" t="s">
        <v>2744</v>
      </c>
      <c r="C1356">
        <v>2015</v>
      </c>
      <c r="E1356" t="s">
        <v>3161</v>
      </c>
      <c r="F1356" t="s">
        <v>8707</v>
      </c>
      <c r="G1356" t="s">
        <v>3996</v>
      </c>
    </row>
    <row r="1357" spans="1:7" x14ac:dyDescent="0.25">
      <c r="A1357" t="s">
        <v>160</v>
      </c>
      <c r="B1357" t="s">
        <v>2747</v>
      </c>
      <c r="C1357">
        <v>2011</v>
      </c>
      <c r="E1357" t="s">
        <v>3417</v>
      </c>
      <c r="F1357" t="s">
        <v>9322</v>
      </c>
      <c r="G1357" t="s">
        <v>3996</v>
      </c>
    </row>
    <row r="1358" spans="1:7" x14ac:dyDescent="0.25">
      <c r="A1358" t="s">
        <v>1144</v>
      </c>
      <c r="B1358" t="s">
        <v>2751</v>
      </c>
      <c r="C1358">
        <v>2012</v>
      </c>
      <c r="E1358" t="s">
        <v>2982</v>
      </c>
      <c r="F1358" t="s">
        <v>8786</v>
      </c>
      <c r="G1358" t="s">
        <v>3996</v>
      </c>
    </row>
    <row r="1359" spans="1:7" x14ac:dyDescent="0.25">
      <c r="A1359" t="s">
        <v>90</v>
      </c>
      <c r="B1359" t="s">
        <v>2751</v>
      </c>
      <c r="C1359">
        <v>2017</v>
      </c>
      <c r="E1359" t="s">
        <v>2982</v>
      </c>
      <c r="F1359" t="s">
        <v>9189</v>
      </c>
      <c r="G1359" t="s">
        <v>3996</v>
      </c>
    </row>
    <row r="1360" spans="1:7" x14ac:dyDescent="0.25">
      <c r="A1360" t="s">
        <v>344</v>
      </c>
      <c r="B1360" t="s">
        <v>2755</v>
      </c>
      <c r="C1360">
        <v>2023</v>
      </c>
      <c r="E1360" t="s">
        <v>3013</v>
      </c>
      <c r="F1360" t="s">
        <v>9894</v>
      </c>
      <c r="G1360" t="s">
        <v>187</v>
      </c>
    </row>
    <row r="1361" spans="1:7" x14ac:dyDescent="0.25">
      <c r="A1361" t="s">
        <v>1443</v>
      </c>
      <c r="B1361" t="s">
        <v>8123</v>
      </c>
      <c r="C1361">
        <v>2018</v>
      </c>
      <c r="E1361" s="10" t="s">
        <v>8133</v>
      </c>
      <c r="F1361" t="s">
        <v>8880</v>
      </c>
      <c r="G1361" t="s">
        <v>3996</v>
      </c>
    </row>
    <row r="1362" spans="1:7" x14ac:dyDescent="0.25">
      <c r="A1362" t="s">
        <v>1144</v>
      </c>
      <c r="B1362" t="s">
        <v>2757</v>
      </c>
      <c r="C1362">
        <v>2012</v>
      </c>
      <c r="E1362" t="s">
        <v>2982</v>
      </c>
      <c r="F1362" t="s">
        <v>8787</v>
      </c>
      <c r="G1362" t="s">
        <v>3996</v>
      </c>
    </row>
    <row r="1363" spans="1:7" x14ac:dyDescent="0.25">
      <c r="A1363" t="s">
        <v>930</v>
      </c>
      <c r="B1363" t="s">
        <v>2760</v>
      </c>
      <c r="C1363">
        <v>2015</v>
      </c>
      <c r="E1363" t="s">
        <v>3162</v>
      </c>
      <c r="F1363" t="s">
        <v>8708</v>
      </c>
      <c r="G1363" t="s">
        <v>3996</v>
      </c>
    </row>
    <row r="1364" spans="1:7" x14ac:dyDescent="0.25">
      <c r="A1364" t="s">
        <v>2428</v>
      </c>
      <c r="B1364" t="s">
        <v>2760</v>
      </c>
      <c r="C1364">
        <v>2008</v>
      </c>
      <c r="E1364" t="s">
        <v>3162</v>
      </c>
      <c r="F1364" t="s">
        <v>9240</v>
      </c>
      <c r="G1364" t="s">
        <v>3996</v>
      </c>
    </row>
    <row r="1365" spans="1:7" x14ac:dyDescent="0.25">
      <c r="A1365" t="s">
        <v>160</v>
      </c>
      <c r="B1365" t="s">
        <v>2760</v>
      </c>
      <c r="C1365">
        <v>2011</v>
      </c>
      <c r="E1365" t="s">
        <v>3162</v>
      </c>
      <c r="F1365" t="s">
        <v>9323</v>
      </c>
      <c r="G1365" t="s">
        <v>3996</v>
      </c>
    </row>
    <row r="1366" spans="1:7" x14ac:dyDescent="0.25">
      <c r="A1366" t="s">
        <v>344</v>
      </c>
      <c r="B1366" t="s">
        <v>2763</v>
      </c>
      <c r="C1366">
        <v>2023</v>
      </c>
      <c r="E1366" t="s">
        <v>3014</v>
      </c>
      <c r="F1366" t="s">
        <v>9895</v>
      </c>
      <c r="G1366" t="s">
        <v>187</v>
      </c>
    </row>
    <row r="1367" spans="1:7" x14ac:dyDescent="0.25">
      <c r="A1367" t="s">
        <v>2614</v>
      </c>
      <c r="B1367" t="s">
        <v>2763</v>
      </c>
      <c r="C1367">
        <v>2025</v>
      </c>
      <c r="E1367" t="s">
        <v>3014</v>
      </c>
      <c r="F1367" t="s">
        <v>9896</v>
      </c>
      <c r="G1367" t="s">
        <v>187</v>
      </c>
    </row>
    <row r="1368" spans="1:7" x14ac:dyDescent="0.25">
      <c r="A1368" t="s">
        <v>759</v>
      </c>
      <c r="B1368" t="s">
        <v>2766</v>
      </c>
      <c r="C1368">
        <v>2018</v>
      </c>
      <c r="E1368" t="s">
        <v>2982</v>
      </c>
      <c r="F1368" t="s">
        <v>8646</v>
      </c>
      <c r="G1368" t="s">
        <v>3996</v>
      </c>
    </row>
    <row r="1369" spans="1:7" x14ac:dyDescent="0.25">
      <c r="A1369" t="s">
        <v>1004</v>
      </c>
      <c r="B1369" t="s">
        <v>2769</v>
      </c>
      <c r="C1369">
        <v>2006</v>
      </c>
      <c r="E1369" t="s">
        <v>3176</v>
      </c>
      <c r="F1369" t="s">
        <v>9897</v>
      </c>
      <c r="G1369" t="s">
        <v>187</v>
      </c>
    </row>
    <row r="1370" spans="1:7" x14ac:dyDescent="0.25">
      <c r="A1370" t="s">
        <v>160</v>
      </c>
      <c r="B1370" t="s">
        <v>2769</v>
      </c>
      <c r="C1370">
        <v>2011</v>
      </c>
      <c r="E1370" t="s">
        <v>3176</v>
      </c>
      <c r="F1370" t="s">
        <v>9898</v>
      </c>
      <c r="G1370" t="s">
        <v>187</v>
      </c>
    </row>
    <row r="1371" spans="1:7" x14ac:dyDescent="0.25">
      <c r="A1371" t="s">
        <v>256</v>
      </c>
      <c r="B1371" t="s">
        <v>2771</v>
      </c>
      <c r="C1371">
        <v>1994</v>
      </c>
      <c r="F1371" t="s">
        <v>9899</v>
      </c>
      <c r="G1371" t="s">
        <v>187</v>
      </c>
    </row>
    <row r="1372" spans="1:7" x14ac:dyDescent="0.25">
      <c r="A1372" t="s">
        <v>353</v>
      </c>
      <c r="B1372" t="s">
        <v>7705</v>
      </c>
      <c r="C1372">
        <v>2023</v>
      </c>
      <c r="E1372" t="s">
        <v>7704</v>
      </c>
      <c r="F1372" t="s">
        <v>8548</v>
      </c>
      <c r="G1372" t="s">
        <v>3996</v>
      </c>
    </row>
    <row r="1373" spans="1:7" x14ac:dyDescent="0.25">
      <c r="A1373" t="s">
        <v>2506</v>
      </c>
      <c r="B1373" t="s">
        <v>7705</v>
      </c>
      <c r="C1373">
        <v>2021</v>
      </c>
      <c r="E1373" t="s">
        <v>7704</v>
      </c>
      <c r="F1373" t="s">
        <v>9257</v>
      </c>
      <c r="G1373" t="s">
        <v>3996</v>
      </c>
    </row>
    <row r="1374" spans="1:7" x14ac:dyDescent="0.25">
      <c r="A1374" t="s">
        <v>759</v>
      </c>
      <c r="B1374" t="s">
        <v>2782</v>
      </c>
      <c r="C1374">
        <v>2018</v>
      </c>
      <c r="E1374" t="s">
        <v>3124</v>
      </c>
      <c r="F1374" t="s">
        <v>8647</v>
      </c>
      <c r="G1374" t="s">
        <v>3996</v>
      </c>
    </row>
    <row r="1375" spans="1:7" x14ac:dyDescent="0.25">
      <c r="A1375" t="s">
        <v>1046</v>
      </c>
      <c r="B1375" t="s">
        <v>2782</v>
      </c>
      <c r="C1375">
        <v>2016</v>
      </c>
      <c r="E1375" s="10" t="s">
        <v>8437</v>
      </c>
      <c r="F1375" t="s">
        <v>8752</v>
      </c>
      <c r="G1375" t="s">
        <v>3996</v>
      </c>
    </row>
    <row r="1376" spans="1:7" x14ac:dyDescent="0.25">
      <c r="A1376" t="s">
        <v>2173</v>
      </c>
      <c r="B1376" t="s">
        <v>2782</v>
      </c>
      <c r="C1376">
        <v>2013</v>
      </c>
      <c r="E1376" t="s">
        <v>3124</v>
      </c>
      <c r="F1376" t="s">
        <v>9074</v>
      </c>
      <c r="G1376" t="s">
        <v>3996</v>
      </c>
    </row>
    <row r="1377" spans="1:7" x14ac:dyDescent="0.25">
      <c r="A1377" t="s">
        <v>90</v>
      </c>
      <c r="B1377" t="s">
        <v>2782</v>
      </c>
      <c r="C1377">
        <v>2017</v>
      </c>
      <c r="E1377" s="10" t="s">
        <v>9425</v>
      </c>
      <c r="F1377" t="s">
        <v>9426</v>
      </c>
      <c r="G1377" t="s">
        <v>3996</v>
      </c>
    </row>
    <row r="1378" spans="1:7" x14ac:dyDescent="0.25">
      <c r="A1378" t="s">
        <v>160</v>
      </c>
      <c r="B1378" t="s">
        <v>2782</v>
      </c>
      <c r="C1378">
        <v>2011</v>
      </c>
      <c r="E1378" t="s">
        <v>3124</v>
      </c>
      <c r="F1378" t="s">
        <v>9324</v>
      </c>
      <c r="G1378" t="s">
        <v>3996</v>
      </c>
    </row>
    <row r="1379" spans="1:7" x14ac:dyDescent="0.25">
      <c r="A1379" t="s">
        <v>1294</v>
      </c>
      <c r="B1379" t="s">
        <v>2786</v>
      </c>
      <c r="C1379">
        <v>2019</v>
      </c>
      <c r="E1379" s="10" t="s">
        <v>8437</v>
      </c>
      <c r="F1379" t="s">
        <v>9392</v>
      </c>
      <c r="G1379" t="s">
        <v>3996</v>
      </c>
    </row>
    <row r="1380" spans="1:7" x14ac:dyDescent="0.25">
      <c r="A1380" t="s">
        <v>2782</v>
      </c>
      <c r="B1380" t="s">
        <v>2786</v>
      </c>
      <c r="C1380">
        <v>2019</v>
      </c>
      <c r="D1380" t="s">
        <v>187</v>
      </c>
      <c r="F1380" t="s">
        <v>9900</v>
      </c>
      <c r="G1380" t="s">
        <v>3996</v>
      </c>
    </row>
    <row r="1381" spans="1:7" x14ac:dyDescent="0.25">
      <c r="A1381" t="s">
        <v>490</v>
      </c>
      <c r="B1381" t="s">
        <v>2788</v>
      </c>
      <c r="C1381">
        <v>2009</v>
      </c>
      <c r="E1381" t="s">
        <v>3063</v>
      </c>
      <c r="F1381" t="s">
        <v>8562</v>
      </c>
      <c r="G1381" t="s">
        <v>3996</v>
      </c>
    </row>
    <row r="1382" spans="1:7" x14ac:dyDescent="0.25">
      <c r="A1382" t="s">
        <v>1795</v>
      </c>
      <c r="B1382" t="s">
        <v>2788</v>
      </c>
      <c r="C1382">
        <v>1987</v>
      </c>
      <c r="E1382" s="10" t="s">
        <v>8410</v>
      </c>
      <c r="F1382" t="s">
        <v>8964</v>
      </c>
      <c r="G1382" t="s">
        <v>3996</v>
      </c>
    </row>
    <row r="1383" spans="1:7" x14ac:dyDescent="0.25">
      <c r="A1383" t="s">
        <v>2154</v>
      </c>
      <c r="B1383" t="s">
        <v>2788</v>
      </c>
      <c r="C1383">
        <v>1980</v>
      </c>
      <c r="E1383" s="10" t="s">
        <v>8410</v>
      </c>
      <c r="F1383" t="s">
        <v>9061</v>
      </c>
      <c r="G1383" t="s">
        <v>3996</v>
      </c>
    </row>
    <row r="1384" spans="1:7" x14ac:dyDescent="0.25">
      <c r="A1384" t="s">
        <v>2788</v>
      </c>
      <c r="B1384" t="s">
        <v>2790</v>
      </c>
      <c r="C1384">
        <v>2017</v>
      </c>
      <c r="D1384" t="s">
        <v>187</v>
      </c>
      <c r="F1384" t="s">
        <v>9901</v>
      </c>
      <c r="G1384" t="s">
        <v>3996</v>
      </c>
    </row>
    <row r="1385" spans="1:7" x14ac:dyDescent="0.25">
      <c r="A1385" t="s">
        <v>1795</v>
      </c>
      <c r="B1385" t="s">
        <v>2792</v>
      </c>
      <c r="C1385">
        <v>1987</v>
      </c>
      <c r="E1385" t="s">
        <v>3290</v>
      </c>
      <c r="F1385" t="s">
        <v>9902</v>
      </c>
      <c r="G1385" t="s">
        <v>187</v>
      </c>
    </row>
    <row r="1386" spans="1:7" x14ac:dyDescent="0.25">
      <c r="A1386" t="s">
        <v>1882</v>
      </c>
      <c r="B1386" t="s">
        <v>2792</v>
      </c>
      <c r="C1386">
        <v>1987</v>
      </c>
      <c r="E1386" t="s">
        <v>3290</v>
      </c>
      <c r="F1386" t="s">
        <v>9903</v>
      </c>
      <c r="G1386" t="s">
        <v>187</v>
      </c>
    </row>
    <row r="1387" spans="1:7" x14ac:dyDescent="0.25">
      <c r="A1387" t="s">
        <v>847</v>
      </c>
      <c r="B1387" t="s">
        <v>2796</v>
      </c>
      <c r="C1387">
        <v>1996</v>
      </c>
      <c r="E1387" s="10" t="s">
        <v>3168</v>
      </c>
      <c r="F1387" t="s">
        <v>8462</v>
      </c>
      <c r="G1387" t="s">
        <v>3996</v>
      </c>
    </row>
    <row r="1388" spans="1:7" x14ac:dyDescent="0.25">
      <c r="A1388" t="s">
        <v>964</v>
      </c>
      <c r="B1388" t="s">
        <v>2796</v>
      </c>
      <c r="C1388">
        <v>2018</v>
      </c>
      <c r="E1388" t="s">
        <v>3168</v>
      </c>
      <c r="F1388" t="s">
        <v>8717</v>
      </c>
      <c r="G1388" t="s">
        <v>3996</v>
      </c>
    </row>
    <row r="1389" spans="1:7" x14ac:dyDescent="0.25">
      <c r="A1389" t="s">
        <v>2428</v>
      </c>
      <c r="B1389" t="s">
        <v>2796</v>
      </c>
      <c r="C1389">
        <v>2018</v>
      </c>
      <c r="E1389" t="s">
        <v>3168</v>
      </c>
      <c r="F1389" t="s">
        <v>9241</v>
      </c>
      <c r="G1389" t="s">
        <v>3996</v>
      </c>
    </row>
    <row r="1390" spans="1:7" x14ac:dyDescent="0.25">
      <c r="A1390" t="s">
        <v>2804</v>
      </c>
      <c r="B1390" t="s">
        <v>2798</v>
      </c>
      <c r="C1390">
        <v>2021</v>
      </c>
      <c r="D1390" t="s">
        <v>187</v>
      </c>
      <c r="F1390" t="s">
        <v>9904</v>
      </c>
      <c r="G1390" t="s">
        <v>3996</v>
      </c>
    </row>
    <row r="1391" spans="1:7" x14ac:dyDescent="0.25">
      <c r="A1391" t="s">
        <v>497</v>
      </c>
      <c r="B1391" t="s">
        <v>2800</v>
      </c>
      <c r="C1391">
        <v>2022</v>
      </c>
      <c r="E1391" s="10" t="s">
        <v>8417</v>
      </c>
      <c r="F1391" t="s">
        <v>9905</v>
      </c>
      <c r="G1391" t="s">
        <v>187</v>
      </c>
    </row>
    <row r="1392" spans="1:7" x14ac:dyDescent="0.25">
      <c r="A1392" t="s">
        <v>2397</v>
      </c>
      <c r="B1392" t="s">
        <v>2800</v>
      </c>
      <c r="C1392">
        <v>2022</v>
      </c>
      <c r="E1392" s="10" t="s">
        <v>8417</v>
      </c>
      <c r="F1392" t="s">
        <v>9906</v>
      </c>
      <c r="G1392" t="s">
        <v>187</v>
      </c>
    </row>
    <row r="1393" spans="1:7" x14ac:dyDescent="0.25">
      <c r="A1393" t="s">
        <v>2804</v>
      </c>
      <c r="B1393" t="s">
        <v>2800</v>
      </c>
      <c r="C1393">
        <v>2021</v>
      </c>
      <c r="E1393" t="s">
        <v>2982</v>
      </c>
      <c r="F1393" t="s">
        <v>9373</v>
      </c>
      <c r="G1393" t="s">
        <v>3996</v>
      </c>
    </row>
    <row r="1394" spans="1:7" x14ac:dyDescent="0.25">
      <c r="A1394" t="s">
        <v>1592</v>
      </c>
      <c r="B1394" t="s">
        <v>2804</v>
      </c>
      <c r="C1394">
        <v>2019</v>
      </c>
      <c r="E1394" t="s">
        <v>3268</v>
      </c>
      <c r="F1394" t="s">
        <v>8914</v>
      </c>
      <c r="G1394" t="s">
        <v>3996</v>
      </c>
    </row>
    <row r="1395" spans="1:7" x14ac:dyDescent="0.25">
      <c r="A1395" t="s">
        <v>90</v>
      </c>
      <c r="B1395" t="s">
        <v>2808</v>
      </c>
      <c r="C1395">
        <v>2017</v>
      </c>
      <c r="E1395" t="s">
        <v>3385</v>
      </c>
      <c r="F1395" t="s">
        <v>9190</v>
      </c>
      <c r="G1395" t="s">
        <v>3996</v>
      </c>
    </row>
    <row r="1396" spans="1:7" x14ac:dyDescent="0.25">
      <c r="A1396" t="s">
        <v>651</v>
      </c>
      <c r="B1396" t="s">
        <v>2812</v>
      </c>
      <c r="C1396">
        <v>2023</v>
      </c>
      <c r="E1396" t="s">
        <v>3082</v>
      </c>
      <c r="F1396" t="s">
        <v>8590</v>
      </c>
      <c r="G1396" t="s">
        <v>3996</v>
      </c>
    </row>
    <row r="1397" spans="1:7" x14ac:dyDescent="0.25">
      <c r="A1397" t="s">
        <v>1029</v>
      </c>
      <c r="B1397" t="s">
        <v>2812</v>
      </c>
      <c r="C1397">
        <v>2022</v>
      </c>
      <c r="E1397" t="s">
        <v>3082</v>
      </c>
      <c r="F1397" t="s">
        <v>8729</v>
      </c>
      <c r="G1397" t="s">
        <v>3996</v>
      </c>
    </row>
    <row r="1398" spans="1:7" x14ac:dyDescent="0.25">
      <c r="A1398" t="s">
        <v>1272</v>
      </c>
      <c r="B1398" t="s">
        <v>2812</v>
      </c>
      <c r="C1398">
        <v>2020</v>
      </c>
      <c r="E1398" t="s">
        <v>3082</v>
      </c>
      <c r="F1398" t="s">
        <v>8794</v>
      </c>
      <c r="G1398" t="s">
        <v>3996</v>
      </c>
    </row>
    <row r="1399" spans="1:7" x14ac:dyDescent="0.25">
      <c r="A1399" t="s">
        <v>1294</v>
      </c>
      <c r="B1399" t="s">
        <v>2812</v>
      </c>
      <c r="C1399">
        <v>2019</v>
      </c>
      <c r="E1399" t="s">
        <v>3082</v>
      </c>
      <c r="F1399" t="s">
        <v>8837</v>
      </c>
      <c r="G1399" t="s">
        <v>3996</v>
      </c>
    </row>
    <row r="1400" spans="1:7" x14ac:dyDescent="0.25">
      <c r="A1400" t="s">
        <v>2136</v>
      </c>
      <c r="B1400" t="s">
        <v>2812</v>
      </c>
      <c r="C1400">
        <v>2020</v>
      </c>
      <c r="E1400" t="s">
        <v>3082</v>
      </c>
      <c r="F1400" t="s">
        <v>9034</v>
      </c>
      <c r="G1400" t="s">
        <v>3996</v>
      </c>
    </row>
    <row r="1401" spans="1:7" x14ac:dyDescent="0.25">
      <c r="A1401" t="s">
        <v>2954</v>
      </c>
      <c r="B1401" t="s">
        <v>2812</v>
      </c>
      <c r="C1401">
        <v>2014</v>
      </c>
      <c r="E1401" t="s">
        <v>3082</v>
      </c>
      <c r="F1401" t="s">
        <v>9391</v>
      </c>
      <c r="G1401" t="s">
        <v>3996</v>
      </c>
    </row>
    <row r="1402" spans="1:7" x14ac:dyDescent="0.25">
      <c r="A1402" t="s">
        <v>2804</v>
      </c>
      <c r="B1402" t="s">
        <v>2814</v>
      </c>
      <c r="C1402">
        <v>2021</v>
      </c>
      <c r="E1402" t="s">
        <v>2982</v>
      </c>
      <c r="F1402" t="s">
        <v>9374</v>
      </c>
      <c r="G1402" t="s">
        <v>3996</v>
      </c>
    </row>
    <row r="1403" spans="1:7" x14ac:dyDescent="0.25">
      <c r="A1403" t="s">
        <v>924</v>
      </c>
      <c r="B1403" t="s">
        <v>2818</v>
      </c>
      <c r="C1403">
        <v>2019</v>
      </c>
      <c r="E1403" t="s">
        <v>3155</v>
      </c>
      <c r="F1403" t="s">
        <v>9907</v>
      </c>
      <c r="G1403" t="s">
        <v>187</v>
      </c>
    </row>
    <row r="1404" spans="1:7" x14ac:dyDescent="0.25">
      <c r="A1404" t="s">
        <v>90</v>
      </c>
      <c r="B1404" t="s">
        <v>2818</v>
      </c>
      <c r="C1404">
        <v>2017</v>
      </c>
      <c r="E1404" t="s">
        <v>3155</v>
      </c>
      <c r="F1404" t="s">
        <v>9908</v>
      </c>
      <c r="G1404" t="s">
        <v>187</v>
      </c>
    </row>
    <row r="1405" spans="1:7" x14ac:dyDescent="0.25">
      <c r="A1405" t="s">
        <v>2721</v>
      </c>
      <c r="B1405" t="s">
        <v>2818</v>
      </c>
      <c r="C1405">
        <v>1993</v>
      </c>
      <c r="E1405" t="s">
        <v>3155</v>
      </c>
      <c r="F1405" t="s">
        <v>9909</v>
      </c>
      <c r="G1405" t="s">
        <v>187</v>
      </c>
    </row>
    <row r="1406" spans="1:7" x14ac:dyDescent="0.25">
      <c r="A1406" t="s">
        <v>2818</v>
      </c>
      <c r="B1406" t="s">
        <v>2820</v>
      </c>
      <c r="C1406">
        <v>2021</v>
      </c>
      <c r="D1406" t="s">
        <v>187</v>
      </c>
      <c r="F1406" t="s">
        <v>9910</v>
      </c>
      <c r="G1406" t="s">
        <v>3996</v>
      </c>
    </row>
    <row r="1407" spans="1:7" x14ac:dyDescent="0.25">
      <c r="A1407" t="s">
        <v>746</v>
      </c>
      <c r="B1407" t="s">
        <v>2822</v>
      </c>
      <c r="C1407">
        <v>2015</v>
      </c>
      <c r="E1407" t="s">
        <v>3108</v>
      </c>
      <c r="F1407" t="s">
        <v>8625</v>
      </c>
      <c r="G1407" t="s">
        <v>3996</v>
      </c>
    </row>
    <row r="1408" spans="1:7" x14ac:dyDescent="0.25">
      <c r="A1408" t="s">
        <v>90</v>
      </c>
      <c r="B1408" t="s">
        <v>2822</v>
      </c>
      <c r="C1408">
        <v>2017</v>
      </c>
      <c r="E1408" t="s">
        <v>2982</v>
      </c>
      <c r="F1408" t="s">
        <v>9191</v>
      </c>
      <c r="G1408" t="s">
        <v>3996</v>
      </c>
    </row>
    <row r="1409" spans="1:7" x14ac:dyDescent="0.25">
      <c r="A1409" t="s">
        <v>1144</v>
      </c>
      <c r="B1409" t="s">
        <v>2824</v>
      </c>
      <c r="C1409">
        <v>2012</v>
      </c>
      <c r="E1409" t="s">
        <v>3216</v>
      </c>
      <c r="F1409" t="s">
        <v>8788</v>
      </c>
      <c r="G1409" t="s">
        <v>3996</v>
      </c>
    </row>
    <row r="1410" spans="1:7" x14ac:dyDescent="0.25">
      <c r="A1410" t="s">
        <v>2804</v>
      </c>
      <c r="B1410" t="s">
        <v>2828</v>
      </c>
      <c r="C1410">
        <v>2021</v>
      </c>
      <c r="E1410" t="s">
        <v>2982</v>
      </c>
      <c r="F1410" t="s">
        <v>9375</v>
      </c>
      <c r="G1410" t="s">
        <v>3996</v>
      </c>
    </row>
    <row r="1411" spans="1:7" x14ac:dyDescent="0.25">
      <c r="A1411" t="s">
        <v>1004</v>
      </c>
      <c r="B1411" t="s">
        <v>2832</v>
      </c>
      <c r="C1411">
        <v>2006</v>
      </c>
      <c r="E1411" t="s">
        <v>3177</v>
      </c>
      <c r="F1411" t="s">
        <v>9911</v>
      </c>
      <c r="G1411" t="s">
        <v>187</v>
      </c>
    </row>
    <row r="1412" spans="1:7" x14ac:dyDescent="0.25">
      <c r="A1412" t="s">
        <v>1144</v>
      </c>
      <c r="B1412" t="s">
        <v>2832</v>
      </c>
      <c r="C1412">
        <v>2012</v>
      </c>
      <c r="E1412" t="s">
        <v>3177</v>
      </c>
      <c r="F1412" t="s">
        <v>9912</v>
      </c>
      <c r="G1412" t="s">
        <v>187</v>
      </c>
    </row>
    <row r="1413" spans="1:7" x14ac:dyDescent="0.25">
      <c r="A1413" t="s">
        <v>1855</v>
      </c>
      <c r="B1413" t="s">
        <v>2834</v>
      </c>
      <c r="C1413">
        <v>2015</v>
      </c>
      <c r="E1413" t="s">
        <v>3302</v>
      </c>
      <c r="F1413" t="s">
        <v>8993</v>
      </c>
      <c r="G1413" t="s">
        <v>3996</v>
      </c>
    </row>
    <row r="1414" spans="1:7" x14ac:dyDescent="0.25">
      <c r="A1414" t="s">
        <v>457</v>
      </c>
      <c r="B1414" t="s">
        <v>2838</v>
      </c>
      <c r="C1414">
        <v>2022</v>
      </c>
      <c r="D1414" t="s">
        <v>187</v>
      </c>
      <c r="F1414" t="s">
        <v>9913</v>
      </c>
      <c r="G1414" t="s">
        <v>3996</v>
      </c>
    </row>
    <row r="1415" spans="1:7" x14ac:dyDescent="0.25">
      <c r="A1415" t="s">
        <v>497</v>
      </c>
      <c r="B1415" t="s">
        <v>2838</v>
      </c>
      <c r="C1415">
        <v>2022</v>
      </c>
      <c r="E1415" t="s">
        <v>3071</v>
      </c>
      <c r="F1415" t="s">
        <v>8577</v>
      </c>
      <c r="G1415" t="s">
        <v>3996</v>
      </c>
    </row>
    <row r="1416" spans="1:7" x14ac:dyDescent="0.25">
      <c r="A1416" t="s">
        <v>847</v>
      </c>
      <c r="B1416" t="s">
        <v>2840</v>
      </c>
      <c r="C1416">
        <v>1996</v>
      </c>
      <c r="E1416" s="10" t="s">
        <v>3436</v>
      </c>
      <c r="F1416" t="s">
        <v>8679</v>
      </c>
      <c r="G1416" t="s">
        <v>3996</v>
      </c>
    </row>
    <row r="1417" spans="1:7" x14ac:dyDescent="0.25">
      <c r="A1417" t="s">
        <v>2901</v>
      </c>
      <c r="B1417" t="s">
        <v>2840</v>
      </c>
      <c r="C1417">
        <v>2023</v>
      </c>
      <c r="E1417" t="s">
        <v>3436</v>
      </c>
      <c r="F1417" t="s">
        <v>9382</v>
      </c>
      <c r="G1417" t="s">
        <v>3996</v>
      </c>
    </row>
    <row r="1418" spans="1:7" x14ac:dyDescent="0.25">
      <c r="A1418" t="s">
        <v>2721</v>
      </c>
      <c r="B1418" t="s">
        <v>2843</v>
      </c>
      <c r="C1418">
        <v>1993</v>
      </c>
      <c r="E1418" t="s">
        <v>3013</v>
      </c>
      <c r="F1418" t="s">
        <v>9914</v>
      </c>
      <c r="G1418" t="s">
        <v>187</v>
      </c>
    </row>
    <row r="1419" spans="1:7" x14ac:dyDescent="0.25">
      <c r="A1419" t="s">
        <v>904</v>
      </c>
      <c r="B1419" t="s">
        <v>2846</v>
      </c>
      <c r="C1419">
        <v>2022</v>
      </c>
      <c r="E1419" t="s">
        <v>3146</v>
      </c>
      <c r="F1419" t="s">
        <v>8691</v>
      </c>
      <c r="G1419" t="s">
        <v>3996</v>
      </c>
    </row>
    <row r="1420" spans="1:7" x14ac:dyDescent="0.25">
      <c r="A1420" t="s">
        <v>2846</v>
      </c>
      <c r="B1420" t="s">
        <v>2850</v>
      </c>
      <c r="C1420">
        <v>2023</v>
      </c>
      <c r="D1420" t="s">
        <v>187</v>
      </c>
      <c r="F1420" t="s">
        <v>9915</v>
      </c>
      <c r="G1420" t="s">
        <v>3996</v>
      </c>
    </row>
    <row r="1421" spans="1:7" x14ac:dyDescent="0.25">
      <c r="A1421" t="s">
        <v>350</v>
      </c>
      <c r="B1421" t="s">
        <v>7851</v>
      </c>
      <c r="C1421">
        <v>2018</v>
      </c>
      <c r="E1421" t="s">
        <v>7854</v>
      </c>
      <c r="F1421" t="s">
        <v>8509</v>
      </c>
      <c r="G1421" t="s">
        <v>3996</v>
      </c>
    </row>
    <row r="1422" spans="1:7" x14ac:dyDescent="0.25">
      <c r="A1422" t="s">
        <v>2804</v>
      </c>
      <c r="B1422" t="s">
        <v>7851</v>
      </c>
      <c r="C1422">
        <v>2021</v>
      </c>
      <c r="E1422" t="s">
        <v>7854</v>
      </c>
      <c r="F1422" t="s">
        <v>9376</v>
      </c>
      <c r="G1422" t="s">
        <v>3996</v>
      </c>
    </row>
    <row r="1423" spans="1:7" x14ac:dyDescent="0.25">
      <c r="A1423" t="s">
        <v>2804</v>
      </c>
      <c r="B1423" t="s">
        <v>2852</v>
      </c>
      <c r="C1423">
        <v>2021</v>
      </c>
      <c r="D1423" t="s">
        <v>187</v>
      </c>
      <c r="E1423" t="s">
        <v>3434</v>
      </c>
      <c r="F1423" t="s">
        <v>9916</v>
      </c>
      <c r="G1423" t="s">
        <v>3996</v>
      </c>
    </row>
    <row r="1424" spans="1:7" x14ac:dyDescent="0.25">
      <c r="A1424" t="s">
        <v>490</v>
      </c>
      <c r="B1424" t="s">
        <v>2854</v>
      </c>
      <c r="C1424">
        <v>2009</v>
      </c>
      <c r="E1424" t="s">
        <v>3064</v>
      </c>
      <c r="F1424" t="s">
        <v>9490</v>
      </c>
      <c r="G1424" t="s">
        <v>3996</v>
      </c>
    </row>
    <row r="1425" spans="1:7" x14ac:dyDescent="0.25">
      <c r="A1425" t="s">
        <v>1144</v>
      </c>
      <c r="B1425" t="s">
        <v>2854</v>
      </c>
      <c r="C1425">
        <v>2012</v>
      </c>
      <c r="E1425" t="s">
        <v>3064</v>
      </c>
      <c r="F1425" t="s">
        <v>9491</v>
      </c>
      <c r="G1425" t="s">
        <v>3996</v>
      </c>
    </row>
    <row r="1426" spans="1:7" x14ac:dyDescent="0.25">
      <c r="A1426" t="s">
        <v>90</v>
      </c>
      <c r="B1426" t="s">
        <v>2856</v>
      </c>
      <c r="C1426">
        <v>2017</v>
      </c>
      <c r="E1426" t="s">
        <v>3386</v>
      </c>
      <c r="F1426" t="s">
        <v>9192</v>
      </c>
      <c r="G1426" t="s">
        <v>3996</v>
      </c>
    </row>
    <row r="1427" spans="1:7" x14ac:dyDescent="0.25">
      <c r="A1427" t="s">
        <v>1004</v>
      </c>
      <c r="B1427" t="s">
        <v>2860</v>
      </c>
      <c r="C1427">
        <v>2006</v>
      </c>
      <c r="E1427" t="s">
        <v>3178</v>
      </c>
      <c r="F1427" t="s">
        <v>8726</v>
      </c>
      <c r="G1427" t="s">
        <v>3996</v>
      </c>
    </row>
    <row r="1428" spans="1:7" x14ac:dyDescent="0.25">
      <c r="A1428" t="s">
        <v>1004</v>
      </c>
      <c r="B1428" t="s">
        <v>2864</v>
      </c>
      <c r="C1428">
        <v>2006</v>
      </c>
      <c r="E1428" t="s">
        <v>3179</v>
      </c>
      <c r="F1428" t="s">
        <v>8727</v>
      </c>
      <c r="G1428" t="s">
        <v>3996</v>
      </c>
    </row>
    <row r="1429" spans="1:7" x14ac:dyDescent="0.25">
      <c r="A1429" t="s">
        <v>2023</v>
      </c>
      <c r="B1429" t="s">
        <v>2864</v>
      </c>
      <c r="C1429">
        <v>2003</v>
      </c>
      <c r="E1429" t="s">
        <v>3309</v>
      </c>
      <c r="F1429" t="s">
        <v>9489</v>
      </c>
      <c r="G1429" t="s">
        <v>3996</v>
      </c>
    </row>
    <row r="1430" spans="1:7" x14ac:dyDescent="0.25">
      <c r="A1430" t="s">
        <v>1795</v>
      </c>
      <c r="B1430" t="s">
        <v>2866</v>
      </c>
      <c r="C1430">
        <v>1987</v>
      </c>
      <c r="E1430" t="s">
        <v>3291</v>
      </c>
      <c r="F1430" t="s">
        <v>8965</v>
      </c>
      <c r="G1430" t="s">
        <v>3996</v>
      </c>
    </row>
    <row r="1431" spans="1:7" x14ac:dyDescent="0.25">
      <c r="A1431" t="s">
        <v>2489</v>
      </c>
      <c r="B1431" t="s">
        <v>2874</v>
      </c>
      <c r="C1431">
        <v>2002</v>
      </c>
      <c r="D1431" t="s">
        <v>187</v>
      </c>
      <c r="F1431" t="s">
        <v>9917</v>
      </c>
      <c r="G1431" t="s">
        <v>3996</v>
      </c>
    </row>
    <row r="1432" spans="1:7" x14ac:dyDescent="0.25">
      <c r="A1432" t="s">
        <v>2804</v>
      </c>
      <c r="B1432" t="s">
        <v>2882</v>
      </c>
      <c r="C1432">
        <v>2021</v>
      </c>
      <c r="E1432" t="s">
        <v>3435</v>
      </c>
      <c r="F1432" t="s">
        <v>9377</v>
      </c>
      <c r="G1432" t="s">
        <v>3996</v>
      </c>
    </row>
    <row r="1433" spans="1:7" x14ac:dyDescent="0.25">
      <c r="A1433" t="s">
        <v>2824</v>
      </c>
      <c r="B1433" t="s">
        <v>2886</v>
      </c>
      <c r="C1433">
        <v>2019</v>
      </c>
      <c r="D1433" t="s">
        <v>187</v>
      </c>
      <c r="F1433" t="s">
        <v>9918</v>
      </c>
      <c r="G1433" t="s">
        <v>3996</v>
      </c>
    </row>
    <row r="1434" spans="1:7" x14ac:dyDescent="0.25">
      <c r="A1434" t="s">
        <v>549</v>
      </c>
      <c r="B1434" t="s">
        <v>2890</v>
      </c>
      <c r="C1434">
        <v>2017</v>
      </c>
      <c r="E1434" t="s">
        <v>3076</v>
      </c>
      <c r="F1434" t="s">
        <v>8583</v>
      </c>
      <c r="G1434" t="s">
        <v>3996</v>
      </c>
    </row>
    <row r="1435" spans="1:7" x14ac:dyDescent="0.25">
      <c r="A1435" t="s">
        <v>1690</v>
      </c>
      <c r="B1435" t="s">
        <v>2890</v>
      </c>
      <c r="C1435">
        <v>2020</v>
      </c>
      <c r="E1435" t="s">
        <v>3076</v>
      </c>
      <c r="F1435" t="s">
        <v>8928</v>
      </c>
      <c r="G1435" t="s">
        <v>3996</v>
      </c>
    </row>
    <row r="1436" spans="1:7" x14ac:dyDescent="0.25">
      <c r="A1436" t="s">
        <v>2132</v>
      </c>
      <c r="B1436" t="s">
        <v>2890</v>
      </c>
      <c r="C1436">
        <v>2013</v>
      </c>
      <c r="E1436" t="s">
        <v>3076</v>
      </c>
      <c r="F1436" t="s">
        <v>9023</v>
      </c>
      <c r="G1436" t="s">
        <v>3996</v>
      </c>
    </row>
    <row r="1437" spans="1:7" x14ac:dyDescent="0.25">
      <c r="A1437" t="s">
        <v>90</v>
      </c>
      <c r="B1437" t="s">
        <v>2890</v>
      </c>
      <c r="C1437">
        <v>2017</v>
      </c>
      <c r="E1437" t="s">
        <v>3076</v>
      </c>
      <c r="F1437" t="s">
        <v>9193</v>
      </c>
      <c r="G1437" t="s">
        <v>3996</v>
      </c>
    </row>
    <row r="1438" spans="1:7" x14ac:dyDescent="0.25">
      <c r="A1438" t="s">
        <v>2428</v>
      </c>
      <c r="B1438" t="s">
        <v>2890</v>
      </c>
      <c r="C1438">
        <v>2008</v>
      </c>
      <c r="E1438" t="s">
        <v>3076</v>
      </c>
      <c r="F1438" t="s">
        <v>9242</v>
      </c>
      <c r="G1438" t="s">
        <v>3996</v>
      </c>
    </row>
    <row r="1439" spans="1:7" x14ac:dyDescent="0.25">
      <c r="A1439" t="s">
        <v>160</v>
      </c>
      <c r="B1439" t="s">
        <v>2890</v>
      </c>
      <c r="C1439">
        <v>2011</v>
      </c>
      <c r="E1439" t="s">
        <v>3076</v>
      </c>
      <c r="F1439" t="s">
        <v>9325</v>
      </c>
      <c r="G1439" t="s">
        <v>3996</v>
      </c>
    </row>
    <row r="1440" spans="1:7" x14ac:dyDescent="0.25">
      <c r="A1440" t="s">
        <v>759</v>
      </c>
      <c r="B1440" t="s">
        <v>2894</v>
      </c>
      <c r="C1440">
        <v>2018</v>
      </c>
      <c r="D1440" t="s">
        <v>187</v>
      </c>
      <c r="E1440" t="s">
        <v>3125</v>
      </c>
      <c r="F1440" t="s">
        <v>8648</v>
      </c>
      <c r="G1440" t="s">
        <v>3996</v>
      </c>
    </row>
    <row r="1441" spans="1:7" x14ac:dyDescent="0.25">
      <c r="A1441" t="s">
        <v>1549</v>
      </c>
      <c r="B1441" t="s">
        <v>2896</v>
      </c>
      <c r="C1441">
        <v>2021</v>
      </c>
      <c r="E1441" t="s">
        <v>3259</v>
      </c>
      <c r="F1441" t="s">
        <v>9488</v>
      </c>
      <c r="G1441" t="s">
        <v>3996</v>
      </c>
    </row>
    <row r="1442" spans="1:7" x14ac:dyDescent="0.25">
      <c r="A1442" t="s">
        <v>2122</v>
      </c>
      <c r="B1442" t="s">
        <v>2896</v>
      </c>
      <c r="C1442">
        <v>2020</v>
      </c>
      <c r="D1442" t="s">
        <v>187</v>
      </c>
      <c r="F1442" t="s">
        <v>9919</v>
      </c>
      <c r="G1442" t="s">
        <v>3996</v>
      </c>
    </row>
    <row r="1443" spans="1:7" x14ac:dyDescent="0.25">
      <c r="A1443" t="s">
        <v>90</v>
      </c>
      <c r="B1443" t="s">
        <v>2896</v>
      </c>
      <c r="C1443">
        <v>2017</v>
      </c>
      <c r="E1443" t="s">
        <v>3387</v>
      </c>
      <c r="F1443" t="s">
        <v>9485</v>
      </c>
      <c r="G1443" t="s">
        <v>3996</v>
      </c>
    </row>
    <row r="1444" spans="1:7" x14ac:dyDescent="0.25">
      <c r="A1444" t="s">
        <v>1294</v>
      </c>
      <c r="B1444" t="s">
        <v>2901</v>
      </c>
      <c r="C1444">
        <v>2019</v>
      </c>
      <c r="E1444" s="10" t="s">
        <v>7959</v>
      </c>
      <c r="F1444" t="s">
        <v>8838</v>
      </c>
      <c r="G1444" t="s">
        <v>3996</v>
      </c>
    </row>
    <row r="1445" spans="1:7" x14ac:dyDescent="0.25">
      <c r="A1445" t="s">
        <v>90</v>
      </c>
      <c r="B1445" t="s">
        <v>2904</v>
      </c>
      <c r="C1445">
        <v>2017</v>
      </c>
      <c r="E1445" t="s">
        <v>3388</v>
      </c>
      <c r="F1445" t="s">
        <v>9194</v>
      </c>
      <c r="G1445" t="s">
        <v>3996</v>
      </c>
    </row>
    <row r="1446" spans="1:7" x14ac:dyDescent="0.25">
      <c r="A1446" t="s">
        <v>2906</v>
      </c>
      <c r="B1446" t="s">
        <v>2910</v>
      </c>
      <c r="C1446">
        <v>2018</v>
      </c>
      <c r="D1446" t="s">
        <v>187</v>
      </c>
      <c r="F1446" t="s">
        <v>9920</v>
      </c>
      <c r="G1446" t="s">
        <v>3996</v>
      </c>
    </row>
    <row r="1447" spans="1:7" x14ac:dyDescent="0.25">
      <c r="A1447" t="s">
        <v>160</v>
      </c>
      <c r="B1447" t="s">
        <v>2914</v>
      </c>
      <c r="C1447">
        <v>2011</v>
      </c>
      <c r="E1447" t="s">
        <v>2982</v>
      </c>
      <c r="F1447" t="s">
        <v>9326</v>
      </c>
      <c r="G1447" t="s">
        <v>3996</v>
      </c>
    </row>
    <row r="1448" spans="1:7" x14ac:dyDescent="0.25">
      <c r="A1448" t="s">
        <v>353</v>
      </c>
      <c r="B1448" t="s">
        <v>2918</v>
      </c>
      <c r="C1448">
        <v>2023</v>
      </c>
      <c r="E1448" t="s">
        <v>3051</v>
      </c>
      <c r="F1448" t="s">
        <v>8549</v>
      </c>
      <c r="G1448" t="s">
        <v>3996</v>
      </c>
    </row>
    <row r="1449" spans="1:7" x14ac:dyDescent="0.25">
      <c r="A1449" t="s">
        <v>353</v>
      </c>
      <c r="B1449" t="s">
        <v>2920</v>
      </c>
      <c r="C1449">
        <v>2023</v>
      </c>
      <c r="E1449" t="s">
        <v>3052</v>
      </c>
      <c r="F1449" t="s">
        <v>9921</v>
      </c>
      <c r="G1449" t="s">
        <v>187</v>
      </c>
    </row>
    <row r="1450" spans="1:7" x14ac:dyDescent="0.25">
      <c r="A1450" t="s">
        <v>873</v>
      </c>
      <c r="B1450" t="s">
        <v>2924</v>
      </c>
      <c r="C1450">
        <v>2019</v>
      </c>
      <c r="E1450" s="10" t="s">
        <v>8386</v>
      </c>
      <c r="F1450" t="s">
        <v>8686</v>
      </c>
      <c r="G1450" t="s">
        <v>3996</v>
      </c>
    </row>
    <row r="1451" spans="1:7" x14ac:dyDescent="0.25">
      <c r="A1451" t="s">
        <v>90</v>
      </c>
      <c r="B1451" t="s">
        <v>2924</v>
      </c>
      <c r="C1451">
        <v>2017</v>
      </c>
      <c r="E1451" t="s">
        <v>3389</v>
      </c>
      <c r="F1451" t="s">
        <v>9195</v>
      </c>
      <c r="G1451" t="s">
        <v>3996</v>
      </c>
    </row>
    <row r="1452" spans="1:7" x14ac:dyDescent="0.25">
      <c r="A1452" t="s">
        <v>2080</v>
      </c>
      <c r="B1452" t="s">
        <v>2928</v>
      </c>
      <c r="C1452">
        <v>2015</v>
      </c>
      <c r="E1452" t="s">
        <v>2982</v>
      </c>
      <c r="F1452" t="s">
        <v>9012</v>
      </c>
      <c r="G1452" t="s">
        <v>3996</v>
      </c>
    </row>
    <row r="1453" spans="1:7" x14ac:dyDescent="0.25">
      <c r="A1453" t="s">
        <v>1294</v>
      </c>
      <c r="B1453" t="s">
        <v>2931</v>
      </c>
      <c r="C1453">
        <v>2019</v>
      </c>
      <c r="E1453" t="s">
        <v>3013</v>
      </c>
      <c r="F1453" t="s">
        <v>9922</v>
      </c>
      <c r="G1453" t="s">
        <v>187</v>
      </c>
    </row>
    <row r="1454" spans="1:7" x14ac:dyDescent="0.25">
      <c r="A1454" t="s">
        <v>2804</v>
      </c>
      <c r="B1454" t="s">
        <v>2933</v>
      </c>
      <c r="C1454">
        <v>2021</v>
      </c>
      <c r="E1454" t="s">
        <v>3013</v>
      </c>
      <c r="F1454" t="s">
        <v>9923</v>
      </c>
      <c r="G1454" t="s">
        <v>187</v>
      </c>
    </row>
    <row r="1455" spans="1:7" x14ac:dyDescent="0.25">
      <c r="A1455" t="s">
        <v>90</v>
      </c>
      <c r="B1455" t="s">
        <v>2937</v>
      </c>
      <c r="C1455">
        <v>2017</v>
      </c>
      <c r="E1455" t="s">
        <v>3013</v>
      </c>
      <c r="F1455" t="s">
        <v>9924</v>
      </c>
      <c r="G1455" t="s">
        <v>187</v>
      </c>
    </row>
    <row r="1456" spans="1:7" x14ac:dyDescent="0.25">
      <c r="A1456" t="s">
        <v>2447</v>
      </c>
      <c r="B1456" t="s">
        <v>2941</v>
      </c>
      <c r="C1456">
        <v>2014</v>
      </c>
      <c r="E1456" t="s">
        <v>3401</v>
      </c>
      <c r="F1456" t="s">
        <v>9243</v>
      </c>
      <c r="G1456" t="s">
        <v>3996</v>
      </c>
    </row>
    <row r="1457" spans="1:7" x14ac:dyDescent="0.25">
      <c r="A1457" t="s">
        <v>2721</v>
      </c>
      <c r="B1457" t="s">
        <v>2943</v>
      </c>
      <c r="C1457">
        <v>1993</v>
      </c>
      <c r="E1457" t="s">
        <v>3425</v>
      </c>
      <c r="F1457" t="s">
        <v>9925</v>
      </c>
      <c r="G1457" t="s">
        <v>187</v>
      </c>
    </row>
    <row r="1458" spans="1:7" x14ac:dyDescent="0.25">
      <c r="A1458" t="s">
        <v>260</v>
      </c>
      <c r="B1458" t="s">
        <v>2947</v>
      </c>
      <c r="C1458">
        <v>1990</v>
      </c>
      <c r="E1458" t="s">
        <v>3005</v>
      </c>
      <c r="F1458" t="s">
        <v>8490</v>
      </c>
      <c r="G1458" t="s">
        <v>3996</v>
      </c>
    </row>
    <row r="1459" spans="1:7" x14ac:dyDescent="0.25">
      <c r="A1459" t="s">
        <v>1294</v>
      </c>
      <c r="B1459" t="s">
        <v>2950</v>
      </c>
      <c r="C1459">
        <v>2019</v>
      </c>
      <c r="E1459" t="s">
        <v>2982</v>
      </c>
      <c r="F1459" t="s">
        <v>8839</v>
      </c>
      <c r="G1459" t="s">
        <v>3996</v>
      </c>
    </row>
    <row r="1460" spans="1:7" x14ac:dyDescent="0.25">
      <c r="A1460" t="s">
        <v>90</v>
      </c>
      <c r="B1460" t="s">
        <v>2950</v>
      </c>
      <c r="C1460">
        <v>2017</v>
      </c>
      <c r="E1460" t="s">
        <v>2982</v>
      </c>
      <c r="F1460" t="s">
        <v>9196</v>
      </c>
      <c r="G1460" t="s">
        <v>3996</v>
      </c>
    </row>
    <row r="1461" spans="1:7" x14ac:dyDescent="0.25">
      <c r="A1461" t="s">
        <v>2954</v>
      </c>
      <c r="B1461" t="s">
        <v>2958</v>
      </c>
      <c r="C1461">
        <v>2014</v>
      </c>
      <c r="D1461" t="s">
        <v>187</v>
      </c>
      <c r="F1461" t="s">
        <v>9926</v>
      </c>
      <c r="G1461" t="s">
        <v>3996</v>
      </c>
    </row>
    <row r="1462" spans="1:7" x14ac:dyDescent="0.25">
      <c r="A1462" t="s">
        <v>260</v>
      </c>
      <c r="B1462" t="s">
        <v>2962</v>
      </c>
      <c r="C1462">
        <v>1990</v>
      </c>
      <c r="E1462" t="s">
        <v>3006</v>
      </c>
      <c r="F1462" t="s">
        <v>8491</v>
      </c>
      <c r="G1462" t="s">
        <v>3996</v>
      </c>
    </row>
    <row r="1463" spans="1:7" x14ac:dyDescent="0.25">
      <c r="A1463" t="s">
        <v>525</v>
      </c>
      <c r="B1463" t="s">
        <v>2962</v>
      </c>
      <c r="C1463">
        <v>2005</v>
      </c>
      <c r="E1463" t="s">
        <v>3006</v>
      </c>
      <c r="F1463" t="s">
        <v>8580</v>
      </c>
      <c r="G1463" t="s">
        <v>3996</v>
      </c>
    </row>
    <row r="1464" spans="1:7" x14ac:dyDescent="0.25">
      <c r="A1464" t="s">
        <v>964</v>
      </c>
      <c r="B1464" t="s">
        <v>2962</v>
      </c>
      <c r="C1464">
        <v>2006</v>
      </c>
      <c r="E1464" t="s">
        <v>3006</v>
      </c>
      <c r="F1464" t="s">
        <v>9483</v>
      </c>
      <c r="G1464" t="s">
        <v>3996</v>
      </c>
    </row>
    <row r="1465" spans="1:7" x14ac:dyDescent="0.25">
      <c r="A1465" t="s">
        <v>1287</v>
      </c>
      <c r="B1465" t="s">
        <v>2962</v>
      </c>
      <c r="C1465">
        <v>2022</v>
      </c>
      <c r="E1465" t="s">
        <v>3006</v>
      </c>
      <c r="F1465" t="s">
        <v>8801</v>
      </c>
      <c r="G1465" t="s">
        <v>3996</v>
      </c>
    </row>
    <row r="1466" spans="1:7" x14ac:dyDescent="0.25">
      <c r="A1466" t="s">
        <v>2634</v>
      </c>
      <c r="B1466" t="s">
        <v>2962</v>
      </c>
      <c r="C1466">
        <v>2014</v>
      </c>
      <c r="E1466" t="s">
        <v>3006</v>
      </c>
      <c r="F1466" t="s">
        <v>9328</v>
      </c>
      <c r="G1466" t="s">
        <v>3996</v>
      </c>
    </row>
    <row r="1467" spans="1:7" x14ac:dyDescent="0.25">
      <c r="A1467" t="s">
        <v>2947</v>
      </c>
      <c r="B1467" t="s">
        <v>2962</v>
      </c>
      <c r="C1467">
        <v>1994</v>
      </c>
      <c r="E1467" t="s">
        <v>3006</v>
      </c>
      <c r="F1467" t="s">
        <v>9389</v>
      </c>
      <c r="G1467" t="s">
        <v>3996</v>
      </c>
    </row>
    <row r="1468" spans="1:7" x14ac:dyDescent="0.25">
      <c r="A1468" t="s">
        <v>1255</v>
      </c>
      <c r="B1468" t="s">
        <v>2965</v>
      </c>
      <c r="C1468">
        <v>2020</v>
      </c>
      <c r="E1468" t="s">
        <v>3217</v>
      </c>
      <c r="F1468" t="s">
        <v>8789</v>
      </c>
      <c r="G1468" t="s">
        <v>3996</v>
      </c>
    </row>
    <row r="1469" spans="1:7" x14ac:dyDescent="0.25">
      <c r="A1469" t="s">
        <v>90</v>
      </c>
      <c r="B1469" t="s">
        <v>2965</v>
      </c>
      <c r="C1469">
        <v>2017</v>
      </c>
      <c r="E1469" t="s">
        <v>3217</v>
      </c>
      <c r="F1469" t="s">
        <v>9197</v>
      </c>
      <c r="G1469" t="s">
        <v>3996</v>
      </c>
    </row>
    <row r="1470" spans="1:7" x14ac:dyDescent="0.25">
      <c r="A1470" t="s">
        <v>353</v>
      </c>
      <c r="B1470" t="s">
        <v>2969</v>
      </c>
      <c r="C1470">
        <v>2023</v>
      </c>
      <c r="E1470" t="s">
        <v>3053</v>
      </c>
      <c r="F1470" t="s">
        <v>9484</v>
      </c>
      <c r="G1470" t="s">
        <v>3996</v>
      </c>
    </row>
    <row r="1471" spans="1:7" x14ac:dyDescent="0.25">
      <c r="A1471" t="s">
        <v>260</v>
      </c>
      <c r="B1471" t="s">
        <v>2972</v>
      </c>
      <c r="C1471">
        <v>1990</v>
      </c>
      <c r="E1471" t="s">
        <v>2982</v>
      </c>
      <c r="F1471" t="s">
        <v>8492</v>
      </c>
      <c r="G1471" t="s">
        <v>3996</v>
      </c>
    </row>
    <row r="1472" spans="1:7" x14ac:dyDescent="0.25">
      <c r="A1472" t="s">
        <v>2506</v>
      </c>
      <c r="B1472" t="s">
        <v>2896</v>
      </c>
      <c r="C1472">
        <v>2021</v>
      </c>
      <c r="E1472" s="10" t="s">
        <v>9487</v>
      </c>
      <c r="F1472" t="s">
        <v>9486</v>
      </c>
      <c r="G1472" t="s">
        <v>3996</v>
      </c>
    </row>
    <row r="1473" spans="1:7" x14ac:dyDescent="0.25">
      <c r="A1473" t="s">
        <v>1843</v>
      </c>
      <c r="B1473" t="s">
        <v>185</v>
      </c>
      <c r="C1473">
        <v>2019</v>
      </c>
      <c r="E1473" s="10" t="s">
        <v>9928</v>
      </c>
      <c r="F1473" t="s">
        <v>9927</v>
      </c>
      <c r="G1473" t="s">
        <v>3996</v>
      </c>
    </row>
    <row r="1474" spans="1:7" x14ac:dyDescent="0.25">
      <c r="A1474" t="s">
        <v>1435</v>
      </c>
      <c r="B1474" t="s">
        <v>9931</v>
      </c>
      <c r="C1474">
        <v>2021</v>
      </c>
      <c r="E1474" s="10" t="s">
        <v>9930</v>
      </c>
      <c r="F1474" t="s">
        <v>9929</v>
      </c>
      <c r="G1474" t="s">
        <v>3996</v>
      </c>
    </row>
    <row r="1475" spans="1:7" x14ac:dyDescent="0.25">
      <c r="A1475" t="s">
        <v>160</v>
      </c>
      <c r="B1475" t="s">
        <v>1235</v>
      </c>
      <c r="C1475">
        <v>2011</v>
      </c>
      <c r="E1475" s="10" t="s">
        <v>9934</v>
      </c>
      <c r="F1475" t="s">
        <v>9932</v>
      </c>
      <c r="G1475" t="s">
        <v>3996</v>
      </c>
    </row>
    <row r="1476" spans="1:7" x14ac:dyDescent="0.25">
      <c r="A1476" t="s">
        <v>1046</v>
      </c>
      <c r="B1476" t="s">
        <v>1235</v>
      </c>
      <c r="C1476">
        <v>2016</v>
      </c>
      <c r="E1476" s="10" t="s">
        <v>9934</v>
      </c>
      <c r="F1476" t="s">
        <v>9933</v>
      </c>
      <c r="G1476" t="s">
        <v>3996</v>
      </c>
    </row>
    <row r="1477" spans="1:7" x14ac:dyDescent="0.25">
      <c r="A1477" t="s">
        <v>2335</v>
      </c>
      <c r="B1477" t="s">
        <v>1002</v>
      </c>
      <c r="C1477">
        <v>2020</v>
      </c>
      <c r="E1477" s="10" t="s">
        <v>9935</v>
      </c>
      <c r="F1477" t="s">
        <v>9936</v>
      </c>
      <c r="G1477" t="s">
        <v>3996</v>
      </c>
    </row>
    <row r="1478" spans="1:7" x14ac:dyDescent="0.25">
      <c r="A1478" t="s">
        <v>1443</v>
      </c>
      <c r="B1478" t="s">
        <v>1565</v>
      </c>
      <c r="C1478">
        <v>2018</v>
      </c>
      <c r="E1478" s="10" t="s">
        <v>9937</v>
      </c>
      <c r="F1478" t="s">
        <v>9938</v>
      </c>
      <c r="G1478" t="s">
        <v>3996</v>
      </c>
    </row>
    <row r="1479" spans="1:7" x14ac:dyDescent="0.25">
      <c r="A1479" t="s">
        <v>90</v>
      </c>
      <c r="B1479" t="s">
        <v>9939</v>
      </c>
      <c r="C1479">
        <v>2017</v>
      </c>
      <c r="E1479" s="10" t="s">
        <v>9942</v>
      </c>
      <c r="F1479" t="s">
        <v>9943</v>
      </c>
      <c r="G1479" t="s">
        <v>3996</v>
      </c>
    </row>
    <row r="1480" spans="1:7" x14ac:dyDescent="0.25">
      <c r="A1480" t="s">
        <v>1294</v>
      </c>
      <c r="B1480" t="s">
        <v>9939</v>
      </c>
      <c r="C1480">
        <v>2019</v>
      </c>
      <c r="E1480" s="10" t="s">
        <v>9942</v>
      </c>
      <c r="F1480" t="s">
        <v>9944</v>
      </c>
      <c r="G1480" t="s">
        <v>3996</v>
      </c>
    </row>
    <row r="1481" spans="1:7" x14ac:dyDescent="0.25">
      <c r="A1481" t="s">
        <v>90</v>
      </c>
      <c r="B1481" t="s">
        <v>9945</v>
      </c>
      <c r="C1481">
        <v>2017</v>
      </c>
      <c r="E1481" s="10" t="s">
        <v>9947</v>
      </c>
      <c r="F1481" t="s">
        <v>9948</v>
      </c>
      <c r="G1481" t="s">
        <v>3996</v>
      </c>
    </row>
    <row r="1482" spans="1:7" x14ac:dyDescent="0.25">
      <c r="A1482" t="s">
        <v>2335</v>
      </c>
      <c r="B1482" t="s">
        <v>1021</v>
      </c>
      <c r="C1482">
        <v>2020</v>
      </c>
      <c r="E1482" s="10" t="s">
        <v>9949</v>
      </c>
      <c r="F1482" t="s">
        <v>9950</v>
      </c>
      <c r="G1482" t="s">
        <v>3996</v>
      </c>
    </row>
    <row r="1483" spans="1:7" x14ac:dyDescent="0.25">
      <c r="A1483" t="s">
        <v>847</v>
      </c>
      <c r="B1483" t="s">
        <v>1021</v>
      </c>
      <c r="C1483">
        <v>1996</v>
      </c>
      <c r="E1483" s="10" t="s">
        <v>9949</v>
      </c>
      <c r="F1483" t="s">
        <v>9951</v>
      </c>
      <c r="G1483" t="s">
        <v>3996</v>
      </c>
    </row>
    <row r="1484" spans="1:7" x14ac:dyDescent="0.25">
      <c r="A1484" t="s">
        <v>1046</v>
      </c>
      <c r="B1484" t="s">
        <v>1809</v>
      </c>
      <c r="C1484">
        <v>2016</v>
      </c>
      <c r="E1484" s="10" t="s">
        <v>9953</v>
      </c>
      <c r="F1484" t="s">
        <v>9952</v>
      </c>
      <c r="G1484" t="s">
        <v>3996</v>
      </c>
    </row>
    <row r="1485" spans="1:7" x14ac:dyDescent="0.25">
      <c r="A1485" t="s">
        <v>9955</v>
      </c>
      <c r="B1485" t="s">
        <v>2560</v>
      </c>
      <c r="C1485">
        <v>2025</v>
      </c>
      <c r="E1485" s="10" t="s">
        <v>9956</v>
      </c>
      <c r="F1485" t="s">
        <v>9957</v>
      </c>
      <c r="G1485" t="s">
        <v>3996</v>
      </c>
    </row>
    <row r="1486" spans="1:7" x14ac:dyDescent="0.25">
      <c r="A1486" t="s">
        <v>1298</v>
      </c>
      <c r="B1486" t="s">
        <v>2560</v>
      </c>
      <c r="C1486">
        <v>2024</v>
      </c>
      <c r="E1486" s="10" t="s">
        <v>9956</v>
      </c>
      <c r="F1486" t="s">
        <v>9958</v>
      </c>
      <c r="G1486" t="s">
        <v>3996</v>
      </c>
    </row>
    <row r="1487" spans="1:7" x14ac:dyDescent="0.25">
      <c r="A1487" t="s">
        <v>353</v>
      </c>
      <c r="B1487" t="s">
        <v>2560</v>
      </c>
      <c r="C1487">
        <v>2023</v>
      </c>
      <c r="E1487" s="10" t="s">
        <v>9956</v>
      </c>
      <c r="F1487" t="s">
        <v>9959</v>
      </c>
      <c r="G1487" t="s">
        <v>3996</v>
      </c>
    </row>
    <row r="1488" spans="1:7" x14ac:dyDescent="0.25">
      <c r="A1488" t="s">
        <v>1443</v>
      </c>
      <c r="B1488" t="s">
        <v>967</v>
      </c>
      <c r="C1488">
        <v>2018</v>
      </c>
      <c r="E1488" s="10" t="s">
        <v>9961</v>
      </c>
      <c r="F1488" t="s">
        <v>9960</v>
      </c>
      <c r="G1488" t="s">
        <v>3996</v>
      </c>
    </row>
    <row r="1489" spans="1:7" x14ac:dyDescent="0.25">
      <c r="A1489" t="s">
        <v>1004</v>
      </c>
      <c r="B1489" t="s">
        <v>994</v>
      </c>
      <c r="C1489">
        <v>2006</v>
      </c>
      <c r="E1489" s="10" t="s">
        <v>9962</v>
      </c>
      <c r="F1489" t="s">
        <v>9963</v>
      </c>
      <c r="G1489" t="s">
        <v>3996</v>
      </c>
    </row>
    <row r="1490" spans="1:7" x14ac:dyDescent="0.25">
      <c r="A1490" t="s">
        <v>1538</v>
      </c>
      <c r="B1490" t="s">
        <v>994</v>
      </c>
      <c r="C1490">
        <v>1995</v>
      </c>
      <c r="E1490" s="10" t="s">
        <v>9962</v>
      </c>
      <c r="F1490" t="s">
        <v>9964</v>
      </c>
      <c r="G1490" t="s">
        <v>3996</v>
      </c>
    </row>
    <row r="1491" spans="1:7" x14ac:dyDescent="0.25">
      <c r="A1491" t="s">
        <v>2721</v>
      </c>
      <c r="B1491" t="s">
        <v>994</v>
      </c>
      <c r="C1491">
        <v>1993</v>
      </c>
      <c r="E1491" s="10" t="s">
        <v>9962</v>
      </c>
      <c r="F1491" t="s">
        <v>9966</v>
      </c>
      <c r="G1491" t="s">
        <v>3996</v>
      </c>
    </row>
    <row r="1492" spans="1:7" x14ac:dyDescent="0.25">
      <c r="A1492" t="s">
        <v>1572</v>
      </c>
      <c r="B1492" t="s">
        <v>994</v>
      </c>
      <c r="C1492">
        <v>2001</v>
      </c>
      <c r="E1492" s="10" t="s">
        <v>9962</v>
      </c>
      <c r="F1492" t="s">
        <v>9965</v>
      </c>
      <c r="G1492" t="s">
        <v>3996</v>
      </c>
    </row>
    <row r="1493" spans="1:7" x14ac:dyDescent="0.25">
      <c r="A1493" t="s">
        <v>160</v>
      </c>
      <c r="B1493" t="s">
        <v>1486</v>
      </c>
      <c r="C1493">
        <v>2011</v>
      </c>
      <c r="E1493" s="10" t="s">
        <v>9967</v>
      </c>
      <c r="F1493" t="s">
        <v>9968</v>
      </c>
      <c r="G1493" t="s">
        <v>3996</v>
      </c>
    </row>
    <row r="1494" spans="1:7" x14ac:dyDescent="0.25">
      <c r="A1494" t="s">
        <v>1970</v>
      </c>
      <c r="B1494" t="s">
        <v>9970</v>
      </c>
      <c r="C1494">
        <v>2012</v>
      </c>
      <c r="E1494" s="10" t="s">
        <v>9971</v>
      </c>
      <c r="F1494" t="s">
        <v>9972</v>
      </c>
      <c r="G1494" t="s">
        <v>3996</v>
      </c>
    </row>
    <row r="1495" spans="1:7" x14ac:dyDescent="0.25">
      <c r="A1495" t="s">
        <v>2286</v>
      </c>
      <c r="B1495" t="s">
        <v>9970</v>
      </c>
      <c r="C1495">
        <v>2014</v>
      </c>
      <c r="E1495" s="10" t="s">
        <v>9971</v>
      </c>
      <c r="F1495" t="s">
        <v>9973</v>
      </c>
      <c r="G1495" t="s">
        <v>3996</v>
      </c>
    </row>
    <row r="1496" spans="1:7" x14ac:dyDescent="0.25">
      <c r="A1496" t="s">
        <v>1761</v>
      </c>
      <c r="B1496" t="s">
        <v>9970</v>
      </c>
      <c r="C1496">
        <v>1995</v>
      </c>
      <c r="E1496" s="10" t="s">
        <v>9971</v>
      </c>
      <c r="F1496" t="s">
        <v>9974</v>
      </c>
      <c r="G1496" t="s">
        <v>3996</v>
      </c>
    </row>
  </sheetData>
  <hyperlinks>
    <hyperlink ref="E1014" r:id="rId1" xr:uid="{00000000-0004-0000-0100-000000000000}"/>
    <hyperlink ref="E1328" r:id="rId2" xr:uid="{00000000-0004-0000-0100-000001000000}"/>
    <hyperlink ref="E1307" r:id="rId3" xr:uid="{00000000-0004-0000-0100-000002000000}"/>
    <hyperlink ref="E783" r:id="rId4" xr:uid="{00000000-0004-0000-0100-000003000000}"/>
    <hyperlink ref="E257" r:id="rId5" xr:uid="{00000000-0004-0000-0100-000004000000}"/>
    <hyperlink ref="E418" r:id="rId6" xr:uid="{00000000-0004-0000-0100-000005000000}"/>
    <hyperlink ref="E493" r:id="rId7" xr:uid="{00000000-0004-0000-0100-000006000000}"/>
    <hyperlink ref="E515" r:id="rId8" xr:uid="{00000000-0004-0000-0100-000007000000}"/>
    <hyperlink ref="E616" r:id="rId9" xr:uid="{00000000-0004-0000-0100-000008000000}"/>
    <hyperlink ref="E690" r:id="rId10" xr:uid="{00000000-0004-0000-0100-000009000000}"/>
    <hyperlink ref="E943" r:id="rId11" xr:uid="{00000000-0004-0000-0100-00000A000000}"/>
    <hyperlink ref="E1017" r:id="rId12" xr:uid="{00000000-0004-0000-0100-00000B000000}"/>
    <hyperlink ref="E1085" r:id="rId13" xr:uid="{00000000-0004-0000-0100-00000C000000}"/>
    <hyperlink ref="E1152" r:id="rId14" xr:uid="{00000000-0004-0000-0100-00000D000000}"/>
    <hyperlink ref="E1188" r:id="rId15" xr:uid="{00000000-0004-0000-0100-00000E000000}"/>
    <hyperlink ref="E1214" r:id="rId16" xr:uid="{00000000-0004-0000-0100-00000F000000}"/>
    <hyperlink ref="E173" r:id="rId17" xr:uid="{00000000-0004-0000-0100-000010000000}"/>
    <hyperlink ref="E258" r:id="rId18" xr:uid="{00000000-0004-0000-0100-000011000000}"/>
    <hyperlink ref="E352" r:id="rId19" xr:uid="{00000000-0004-0000-0100-000012000000}"/>
    <hyperlink ref="E419" r:id="rId20" xr:uid="{00000000-0004-0000-0100-000013000000}"/>
    <hyperlink ref="E691" r:id="rId21" xr:uid="{00000000-0004-0000-0100-000014000000}"/>
    <hyperlink ref="E944" r:id="rId22" xr:uid="{00000000-0004-0000-0100-000015000000}"/>
    <hyperlink ref="E1116" r:id="rId23" xr:uid="{00000000-0004-0000-0100-000016000000}"/>
    <hyperlink ref="E1286" r:id="rId24" xr:uid="{00000000-0004-0000-0100-000017000000}"/>
    <hyperlink ref="E1458" r:id="rId25" xr:uid="{00000000-0004-0000-0100-000018000000}"/>
    <hyperlink ref="E1462" r:id="rId26" xr:uid="{00000000-0004-0000-0100-000019000000}"/>
    <hyperlink ref="E1290" r:id="rId27" xr:uid="{00000000-0004-0000-0100-00001A000000}"/>
    <hyperlink ref="E917" r:id="rId28" xr:uid="{00000000-0004-0000-0100-00001B000000}"/>
    <hyperlink ref="E963" r:id="rId29" xr:uid="{00000000-0004-0000-0100-00001C000000}"/>
    <hyperlink ref="E576" r:id="rId30" xr:uid="{00000000-0004-0000-0100-00001D000000}"/>
    <hyperlink ref="E1241" r:id="rId31" xr:uid="{00000000-0004-0000-0100-00001E000000}"/>
    <hyperlink ref="E680" r:id="rId32" xr:uid="{00000000-0004-0000-0100-00001F000000}"/>
    <hyperlink ref="E715" r:id="rId33" location=":~:text=A%20downloadable%20game%20for%20Windows,it%20to%20the%20next%20round." xr:uid="{00000000-0004-0000-0100-000020000000}"/>
    <hyperlink ref="E1329" r:id="rId34" xr:uid="{00000000-0004-0000-0100-000021000000}"/>
    <hyperlink ref="E1366" r:id="rId35" xr:uid="{00000000-0004-0000-0100-000022000000}"/>
    <hyperlink ref="E90" r:id="rId36" xr:uid="{00000000-0004-0000-0100-000023000000}"/>
    <hyperlink ref="E103" r:id="rId37" xr:uid="{00000000-0004-0000-0100-000024000000}"/>
    <hyperlink ref="E1029" r:id="rId38" location="c4335355681661031211" xr:uid="{00000000-0004-0000-0100-000025000000}"/>
    <hyperlink ref="E129" r:id="rId39" xr:uid="{00000000-0004-0000-0100-000026000000}"/>
    <hyperlink ref="E134" r:id="rId40" xr:uid="{00000000-0004-0000-0100-000027000000}"/>
    <hyperlink ref="E194" r:id="rId41" xr:uid="{00000000-0004-0000-0100-000028000000}"/>
    <hyperlink ref="E221" r:id="rId42" xr:uid="{00000000-0004-0000-0100-000029000000}"/>
    <hyperlink ref="E230" r:id="rId43" xr:uid="{00000000-0004-0000-0100-00002A000000}"/>
    <hyperlink ref="E235" r:id="rId44" location=":~:text=With%20inspirations%20from%20hometown%20superstars%20Nikola%20Jokić%2C,passion%20project%20using%20basketball%20as%20the%20medium." xr:uid="{00000000-0004-0000-0100-00002B000000}"/>
    <hyperlink ref="E277" r:id="rId45" xr:uid="{00000000-0004-0000-0100-00002C000000}"/>
    <hyperlink ref="E293" r:id="rId46" xr:uid="{00000000-0004-0000-0100-00002D000000}"/>
    <hyperlink ref="E312" r:id="rId47" xr:uid="{00000000-0004-0000-0100-00002E000000}"/>
    <hyperlink ref="E389" r:id="rId48" xr:uid="{00000000-0004-0000-0100-00002F000000}"/>
    <hyperlink ref="E508" r:id="rId49" xr:uid="{00000000-0004-0000-0100-000030000000}"/>
    <hyperlink ref="E609" r:id="rId50" xr:uid="{00000000-0004-0000-0100-000031000000}"/>
    <hyperlink ref="E716" r:id="rId51" location=":~:text=A%20downloadable%20game%20for%20Windows,it%20to%20the%20next%20round." xr:uid="{00000000-0004-0000-0100-000032000000}"/>
    <hyperlink ref="E732" r:id="rId52" xr:uid="{00000000-0004-0000-0100-000033000000}"/>
    <hyperlink ref="E755" r:id="rId53" xr:uid="{00000000-0004-0000-0100-000034000000}"/>
    <hyperlink ref="E869" r:id="rId54" xr:uid="{00000000-0004-0000-0100-000035000000}"/>
    <hyperlink ref="E892" r:id="rId55" xr:uid="{00000000-0004-0000-0100-000036000000}"/>
    <hyperlink ref="E907" r:id="rId56" xr:uid="{00000000-0004-0000-0100-000037000000}"/>
    <hyperlink ref="E922" r:id="rId57" xr:uid="{00000000-0004-0000-0100-000038000000}"/>
    <hyperlink ref="E961" r:id="rId58" xr:uid="{00000000-0004-0000-0100-000039000000}"/>
    <hyperlink ref="E987" r:id="rId59" xr:uid="{00000000-0004-0000-0100-00003A000000}"/>
    <hyperlink ref="E1044" r:id="rId60" location=":~:text=RollScape%20is%20a%20game%20inspired,I%20played%20throughout%20the%20years." xr:uid="{00000000-0004-0000-0100-00003B000000}"/>
    <hyperlink ref="E1047" r:id="rId61" xr:uid="{00000000-0004-0000-0100-00003C000000}"/>
    <hyperlink ref="E1052" r:id="rId62" location=":~:text=%2C%20say%2C%20Arco?-,RunebornGame,make%20it%20even%20more%20unique." xr:uid="{00000000-0004-0000-0100-00003D000000}"/>
    <hyperlink ref="E1056" r:id="rId63" xr:uid="{00000000-0004-0000-0100-00003E000000}"/>
    <hyperlink ref="E1143" r:id="rId64" xr:uid="{00000000-0004-0000-0100-00003F000000}"/>
    <hyperlink ref="E1145" r:id="rId65" xr:uid="{00000000-0004-0000-0100-000040000000}"/>
    <hyperlink ref="E1148" r:id="rId66" xr:uid="{00000000-0004-0000-0100-000041000000}"/>
    <hyperlink ref="E1208" r:id="rId67" xr:uid="{00000000-0004-0000-0100-000042000000}"/>
    <hyperlink ref="E1308" r:id="rId68" xr:uid="{00000000-0004-0000-0100-000043000000}"/>
    <hyperlink ref="E1448" r:id="rId69" xr:uid="{00000000-0004-0000-0100-000044000000}"/>
    <hyperlink ref="E1470" r:id="rId70" xr:uid="{00000000-0004-0000-0100-000045000000}"/>
    <hyperlink ref="E756" r:id="rId71" xr:uid="{00000000-0004-0000-0100-000046000000}"/>
    <hyperlink ref="E870" r:id="rId72" xr:uid="{00000000-0004-0000-0100-000047000000}"/>
    <hyperlink ref="E1294" r:id="rId73" location=":~:text=The%20Last%20Spell's%20unique%20blend,build%20characters%20however%20they%20want." xr:uid="{00000000-0004-0000-0100-000048000000}"/>
    <hyperlink ref="E116" r:id="rId74" xr:uid="{00000000-0004-0000-0100-000049000000}"/>
    <hyperlink ref="E595" r:id="rId75" xr:uid="{00000000-0004-0000-0100-00004A000000}"/>
    <hyperlink ref="E453" r:id="rId76" xr:uid="{00000000-0004-0000-0100-00004B000000}"/>
    <hyperlink ref="E685" r:id="rId77" xr:uid="{00000000-0004-0000-0100-00004C000000}"/>
    <hyperlink ref="E923" r:id="rId78" xr:uid="{00000000-0004-0000-0100-00004D000000}"/>
    <hyperlink ref="E1039" r:id="rId79" xr:uid="{00000000-0004-0000-0100-00004E000000}"/>
    <hyperlink ref="E1162" r:id="rId80" location="c494631967651765393" xr:uid="{00000000-0004-0000-0100-00004F000000}"/>
    <hyperlink ref="E1381" r:id="rId81" xr:uid="{00000000-0004-0000-0100-000050000000}"/>
    <hyperlink ref="E1424" r:id="rId82" xr:uid="{00000000-0004-0000-0100-000051000000}"/>
    <hyperlink ref="E59" r:id="rId83" location="c735910198043297427" xr:uid="{00000000-0004-0000-0100-000052000000}"/>
    <hyperlink ref="E232" r:id="rId84" xr:uid="{00000000-0004-0000-0100-000053000000}"/>
    <hyperlink ref="E598" r:id="rId85" xr:uid="{00000000-0004-0000-0100-000054000000}"/>
    <hyperlink ref="E675" r:id="rId86" xr:uid="{00000000-0004-0000-0100-000055000000}"/>
    <hyperlink ref="E737" r:id="rId87" xr:uid="{00000000-0004-0000-0100-000056000000}"/>
    <hyperlink ref="E834" r:id="rId88" xr:uid="{00000000-0004-0000-0100-000057000000}"/>
    <hyperlink ref="E918" r:id="rId89" xr:uid="{00000000-0004-0000-0100-000058000000}"/>
    <hyperlink ref="E964" r:id="rId90" xr:uid="{00000000-0004-0000-0100-000059000000}"/>
    <hyperlink ref="E1093" r:id="rId91" xr:uid="{00000000-0004-0000-0100-00005A000000}"/>
    <hyperlink ref="E1415" r:id="rId92" xr:uid="{00000000-0004-0000-0100-00005B000000}"/>
    <hyperlink ref="E231" r:id="rId93" xr:uid="{00000000-0004-0000-0100-00005C000000}"/>
    <hyperlink ref="E420" r:id="rId94" xr:uid="{00000000-0004-0000-0100-00005D000000}"/>
    <hyperlink ref="E1463" r:id="rId95" xr:uid="{00000000-0004-0000-0100-00005E000000}"/>
    <hyperlink ref="E188" r:id="rId96" xr:uid="{00000000-0004-0000-0100-00005F000000}"/>
    <hyperlink ref="E189" r:id="rId97" xr:uid="{00000000-0004-0000-0100-000060000000}"/>
    <hyperlink ref="E980" r:id="rId98" xr:uid="{00000000-0004-0000-0100-000061000000}"/>
    <hyperlink ref="E1268" r:id="rId99" xr:uid="{00000000-0004-0000-0100-000062000000}"/>
    <hyperlink ref="E738" r:id="rId100" location=":~:text=*Mainframe%20Defenders*%20is%20a%20roguelite%20game%20available,**Earning%20Matter%20and%20drops**%20*%20**Upgrading%20mechs**" xr:uid="{00000000-0004-0000-0100-000063000000}"/>
    <hyperlink ref="E1280" r:id="rId101" location="c5456682769558786398" xr:uid="{00000000-0004-0000-0100-000064000000}"/>
    <hyperlink ref="E859" r:id="rId102" xr:uid="{00000000-0004-0000-0100-000065000000}"/>
    <hyperlink ref="E1396" r:id="rId103" location=":~:text=Vellum's%20Inspirations,chapter%20of%20the%20original%20series." xr:uid="{00000000-0004-0000-0100-000066000000}"/>
    <hyperlink ref="E7" r:id="rId104" xr:uid="{00000000-0004-0000-0100-000067000000}"/>
    <hyperlink ref="E152" r:id="rId105" location=":~:text=The%20game%20was%20inspired%20by,of%20the%20NecroDancer%20and%20Cuphead." xr:uid="{00000000-0004-0000-0100-000068000000}"/>
    <hyperlink ref="E208" r:id="rId106" xr:uid="{00000000-0004-0000-0100-000069000000}"/>
    <hyperlink ref="E342" r:id="rId107" xr:uid="{00000000-0004-0000-0100-00006A000000}"/>
    <hyperlink ref="E617" r:id="rId108" xr:uid="{00000000-0004-0000-0100-00006B000000}"/>
    <hyperlink ref="E225" r:id="rId109" xr:uid="{00000000-0004-0000-0100-00006C000000}"/>
    <hyperlink ref="E509" r:id="rId110" xr:uid="{00000000-0004-0000-0100-00006D000000}"/>
    <hyperlink ref="E962" r:id="rId111" xr:uid="{00000000-0004-0000-0100-00006E000000}"/>
    <hyperlink ref="E648" r:id="rId112" xr:uid="{00000000-0004-0000-0100-000070000000}"/>
    <hyperlink ref="E1062" r:id="rId113" xr:uid="{00000000-0004-0000-0100-000071000000}"/>
    <hyperlink ref="E822" r:id="rId114" xr:uid="{00000000-0004-0000-0100-000072000000}"/>
    <hyperlink ref="E72" r:id="rId115" xr:uid="{00000000-0004-0000-0100-000073000000}"/>
    <hyperlink ref="E65" r:id="rId116" xr:uid="{00000000-0004-0000-0100-000074000000}"/>
    <hyperlink ref="E249" r:id="rId117" xr:uid="{00000000-0004-0000-0100-000075000000}"/>
    <hyperlink ref="E298" r:id="rId118" xr:uid="{00000000-0004-0000-0100-000076000000}"/>
    <hyperlink ref="E323" r:id="rId119" xr:uid="{00000000-0004-0000-0100-000077000000}"/>
    <hyperlink ref="E336" r:id="rId120" xr:uid="{00000000-0004-0000-0100-000078000000}"/>
    <hyperlink ref="E378" r:id="rId121" xr:uid="{00000000-0004-0000-0100-000079000000}"/>
    <hyperlink ref="E417" r:id="rId122" location="c352788917764129482" xr:uid="{00000000-0004-0000-0100-00007A000000}"/>
    <hyperlink ref="E454" r:id="rId123" xr:uid="{00000000-0004-0000-0100-00007B000000}"/>
    <hyperlink ref="E587" r:id="rId124" xr:uid="{00000000-0004-0000-0100-00007C000000}"/>
    <hyperlink ref="E653" r:id="rId125" xr:uid="{00000000-0004-0000-0100-00007D000000}"/>
    <hyperlink ref="E811" r:id="rId126" xr:uid="{00000000-0004-0000-0100-00007E000000}"/>
    <hyperlink ref="E1063" r:id="rId127" xr:uid="{00000000-0004-0000-0100-00007F000000}"/>
    <hyperlink ref="E1109" r:id="rId128" xr:uid="{00000000-0004-0000-0100-000080000000}"/>
    <hyperlink ref="E1124" r:id="rId129" xr:uid="{00000000-0004-0000-0100-000081000000}"/>
    <hyperlink ref="E1215" r:id="rId130" xr:uid="{00000000-0004-0000-0100-000082000000}"/>
    <hyperlink ref="E1407" r:id="rId131" xr:uid="{00000000-0004-0000-0100-000083000000}"/>
    <hyperlink ref="E385" r:id="rId132" xr:uid="{00000000-0004-0000-0100-000084000000}"/>
    <hyperlink ref="E23" r:id="rId133" xr:uid="{00000000-0004-0000-0100-000085000000}"/>
    <hyperlink ref="E36" r:id="rId134" xr:uid="{00000000-0004-0000-0100-000086000000}"/>
    <hyperlink ref="E84" r:id="rId135" xr:uid="{00000000-0004-0000-0100-000087000000}"/>
    <hyperlink ref="E113" r:id="rId136" xr:uid="{00000000-0004-0000-0100-000088000000}"/>
    <hyperlink ref="E430" r:id="rId137" location=":~:text=A%20big%20of%20Rogue%20Legacy%2C%20Spelunky%2C%20Hades.,kinda%20got%20inspiration%20from%20all%20of%20them." xr:uid="{00000000-0004-0000-0100-000089000000}"/>
    <hyperlink ref="E500" r:id="rId138" location=":~:text=Fury%20Unleashed%20was%20created%20by,like%20Contra%20and%20Metal%20Slug." xr:uid="{00000000-0004-0000-0100-00008A000000}"/>
    <hyperlink ref="E505" r:id="rId139" xr:uid="{00000000-0004-0000-0100-00008B000000}"/>
    <hyperlink ref="E667" r:id="rId140" xr:uid="{00000000-0004-0000-0100-00008C000000}"/>
    <hyperlink ref="E759" r:id="rId141" location=":~:text=Felix%20Soumpholphakdy:%20Dead%20Cells%20is%20a%20big,we%20wanted%20to%20craft%20a%20big%20world." xr:uid="{00000000-0004-0000-0100-00008D000000}"/>
    <hyperlink ref="E1009" r:id="rId142" xr:uid="{00000000-0004-0000-0100-00008E000000}"/>
    <hyperlink ref="E1159" r:id="rId143" xr:uid="{00000000-0004-0000-0100-00008F000000}"/>
    <hyperlink ref="E1269" r:id="rId144" xr:uid="{00000000-0004-0000-0100-000090000000}"/>
    <hyperlink ref="E1306" r:id="rId145" xr:uid="{00000000-0004-0000-0100-000091000000}"/>
    <hyperlink ref="E1440" r:id="rId146" xr:uid="{00000000-0004-0000-0100-000092000000}"/>
    <hyperlink ref="E117" r:id="rId147" xr:uid="{00000000-0004-0000-0100-000093000000}"/>
    <hyperlink ref="E1146" r:id="rId148" xr:uid="{00000000-0004-0000-0100-000094000000}"/>
    <hyperlink ref="E721" r:id="rId149" xr:uid="{00000000-0004-0000-0100-000095000000}"/>
    <hyperlink ref="E60" r:id="rId150" location="c758430178052462886" xr:uid="{00000000-0004-0000-0100-000096000000}"/>
    <hyperlink ref="E148" r:id="rId151" location="c353915309337431749" xr:uid="{00000000-0004-0000-0100-000097000000}"/>
    <hyperlink ref="E176" r:id="rId152" xr:uid="{00000000-0004-0000-0100-000098000000}"/>
    <hyperlink ref="E299" r:id="rId153" xr:uid="{00000000-0004-0000-0100-000099000000}"/>
    <hyperlink ref="E315" r:id="rId154" xr:uid="{00000000-0004-0000-0100-00009A000000}"/>
    <hyperlink ref="E421" r:id="rId155" xr:uid="{00000000-0004-0000-0100-00009B000000}"/>
    <hyperlink ref="E455" r:id="rId156" xr:uid="{00000000-0004-0000-0100-00009C000000}"/>
    <hyperlink ref="E569" r:id="rId157" xr:uid="{00000000-0004-0000-0100-00009D000000}"/>
    <hyperlink ref="E588" r:id="rId158" xr:uid="{00000000-0004-0000-0100-00009E000000}"/>
    <hyperlink ref="E659" r:id="rId159" xr:uid="{00000000-0004-0000-0100-00009F000000}"/>
    <hyperlink ref="E692" r:id="rId160" xr:uid="{00000000-0004-0000-0100-0000A0000000}"/>
    <hyperlink ref="E761" r:id="rId161" xr:uid="{00000000-0004-0000-0100-0000A1000000}"/>
    <hyperlink ref="E945" r:id="rId162" xr:uid="{00000000-0004-0000-0100-0000A2000000}"/>
    <hyperlink ref="E994" r:id="rId163" xr:uid="{00000000-0004-0000-0100-0000A3000000}"/>
    <hyperlink ref="E1244" r:id="rId164" xr:uid="{00000000-0004-0000-0100-0000A4000000}"/>
    <hyperlink ref="E56" r:id="rId165" xr:uid="{00000000-0004-0000-0100-0000A5000000}"/>
    <hyperlink ref="E355" r:id="rId166" xr:uid="{00000000-0004-0000-0100-0000A6000000}"/>
    <hyperlink ref="E379" r:id="rId167" xr:uid="{00000000-0004-0000-0100-0000A7000000}"/>
    <hyperlink ref="E387" r:id="rId168" xr:uid="{00000000-0004-0000-0100-0000A8000000}"/>
    <hyperlink ref="E227" r:id="rId169" xr:uid="{00000000-0004-0000-0100-0000A9000000}"/>
    <hyperlink ref="E778" r:id="rId170" xr:uid="{00000000-0004-0000-0100-0000AA000000}"/>
    <hyperlink ref="E1419" r:id="rId171" xr:uid="{00000000-0004-0000-0100-0000AB000000}"/>
    <hyperlink ref="E612" r:id="rId172" xr:uid="{00000000-0004-0000-0100-0000AC000000}"/>
    <hyperlink ref="E1007" r:id="rId173" xr:uid="{00000000-0004-0000-0100-0000AD000000}"/>
    <hyperlink ref="E1285" r:id="rId174" xr:uid="{00000000-0004-0000-0100-0000AE000000}"/>
    <hyperlink ref="E177" r:id="rId175" xr:uid="{00000000-0004-0000-0100-0000AF000000}"/>
    <hyperlink ref="E186" r:id="rId176" xr:uid="{00000000-0004-0000-0100-0000B0000000}"/>
    <hyperlink ref="E422" r:id="rId177" xr:uid="{00000000-0004-0000-0100-0000B1000000}"/>
    <hyperlink ref="E494" r:id="rId178" xr:uid="{00000000-0004-0000-0100-0000B2000000}"/>
    <hyperlink ref="E1163" r:id="rId179" location="c494631967651765393" xr:uid="{00000000-0004-0000-0100-0000B3000000}"/>
    <hyperlink ref="E1228" r:id="rId180" xr:uid="{00000000-0004-0000-0100-0000B4000000}"/>
    <hyperlink ref="E1266" r:id="rId181" xr:uid="{00000000-0004-0000-0100-0000B5000000}"/>
    <hyperlink ref="E1275" r:id="rId182" xr:uid="{00000000-0004-0000-0100-0000B6000000}"/>
    <hyperlink ref="E1403" r:id="rId183" xr:uid="{00000000-0004-0000-0100-0000B7000000}"/>
    <hyperlink ref="E538" r:id="rId184" xr:uid="{00000000-0004-0000-0100-0000B8000000}"/>
    <hyperlink ref="E709" r:id="rId185" location=":~:text=As%20inspiration%20from%20different%20games,dangerous%20to%20go%20alone%22%20line." xr:uid="{00000000-0004-0000-0100-0000B9000000}"/>
    <hyperlink ref="E713" r:id="rId186" xr:uid="{00000000-0004-0000-0100-0000BA000000}"/>
    <hyperlink ref="E1004" r:id="rId187" location="c1319962683447326488" xr:uid="{00000000-0004-0000-0100-0000BB000000}"/>
    <hyperlink ref="E1112" r:id="rId188" xr:uid="{00000000-0004-0000-0100-0000BC000000}"/>
    <hyperlink ref="E1356" r:id="rId189" xr:uid="{00000000-0004-0000-0100-0000BD000000}"/>
    <hyperlink ref="E1363" r:id="rId190" xr:uid="{00000000-0004-0000-0100-0000BE000000}"/>
    <hyperlink ref="E377" r:id="rId191" xr:uid="{00000000-0004-0000-0100-0000BF000000}"/>
    <hyperlink ref="E774" r:id="rId192" xr:uid="{00000000-0004-0000-0100-0000C0000000}"/>
    <hyperlink ref="E843" r:id="rId193" xr:uid="{00000000-0004-0000-0100-0000C1000000}"/>
    <hyperlink ref="E1125" r:id="rId194" xr:uid="{00000000-0004-0000-0100-0000C2000000}"/>
    <hyperlink ref="E187" r:id="rId195" xr:uid="{00000000-0004-0000-0100-0000C3000000}"/>
    <hyperlink ref="E240" r:id="rId196" location="msg5316" xr:uid="{00000000-0004-0000-0100-0000C4000000}"/>
    <hyperlink ref="E346" r:id="rId197" xr:uid="{00000000-0004-0000-0100-0000C5000000}"/>
    <hyperlink ref="E423" r:id="rId198" xr:uid="{00000000-0004-0000-0100-0000C6000000}"/>
    <hyperlink ref="E995" r:id="rId199" xr:uid="{00000000-0004-0000-0100-0000C7000000}"/>
    <hyperlink ref="E1347" r:id="rId200" xr:uid="{00000000-0004-0000-0100-0000C8000000}"/>
    <hyperlink ref="E1388" r:id="rId201" xr:uid="{00000000-0004-0000-0100-0000C9000000}"/>
    <hyperlink ref="E1464" r:id="rId202" xr:uid="{00000000-0004-0000-0100-0000CA000000}"/>
    <hyperlink ref="E1259" r:id="rId203" xr:uid="{00000000-0004-0000-0100-0000CB000000}"/>
    <hyperlink ref="E624" r:id="rId204" xr:uid="{00000000-0004-0000-0100-0000CC000000}"/>
    <hyperlink ref="E1034" r:id="rId205" xr:uid="{00000000-0004-0000-0100-0000CD000000}"/>
    <hyperlink ref="E1281" r:id="rId206" location="c5456682769558786398" xr:uid="{00000000-0004-0000-0100-0000CE000000}"/>
    <hyperlink ref="E424" r:id="rId207" xr:uid="{00000000-0004-0000-0100-0000CF000000}"/>
    <hyperlink ref="E669" r:id="rId208" location="c606068060818832019" xr:uid="{00000000-0004-0000-0100-0000D0000000}"/>
    <hyperlink ref="E1154" r:id="rId209" location=":~:text=Escaped%20Lunatic-,Soulash%202%20%2D%20Adventures%20and%20Conquest%20in%20Procedural%20Fantasy%20Worlds,to%20the%20Roguelike%20design%20formula." xr:uid="{00000000-0004-0000-0100-0000D1000000}"/>
    <hyperlink ref="E1230" r:id="rId210" xr:uid="{00000000-0004-0000-0100-0000D2000000}"/>
    <hyperlink ref="E1369" r:id="rId211" xr:uid="{00000000-0004-0000-0100-0000D3000000}"/>
    <hyperlink ref="E1411" r:id="rId212" xr:uid="{00000000-0004-0000-0100-0000D4000000}"/>
    <hyperlink ref="E1427" r:id="rId213" xr:uid="{00000000-0004-0000-0100-0000D5000000}"/>
    <hyperlink ref="E1428" r:id="rId214" xr:uid="{00000000-0004-0000-0100-0000D6000000}"/>
    <hyperlink ref="E1082" r:id="rId215" xr:uid="{00000000-0004-0000-0100-0000D7000000}"/>
    <hyperlink ref="E425" r:id="rId216" xr:uid="{00000000-0004-0000-0100-0000D8000000}"/>
    <hyperlink ref="E1397" r:id="rId217" location=":~:text=Vellum's%20Inspirations,chapter%20of%20the%20original%20series." xr:uid="{00000000-0004-0000-0100-0000D9000000}"/>
    <hyperlink ref="E21" r:id="rId218" xr:uid="{00000000-0004-0000-0100-0000DA000000}"/>
    <hyperlink ref="E32" r:id="rId219" xr:uid="{00000000-0004-0000-0100-0000DB000000}"/>
    <hyperlink ref="E85" r:id="rId220" location=":~:text=I%20got%20addicted%20to%20Stardew,simply%20stat%20upgrades%20or%20something)." xr:uid="{00000000-0004-0000-0100-0000DC000000}"/>
    <hyperlink ref="E125" r:id="rId221" xr:uid="{00000000-0004-0000-0100-0000DD000000}"/>
    <hyperlink ref="E456" r:id="rId222" xr:uid="{00000000-0004-0000-0100-0000DE000000}"/>
    <hyperlink ref="E506" r:id="rId223" xr:uid="{00000000-0004-0000-0100-0000DF000000}"/>
    <hyperlink ref="E553" r:id="rId224" location=":~:text=Gunfire%20Reborn%20is%20developed%20by,would%20be%20most%20beneficial%20design." xr:uid="{00000000-0004-0000-0100-0000E0000000}"/>
    <hyperlink ref="E813" r:id="rId225" xr:uid="{00000000-0004-0000-0100-0000E1000000}"/>
    <hyperlink ref="E860" r:id="rId226" location=":~:text=Odinfall%20Early%20Access%20on%20Steam&amp;text=According%20to%20Oscar%20Axelsson%20from,Throne%20and%20Enter%20the%20Gungeon." xr:uid="{00000000-0004-0000-0100-0000E2000000}"/>
    <hyperlink ref="E898" r:id="rId227" xr:uid="{00000000-0004-0000-0100-0000E3000000}"/>
    <hyperlink ref="E967" r:id="rId228" xr:uid="{00000000-0004-0000-0100-0000E4000000}"/>
    <hyperlink ref="E1242" r:id="rId229" xr:uid="{00000000-0004-0000-0100-0000E5000000}"/>
    <hyperlink ref="E1342" r:id="rId230" xr:uid="{00000000-0004-0000-0100-0000E6000000}"/>
    <hyperlink ref="E395" r:id="rId231" xr:uid="{00000000-0004-0000-0100-0000E7000000}"/>
    <hyperlink ref="E205" r:id="rId232" xr:uid="{00000000-0004-0000-0100-0000E8000000}"/>
    <hyperlink ref="E1064" r:id="rId233" xr:uid="{00000000-0004-0000-0100-0000E9000000}"/>
    <hyperlink ref="E20" r:id="rId234" xr:uid="{00000000-0004-0000-0100-0000EA000000}"/>
    <hyperlink ref="E54" r:id="rId235" xr:uid="{00000000-0004-0000-0100-0000EB000000}"/>
    <hyperlink ref="E156" r:id="rId236" location="c6027566653452797874" xr:uid="{00000000-0004-0000-0100-0000EC000000}"/>
    <hyperlink ref="E247" r:id="rId237" xr:uid="{00000000-0004-0000-0100-0000ED000000}"/>
    <hyperlink ref="E271" r:id="rId238" xr:uid="{00000000-0004-0000-0100-0000EE000000}"/>
    <hyperlink ref="E284" r:id="rId239" xr:uid="{00000000-0004-0000-0100-0000EF000000}"/>
    <hyperlink ref="E322" r:id="rId240" location="c617320168065346307" xr:uid="{00000000-0004-0000-0100-0000F0000000}"/>
    <hyperlink ref="E337" r:id="rId241" xr:uid="{00000000-0004-0000-0100-0000F1000000}"/>
    <hyperlink ref="E487" r:id="rId242" xr:uid="{00000000-0004-0000-0100-0000F2000000}"/>
    <hyperlink ref="E571" r:id="rId243" xr:uid="{00000000-0004-0000-0100-0000F3000000}"/>
    <hyperlink ref="E580" r:id="rId244" xr:uid="{00000000-0004-0000-0100-0000F4000000}"/>
    <hyperlink ref="E649" r:id="rId245" xr:uid="{00000000-0004-0000-0100-0000F5000000}"/>
    <hyperlink ref="E780" r:id="rId246" xr:uid="{00000000-0004-0000-0100-0000F6000000}"/>
    <hyperlink ref="E844" r:id="rId247" location="c1675812484339955409" xr:uid="{00000000-0004-0000-0100-0000F7000000}"/>
    <hyperlink ref="E885" r:id="rId248" xr:uid="{00000000-0004-0000-0100-0000F8000000}"/>
    <hyperlink ref="E985" r:id="rId249" location="c483368526581048948" xr:uid="{00000000-0004-0000-0100-0000F9000000}"/>
    <hyperlink ref="E1008" r:id="rId250" xr:uid="{00000000-0004-0000-0100-0000FA000000}"/>
    <hyperlink ref="E1030" r:id="rId251" location="c4335355681661031211" xr:uid="{00000000-0004-0000-0100-0000FB000000}"/>
    <hyperlink ref="E1090" r:id="rId252" location=":~:text=MOBAs%20were%20a%20key%20inspiration,like%20action%20roguelites%20in%20general." xr:uid="{00000000-0004-0000-0100-0000FC000000}"/>
    <hyperlink ref="E1126" r:id="rId253" location=":~:text=Their%20initial%20goal%20was%20to,built%20on%20the%20libGDX%20framework." xr:uid="{00000000-0004-0000-0100-0000FD000000}"/>
    <hyperlink ref="E1151" r:id="rId254" xr:uid="{00000000-0004-0000-0100-0000FE000000}"/>
    <hyperlink ref="E1227" r:id="rId255" xr:uid="{00000000-0004-0000-0100-0000FF000000}"/>
    <hyperlink ref="E1238" r:id="rId256" xr:uid="{00000000-0004-0000-0100-000000010000}"/>
    <hyperlink ref="E1409" r:id="rId257" xr:uid="{00000000-0004-0000-0100-000001010000}"/>
    <hyperlink ref="E1412" r:id="rId258" xr:uid="{00000000-0004-0000-0100-000002010000}"/>
    <hyperlink ref="E1425" r:id="rId259" xr:uid="{00000000-0004-0000-0100-000003010000}"/>
    <hyperlink ref="E1468" r:id="rId260" xr:uid="{00000000-0004-0000-0100-000004010000}"/>
    <hyperlink ref="E324" r:id="rId261" xr:uid="{00000000-0004-0000-0100-000005010000}"/>
    <hyperlink ref="E158" r:id="rId262" location=":~:text=JW%2C%20GF:%20What%20are%20some,us%20a%20lot%20of%20motivation." xr:uid="{00000000-0004-0000-0100-000006010000}"/>
    <hyperlink ref="E303" r:id="rId263" xr:uid="{00000000-0004-0000-0100-000007010000}"/>
    <hyperlink ref="E1398" r:id="rId264" location=":~:text=Vellum's%20Inspirations,chapter%20of%20the%20original%20series." xr:uid="{00000000-0004-0000-0100-000008010000}"/>
    <hyperlink ref="E39" r:id="rId265" xr:uid="{00000000-0004-0000-0100-000009010000}"/>
    <hyperlink ref="E434" r:id="rId266" xr:uid="{00000000-0004-0000-0100-00000A010000}"/>
    <hyperlink ref="E513" r:id="rId267" xr:uid="{00000000-0004-0000-0100-00000B010000}"/>
    <hyperlink ref="E517" r:id="rId268" xr:uid="{00000000-0004-0000-0100-00000C010000}"/>
    <hyperlink ref="E821" r:id="rId269" xr:uid="{00000000-0004-0000-0100-00000D010000}"/>
    <hyperlink ref="E1465" r:id="rId270" xr:uid="{00000000-0004-0000-0100-00000E010000}"/>
    <hyperlink ref="E37" r:id="rId271" xr:uid="{00000000-0004-0000-0100-00000F010000}"/>
    <hyperlink ref="E67" r:id="rId272" xr:uid="{00000000-0004-0000-0100-000010010000}"/>
    <hyperlink ref="E114" r:id="rId273" xr:uid="{00000000-0004-0000-0100-000011010000}"/>
    <hyperlink ref="E135" r:id="rId274" xr:uid="{00000000-0004-0000-0100-000012010000}"/>
    <hyperlink ref="E159" r:id="rId275" location=":~:text=JW%2C%20GF:%20What%20are%20some,us%20a%20lot%20of%20motivation." xr:uid="{00000000-0004-0000-0100-000013010000}"/>
    <hyperlink ref="E304" r:id="rId276" xr:uid="{00000000-0004-0000-0100-000014010000}"/>
    <hyperlink ref="E316" r:id="rId277" location=":~:text=Death%20Must%20Die%20opens%20up,appropriation%2C%20even%20a%20love%20letter." xr:uid="{00000000-0004-0000-0100-000015010000}"/>
    <hyperlink ref="E343" r:id="rId278" xr:uid="{00000000-0004-0000-0100-000016010000}"/>
    <hyperlink ref="E431" r:id="rId279" location=":~:text=A%20big%20of%20Rogue%20Legacy%2C%20Spelunky%2C%20Hades.,kinda%20got%20inspiration%20from%20all%20of%20them." xr:uid="{00000000-0004-0000-0100-000017010000}"/>
    <hyperlink ref="E489" r:id="rId280" xr:uid="{00000000-0004-0000-0100-000018010000}"/>
    <hyperlink ref="E510" r:id="rId281" xr:uid="{00000000-0004-0000-0100-000019010000}"/>
    <hyperlink ref="E582" r:id="rId282" location=":~:text=Have%20a%20Nice%20Death%20also,movies%2C%20shorts%2C%20and%20ads." xr:uid="{00000000-0004-0000-0100-00001A010000}"/>
    <hyperlink ref="E589" r:id="rId283" xr:uid="{00000000-0004-0000-0100-00001B010000}"/>
    <hyperlink ref="E590" r:id="rId284" xr:uid="{00000000-0004-0000-0100-00001C010000}"/>
    <hyperlink ref="E597" r:id="rId285" xr:uid="{00000000-0004-0000-0100-00001D010000}"/>
    <hyperlink ref="E725" r:id="rId286" xr:uid="{00000000-0004-0000-0100-00001E010000}"/>
    <hyperlink ref="E741" r:id="rId287" xr:uid="{00000000-0004-0000-0100-00001F010000}"/>
    <hyperlink ref="E823" r:id="rId288" xr:uid="{00000000-0004-0000-0100-000020010000}"/>
    <hyperlink ref="E976" r:id="rId289" xr:uid="{00000000-0004-0000-0100-000021010000}"/>
    <hyperlink ref="E1156" r:id="rId290" xr:uid="{00000000-0004-0000-0100-000022010000}"/>
    <hyperlink ref="E1206" r:id="rId291" xr:uid="{00000000-0004-0000-0100-000023010000}"/>
    <hyperlink ref="E1231" r:id="rId292" xr:uid="{00000000-0004-0000-0100-000024010000}"/>
    <hyperlink ref="E1248" r:id="rId293" xr:uid="{00000000-0004-0000-0100-000025010000}"/>
    <hyperlink ref="E1263" r:id="rId294" location=":~:text=Tape%20to%20Tape%20is%20a,the%20Spire%20and%20NHL%2094!" xr:uid="{00000000-0004-0000-0100-000026010000}"/>
    <hyperlink ref="E1270" r:id="rId295" xr:uid="{00000000-0004-0000-0100-000027010000}"/>
    <hyperlink ref="E1399" r:id="rId296" location=":~:text=Vellum's%20Inspirations,chapter%20of%20the%20original%20series." xr:uid="{00000000-0004-0000-0100-000028010000}"/>
    <hyperlink ref="E118" r:id="rId297" xr:uid="{00000000-0004-0000-0100-000029010000}"/>
    <hyperlink ref="E591" r:id="rId298" xr:uid="{00000000-0004-0000-0100-00002A010000}"/>
    <hyperlink ref="E457" r:id="rId299" xr:uid="{00000000-0004-0000-0100-00002B010000}"/>
    <hyperlink ref="E618" r:id="rId300" xr:uid="{00000000-0004-0000-0100-00002C010000}"/>
    <hyperlink ref="E651" r:id="rId301" xr:uid="{00000000-0004-0000-0100-00002D010000}"/>
    <hyperlink ref="E1287" r:id="rId302" xr:uid="{00000000-0004-0000-0100-00002E010000}"/>
    <hyperlink ref="E136" r:id="rId303" xr:uid="{00000000-0004-0000-0100-00002F010000}"/>
    <hyperlink ref="E294" r:id="rId304" xr:uid="{00000000-0004-0000-0100-000031010000}"/>
    <hyperlink ref="E492" r:id="rId305" location="c695373095208229623" xr:uid="{00000000-0004-0000-0100-000032010000}"/>
    <hyperlink ref="E744" r:id="rId306" xr:uid="{00000000-0004-0000-0100-000033010000}"/>
    <hyperlink ref="E927" r:id="rId307" xr:uid="{00000000-0004-0000-0100-000034010000}"/>
    <hyperlink ref="E940" r:id="rId308" xr:uid="{00000000-0004-0000-0100-000035010000}"/>
    <hyperlink ref="E1309" r:id="rId309" xr:uid="{00000000-0004-0000-0100-000036010000}"/>
    <hyperlink ref="E34" r:id="rId310" location=":~:text=About%20This%20Game-,ABOUT,and%20'Into%20the%20Breach'." xr:uid="{00000000-0004-0000-0100-000037010000}"/>
    <hyperlink ref="E94" r:id="rId311" location=":~:text=Main%20developer%20Jasper%20Cole%20stated,inventory%20as%20an%20additional%20inspiration." xr:uid="{00000000-0004-0000-0100-000038010000}"/>
    <hyperlink ref="E313" r:id="rId312" xr:uid="{00000000-0004-0000-0100-000039010000}"/>
    <hyperlink ref="E472" r:id="rId313" xr:uid="{00000000-0004-0000-0100-00003A010000}"/>
    <hyperlink ref="E481" r:id="rId314" xr:uid="{00000000-0004-0000-0100-00003B010000}"/>
    <hyperlink ref="E745" r:id="rId315" xr:uid="{00000000-0004-0000-0100-00003C010000}"/>
    <hyperlink ref="E758" r:id="rId316" xr:uid="{00000000-0004-0000-0100-00003D010000}"/>
    <hyperlink ref="E902" r:id="rId317" xr:uid="{00000000-0004-0000-0100-00003E010000}"/>
    <hyperlink ref="E1031" r:id="rId318" location="c4335355681661031211" xr:uid="{00000000-0004-0000-0100-00003F010000}"/>
    <hyperlink ref="E1173" r:id="rId319" location=":~:text=is%20blowing%20up!-,830%20concurrent%20players%2C%20I%20can't%20believe%20it!,has%20been%20a%20wild%20ride." xr:uid="{00000000-0004-0000-0100-000040010000}"/>
    <hyperlink ref="E1295" r:id="rId320" location=":~:text=The%20Last%20Spell's%20unique%20blend,build%20characters%20however%20they%20want." xr:uid="{00000000-0004-0000-0100-000041010000}"/>
    <hyperlink ref="E1302" r:id="rId321" xr:uid="{00000000-0004-0000-0100-000042010000}"/>
    <hyperlink ref="E191" r:id="rId322" xr:uid="{00000000-0004-0000-0100-000043010000}"/>
    <hyperlink ref="E403" r:id="rId323" location="c4346617656897843847" xr:uid="{00000000-0004-0000-0100-000044010000}"/>
    <hyperlink ref="E411" r:id="rId324" xr:uid="{00000000-0004-0000-0100-000045010000}"/>
    <hyperlink ref="E495" r:id="rId325" xr:uid="{00000000-0004-0000-0100-000046010000}"/>
    <hyperlink ref="E946" r:id="rId326" xr:uid="{00000000-0004-0000-0100-000047010000}"/>
    <hyperlink ref="E1217" r:id="rId327" xr:uid="{00000000-0004-0000-0100-000048010000}"/>
    <hyperlink ref="E1058" r:id="rId328" xr:uid="{00000000-0004-0000-0100-000049010000}"/>
    <hyperlink ref="E1232" r:id="rId329" xr:uid="{00000000-0004-0000-0100-00004A010000}"/>
    <hyperlink ref="E1441" r:id="rId330" xr:uid="{00000000-0004-0000-0100-00004B010000}"/>
    <hyperlink ref="E1139" r:id="rId331" xr:uid="{00000000-0004-0000-0100-00004C010000}"/>
    <hyperlink ref="E625" r:id="rId332" xr:uid="{00000000-0004-0000-0100-00004D010000}"/>
    <hyperlink ref="E97" r:id="rId333" xr:uid="{00000000-0004-0000-0100-00004E010000}"/>
    <hyperlink ref="E185" r:id="rId334" xr:uid="{00000000-0004-0000-0100-00004F010000}"/>
    <hyperlink ref="E286" r:id="rId335" xr:uid="{00000000-0004-0000-0100-000050010000}"/>
    <hyperlink ref="E386" r:id="rId336" xr:uid="{00000000-0004-0000-0100-000051010000}"/>
    <hyperlink ref="E871" r:id="rId337" xr:uid="{00000000-0004-0000-0100-000052010000}"/>
    <hyperlink ref="E925" r:id="rId338" xr:uid="{00000000-0004-0000-0100-000053010000}"/>
    <hyperlink ref="E1048" r:id="rId339" xr:uid="{00000000-0004-0000-0100-000054010000}"/>
    <hyperlink ref="E1055"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40" r:id="rId341" xr:uid="{00000000-0004-0000-0100-000056010000}"/>
    <hyperlink ref="E1209" r:id="rId342" xr:uid="{00000000-0004-0000-0100-000057010000}"/>
    <hyperlink ref="E1233" r:id="rId343" xr:uid="{00000000-0004-0000-0100-000058010000}"/>
    <hyperlink ref="E1394" r:id="rId344" location=":~:text=The%20game%20was%20inspired%20by,assets%2C%20art%2C%20and%20music." xr:uid="{00000000-0004-0000-0100-000059010000}"/>
    <hyperlink ref="E325" r:id="rId345" xr:uid="{00000000-0004-0000-0100-00005A010000}"/>
    <hyperlink ref="E364" r:id="rId346" xr:uid="{00000000-0004-0000-0100-00005B010000}"/>
    <hyperlink ref="E644" r:id="rId347" xr:uid="{00000000-0004-0000-0100-00005C010000}"/>
    <hyperlink ref="E746" r:id="rId348" xr:uid="{00000000-0004-0000-0100-00005D010000}"/>
    <hyperlink ref="E1015" r:id="rId349" xr:uid="{00000000-0004-0000-0100-00005E010000}"/>
    <hyperlink ref="E1310" r:id="rId350" xr:uid="{00000000-0004-0000-0100-00005F010000}"/>
    <hyperlink ref="E742" r:id="rId351" xr:uid="{00000000-0004-0000-0100-000060010000}"/>
    <hyperlink ref="E42" r:id="rId352" xr:uid="{00000000-0004-0000-0100-000061010000}"/>
    <hyperlink ref="E353" r:id="rId353" xr:uid="{00000000-0004-0000-0100-000062010000}"/>
    <hyperlink ref="E947" r:id="rId354" xr:uid="{00000000-0004-0000-0100-000063010000}"/>
    <hyperlink ref="E717" r:id="rId355" xr:uid="{00000000-0004-0000-0100-000064010000}"/>
    <hyperlink ref="E3" r:id="rId356" xr:uid="{00000000-0004-0000-0100-000065010000}"/>
    <hyperlink ref="E607" r:id="rId357" location=":~:text=House%20of%20Necrosis%20is%20a,Linux)%20and%20the%20Steam%20Deck" xr:uid="{00000000-0004-0000-0100-000066010000}"/>
    <hyperlink ref="E875" r:id="rId358" xr:uid="{00000000-0004-0000-0100-000067010000}"/>
    <hyperlink ref="E1141" r:id="rId359" xr:uid="{00000000-0004-0000-0100-000068010000}"/>
    <hyperlink ref="E1260" r:id="rId360" xr:uid="{00000000-0004-0000-0100-000069010000}"/>
    <hyperlink ref="E119" r:id="rId361" xr:uid="{00000000-0004-0000-0100-00006A010000}"/>
    <hyperlink ref="E105" r:id="rId362" xr:uid="{00000000-0004-0000-0100-00006B010000}"/>
    <hyperlink ref="E330" r:id="rId363" xr:uid="{00000000-0004-0000-0100-00006C010000}"/>
    <hyperlink ref="E354" r:id="rId364" xr:uid="{00000000-0004-0000-0100-00006D010000}"/>
    <hyperlink ref="E398" r:id="rId365" xr:uid="{00000000-0004-0000-0100-00006E010000}"/>
    <hyperlink ref="E469" r:id="rId366" xr:uid="{00000000-0004-0000-0100-000070010000}"/>
    <hyperlink ref="E496" r:id="rId367" xr:uid="{00000000-0004-0000-0100-000071010000}"/>
    <hyperlink ref="E619" r:id="rId368" xr:uid="{00000000-0004-0000-0100-000072010000}"/>
    <hyperlink ref="E655" r:id="rId369" xr:uid="{00000000-0004-0000-0100-000073010000}"/>
    <hyperlink ref="E693" r:id="rId370" xr:uid="{00000000-0004-0000-0100-000074010000}"/>
    <hyperlink ref="E708" r:id="rId371" xr:uid="{00000000-0004-0000-0100-000075010000}"/>
    <hyperlink ref="E901" r:id="rId372" xr:uid="{00000000-0004-0000-0100-000076010000}"/>
    <hyperlink ref="E948" r:id="rId373" xr:uid="{00000000-0004-0000-0100-000077010000}"/>
    <hyperlink ref="E965" r:id="rId374" xr:uid="{00000000-0004-0000-0100-000078010000}"/>
    <hyperlink ref="E996" r:id="rId375" xr:uid="{00000000-0004-0000-0100-000079010000}"/>
    <hyperlink ref="E1218" r:id="rId376" xr:uid="{00000000-0004-0000-0100-00007A010000}"/>
    <hyperlink ref="E1245" r:id="rId377" xr:uid="{00000000-0004-0000-0100-00007B010000}"/>
    <hyperlink ref="E1385" r:id="rId378" xr:uid="{00000000-0004-0000-0100-00007C010000}"/>
    <hyperlink ref="E1430" r:id="rId379" xr:uid="{00000000-0004-0000-0100-00007D010000}"/>
    <hyperlink ref="E734" r:id="rId380" xr:uid="{00000000-0004-0000-0100-00007E010000}"/>
    <hyperlink ref="E899" r:id="rId381" location="c574921459914427191" xr:uid="{00000000-0004-0000-0100-00007F010000}"/>
    <hyperlink ref="E949" r:id="rId382" xr:uid="{00000000-0004-0000-0100-000080010000}"/>
    <hyperlink ref="E295" r:id="rId383" xr:uid="{00000000-0004-0000-0100-000081010000}"/>
    <hyperlink ref="E908" r:id="rId384" xr:uid="{00000000-0004-0000-0100-000082010000}"/>
    <hyperlink ref="E33" r:id="rId385" xr:uid="{00000000-0004-0000-0100-000083010000}"/>
    <hyperlink ref="E86" r:id="rId386" location=":~:text=I%20got%20addicted%20to%20Stardew,simply%20stat%20upgrades%20or%20something)." xr:uid="{00000000-0004-0000-0100-000084010000}"/>
    <hyperlink ref="E310" r:id="rId387" xr:uid="{00000000-0004-0000-0100-000085010000}"/>
    <hyperlink ref="E450" r:id="rId388" location=":~:text=Though%20Crooks%20stated%20that%20The,Souls%2C%20and%20Metal%20Gear%20Solid." xr:uid="{00000000-0004-0000-0100-000086010000}"/>
    <hyperlink ref="E539" r:id="rId389" xr:uid="{00000000-0004-0000-0100-000087010000}"/>
    <hyperlink ref="E578" r:id="rId390" xr:uid="{00000000-0004-0000-0100-000088010000}"/>
    <hyperlink ref="E710" r:id="rId391" location=":~:text=As%20inspiration%20from%20different%20games,dangerous%20to%20go%20alone%22%20line." xr:uid="{00000000-0004-0000-0100-000089010000}"/>
    <hyperlink ref="E814" r:id="rId392" xr:uid="{00000000-0004-0000-0100-00008A010000}"/>
    <hyperlink ref="E861" r:id="rId393" location=":~:text=Odinfall%20Early%20Access%20on%20Steam&amp;text=According%20to%20Oscar%20Axelsson%20from,Throne%20and%20Enter%20the%20Gungeon." xr:uid="{00000000-0004-0000-0100-00008B010000}"/>
    <hyperlink ref="E863" r:id="rId394" xr:uid="{00000000-0004-0000-0100-00008C010000}"/>
    <hyperlink ref="E968" r:id="rId395" xr:uid="{00000000-0004-0000-0100-00008D010000}"/>
    <hyperlink ref="E1012" r:id="rId396" xr:uid="{00000000-0004-0000-0100-00008E010000}"/>
    <hyperlink ref="E1219" r:id="rId397" xr:uid="{00000000-0004-0000-0100-00008F010000}"/>
    <hyperlink ref="E1086" r:id="rId398" xr:uid="{00000000-0004-0000-0100-000090010000}"/>
    <hyperlink ref="E1386" r:id="rId399" xr:uid="{00000000-0004-0000-0100-000091010000}"/>
    <hyperlink ref="E1303" r:id="rId400" xr:uid="{00000000-0004-0000-0100-000092010000}"/>
    <hyperlink ref="E63" r:id="rId401" xr:uid="{00000000-0004-0000-0100-000093010000}"/>
    <hyperlink ref="E278" r:id="rId402" xr:uid="{00000000-0004-0000-0100-000094010000}"/>
    <hyperlink ref="E409" r:id="rId403" xr:uid="{00000000-0004-0000-0100-000095010000}"/>
    <hyperlink ref="E909" r:id="rId404" xr:uid="{00000000-0004-0000-0100-000096010000}"/>
    <hyperlink ref="E1051" r:id="rId405" xr:uid="{00000000-0004-0000-0100-000097010000}"/>
    <hyperlink ref="E1210" r:id="rId406" xr:uid="{00000000-0004-0000-0100-000098010000}"/>
    <hyperlink ref="E877" r:id="rId407" xr:uid="{00000000-0004-0000-0100-000099010000}"/>
    <hyperlink ref="E889" r:id="rId408" xr:uid="{00000000-0004-0000-0100-00009A010000}"/>
    <hyperlink ref="E784" r:id="rId409" xr:uid="{00000000-0004-0000-0100-00009B010000}"/>
    <hyperlink ref="E941" r:id="rId410" xr:uid="{00000000-0004-0000-0100-00009C010000}"/>
    <hyperlink ref="E4" r:id="rId411" xr:uid="{00000000-0004-0000-0100-00009E010000}"/>
    <hyperlink ref="E192" r:id="rId412" xr:uid="{00000000-0004-0000-0100-00009F010000}"/>
    <hyperlink ref="E579" r:id="rId413" xr:uid="{00000000-0004-0000-0100-0000A0010000}"/>
    <hyperlink ref="E1288" r:id="rId414" xr:uid="{00000000-0004-0000-0100-0000A1010000}"/>
    <hyperlink ref="E1429" r:id="rId415" xr:uid="{00000000-0004-0000-0100-0000A2010000}"/>
    <hyperlink ref="E620" r:id="rId416" xr:uid="{00000000-0004-0000-0100-0000A3010000}"/>
    <hyperlink ref="E1091" r:id="rId417" location=":~:text=MOBAs%20were%20a%20key%20inspiration,like%20action%20roguelites%20in%20general." xr:uid="{00000000-0004-0000-0100-0000A4010000}"/>
    <hyperlink ref="E300" r:id="rId418" xr:uid="{00000000-0004-0000-0100-0000A5010000}"/>
    <hyperlink ref="E1234" r:id="rId419" xr:uid="{00000000-0004-0000-0100-0000A6010000}"/>
    <hyperlink ref="E631" r:id="rId420" xr:uid="{00000000-0004-0000-0100-0000A7010000}"/>
    <hyperlink ref="E1092" r:id="rId421" location=":~:text=MOBAs%20were%20a%20key%20inspiration,like%20action%20roguelites%20in%20general." xr:uid="{00000000-0004-0000-0100-0000A8010000}"/>
    <hyperlink ref="E1250" r:id="rId422" xr:uid="{00000000-0004-0000-0100-0000A9010000}"/>
    <hyperlink ref="E301" r:id="rId423" xr:uid="{00000000-0004-0000-0100-0000AA010000}"/>
    <hyperlink ref="E449" r:id="rId424" location="c595137684887857500" xr:uid="{00000000-0004-0000-0100-0000AB010000}"/>
    <hyperlink ref="E718" r:id="rId425" xr:uid="{00000000-0004-0000-0100-0000AC010000}"/>
    <hyperlink ref="E805" r:id="rId426" xr:uid="{00000000-0004-0000-0100-0000AD010000}"/>
    <hyperlink ref="E1094" r:id="rId427" xr:uid="{00000000-0004-0000-0100-0000AE010000}"/>
    <hyperlink ref="E1235" r:id="rId428" xr:uid="{00000000-0004-0000-0100-0000AF010000}"/>
    <hyperlink ref="E1267" r:id="rId429" xr:uid="{00000000-0004-0000-0100-0000B0010000}"/>
    <hyperlink ref="E1400" r:id="rId430" location=":~:text=Vellum's%20Inspirations,chapter%20of%20the%20original%20series." xr:uid="{00000000-0004-0000-0100-0000B1010000}"/>
    <hyperlink ref="E160" r:id="rId431" location=":~:text=JW%2C%20GF:%20What%20are%20some,us%20a%20lot%20of%20motivation." xr:uid="{00000000-0004-0000-0100-0000B2010000}"/>
    <hyperlink ref="E1236" r:id="rId432" xr:uid="{00000000-0004-0000-0100-0000B3010000}"/>
    <hyperlink ref="E13" r:id="rId433" xr:uid="{00000000-0004-0000-0100-0000B4010000}"/>
    <hyperlink ref="E161" r:id="rId434" xr:uid="{00000000-0004-0000-0100-0000B5010000}"/>
    <hyperlink ref="E196" r:id="rId435" xr:uid="{00000000-0004-0000-0100-0000B6010000}"/>
    <hyperlink ref="E272" r:id="rId436" xr:uid="{00000000-0004-0000-0100-0000B7010000}"/>
    <hyperlink ref="E468" r:id="rId437" location=":~:text=Fatal%20Labyrinth%20is%20Sega's%20first,is%20a%20game%2Dbreaking%20affair.%20Also%20it%20shares%20a%20lot%20of%20similarities" xr:uid="{00000000-0004-0000-0100-0000B8010000}"/>
    <hyperlink ref="E535" r:id="rId438" xr:uid="{00000000-0004-0000-0100-0000B9010000}"/>
    <hyperlink ref="E621" r:id="rId439" xr:uid="{00000000-0004-0000-0100-0000BA010000}"/>
    <hyperlink ref="E694" r:id="rId440" xr:uid="{00000000-0004-0000-0100-0000BB010000}"/>
    <hyperlink ref="E797" r:id="rId441" xr:uid="{00000000-0004-0000-0100-0000BC010000}"/>
    <hyperlink ref="E981" r:id="rId442" xr:uid="{00000000-0004-0000-0100-0000BD010000}"/>
    <hyperlink ref="E1021" r:id="rId443" location=":~:text=Apparently%2C%20Ota%20was%20a%20well%20known%20figure,to%20connect%20Tokyo's%20three%20main%20universities%20that" xr:uid="{00000000-0004-0000-0100-0000BE010000}"/>
    <hyperlink ref="E1040" r:id="rId444" xr:uid="{00000000-0004-0000-0100-0000BF010000}"/>
    <hyperlink ref="E1043" r:id="rId445" xr:uid="{00000000-0004-0000-0100-0000C0010000}"/>
    <hyperlink ref="E1246" r:id="rId446" xr:uid="{00000000-0004-0000-0100-0000C1010000}"/>
    <hyperlink ref="E1283" r:id="rId447" location=":~:text=Apparently%2C%20Ota%20was%20a%20well%20known%20figure,to%20connect%20Tokyo's%20three%20main%20universities%20that" xr:uid="{00000000-0004-0000-0100-0000C2010000}"/>
    <hyperlink ref="E1340" r:id="rId448" xr:uid="{00000000-0004-0000-0100-0000C3010000}"/>
    <hyperlink ref="E1346" r:id="rId449" xr:uid="{00000000-0004-0000-0100-0000C4010000}"/>
    <hyperlink ref="E273" r:id="rId450" xr:uid="{00000000-0004-0000-0100-0000C5010000}"/>
    <hyperlink ref="E308" r:id="rId451" xr:uid="{00000000-0004-0000-0100-0000C6010000}"/>
    <hyperlink ref="E432" r:id="rId452" location=":~:text=A%20big%20of%20Rogue%20Legacy%2C%20Spelunky%2C%20Hades.,kinda%20got%20inspiration%20from%20all%20of%20them." xr:uid="{00000000-0004-0000-0100-0000C7010000}"/>
    <hyperlink ref="E501" r:id="rId453" location=":~:text=Fury%20Unleashed%20was%20created%20by,like%20Contra%20and%20Metal%20Slug." xr:uid="{00000000-0004-0000-0100-0000C8010000}"/>
    <hyperlink ref="E628" r:id="rId454" xr:uid="{00000000-0004-0000-0100-0000C9010000}"/>
    <hyperlink ref="E787" r:id="rId455" xr:uid="{00000000-0004-0000-0100-0000CA010000}"/>
    <hyperlink ref="E1023" r:id="rId456" xr:uid="{00000000-0004-0000-0100-0000CB010000}"/>
    <hyperlink ref="E1160" r:id="rId457" xr:uid="{00000000-0004-0000-0100-0000CC010000}"/>
    <hyperlink ref="E1225" r:id="rId458" location="c1693785035807819716" xr:uid="{00000000-0004-0000-0100-0000CD010000}"/>
    <hyperlink ref="E1351" r:id="rId459" xr:uid="{00000000-0004-0000-0100-0000CE010000}"/>
    <hyperlink ref="E1315" r:id="rId460" xr:uid="{00000000-0004-0000-0100-0000CF010000}"/>
    <hyperlink ref="E1045" r:id="rId461" location=":~:text=RollScape%20is%20a%20game%20inspired,I%20played%20throughout%20the%20years." xr:uid="{00000000-0004-0000-0100-0000D0010000}"/>
    <hyperlink ref="E864" r:id="rId462" xr:uid="{00000000-0004-0000-0100-0000D1010000}"/>
    <hyperlink ref="E722" r:id="rId463" xr:uid="{00000000-0004-0000-0100-0000D2010000}"/>
    <hyperlink ref="E849" r:id="rId464" xr:uid="{00000000-0004-0000-0100-0000D3010000}"/>
    <hyperlink ref="E209" r:id="rId465" xr:uid="{00000000-0004-0000-0100-0000D4010000}"/>
    <hyperlink ref="E1304" r:id="rId466" xr:uid="{00000000-0004-0000-0100-0000D5010000}"/>
    <hyperlink ref="E977" r:id="rId467" xr:uid="{00000000-0004-0000-0100-0000D6010000}"/>
    <hyperlink ref="E15" r:id="rId468" xr:uid="{00000000-0004-0000-0100-0000D7010000}"/>
    <hyperlink ref="E18" r:id="rId469" xr:uid="{00000000-0004-0000-0100-0000D8010000}"/>
    <hyperlink ref="E28" r:id="rId470" xr:uid="{00000000-0004-0000-0100-0000D9010000}"/>
    <hyperlink ref="E35" r:id="rId471" location=":~:text=About%20This%20Game-,ABOUT,and%20'Into%20the%20Breach'." xr:uid="{00000000-0004-0000-0100-0000DA010000}"/>
    <hyperlink ref="E55" r:id="rId472" xr:uid="{00000000-0004-0000-0100-0000DB010000}"/>
    <hyperlink ref="E57" r:id="rId473" xr:uid="{00000000-0004-0000-0100-0000DC010000}"/>
    <hyperlink ref="E64" r:id="rId474" xr:uid="{00000000-0004-0000-0100-0000DD010000}"/>
    <hyperlink ref="E75" r:id="rId475" location=":~:text=Inspired%20by%20rogue%2Dlite%20games,set%20of%20attacks%20and%20spells." xr:uid="{00000000-0004-0000-0100-0000DE010000}"/>
    <hyperlink ref="E77" r:id="rId476" xr:uid="{00000000-0004-0000-0100-0000DF010000}"/>
    <hyperlink ref="E87" r:id="rId477" location=":~:text=I%20got%20addicted%20to%20Stardew,simply%20stat%20upgrades%20or%20something)." xr:uid="{00000000-0004-0000-0100-0000E0010000}"/>
    <hyperlink ref="E104" r:id="rId478" xr:uid="{00000000-0004-0000-0100-0000E1010000}"/>
    <hyperlink ref="E123" r:id="rId479" location=":~:text=What%20they%20said%20about%20it,rewards%20that%20come%20with%20them." xr:uid="{00000000-0004-0000-0100-0000E2010000}"/>
    <hyperlink ref="E124" r:id="rId480" xr:uid="{00000000-0004-0000-0100-0000E3010000}"/>
    <hyperlink ref="E137" r:id="rId481" xr:uid="{00000000-0004-0000-0100-0000E4010000}"/>
    <hyperlink ref="E155" r:id="rId482" xr:uid="{00000000-0004-0000-0100-0000E5010000}"/>
    <hyperlink ref="E157" r:id="rId483" location="c6027566653452797874" xr:uid="{00000000-0004-0000-0100-0000E6010000}"/>
    <hyperlink ref="E207" r:id="rId484" xr:uid="{00000000-0004-0000-0100-0000E7010000}"/>
    <hyperlink ref="E210" r:id="rId485" xr:uid="{00000000-0004-0000-0100-0000E8010000}"/>
    <hyperlink ref="E233" r:id="rId486" xr:uid="{00000000-0004-0000-0100-0000E9010000}"/>
    <hyperlink ref="E245" r:id="rId487" xr:uid="{00000000-0004-0000-0100-0000EA010000}"/>
    <hyperlink ref="E248" r:id="rId488" location=":~:text=Oh%20and%20did%20I%20mention,insanely%20replayable%20for%20similar%20reasons." xr:uid="{00000000-0004-0000-0100-0000EB010000}"/>
    <hyperlink ref="E270" r:id="rId489" xr:uid="{00000000-0004-0000-0100-0000EC010000}"/>
    <hyperlink ref="E296" r:id="rId490" xr:uid="{00000000-0004-0000-0100-0000ED010000}"/>
    <hyperlink ref="E326" r:id="rId491" xr:uid="{00000000-0004-0000-0100-0000EE010000}"/>
    <hyperlink ref="E327" r:id="rId492" xr:uid="{00000000-0004-0000-0100-0000EF010000}"/>
    <hyperlink ref="E338" r:id="rId493" xr:uid="{00000000-0004-0000-0100-0000F0010000}"/>
    <hyperlink ref="E357" r:id="rId494" xr:uid="{00000000-0004-0000-0100-0000F1010000}"/>
    <hyperlink ref="E360" r:id="rId495" xr:uid="{00000000-0004-0000-0100-0000F2010000}"/>
    <hyperlink ref="E370" r:id="rId496" xr:uid="{00000000-0004-0000-0100-0000F3010000}"/>
    <hyperlink ref="E380" r:id="rId497" xr:uid="{00000000-0004-0000-0100-0000F4010000}"/>
    <hyperlink ref="E381" r:id="rId498" xr:uid="{00000000-0004-0000-0100-0000F5010000}"/>
    <hyperlink ref="E388" r:id="rId499" xr:uid="{00000000-0004-0000-0100-0000F6010000}"/>
    <hyperlink ref="E473" r:id="rId500" xr:uid="{00000000-0004-0000-0100-0000F7010000}"/>
    <hyperlink ref="E482" r:id="rId501" xr:uid="{00000000-0004-0000-0100-0000F8010000}"/>
    <hyperlink ref="E488" r:id="rId502" xr:uid="{00000000-0004-0000-0100-0000F9010000}"/>
    <hyperlink ref="E490" r:id="rId503" xr:uid="{00000000-0004-0000-0100-0000FA010000}"/>
    <hyperlink ref="E546" r:id="rId504" xr:uid="{00000000-0004-0000-0100-0000FB010000}"/>
    <hyperlink ref="E592" r:id="rId505" xr:uid="{00000000-0004-0000-0100-0000FC010000}"/>
    <hyperlink ref="E596" r:id="rId506" xr:uid="{00000000-0004-0000-0100-0000FD010000}"/>
    <hyperlink ref="E645" r:id="rId507" xr:uid="{00000000-0004-0000-0100-0000FE010000}"/>
    <hyperlink ref="E654" r:id="rId508" xr:uid="{00000000-0004-0000-0100-0000FF010000}"/>
    <hyperlink ref="E723" r:id="rId509" xr:uid="{00000000-0004-0000-0100-000000020000}"/>
    <hyperlink ref="E724" r:id="rId510" location="c3194745319530070972" xr:uid="{00000000-0004-0000-0100-000001020000}"/>
    <hyperlink ref="E730" r:id="rId511" location=":~:text=Dan%20DiIorio%20developed%20Luck%20Be,pondering%20why%20rent%20was%20necessary." xr:uid="{00000000-0004-0000-0100-000002020000}"/>
    <hyperlink ref="E735" r:id="rId512" xr:uid="{00000000-0004-0000-0100-000003020000}"/>
    <hyperlink ref="E747" r:id="rId513" xr:uid="{00000000-0004-0000-0100-000004020000}"/>
    <hyperlink ref="E754" r:id="rId514" xr:uid="{00000000-0004-0000-0100-000005020000}"/>
    <hyperlink ref="E769" r:id="rId515" xr:uid="{00000000-0004-0000-0100-000006020000}"/>
    <hyperlink ref="E785" r:id="rId516" xr:uid="{00000000-0004-0000-0100-000007020000}"/>
    <hyperlink ref="E798" r:id="rId517" xr:uid="{00000000-0004-0000-0100-000008020000}"/>
    <hyperlink ref="E812" r:id="rId518" xr:uid="{00000000-0004-0000-0100-000009020000}"/>
    <hyperlink ref="E857" r:id="rId519" xr:uid="{00000000-0004-0000-0100-00000A020000}"/>
    <hyperlink ref="E903" r:id="rId520" xr:uid="{00000000-0004-0000-0100-00000B020000}"/>
    <hyperlink ref="E906" r:id="rId521" location=":~:text=As%20design%20of%20the%20game,Bandicoot%20and%20Donkey%20Kong%20Country." xr:uid="{00000000-0004-0000-0100-00000C020000}"/>
    <hyperlink ref="E928" r:id="rId522" xr:uid="{00000000-0004-0000-0100-00000D020000}"/>
    <hyperlink ref="E942" r:id="rId523" xr:uid="{00000000-0004-0000-0100-00000E020000}"/>
    <hyperlink ref="E988" r:id="rId524" xr:uid="{00000000-0004-0000-0100-00000F020000}"/>
    <hyperlink ref="E1002" r:id="rId525" xr:uid="{00000000-0004-0000-0100-000010020000}"/>
    <hyperlink ref="E1016" r:id="rId526" xr:uid="{00000000-0004-0000-0100-000011020000}"/>
    <hyperlink ref="E1033" r:id="rId527" location="c4335355681661031211" xr:uid="{00000000-0004-0000-0100-000012020000}"/>
    <hyperlink ref="E1042" r:id="rId52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49" r:id="rId529" xr:uid="{00000000-0004-0000-0100-000014020000}"/>
    <hyperlink ref="E1057" r:id="rId530" xr:uid="{00000000-0004-0000-0100-000015020000}"/>
    <hyperlink ref="E1059" r:id="rId531" xr:uid="{00000000-0004-0000-0100-000016020000}"/>
    <hyperlink ref="E1075" r:id="rId532" xr:uid="{00000000-0004-0000-0100-000017020000}"/>
    <hyperlink ref="E1142" r:id="rId533" xr:uid="{00000000-0004-0000-0100-000018020000}"/>
    <hyperlink ref="E1144" r:id="rId534" xr:uid="{00000000-0004-0000-0100-000019020000}"/>
    <hyperlink ref="E1207" r:id="rId535" xr:uid="{00000000-0004-0000-0100-00001A020000}"/>
    <hyperlink ref="E1252" r:id="rId536" xr:uid="{00000000-0004-0000-0100-00001B020000}"/>
    <hyperlink ref="E1253" r:id="rId537" location="c3005556719742617866" xr:uid="{00000000-0004-0000-0100-00001C020000}"/>
    <hyperlink ref="E1258" r:id="rId538" xr:uid="{00000000-0004-0000-0100-00001D020000}"/>
    <hyperlink ref="E1291" r:id="rId539" location=":~:text=hotloopgames-,I%20am%20a%20solo%20developer%20working%20on%20The%20Last%20Flame,plays%20as%20an%20auto%2Dbattler." xr:uid="{00000000-0004-0000-0100-00001E020000}"/>
    <hyperlink ref="E1305" r:id="rId540" xr:uid="{00000000-0004-0000-0100-00001F020000}"/>
    <hyperlink ref="E1311" r:id="rId541" xr:uid="{00000000-0004-0000-0100-000020020000}"/>
    <hyperlink ref="E1350" r:id="rId542" xr:uid="{00000000-0004-0000-0100-000021020000}"/>
    <hyperlink ref="E1395" r:id="rId543" xr:uid="{00000000-0004-0000-0100-000023020000}"/>
    <hyperlink ref="E1404" r:id="rId544" xr:uid="{00000000-0004-0000-0100-000024020000}"/>
    <hyperlink ref="E1426" r:id="rId545" xr:uid="{00000000-0004-0000-0100-000025020000}"/>
    <hyperlink ref="E1437" r:id="rId546" xr:uid="{00000000-0004-0000-0100-000026020000}"/>
    <hyperlink ref="E1443" r:id="rId547" xr:uid="{00000000-0004-0000-0100-000027020000}"/>
    <hyperlink ref="E1445" r:id="rId548" xr:uid="{00000000-0004-0000-0100-000028020000}"/>
    <hyperlink ref="E1451" r:id="rId549" xr:uid="{00000000-0004-0000-0100-000029020000}"/>
    <hyperlink ref="E1469" r:id="rId550" xr:uid="{00000000-0004-0000-0100-00002A020000}"/>
    <hyperlink ref="E195" r:id="rId551" xr:uid="{00000000-0004-0000-0100-00002B020000}"/>
    <hyperlink ref="E206" r:id="rId552" xr:uid="{00000000-0004-0000-0100-00002C020000}"/>
    <hyperlink ref="E711" r:id="rId553" location=":~:text=As%20inspiration%20from%20different%20games,dangerous%20to%20go%20alone%22%20line." xr:uid="{00000000-0004-0000-0100-00002D020000}"/>
    <hyperlink ref="E106" r:id="rId554" xr:uid="{00000000-0004-0000-0100-00002E020000}"/>
    <hyperlink ref="E193" r:id="rId555" xr:uid="{00000000-0004-0000-0100-00002F020000}"/>
    <hyperlink ref="E197" r:id="rId556" xr:uid="{00000000-0004-0000-0100-000030020000}"/>
    <hyperlink ref="E229" r:id="rId557" xr:uid="{00000000-0004-0000-0100-000031020000}"/>
    <hyperlink ref="E241" r:id="rId558" xr:uid="{00000000-0004-0000-0100-000032020000}"/>
    <hyperlink ref="E274" r:id="rId559" xr:uid="{00000000-0004-0000-0100-000033020000}"/>
    <hyperlink ref="E394" r:id="rId560" location=":~:text=Much%20of%20the%20game%20was,similar%20gameplay%20would%20be%20like." xr:uid="{00000000-0004-0000-0100-000034020000}"/>
    <hyperlink ref="E433" r:id="rId561" location=":~:text=A%20big%20of%20Rogue%20Legacy%2C%20Spelunky%2C%20Hades.,kinda%20got%20inspiration%20from%20all%20of%20them." xr:uid="{00000000-0004-0000-0100-000035020000}"/>
    <hyperlink ref="E436" r:id="rId562" xr:uid="{00000000-0004-0000-0100-000036020000}"/>
    <hyperlink ref="E540" r:id="rId563" xr:uid="{00000000-0004-0000-0100-000037020000}"/>
    <hyperlink ref="E714" r:id="rId564" xr:uid="{00000000-0004-0000-0100-000038020000}"/>
    <hyperlink ref="E739" r:id="rId565" xr:uid="{00000000-0004-0000-0100-000039020000}"/>
    <hyperlink ref="E781" r:id="rId566" xr:uid="{00000000-0004-0000-0100-00003A020000}"/>
    <hyperlink ref="E804" r:id="rId567" xr:uid="{00000000-0004-0000-0100-00003B020000}"/>
    <hyperlink ref="E982" r:id="rId568" xr:uid="{00000000-0004-0000-0100-00003C020000}"/>
    <hyperlink ref="E1024" r:id="rId569" location=":~:text=The%20game%20was%20developed%20by,development%2C%20including%20an%20experience%20system." xr:uid="{00000000-0004-0000-0100-00003D020000}"/>
    <hyperlink ref="E1113" r:id="rId570" xr:uid="{00000000-0004-0000-0100-00003E020000}"/>
    <hyperlink ref="E1187" r:id="rId571" xr:uid="{00000000-0004-0000-0100-00003F020000}"/>
    <hyperlink ref="E1216" r:id="rId572" xr:uid="{00000000-0004-0000-0100-000040020000}"/>
    <hyperlink ref="E1220" r:id="rId573" location=":~:text=Lead%20designer%20Matt%20Dabrowski%20credited,inspirations%20for%20Streets%20of%20Rogue." xr:uid="{00000000-0004-0000-0100-000041020000}"/>
    <hyperlink ref="E1239" r:id="rId574" xr:uid="{00000000-0004-0000-0100-000042020000}"/>
    <hyperlink ref="E1364" r:id="rId575" xr:uid="{00000000-0004-0000-0100-000043020000}"/>
    <hyperlink ref="E1389" r:id="rId576" xr:uid="{00000000-0004-0000-0100-000044020000}"/>
    <hyperlink ref="E1456" r:id="rId577" xr:uid="{00000000-0004-0000-0100-000045020000}"/>
    <hyperlink ref="E458" r:id="rId578" xr:uid="{00000000-0004-0000-0100-000046020000}"/>
    <hyperlink ref="E297" r:id="rId579" xr:uid="{00000000-0004-0000-0100-000047020000}"/>
    <hyperlink ref="E681" r:id="rId580" xr:uid="{00000000-0004-0000-0100-000048020000}"/>
    <hyperlink ref="E1050" r:id="rId581" xr:uid="{00000000-0004-0000-0100-000049020000}"/>
    <hyperlink ref="E1330" r:id="rId582" xr:uid="{00000000-0004-0000-0100-00004A020000}"/>
    <hyperlink ref="E541" r:id="rId583" xr:uid="{00000000-0004-0000-0100-00004B020000}"/>
    <hyperlink ref="E1035" r:id="rId584" xr:uid="{00000000-0004-0000-0100-00004C020000}"/>
    <hyperlink ref="E179" r:id="rId585" xr:uid="{00000000-0004-0000-0100-00004D020000}"/>
    <hyperlink ref="E426" r:id="rId586" xr:uid="{00000000-0004-0000-0100-00004E020000}"/>
    <hyperlink ref="E686" r:id="rId587" xr:uid="{00000000-0004-0000-0100-00004F020000}"/>
    <hyperlink ref="E997" r:id="rId588" xr:uid="{00000000-0004-0000-0100-000050020000}"/>
    <hyperlink ref="E1018" r:id="rId589" xr:uid="{00000000-0004-0000-0100-000051020000}"/>
    <hyperlink ref="E1261" r:id="rId590" xr:uid="{00000000-0004-0000-0100-000052020000}"/>
    <hyperlink ref="E687" r:id="rId591" xr:uid="{00000000-0004-0000-0100-000053020000}"/>
    <hyperlink ref="E682" r:id="rId592" xr:uid="{00000000-0004-0000-0100-000054020000}"/>
    <hyperlink ref="E1076" r:id="rId593" xr:uid="{00000000-0004-0000-0100-000055020000}"/>
    <hyperlink ref="E1276" r:id="rId594" xr:uid="{00000000-0004-0000-0100-000056020000}"/>
    <hyperlink ref="E1331" r:id="rId595" xr:uid="{00000000-0004-0000-0100-000057020000}"/>
    <hyperlink ref="E1367" r:id="rId596" xr:uid="{00000000-0004-0000-0100-000058020000}"/>
    <hyperlink ref="E8" r:id="rId597" xr:uid="{00000000-0004-0000-0100-000059020000}"/>
    <hyperlink ref="E17" r:id="rId598" xr:uid="{00000000-0004-0000-0100-00005A020000}"/>
    <hyperlink ref="E19" r:id="rId599" location=":~:text=I%20left%20my%20old%20job,as%20The%20Binding%20of%20Isaac." xr:uid="{00000000-0004-0000-0100-00005B020000}"/>
    <hyperlink ref="E38" r:id="rId600" xr:uid="{00000000-0004-0000-0100-00005C020000}"/>
    <hyperlink ref="E128" r:id="rId601" xr:uid="{00000000-0004-0000-0100-00005D020000}"/>
    <hyperlink ref="E169" r:id="rId602" xr:uid="{00000000-0004-0000-0100-00005E020000}"/>
    <hyperlink ref="E202" r:id="rId603" xr:uid="{00000000-0004-0000-0100-00005F020000}"/>
    <hyperlink ref="E234" r:id="rId604" xr:uid="{00000000-0004-0000-0100-000060020000}"/>
    <hyperlink ref="E246" r:id="rId605" xr:uid="{00000000-0004-0000-0100-000061020000}"/>
    <hyperlink ref="E275" r:id="rId606" xr:uid="{00000000-0004-0000-0100-000062020000}"/>
    <hyperlink ref="E311" r:id="rId607" xr:uid="{00000000-0004-0000-0100-000063020000}"/>
    <hyperlink ref="E499" r:id="rId608" location="c846961716375428005" xr:uid="{00000000-0004-0000-0100-000064020000}"/>
    <hyperlink ref="E536" r:id="rId609" xr:uid="{00000000-0004-0000-0100-000065020000}"/>
    <hyperlink ref="E581" r:id="rId610" xr:uid="{00000000-0004-0000-0100-000066020000}"/>
    <hyperlink ref="E736" r:id="rId611" xr:uid="{00000000-0004-0000-0100-000067020000}"/>
    <hyperlink ref="E740" r:id="rId612" xr:uid="{00000000-0004-0000-0100-000068020000}"/>
    <hyperlink ref="E743" r:id="rId613" xr:uid="{00000000-0004-0000-0100-000069020000}"/>
    <hyperlink ref="E782" r:id="rId614" xr:uid="{00000000-0004-0000-0100-00006A020000}"/>
    <hyperlink ref="E788" r:id="rId615" xr:uid="{00000000-0004-0000-0100-00006B020000}"/>
    <hyperlink ref="E835" r:id="rId616" xr:uid="{00000000-0004-0000-0100-00006C020000}"/>
    <hyperlink ref="E842" r:id="rId617" xr:uid="{00000000-0004-0000-0100-00006D020000}"/>
    <hyperlink ref="E858" r:id="rId618" xr:uid="{00000000-0004-0000-0100-00006E020000}"/>
    <hyperlink ref="E886" r:id="rId619" xr:uid="{00000000-0004-0000-0100-00006F020000}"/>
    <hyperlink ref="E894" r:id="rId620" xr:uid="{00000000-0004-0000-0100-000070020000}"/>
    <hyperlink ref="E900" r:id="rId621" xr:uid="{00000000-0004-0000-0100-000071020000}"/>
    <hyperlink ref="E950" r:id="rId622" xr:uid="{00000000-0004-0000-0100-000072020000}"/>
    <hyperlink ref="E969" r:id="rId623" xr:uid="{00000000-0004-0000-0100-000073020000}"/>
    <hyperlink ref="E1025" r:id="rId624" location=":~:text=The%20game%20was%20developed%20by,development%2C%20including%20an%20experience%20system." xr:uid="{00000000-0004-0000-0100-000074020000}"/>
    <hyperlink ref="E1127" r:id="rId625" xr:uid="{00000000-0004-0000-0100-000075020000}"/>
    <hyperlink ref="E1161" r:id="rId626" xr:uid="{00000000-0004-0000-0100-000076020000}"/>
    <hyperlink ref="E1192" r:id="rId627" xr:uid="{00000000-0004-0000-0100-000077020000}"/>
    <hyperlink ref="E1240" r:id="rId628" xr:uid="{00000000-0004-0000-0100-000078020000}"/>
    <hyperlink ref="E1292" r:id="rId629" location="c592882772895432824" xr:uid="{00000000-0004-0000-0100-000079020000}"/>
    <hyperlink ref="E1343" r:id="rId630" xr:uid="{00000000-0004-0000-0100-00007A020000}"/>
    <hyperlink ref="E1357" r:id="rId631" xr:uid="{00000000-0004-0000-0100-00007B020000}"/>
    <hyperlink ref="E1365" r:id="rId632" xr:uid="{00000000-0004-0000-0100-00007C020000}"/>
    <hyperlink ref="E1370" r:id="rId633" xr:uid="{00000000-0004-0000-0100-00007D020000}"/>
    <hyperlink ref="E1378" r:id="rId634" xr:uid="{00000000-0004-0000-0100-00007E020000}"/>
    <hyperlink ref="E459" r:id="rId635" location=":~:text=Apparently%2C%20Ota%20was%20a%20well%20known%20figure,to%20connect%20Tokyo's%20three%20main%20universities%20that" xr:uid="{00000000-0004-0000-0100-00007F020000}"/>
    <hyperlink ref="E1466" r:id="rId636" xr:uid="{00000000-0004-0000-0100-000080020000}"/>
    <hyperlink ref="E170" r:id="rId637" xr:uid="{00000000-0004-0000-0100-000081020000}"/>
    <hyperlink ref="E951" r:id="rId638" xr:uid="{00000000-0004-0000-0100-000082020000}"/>
    <hyperlink ref="E120" r:id="rId639" xr:uid="{00000000-0004-0000-0100-000083020000}"/>
    <hyperlink ref="E1293" r:id="rId640" location="c592882772895432824" xr:uid="{00000000-0004-0000-0100-000084020000}"/>
    <hyperlink ref="E98" r:id="rId641" xr:uid="{00000000-0004-0000-0100-000085020000}"/>
    <hyperlink ref="E502" r:id="rId642" xr:uid="{00000000-0004-0000-0100-000086020000}"/>
    <hyperlink ref="E216" r:id="rId643" xr:uid="{00000000-0004-0000-0100-000088020000}"/>
    <hyperlink ref="E306" r:id="rId644" xr:uid="{00000000-0004-0000-0100-000089020000}"/>
    <hyperlink ref="E608" r:id="rId645" location=":~:text=House%20of%20Necrosis%20is%20a,Linux)%20and%20the%20Steam%20Deck" xr:uid="{00000000-0004-0000-0100-00008A020000}"/>
    <hyperlink ref="E767" r:id="rId646" xr:uid="{00000000-0004-0000-0100-00008B020000}"/>
    <hyperlink ref="E772" r:id="rId647" xr:uid="{00000000-0004-0000-0100-00008C020000}"/>
    <hyperlink ref="E809" r:id="rId648" xr:uid="{00000000-0004-0000-0100-00008D020000}"/>
    <hyperlink ref="E876" r:id="rId649" xr:uid="{00000000-0004-0000-0100-00008E020000}"/>
    <hyperlink ref="E1284" r:id="rId650" xr:uid="{00000000-0004-0000-0100-00008F020000}"/>
    <hyperlink ref="E1320" r:id="rId651" xr:uid="{00000000-0004-0000-0100-000090020000}"/>
    <hyperlink ref="E1405" r:id="rId652" xr:uid="{00000000-0004-0000-0100-000091020000}"/>
    <hyperlink ref="E1153" r:id="rId653" xr:uid="{00000000-0004-0000-0100-000092020000}"/>
    <hyperlink ref="E61" r:id="rId654" location="c735910198043297427" xr:uid="{00000000-0004-0000-0100-000093020000}"/>
    <hyperlink ref="E121" r:id="rId655" xr:uid="{00000000-0004-0000-0100-000095020000}"/>
    <hyperlink ref="E138" r:id="rId656" xr:uid="{00000000-0004-0000-0100-000096020000}"/>
    <hyperlink ref="E211" r:id="rId657" xr:uid="{00000000-0004-0000-0100-000097020000}"/>
    <hyperlink ref="E302" r:id="rId658" location="c562532756309107833" xr:uid="{00000000-0004-0000-0100-000098020000}"/>
    <hyperlink ref="E317" r:id="rId659" xr:uid="{00000000-0004-0000-0100-000099020000}"/>
    <hyperlink ref="E347" r:id="rId660" xr:uid="{00000000-0004-0000-0100-00009A020000}"/>
    <hyperlink ref="E522" r:id="rId661" xr:uid="{00000000-0004-0000-0100-00009B020000}"/>
    <hyperlink ref="E547" r:id="rId662" xr:uid="{00000000-0004-0000-0100-00009C020000}"/>
    <hyperlink ref="E593" r:id="rId663" xr:uid="{00000000-0004-0000-0100-00009D020000}"/>
    <hyperlink ref="E626" r:id="rId664" xr:uid="{00000000-0004-0000-0100-00009E020000}"/>
    <hyperlink ref="E779" r:id="rId665" xr:uid="{00000000-0004-0000-0100-00009F020000}"/>
    <hyperlink ref="E919" r:id="rId666" xr:uid="{00000000-0004-0000-0100-0000A0020000}"/>
    <hyperlink ref="E1237" r:id="rId667" xr:uid="{00000000-0004-0000-0100-0000A2020000}"/>
    <hyperlink ref="E1273" r:id="rId668" xr:uid="{00000000-0004-0000-0100-0000A3020000}"/>
    <hyperlink ref="E1324" r:id="rId669" xr:uid="{00000000-0004-0000-0100-0000A4020000}"/>
    <hyperlink ref="E1432" r:id="rId670" location=":~:text=Runs%20in%20Whisker%20Squadron:%20Survivor,to%20engage%20the%20boost%20thrusters." xr:uid="{00000000-0004-0000-0100-0000A5020000}"/>
    <hyperlink ref="E1417" r:id="rId671" xr:uid="{00000000-0004-0000-0100-0000A6020000}"/>
    <hyperlink ref="E22" r:id="rId672" xr:uid="{00000000-0004-0000-0100-0000A7020000}"/>
    <hyperlink ref="E76" r:id="rId673" xr:uid="{00000000-0004-0000-0100-0000A8020000}"/>
    <hyperlink ref="E276" r:id="rId674" xr:uid="{00000000-0004-0000-0100-0000A9020000}"/>
    <hyperlink ref="E1257" r:id="rId675" xr:uid="{00000000-0004-0000-0100-0000AA020000}"/>
    <hyperlink ref="E1467" r:id="rId676" xr:uid="{00000000-0004-0000-0100-0000AB020000}"/>
    <hyperlink ref="E1401" r:id="rId677" location=":~:text=Vellum's%20Inspirations,chapter%20of%20the%20original%20series." xr:uid="{00000000-0004-0000-0100-0000AC020000}"/>
    <hyperlink ref="E244" r:id="rId678" xr:uid="{DC257F92-B893-4A80-84AF-3BA7F10C76A1}"/>
    <hyperlink ref="E243" r:id="rId679" xr:uid="{7306A171-7F4B-47C2-B91E-E6BB1E82D970}"/>
    <hyperlink ref="E912" r:id="rId680" xr:uid="{9998D6E1-A959-4C80-BCA2-BE69C5A7A99B}"/>
    <hyperlink ref="E910" r:id="rId681" xr:uid="{B9E4EED7-E892-464F-9EBD-AA4E7BD71993}"/>
    <hyperlink ref="E916" r:id="rId682" xr:uid="{B56B3719-2C0F-4F11-9155-40E4DB5FD2F2}"/>
    <hyperlink ref="E913" r:id="rId683" xr:uid="{3273FC85-56B0-4591-95CD-373A480AC68B}"/>
    <hyperlink ref="E911" r:id="rId684" xr:uid="{3264C784-5E91-4DBF-993E-1FEF95430F6C}"/>
    <hyperlink ref="E915" r:id="rId685" xr:uid="{8F547E23-D0FA-4AF7-B467-053D4459C3E3}"/>
    <hyperlink ref="E914" r:id="rId686" xr:uid="{2EDB5F00-8479-4A8F-BB77-B6BDE0431C57}"/>
    <hyperlink ref="E99" r:id="rId687" xr:uid="{D89045FC-4BEC-49BE-8903-287735AA0711}"/>
    <hyperlink ref="E1373" r:id="rId688" xr:uid="{17049E58-CC8C-463C-9767-C1A2569408D4}"/>
    <hyperlink ref="E1372" r:id="rId689" xr:uid="{B62B2547-7D21-4B1B-94F2-4AFC24DACA33}"/>
    <hyperlink ref="E556" r:id="rId690" xr:uid="{234AA154-DC6F-4634-8B71-CC47EBBC5B91}"/>
    <hyperlink ref="E882" r:id="rId691" xr:uid="{756853BF-0C1D-4493-A2E8-263710241BDE}"/>
    <hyperlink ref="E879" r:id="rId692" xr:uid="{1B3C08D6-6EDC-4ADD-BB77-852F9AAA6A80}"/>
    <hyperlink ref="E288" r:id="rId693" xr:uid="{CA2B30A3-EBB5-47EB-A4E7-44FF06BC11B7}"/>
    <hyperlink ref="E289" r:id="rId694" xr:uid="{AD1A4BDA-AB26-44FB-977C-6D4B0B1D0018}"/>
    <hyperlink ref="E1422" r:id="rId695" xr:uid="{A51A4A30-5304-4DC4-8375-CC026AF08628}"/>
    <hyperlink ref="E1421" r:id="rId696" xr:uid="{4C958F54-1C40-43A7-92EF-A9310F99312E}"/>
    <hyperlink ref="E1168" r:id="rId697" xr:uid="{C119554A-953F-485E-9B46-A70B4EB12957}"/>
    <hyperlink ref="E1170" r:id="rId698" xr:uid="{1ABE2D94-FE62-43D5-8CEE-063DFE0E2DAA}"/>
    <hyperlink ref="E1169" r:id="rId699" xr:uid="{7C8D1E95-463B-4139-B901-2361FC6FBF28}"/>
    <hyperlink ref="E575" r:id="rId700" xr:uid="{F1783B7A-9900-4667-B9BB-65FBD38E7C11}"/>
    <hyperlink ref="E25" r:id="rId701" xr:uid="{2ACB47B8-071E-42EF-B4CC-D5635A151212}"/>
    <hyperlink ref="E26" r:id="rId702" xr:uid="{FAE39DDD-5E06-4849-9826-36858752CACC}"/>
    <hyperlink ref="E24" r:id="rId703" xr:uid="{56EFD205-F197-49E0-959D-67AE62661490}"/>
    <hyperlink ref="E984" r:id="rId704" xr:uid="{62145C9D-17FD-49E4-91A9-15463C8D4953}"/>
    <hyperlink ref="E983" r:id="rId705" xr:uid="{9441C145-D2B7-4DDC-966C-EEF4E3AB0D09}"/>
    <hyperlink ref="E891" r:id="rId706" xr:uid="{B8B18927-8DBA-4A3C-8766-2BA089C10618}"/>
    <hyperlink ref="E339" r:id="rId707" xr:uid="{E1E9E0DE-0275-4E22-B235-2D70703E5EF6}"/>
    <hyperlink ref="E341" r:id="rId708" xr:uid="{C64C902E-5CF7-473F-9209-D3742DCCF37C}"/>
    <hyperlink ref="E340" r:id="rId709" xr:uid="{4EB89765-CE1B-453D-AE3B-8A2E8F62FAD6}"/>
    <hyperlink ref="E970" r:id="rId710" xr:uid="{C9381C14-D9BA-490C-B78E-D8D7978D4295}"/>
    <hyperlink ref="E1001" r:id="rId711" xr:uid="{5D6A7A9E-8E93-4677-B335-07D810F5F2CE}"/>
    <hyperlink ref="E1000" r:id="rId712" xr:uid="{02E4BCE0-E5A5-438F-BAA4-3B55B72ABA69}"/>
    <hyperlink ref="E1095" r:id="rId713" xr:uid="{F9C0DC33-F291-48A5-BAA6-CD749F38B8F7}"/>
    <hyperlink ref="E938" r:id="rId714" xr:uid="{C6DAE36B-9FFF-40F4-A975-40308D682ABB}"/>
    <hyperlink ref="E1115" r:id="rId715" xr:uid="{A28AAA5F-E3AF-4CB4-AC75-ED4C73D4241A}"/>
    <hyperlink ref="E1114" r:id="rId716" xr:uid="{684CF565-3C19-420F-ABEF-80608A7964D0}"/>
    <hyperlink ref="E112" r:id="rId717" xr:uid="{C3ACE80B-944E-4458-A021-866DA3743B12}"/>
    <hyperlink ref="E334" r:id="rId718" xr:uid="{70D4547A-51BA-461F-AD30-640DF48CD22D}"/>
    <hyperlink ref="E332" r:id="rId719" xr:uid="{78E56607-57DD-4F76-9014-6DBAEEDF827E}"/>
    <hyperlink ref="E333" r:id="rId720" xr:uid="{7341875F-BDED-41CC-B25D-136FCED18006}"/>
    <hyperlink ref="E331" r:id="rId721" xr:uid="{E0D4E947-25EC-492F-BC8B-0B1CBC953CF7}"/>
    <hyperlink ref="E1416" r:id="rId722" xr:uid="{4F24E171-1AF4-474B-B100-D115B2BFEE71}"/>
    <hyperlink ref="E1444" r:id="rId723" xr:uid="{4A06958D-32E3-4D6F-858C-3E2C787D20FD}"/>
    <hyperlink ref="E700" r:id="rId724" location="c842879193508275230" xr:uid="{F47CC886-9EFA-4939-8863-C8F17F77FDAD}"/>
    <hyperlink ref="E1327" r:id="rId725" xr:uid="{3AB3A00F-98CF-4435-8833-0A851E2C073C}"/>
    <hyperlink ref="E1326" r:id="rId726" xr:uid="{C406D397-30DB-48EC-8075-D7B6C232C5C8}"/>
    <hyperlink ref="E672" r:id="rId727" xr:uid="{007CFBC1-8CEA-4212-B4F0-0FF066C08E2A}"/>
    <hyperlink ref="E404" r:id="rId728" xr:uid="{C5B07F6A-C6B6-4369-9FE3-E7625C1D2C8A}"/>
    <hyperlink ref="E646" r:id="rId729" xr:uid="{9003B96D-F683-49D5-81C9-E8A2CCEE4A21}"/>
    <hyperlink ref="E706" r:id="rId730" xr:uid="{400C9351-54FE-4B8D-9B9A-0B0C219C35CE}"/>
    <hyperlink ref="E673" r:id="rId731" xr:uid="{760CA5D1-BE1A-4AFE-8811-4667F5691EB8}"/>
    <hyperlink ref="E405" r:id="rId732" xr:uid="{F9FC197E-E9FE-4CD7-ADA1-1321F785AE10}"/>
    <hyperlink ref="E647" r:id="rId733" xr:uid="{D37D4B00-C269-473F-A26C-3D2E87C1AAC1}"/>
    <hyperlink ref="E707" r:id="rId734" xr:uid="{ABDDBD02-2EC2-49CC-B72B-4F6636A8E145}"/>
    <hyperlink ref="E695" r:id="rId735" xr:uid="{ED53DE22-9D86-4500-B1B3-6F8BDF546600}"/>
    <hyperlink ref="E1213" r:id="rId736" xr:uid="{9B852CA2-E54A-49EA-8814-23E1B14CD3C1}"/>
    <hyperlink ref="E1212" r:id="rId737" xr:uid="{94E018E0-042D-408B-9779-5894F881B159}"/>
    <hyperlink ref="E1165" r:id="rId738" xr:uid="{B5B7069D-BF7F-482C-915D-665DFFD3BABF}"/>
    <hyperlink ref="E1164" r:id="rId739" xr:uid="{396298D9-2ACA-4C5D-B2C6-C5EE2CDEFB0B}"/>
    <hyperlink ref="E1166" r:id="rId740" xr:uid="{FAF1DFA1-959D-4AEE-BB2F-EA12E94967CF}"/>
    <hyperlink ref="E1167" r:id="rId741" xr:uid="{EC4E5489-3B8D-43C5-BF19-2C2EA22E2606}"/>
    <hyperlink ref="E43" r:id="rId742" xr:uid="{C2596C1D-9A69-44EE-BF12-80C2168233D1}"/>
    <hyperlink ref="E44" r:id="rId743" xr:uid="{F621E8F5-0491-493D-B769-B7CD77BC5B23}"/>
    <hyperlink ref="E1361" r:id="rId744" xr:uid="{4127133D-D589-4277-AA21-D2599470279E}"/>
    <hyperlink ref="E905" r:id="rId745" xr:uid="{34B7B3C3-0C4A-46CD-92BB-6FF3B597AAD7}"/>
    <hyperlink ref="E904" r:id="rId746" xr:uid="{E49398C4-F888-4174-851D-12018E96BA3D}"/>
    <hyperlink ref="E1300" r:id="rId747" xr:uid="{9139EA07-E310-4E9B-ABA2-63D541902482}"/>
    <hyperlink ref="E253" r:id="rId748" xr:uid="{76A98E02-4371-4D92-BF10-7771BDF4B0F6}"/>
    <hyperlink ref="E252" r:id="rId749" xr:uid="{8AB47C2C-DCB0-459E-AB93-D035E87D88FF}"/>
    <hyperlink ref="E255" r:id="rId750" xr:uid="{FBD758DD-5EB8-4F17-834D-B309931C342F}"/>
    <hyperlink ref="E254" r:id="rId751" xr:uid="{C357B225-7211-4499-8BFB-A49F13205C07}"/>
    <hyperlink ref="E251" r:id="rId752" xr:uid="{00F517EE-3EC6-4A52-8DFC-A393770262A5}"/>
    <hyperlink ref="E250" r:id="rId753" xr:uid="{0E72ABCF-08D0-4F45-A663-49A14B6D3325}"/>
    <hyperlink ref="E256" r:id="rId754" xr:uid="{11C937CA-10C7-48B7-AC81-1843474BD01D}"/>
    <hyperlink ref="E1193" r:id="rId755" xr:uid="{FD39470D-1885-4635-9DE7-3856687F8611}"/>
    <hyperlink ref="E1195" r:id="rId756" xr:uid="{B4C62739-016F-4CAE-877E-BF3AEB7ADA8F}"/>
    <hyperlink ref="E1194" r:id="rId757" xr:uid="{09DF1C7B-5846-4CAD-A11F-2136F1192AF6}"/>
    <hyperlink ref="E429" r:id="rId758" xr:uid="{CBC0B082-DD9E-43F8-A179-EB2FFD643FC6}"/>
    <hyperlink ref="E484" r:id="rId759" xr:uid="{5B454A0F-BECB-457F-91B8-ABBCD80D5EE9}"/>
    <hyperlink ref="E485" r:id="rId760" xr:uid="{70D922DB-1822-47F7-8B64-F66186EE28F1}"/>
    <hyperlink ref="E483" r:id="rId761" xr:uid="{0DAEA923-B4B1-4CE6-AB24-DD07A4C5365C}"/>
    <hyperlink ref="E318" r:id="rId762" xr:uid="{95BE4862-33A9-41C4-8487-E447A22797B8}"/>
    <hyperlink ref="E261" r:id="rId763" xr:uid="{5D7AF87A-D596-4C40-8C0F-2F19514A0A9D}"/>
    <hyperlink ref="E260" r:id="rId764" xr:uid="{3914E137-AC2F-4C98-A6AB-2D587913BF39}"/>
    <hyperlink ref="E585" r:id="rId765" xr:uid="{84ADC6BC-5F07-417B-9B2B-58031F51D973}"/>
    <hyperlink ref="E269" r:id="rId766" xr:uid="{4F864965-905D-417C-B363-49B2D25D94EC}"/>
    <hyperlink ref="E674" r:id="rId767" xr:uid="{CA9C0EC1-29DC-44CD-B0A4-2A7DDED681BC}"/>
    <hyperlink ref="E171" r:id="rId768" xr:uid="{785E53CE-FB4B-4280-B57B-EE316B786B50}"/>
    <hyperlink ref="E214" r:id="rId769" xr:uid="{0A8F7EBD-A01D-4336-ADAF-3E8859ED6C33}"/>
    <hyperlink ref="E213" r:id="rId770" xr:uid="{925C99C9-F4C2-4063-9736-FCABD2EEBF72}"/>
    <hyperlink ref="E212" r:id="rId771" xr:uid="{9699B4B8-EC77-439B-95B7-F7574579CD6B}"/>
    <hyperlink ref="E566" r:id="rId772" xr:uid="{8BBD1517-1DCE-403B-8565-4BFD22DDFA25}"/>
    <hyperlink ref="E562" r:id="rId773" xr:uid="{3FA28012-FC78-4A3F-86BA-7FA7BE001059}"/>
    <hyperlink ref="E560" r:id="rId774" xr:uid="{63657D3F-DEFB-4369-85C3-789E96AA8DA6}"/>
    <hyperlink ref="E565" r:id="rId775" xr:uid="{47813FC8-AFE1-427F-AE89-3CCA78408CDC}"/>
    <hyperlink ref="E563" r:id="rId776" xr:uid="{8EE78B8A-CFD9-4BD2-BF05-F408D13A3E25}"/>
    <hyperlink ref="E567" r:id="rId777" xr:uid="{7A6842FA-45F0-40DD-BE37-924F321DF9C9}"/>
    <hyperlink ref="E561" r:id="rId778" xr:uid="{4E0E38B3-9659-4837-A810-D00636B0F10E}"/>
    <hyperlink ref="E564" r:id="rId779" xr:uid="{3EE1E877-C07F-4E95-9F44-3EDCCAF9EBFB}"/>
    <hyperlink ref="E46" r:id="rId780" xr:uid="{DFD5D4A8-7664-41B0-9962-1C8FEF851212}"/>
    <hyperlink ref="E49" r:id="rId781" xr:uid="{9629D6C9-CF08-4AC0-8B04-519412692BBD}"/>
    <hyperlink ref="E48" r:id="rId782" xr:uid="{4295EFFB-07CE-41CD-A14C-BB24DAE390ED}"/>
    <hyperlink ref="E47" r:id="rId783" xr:uid="{9B4A4D25-5438-41E3-ACD7-DD973CE47DD7}"/>
    <hyperlink ref="E222" r:id="rId784" xr:uid="{BACCE9B6-8ECA-41FB-996C-80C0BBD415CD}"/>
    <hyperlink ref="E218" r:id="rId785" xr:uid="{EA72B976-24C7-4518-87D0-8D6F01A0FB47}"/>
    <hyperlink ref="E268" r:id="rId786" xr:uid="{FF59F731-3E2D-4AB5-89ED-B4165A50B489}"/>
    <hyperlink ref="E292" r:id="rId787" xr:uid="{0A249B19-B1F8-4F67-9C2D-71FBBCA252A4}"/>
    <hyperlink ref="E291" r:id="rId788" xr:uid="{12E79190-6A49-41BE-8F44-8CA69A0A8A44}"/>
    <hyperlink ref="E290" r:id="rId789" xr:uid="{E9B5AA31-7CD9-4E41-9454-B6162DBA1459}"/>
    <hyperlink ref="E390" r:id="rId790" xr:uid="{726AE619-0F35-48FB-9070-2DCF26273A7E}"/>
    <hyperlink ref="E527" r:id="rId791" xr:uid="{3296730B-09C4-46E7-9B11-07FEBF67FEB1}"/>
    <hyperlink ref="E528" r:id="rId792" xr:uid="{8845AD77-949C-4FC1-9539-BD096F56CB51}"/>
    <hyperlink ref="E604" r:id="rId793" xr:uid="{359A4A08-94B1-422A-9D9E-365B26FBDD74}"/>
    <hyperlink ref="E605" r:id="rId794" xr:uid="{F9BEED06-E57B-48E9-ABF3-6585B5B3DD63}"/>
    <hyperlink ref="E1183" r:id="rId795" xr:uid="{B02B0A49-D286-479A-85A0-76A995A240D2}"/>
    <hyperlink ref="E840" r:id="rId796" xr:uid="{07C49B31-0A15-4F18-8CE5-D295AAB93256}"/>
    <hyperlink ref="E839" r:id="rId797" xr:uid="{B34B45B8-CB27-4006-8F1B-38115E7B81EE}"/>
    <hyperlink ref="E878" r:id="rId798" xr:uid="{ABDD3C61-D776-44CB-8F85-C5D4E7AF66EF}"/>
    <hyperlink ref="E881" r:id="rId799" xr:uid="{5D28E741-06CB-471F-AA5B-C6279839952F}"/>
    <hyperlink ref="E880" r:id="rId800" xr:uid="{E4D6DAFF-DB98-4039-BDDF-E2905AEA2385}"/>
    <hyperlink ref="E884" r:id="rId801" xr:uid="{79A1D462-8052-48AD-A68B-D0084DBAA7CF}"/>
    <hyperlink ref="E883" r:id="rId802" xr:uid="{6C22384B-4E97-4E31-B844-A350F9331DF2}"/>
    <hyperlink ref="E920" r:id="rId803" xr:uid="{1C3C92C2-D6A0-4FF2-825C-129534F4D777}"/>
    <hyperlink ref="E1010" r:id="rId804" xr:uid="{8F81F563-6034-417A-ADBA-73030B013656}"/>
    <hyperlink ref="E1032" r:id="rId805" xr:uid="{EECFB546-0535-4851-899A-9C580A482C6F}"/>
    <hyperlink ref="E1028" r:id="rId806" xr:uid="{CBC2BBAD-B637-4106-BCD6-E9E4C844256B}"/>
    <hyperlink ref="E1036" r:id="rId807" xr:uid="{1F25C809-BB94-4A11-937B-D24471D02480}"/>
    <hyperlink ref="E1037" r:id="rId808" xr:uid="{97D98395-3C28-4831-B9C4-7B4829982C41}"/>
    <hyperlink ref="E993" r:id="rId809" xr:uid="{C0E7C7EF-C119-405A-AE69-5F625741B5F3}"/>
    <hyperlink ref="E1204" r:id="rId810" xr:uid="{FD983225-12F5-46E5-A904-A1A9774FC711}"/>
    <hyperlink ref="E1198" r:id="rId811" xr:uid="{7C2AF8B1-58BF-4182-B42A-0F6104811C8E}"/>
    <hyperlink ref="E1202" r:id="rId812" xr:uid="{F30E44C9-EDD2-4BB8-B6FA-25CAF04351F8}"/>
    <hyperlink ref="E1196" r:id="rId813" xr:uid="{F4ECDF04-F27A-4F84-8CB9-7356501E47FD}"/>
    <hyperlink ref="E1200" r:id="rId814" xr:uid="{08A19CA9-DB9A-4EE0-9B5B-D245133EE9B9}"/>
    <hyperlink ref="E1203" r:id="rId815" xr:uid="{65642D69-0458-4C57-8626-D97111EBF706}"/>
    <hyperlink ref="E1205" r:id="rId816" xr:uid="{0AE53E53-BBA4-453D-9A0C-99E74A37CA52}"/>
    <hyperlink ref="E1197" r:id="rId817" xr:uid="{47A80645-C8E0-457D-B80A-EC24FB351F8D}"/>
    <hyperlink ref="E1199" r:id="rId818" xr:uid="{0C918335-C59E-49B6-AA43-C0CD9D8C4CF8}"/>
    <hyperlink ref="E1201" r:id="rId819" xr:uid="{1CB6077E-3092-489F-9B0C-6BAB87F17770}"/>
    <hyperlink ref="E1450" r:id="rId820" xr:uid="{3599CE02-A1AD-432F-9855-98EFC546B7C0}"/>
    <hyperlink ref="E1138" r:id="rId821" xr:uid="{ECA9D5F3-38EC-498C-B3FC-78D322956F5C}"/>
    <hyperlink ref="E1297" r:id="rId822" xr:uid="{8076755B-565E-4386-9385-FC02DF98FC86}"/>
    <hyperlink ref="E1336" r:id="rId823" xr:uid="{7FF7EDF5-A200-4775-9665-1C31DEADB023}"/>
    <hyperlink ref="E1157" r:id="rId824" xr:uid="{B4062A1F-3513-4E54-9725-FE70A8E2102C}"/>
    <hyperlink ref="E314" r:id="rId825" location="c591779267908675739" xr:uid="{8E09EE43-7AB1-4EFD-96D7-1D97BCB75A35}"/>
    <hyperlink ref="E399" r:id="rId826" xr:uid="{7AE028C1-55B7-49AF-A33B-C95B2C367207}"/>
    <hyperlink ref="E1074" r:id="rId827" xr:uid="{6E425835-5875-41B2-97A4-FA58DA438409}"/>
    <hyperlink ref="E1229" r:id="rId828" xr:uid="{A9769E26-0749-461F-861E-611D6D59A357}"/>
    <hyperlink ref="E763" r:id="rId829" xr:uid="{490B68C1-1A21-42E5-A4E5-45420F7FAE91}"/>
    <hyperlink ref="E760" r:id="rId830" xr:uid="{B422FF40-64E0-4B24-8F53-496AF4717AFF}"/>
    <hyperlink ref="E349" r:id="rId831" xr:uid="{616EFB2C-AC95-483E-A44D-39F69D8AAE04}"/>
    <hyperlink ref="E702" r:id="rId832" xr:uid="{CF9B0B49-4BC6-4E6E-A28C-97AD2449D1F4}"/>
    <hyperlink ref="E551" r:id="rId833" xr:uid="{CC3D205F-F4A2-4C98-812B-DFCFF767C3AE}"/>
    <hyperlink ref="E552" r:id="rId834" xr:uid="{0F0790E3-9AC0-413F-984C-498AA74C3589}"/>
    <hyperlink ref="E979" r:id="rId835" xr:uid="{8EF70CC2-1F7C-44FC-B27F-D40F33719C00}"/>
    <hyperlink ref="E978" r:id="rId836" xr:uid="{2D78A1F7-4C7B-4BBB-81A4-11B12B8FADDA}"/>
    <hyperlink ref="E498" r:id="rId837" xr:uid="{20287799-1A8F-4339-9E95-0AA01F352BD4}"/>
    <hyperlink ref="E199" r:id="rId838" xr:uid="{CAFAA947-4D25-464D-B292-52BCA67FD2CF}"/>
    <hyperlink ref="E1383" r:id="rId839" xr:uid="{4AC722E2-BCE9-43C4-A80B-4BBCC96FDAEE}"/>
    <hyperlink ref="E1382" r:id="rId840" xr:uid="{96213E6F-FE44-40A6-807C-E0126EE2DDC9}"/>
    <hyperlink ref="E817" r:id="rId841" xr:uid="{4F1594D2-3031-43C8-B872-3A5312FF9FDF}"/>
    <hyperlink ref="E816" r:id="rId842" xr:uid="{676A4F1E-EFAA-4DDC-8D28-7E9C8508C7F1}"/>
    <hyperlink ref="E1174" r:id="rId843" xr:uid="{488C3614-7E9C-44DA-9CFF-02ED9DA6D335}"/>
    <hyperlink ref="E1172" r:id="rId844" xr:uid="{7B3BFBD2-3751-4A52-8F1F-FC662C98C177}"/>
    <hyperlink ref="E41" r:id="rId845" xr:uid="{BFB33606-7E8A-49A2-9856-BB5128AD9376}"/>
    <hyperlink ref="E40" r:id="rId846" xr:uid="{56249F62-B66B-48AF-9B7E-3D57F062A187}"/>
    <hyperlink ref="E630" r:id="rId847" xr:uid="{275CD9A7-2606-4BD7-8AB4-6F7F649B0D82}"/>
    <hyperlink ref="E627" r:id="rId848" xr:uid="{D782717C-86B3-4AB9-9BAE-50DC60637C21}"/>
    <hyperlink ref="E629" r:id="rId849" xr:uid="{B4136A1E-1840-4253-B890-D50610D9B7FF}"/>
    <hyperlink ref="E848" r:id="rId850" xr:uid="{F010C842-1A27-45E7-91BD-D6A667117A83}"/>
    <hyperlink ref="E850" r:id="rId851" xr:uid="{7A735F72-FCBF-4C95-B717-33123075389C}"/>
    <hyperlink ref="E851" r:id="rId852" xr:uid="{0DAFB786-CEC3-42A8-9F7A-4F3B58233AB6}"/>
    <hyperlink ref="E1391" r:id="rId853" xr:uid="{7647C012-527B-47FA-AA69-5F88131531AA}"/>
    <hyperlink ref="E1392" r:id="rId854" xr:uid="{466561B0-4A38-497E-9D82-476E22D32111}"/>
    <hyperlink ref="E893" r:id="rId855" xr:uid="{1F54E98D-2D75-4E65-9A48-E714F01AAEAE}"/>
    <hyperlink ref="E1149" r:id="rId856" xr:uid="{C7A1DF84-E16D-4F1B-9452-9D09780CAB3C}"/>
    <hyperlink ref="E1150" r:id="rId857" xr:uid="{27E54E7F-D861-41B7-A5CB-0379F6FCE10A}"/>
    <hyperlink ref="E201" r:id="rId858" xr:uid="{098EDA8A-FC68-4111-B577-99F1B304BAB2}"/>
    <hyperlink ref="E200" r:id="rId859" xr:uid="{694E1CFD-5FA2-4B53-95A3-ED335D58CE37}"/>
    <hyperlink ref="E1226" r:id="rId860" xr:uid="{DC2E963B-8BB6-4612-927B-0C9EA135745A}"/>
    <hyperlink ref="E183" r:id="rId861" xr:uid="{775D1500-27BD-4FBE-BB82-12C0B18B2018}"/>
    <hyperlink ref="E182" r:id="rId862" xr:uid="{55744FEF-21E1-4B4A-BBEE-FD5B94DE8333}"/>
    <hyperlink ref="E181" r:id="rId863" xr:uid="{22C5AEF3-D8A0-494C-9B46-B4D333E55377}"/>
    <hyperlink ref="E1224" r:id="rId864" xr:uid="{5D245017-B18B-409F-9B15-14C242BCD0D6}"/>
    <hyperlink ref="E1222" r:id="rId865" xr:uid="{851E31D8-E443-46B1-9D46-BF582D4B9332}"/>
    <hyperlink ref="E465" r:id="rId866" xr:uid="{D6991607-8EBB-408C-8E7B-5174D1FE7C25}"/>
    <hyperlink ref="E525" r:id="rId867" xr:uid="{B23B7F09-3736-473F-82D1-8854D9E5C331}"/>
    <hyperlink ref="E524" r:id="rId868" xr:uid="{D57488C7-0308-4F7D-B7CF-AF40CAE04472}"/>
    <hyperlink ref="E526" r:id="rId869" xr:uid="{1755DCC3-224A-4152-BCC8-91981498AEEA}"/>
    <hyperlink ref="E544" r:id="rId870" xr:uid="{85D4F570-895C-488C-AEA6-5A95B93B5E1E}"/>
    <hyperlink ref="E545" r:id="rId871" xr:uid="{D1B3C96A-0C81-4008-828E-3BFAF10EED79}"/>
    <hyperlink ref="E586" r:id="rId872" xr:uid="{83D780E2-27AD-4B1C-BF2E-B3DF2589421A}"/>
    <hyperlink ref="E704" r:id="rId873" xr:uid="{AC1196BC-823B-4E18-B98E-7B1DA3BCA411}"/>
    <hyperlink ref="E705" r:id="rId874" xr:uid="{5D671CD6-0D00-4D6B-ACAE-C99CDCDB4448}"/>
    <hyperlink ref="E790" r:id="rId875" xr:uid="{4CD7DA82-E939-4B3D-98DD-54522C1793F9}"/>
    <hyperlink ref="E795" r:id="rId876" xr:uid="{E1F3E9F4-E70F-4F16-A094-D418B14B769B}"/>
    <hyperlink ref="E960" r:id="rId877" xr:uid="{6693F16F-A7B4-44BB-AEBE-E88D3EB7D2F7}"/>
    <hyperlink ref="E1133" r:id="rId878" xr:uid="{D8A1008B-A01D-4497-B3E9-9891BA45CAB2}"/>
    <hyperlink ref="E1132" r:id="rId879" xr:uid="{82C02E44-C4DC-473C-BDD8-A6E324C69864}"/>
    <hyperlink ref="E1136" r:id="rId880" xr:uid="{F1CB7E5D-3685-4C6E-9108-2997A0AD6DBC}"/>
    <hyperlink ref="E1137" r:id="rId881" xr:uid="{03B04C2D-E6F0-440A-91A9-8F416D1240BA}"/>
    <hyperlink ref="E1135" r:id="rId882" xr:uid="{0AAD27CE-179A-46C7-9DE7-1181659193FE}"/>
    <hyperlink ref="E1375" r:id="rId883" xr:uid="{7270D518-4F12-42D1-BD6E-647FF9122757}"/>
    <hyperlink ref="E521" r:id="rId884" xr:uid="{A0B4227F-FBD1-42C8-BEFA-134B9493FB24}"/>
    <hyperlink ref="E108" r:id="rId885" xr:uid="{3CE67439-D239-4023-8A19-D6F26C6CA8BA}"/>
    <hyperlink ref="E107" r:id="rId886" xr:uid="{C2C160AB-6C9B-414E-A8DB-DCAA600B5072}"/>
    <hyperlink ref="E178" r:id="rId887" xr:uid="{49C2C811-46C2-4B58-9309-B7C58B5B2ABC}"/>
    <hyperlink ref="E175" r:id="rId888" xr:uid="{5FE2E83A-CB29-4B37-B96C-9BBBCC8914FE}"/>
    <hyperlink ref="E174" r:id="rId889" xr:uid="{4CACDD5A-E810-4BD7-B13F-DDC8A372CD63}"/>
    <hyperlink ref="E238" r:id="rId890" xr:uid="{CB5AEC32-697D-40F3-BA64-6B3893675488}"/>
    <hyperlink ref="E236" r:id="rId891" xr:uid="{231242F9-3604-4FE0-9058-1BDA1AABB819}"/>
    <hyperlink ref="E239" r:id="rId892" xr:uid="{91F61043-B371-4C99-87BB-E8FFCDF21E47}"/>
    <hyperlink ref="E237" r:id="rId893" xr:uid="{481E9431-DB0B-468A-8511-238D002E429E}"/>
    <hyperlink ref="E512" r:id="rId894" xr:uid="{BC0C56FF-7E02-4782-A758-30EA62F91D58}"/>
    <hyperlink ref="E808" r:id="rId895" xr:uid="{693AF152-A04D-404E-832F-D81C4C6C72FE}"/>
    <hyperlink ref="E1088" r:id="rId896" xr:uid="{6F248362-153F-424C-B354-6378D4D86F9C}"/>
    <hyperlink ref="E1211" r:id="rId897" xr:uid="{72BB5EFD-4348-413A-A37F-B4261299BADA}"/>
    <hyperlink ref="E345" r:id="rId898" xr:uid="{3A4D9878-45DC-465A-829F-2C4D66BB6733}"/>
    <hyperlink ref="E584" r:id="rId899" xr:uid="{CED3A7A0-6700-4430-A9D8-EAD1DBB90DDF}"/>
    <hyperlink ref="E865" r:id="rId900" xr:uid="{764782B1-752B-4ADB-854C-43DC3582A794}"/>
    <hyperlink ref="E1387" r:id="rId901" xr:uid="{408BADD1-F02E-4742-A102-A3054E30FF9A}"/>
    <hyperlink ref="E1256" r:id="rId902" xr:uid="{A8B96687-1D31-40EF-965F-99E753AE39D9}"/>
    <hyperlink ref="E1379" r:id="rId903" xr:uid="{18465332-FF83-449D-91A7-19D14BE88B01}"/>
    <hyperlink ref="E614" r:id="rId904" xr:uid="{25012F1C-655D-4BC4-9590-99A023CDF835}"/>
    <hyperlink ref="E1338" r:id="rId905" xr:uid="{447EB0F0-5D2B-47F5-9BD0-080715AB0256}"/>
    <hyperlink ref="E1332" r:id="rId906" xr:uid="{0B6AF708-429B-4DEB-BBF8-B1E18E421858}"/>
    <hyperlink ref="E1264" r:id="rId907" location=":~:text=Tape%20to%20Tape%20is%20a,the%20Spire%20and%20NHL%2094!" xr:uid="{01F42245-6207-4EA5-B13B-26DF6E587502}"/>
    <hyperlink ref="E1265" r:id="rId908" xr:uid="{0A49EF2C-0ACF-4551-A67F-5774EB5FF316}"/>
    <hyperlink ref="E1081" r:id="rId909" xr:uid="{901952AC-5261-4F8B-A7DA-FD756206185B}"/>
    <hyperlink ref="E1077" r:id="rId910" xr:uid="{32BB0F5E-E9E8-4B8E-850A-73B887186C35}"/>
    <hyperlink ref="E1080" r:id="rId911" xr:uid="{079A2C82-59A4-45F8-A66C-A330504F5447}"/>
    <hyperlink ref="E127" r:id="rId912" xr:uid="{7C10F27A-851F-4EFA-BD55-1891DD749201}"/>
    <hyperlink ref="E126" r:id="rId913" xr:uid="{C5589458-FD86-4B03-9FC5-B7DE5B5C6556}"/>
    <hyperlink ref="E623" r:id="rId914" xr:uid="{8894A55A-387F-4B46-B832-548B4F667DEC}"/>
    <hyperlink ref="E1377" r:id="rId915" xr:uid="{00000000-0004-0000-0100-000022020000}"/>
    <hyperlink ref="E696" r:id="rId916" xr:uid="{8E10D83C-5A16-4037-936B-6F9639278741}"/>
    <hyperlink ref="E697" r:id="rId917" xr:uid="{3D4BB26A-FCBE-4543-A790-EEB3D6411AC7}"/>
    <hyperlink ref="E698" r:id="rId918" xr:uid="{8CF8E004-EB68-4419-9B70-A5ECCF68950E}"/>
    <hyperlink ref="E699" r:id="rId919" xr:uid="{2A31699E-CB86-4EEA-A791-161EB671C05A}"/>
    <hyperlink ref="E1011" r:id="rId920" xr:uid="{DDDCE849-AB71-43C9-A93D-8A4A043F5D0A}"/>
    <hyperlink ref="E1041" r:id="rId9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776" r:id="rId922" xr:uid="{060A54A0-5C1A-4148-9996-6217B1124F43}"/>
    <hyperlink ref="E1054" r:id="rId923" xr:uid="{CD3FDDA4-5E08-4BE3-9D56-70BC77B8669E}"/>
    <hyperlink ref="E1053" r:id="rId924" xr:uid="{B1AA0B17-12B4-41E9-BFE0-B91C20A86B95}"/>
    <hyperlink ref="E1472" r:id="rId925" xr:uid="{508B9C26-B242-4B92-973D-4B544876A77E}"/>
    <hyperlink ref="E1473" r:id="rId926" xr:uid="{D7730D62-AD40-4354-9848-2FB8647B3572}"/>
    <hyperlink ref="E1474" r:id="rId927" xr:uid="{7EA2BD5D-8B2C-4DED-BFA6-A661D8FBA1C5}"/>
    <hyperlink ref="E1475" r:id="rId928" xr:uid="{97787A1A-E2C2-46F7-8AA2-FA4B05512EB8}"/>
    <hyperlink ref="E1476" r:id="rId929" xr:uid="{AB0A20F1-EBC2-4199-B86C-D62905DC12C5}"/>
    <hyperlink ref="E1477" r:id="rId930" xr:uid="{0EBF6961-FB1E-4633-8B18-30F7E5CAB77E}"/>
    <hyperlink ref="E16" r:id="rId931" xr:uid="{176916E2-4D0D-469A-8474-634FECDFF1C1}"/>
    <hyperlink ref="E1478" r:id="rId932" xr:uid="{3D4C04D2-6AE3-4D89-BBAE-06BF049D3432}"/>
    <hyperlink ref="E1479" r:id="rId933" xr:uid="{BC0CD3AA-1000-4097-9405-5E7509125D61}"/>
    <hyperlink ref="E1480" r:id="rId934" xr:uid="{10C7CB92-34C9-4C91-9F7D-38AC2632FB9C}"/>
    <hyperlink ref="E1481" r:id="rId935" xr:uid="{9A209131-91C2-47DA-9343-040EA37D9799}"/>
    <hyperlink ref="E1482" r:id="rId936" xr:uid="{40FADE62-3A79-4BDE-9241-35BE232C69D2}"/>
    <hyperlink ref="E1483" r:id="rId937" xr:uid="{B9E6DB63-D54B-417A-A882-555A30B502D0}"/>
    <hyperlink ref="E438" r:id="rId938" xr:uid="{813E3F76-595D-45E8-BF5F-1341D18FA4C1}"/>
    <hyperlink ref="E1484" r:id="rId939" xr:uid="{677DA3C6-679F-421F-8472-3FB85FD0234D}"/>
    <hyperlink ref="E1027" r:id="rId940" xr:uid="{F73646FA-036E-4988-AFC9-793AB9CE9724}"/>
    <hyperlink ref="E1487" r:id="rId941" xr:uid="{62C726DA-BDC6-4670-8FF5-95A0733B2A20}"/>
    <hyperlink ref="E1486" r:id="rId942" xr:uid="{1041E3A8-FE6D-4E72-8951-321E28C18EF9}"/>
    <hyperlink ref="E1485" r:id="rId943" xr:uid="{53D77B59-C94D-4875-8305-F65AD900C7FB}"/>
    <hyperlink ref="E1488" r:id="rId944" xr:uid="{6531EF04-810E-438B-BE68-CEBFE15F8671}"/>
    <hyperlink ref="E1489" r:id="rId945" xr:uid="{09B3B4C3-6DEB-4FB3-BD0C-FFDC11F2F1EF}"/>
    <hyperlink ref="E1490" r:id="rId946" xr:uid="{83D2FD83-ED47-4B2D-81F1-F540DAC08AF7}"/>
    <hyperlink ref="E1491" r:id="rId947" xr:uid="{EA7F8853-1BDF-4CDB-8A3A-6048E4FC5080}"/>
    <hyperlink ref="E1492" r:id="rId948" xr:uid="{102D5306-EE09-4B49-9ECD-6FAF02718947}"/>
    <hyperlink ref="E671" r:id="rId949" xr:uid="{43253D50-F540-4E17-ABDB-564C599908B6}"/>
    <hyperlink ref="E1493" r:id="rId950" xr:uid="{180A7930-9682-4F77-AE74-E4AFF42333B0}"/>
    <hyperlink ref="E1494" r:id="rId951" xr:uid="{0858361D-FB9C-414B-A428-CB73E4173EA7}"/>
    <hyperlink ref="E1495" r:id="rId952" xr:uid="{689C50E7-68F0-4B3A-86BB-F38B13326175}"/>
    <hyperlink ref="E1496" r:id="rId953" xr:uid="{717C2047-1B56-45C6-8068-2D3EDC2A6F2D}"/>
  </hyperlinks>
  <pageMargins left="0.7" right="0.7" top="0.75" bottom="0.75" header="0.511811023622047" footer="0.511811023622047"/>
  <pageSetup orientation="portrait" horizontalDpi="300" verticalDpi="300"/>
  <tableParts count="1">
    <tablePart r:id="rId9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3440</v>
      </c>
      <c r="D1" t="s">
        <v>3441</v>
      </c>
      <c r="E1" t="s">
        <v>3442</v>
      </c>
      <c r="F1" t="s">
        <v>3443</v>
      </c>
      <c r="G1" t="s">
        <v>3444</v>
      </c>
      <c r="H1" t="s">
        <v>3445</v>
      </c>
      <c r="I1" t="s">
        <v>3446</v>
      </c>
      <c r="J1" t="s">
        <v>3447</v>
      </c>
      <c r="K1" t="s">
        <v>3448</v>
      </c>
      <c r="L1" t="s">
        <v>3449</v>
      </c>
      <c r="M1" t="s">
        <v>3450</v>
      </c>
      <c r="N1" t="s">
        <v>3451</v>
      </c>
      <c r="O1" t="s">
        <v>3452</v>
      </c>
      <c r="P1" t="s">
        <v>8307</v>
      </c>
      <c r="Q1" t="s">
        <v>171</v>
      </c>
    </row>
    <row r="2" spans="1:17" x14ac:dyDescent="0.25">
      <c r="A2" t="s">
        <v>3454</v>
      </c>
      <c r="B2" t="s">
        <v>2804</v>
      </c>
      <c r="C2">
        <v>7</v>
      </c>
      <c r="D2">
        <v>3</v>
      </c>
      <c r="E2">
        <v>1</v>
      </c>
      <c r="F2">
        <v>0</v>
      </c>
      <c r="G2">
        <v>1</v>
      </c>
      <c r="H2">
        <v>0</v>
      </c>
      <c r="I2">
        <v>0</v>
      </c>
      <c r="J2">
        <v>0</v>
      </c>
      <c r="K2">
        <v>0</v>
      </c>
      <c r="L2">
        <v>0</v>
      </c>
      <c r="M2" t="s">
        <v>8296</v>
      </c>
      <c r="N2" t="s">
        <v>3455</v>
      </c>
      <c r="O2" t="s">
        <v>3456</v>
      </c>
      <c r="P2" t="s">
        <v>8314</v>
      </c>
      <c r="Q2" t="s">
        <v>3458</v>
      </c>
    </row>
    <row r="3" spans="1:17" x14ac:dyDescent="0.25">
      <c r="A3" t="s">
        <v>3459</v>
      </c>
      <c r="B3" t="s">
        <v>353</v>
      </c>
      <c r="C3">
        <v>7</v>
      </c>
      <c r="D3">
        <v>3</v>
      </c>
      <c r="E3">
        <v>0</v>
      </c>
      <c r="F3">
        <v>0</v>
      </c>
      <c r="G3">
        <v>0</v>
      </c>
      <c r="H3">
        <v>0</v>
      </c>
      <c r="I3">
        <v>0</v>
      </c>
      <c r="J3">
        <v>0</v>
      </c>
      <c r="K3">
        <v>0</v>
      </c>
      <c r="L3">
        <v>2</v>
      </c>
      <c r="M3" t="s">
        <v>8092</v>
      </c>
      <c r="N3" t="s">
        <v>7985</v>
      </c>
      <c r="O3" t="s">
        <v>3461</v>
      </c>
      <c r="P3" t="s">
        <v>8308</v>
      </c>
      <c r="Q3" t="s">
        <v>3462</v>
      </c>
    </row>
    <row r="4" spans="1:17" x14ac:dyDescent="0.25">
      <c r="A4" t="s">
        <v>3463</v>
      </c>
      <c r="B4" t="s">
        <v>90</v>
      </c>
      <c r="C4">
        <v>8</v>
      </c>
      <c r="D4">
        <v>3</v>
      </c>
      <c r="E4">
        <v>2</v>
      </c>
      <c r="F4">
        <v>0</v>
      </c>
      <c r="G4">
        <v>0</v>
      </c>
      <c r="H4">
        <v>0</v>
      </c>
      <c r="I4">
        <v>0</v>
      </c>
      <c r="J4">
        <v>0</v>
      </c>
      <c r="K4">
        <v>0</v>
      </c>
      <c r="L4">
        <v>0</v>
      </c>
      <c r="M4" t="s">
        <v>8075</v>
      </c>
      <c r="N4" t="s">
        <v>3464</v>
      </c>
      <c r="O4" t="s">
        <v>3465</v>
      </c>
      <c r="P4" t="s">
        <v>3466</v>
      </c>
      <c r="Q4" t="s">
        <v>3463</v>
      </c>
    </row>
    <row r="5" spans="1:17" x14ac:dyDescent="0.25">
      <c r="A5" t="s">
        <v>3467</v>
      </c>
      <c r="B5" t="s">
        <v>160</v>
      </c>
      <c r="C5">
        <v>6</v>
      </c>
      <c r="D5">
        <v>3</v>
      </c>
      <c r="E5">
        <v>0</v>
      </c>
      <c r="F5">
        <v>0</v>
      </c>
      <c r="G5">
        <v>0</v>
      </c>
      <c r="H5">
        <v>0</v>
      </c>
      <c r="I5">
        <v>0</v>
      </c>
      <c r="J5">
        <v>1</v>
      </c>
      <c r="K5">
        <v>0</v>
      </c>
      <c r="L5">
        <v>0</v>
      </c>
      <c r="M5" t="s">
        <v>8076</v>
      </c>
      <c r="N5" t="s">
        <v>3468</v>
      </c>
      <c r="O5" t="s">
        <v>3469</v>
      </c>
      <c r="P5" t="s">
        <v>3470</v>
      </c>
      <c r="Q5" t="s">
        <v>3467</v>
      </c>
    </row>
    <row r="6" spans="1:17" x14ac:dyDescent="0.25">
      <c r="A6" t="s">
        <v>3471</v>
      </c>
      <c r="B6" t="s">
        <v>2045</v>
      </c>
      <c r="C6">
        <v>7</v>
      </c>
      <c r="D6">
        <v>3</v>
      </c>
      <c r="E6">
        <v>0</v>
      </c>
      <c r="F6">
        <v>0</v>
      </c>
      <c r="G6">
        <v>2</v>
      </c>
      <c r="H6">
        <v>0</v>
      </c>
      <c r="I6">
        <v>0</v>
      </c>
      <c r="J6">
        <v>0</v>
      </c>
      <c r="K6">
        <v>0</v>
      </c>
      <c r="L6">
        <v>0</v>
      </c>
      <c r="M6" t="s">
        <v>8069</v>
      </c>
      <c r="N6" t="s">
        <v>3472</v>
      </c>
      <c r="O6" t="s">
        <v>3473</v>
      </c>
      <c r="P6" t="s">
        <v>3457</v>
      </c>
      <c r="Q6" t="s">
        <v>3471</v>
      </c>
    </row>
    <row r="7" spans="1:17" x14ac:dyDescent="0.25">
      <c r="A7" t="s">
        <v>3474</v>
      </c>
      <c r="B7" t="s">
        <v>1817</v>
      </c>
      <c r="C7">
        <v>7</v>
      </c>
      <c r="D7">
        <v>3</v>
      </c>
      <c r="E7">
        <v>0</v>
      </c>
      <c r="F7">
        <v>0</v>
      </c>
      <c r="G7">
        <v>0</v>
      </c>
      <c r="H7">
        <v>2</v>
      </c>
      <c r="I7">
        <v>0</v>
      </c>
      <c r="J7">
        <v>0</v>
      </c>
      <c r="K7">
        <v>0</v>
      </c>
      <c r="L7">
        <v>0</v>
      </c>
      <c r="M7" t="s">
        <v>8070</v>
      </c>
      <c r="N7" t="s">
        <v>3476</v>
      </c>
      <c r="O7" t="s">
        <v>3477</v>
      </c>
      <c r="P7" t="s">
        <v>8312</v>
      </c>
      <c r="Q7" t="s">
        <v>3474</v>
      </c>
    </row>
    <row r="8" spans="1:17" x14ac:dyDescent="0.25">
      <c r="A8" t="s">
        <v>3478</v>
      </c>
      <c r="B8" t="s">
        <v>2804</v>
      </c>
      <c r="C8">
        <v>7</v>
      </c>
      <c r="D8">
        <v>3</v>
      </c>
      <c r="E8">
        <v>0</v>
      </c>
      <c r="F8">
        <v>0</v>
      </c>
      <c r="G8">
        <v>2</v>
      </c>
      <c r="H8">
        <v>0</v>
      </c>
      <c r="I8">
        <v>0</v>
      </c>
      <c r="J8">
        <v>0</v>
      </c>
      <c r="K8">
        <v>0</v>
      </c>
      <c r="L8">
        <v>0</v>
      </c>
      <c r="M8" t="s">
        <v>8072</v>
      </c>
      <c r="N8" t="s">
        <v>3455</v>
      </c>
      <c r="O8" t="s">
        <v>3479</v>
      </c>
      <c r="P8" t="s">
        <v>3480</v>
      </c>
      <c r="Q8" t="s">
        <v>3481</v>
      </c>
    </row>
    <row r="9" spans="1:17" x14ac:dyDescent="0.25">
      <c r="A9" t="s">
        <v>3482</v>
      </c>
      <c r="B9" t="s">
        <v>38</v>
      </c>
      <c r="C9">
        <v>7</v>
      </c>
      <c r="D9">
        <v>3</v>
      </c>
      <c r="E9">
        <v>0</v>
      </c>
      <c r="F9">
        <v>0</v>
      </c>
      <c r="G9">
        <v>1</v>
      </c>
      <c r="H9">
        <v>1</v>
      </c>
      <c r="I9">
        <v>0</v>
      </c>
      <c r="J9">
        <v>0</v>
      </c>
      <c r="K9">
        <v>0</v>
      </c>
      <c r="L9">
        <v>0</v>
      </c>
      <c r="M9" t="s">
        <v>8074</v>
      </c>
      <c r="N9" t="s">
        <v>3464</v>
      </c>
      <c r="O9" t="s">
        <v>3483</v>
      </c>
      <c r="P9" t="s">
        <v>3457</v>
      </c>
      <c r="Q9" t="s">
        <v>3482</v>
      </c>
    </row>
    <row r="10" spans="1:17" x14ac:dyDescent="0.25">
      <c r="A10" t="s">
        <v>3484</v>
      </c>
      <c r="B10" t="s">
        <v>2154</v>
      </c>
      <c r="C10">
        <v>5</v>
      </c>
      <c r="D10">
        <v>3</v>
      </c>
      <c r="E10">
        <v>0</v>
      </c>
      <c r="F10">
        <v>0</v>
      </c>
      <c r="G10">
        <v>0</v>
      </c>
      <c r="H10">
        <v>0</v>
      </c>
      <c r="I10">
        <v>0</v>
      </c>
      <c r="J10">
        <v>0</v>
      </c>
      <c r="K10">
        <v>0</v>
      </c>
      <c r="L10">
        <v>2</v>
      </c>
      <c r="M10" t="s">
        <v>3485</v>
      </c>
      <c r="N10" t="s">
        <v>7483</v>
      </c>
      <c r="O10" t="s">
        <v>3486</v>
      </c>
      <c r="P10" t="s">
        <v>3457</v>
      </c>
      <c r="Q10" t="s">
        <v>3484</v>
      </c>
    </row>
    <row r="11" spans="1:17" x14ac:dyDescent="0.25">
      <c r="A11" t="s">
        <v>3487</v>
      </c>
      <c r="B11" t="s">
        <v>1294</v>
      </c>
      <c r="C11">
        <v>7</v>
      </c>
      <c r="D11">
        <v>3</v>
      </c>
      <c r="E11">
        <v>1</v>
      </c>
      <c r="F11">
        <v>1</v>
      </c>
      <c r="G11">
        <v>0</v>
      </c>
      <c r="H11">
        <v>0</v>
      </c>
      <c r="I11">
        <v>0</v>
      </c>
      <c r="J11">
        <v>0</v>
      </c>
      <c r="K11">
        <v>0</v>
      </c>
      <c r="L11">
        <v>0</v>
      </c>
      <c r="M11" t="s">
        <v>8071</v>
      </c>
      <c r="N11" t="s">
        <v>3488</v>
      </c>
      <c r="O11" t="s">
        <v>3489</v>
      </c>
      <c r="P11" t="s">
        <v>3457</v>
      </c>
      <c r="Q11" t="s">
        <v>3487</v>
      </c>
    </row>
    <row r="12" spans="1:17" x14ac:dyDescent="0.25">
      <c r="A12" t="s">
        <v>3490</v>
      </c>
      <c r="B12" t="s">
        <v>1322</v>
      </c>
      <c r="C12">
        <v>7</v>
      </c>
      <c r="D12">
        <v>3</v>
      </c>
      <c r="E12">
        <v>0</v>
      </c>
      <c r="F12">
        <v>1</v>
      </c>
      <c r="G12">
        <v>1</v>
      </c>
      <c r="H12">
        <v>0</v>
      </c>
      <c r="I12">
        <v>0</v>
      </c>
      <c r="J12">
        <v>0</v>
      </c>
      <c r="K12">
        <v>0</v>
      </c>
      <c r="L12">
        <v>0</v>
      </c>
      <c r="M12" t="s">
        <v>8091</v>
      </c>
      <c r="N12" t="s">
        <v>3492</v>
      </c>
      <c r="O12" t="s">
        <v>3493</v>
      </c>
      <c r="P12" t="s">
        <v>3457</v>
      </c>
      <c r="Q12" t="s">
        <v>3490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3494</v>
      </c>
      <c r="C1" t="s">
        <v>167</v>
      </c>
      <c r="D1" t="s">
        <v>3452</v>
      </c>
      <c r="E1" t="s">
        <v>3495</v>
      </c>
      <c r="F1" t="s">
        <v>3496</v>
      </c>
      <c r="G1" t="s">
        <v>3497</v>
      </c>
      <c r="H1" t="s">
        <v>3498</v>
      </c>
      <c r="I1" t="s">
        <v>171</v>
      </c>
      <c r="J1" t="s">
        <v>3499</v>
      </c>
    </row>
    <row r="2" spans="1:10" x14ac:dyDescent="0.25">
      <c r="A2" t="s">
        <v>3500</v>
      </c>
      <c r="B2" t="s">
        <v>3501</v>
      </c>
      <c r="C2" t="s">
        <v>3539</v>
      </c>
      <c r="D2" t="s">
        <v>3503</v>
      </c>
      <c r="E2" t="s">
        <v>3504</v>
      </c>
      <c r="F2" t="s">
        <v>497</v>
      </c>
      <c r="G2" t="s">
        <v>3505</v>
      </c>
      <c r="I2" t="s">
        <v>3506</v>
      </c>
      <c r="J2" t="s">
        <v>3440</v>
      </c>
    </row>
    <row r="3" spans="1:10" x14ac:dyDescent="0.25">
      <c r="A3" t="s">
        <v>3507</v>
      </c>
      <c r="B3" t="s">
        <v>41</v>
      </c>
      <c r="C3" t="s">
        <v>3508</v>
      </c>
      <c r="D3" t="s">
        <v>7466</v>
      </c>
      <c r="E3" t="s">
        <v>3509</v>
      </c>
      <c r="F3" t="s">
        <v>90</v>
      </c>
      <c r="G3" t="s">
        <v>3510</v>
      </c>
      <c r="I3" t="s">
        <v>3507</v>
      </c>
      <c r="J3" t="s">
        <v>3511</v>
      </c>
    </row>
    <row r="4" spans="1:10" x14ac:dyDescent="0.25">
      <c r="A4" t="s">
        <v>3512</v>
      </c>
      <c r="B4" t="s">
        <v>3513</v>
      </c>
      <c r="C4" t="s">
        <v>3514</v>
      </c>
      <c r="D4" t="s">
        <v>3515</v>
      </c>
      <c r="E4" t="s">
        <v>3516</v>
      </c>
      <c r="F4" t="s">
        <v>2933</v>
      </c>
      <c r="G4" t="s">
        <v>3517</v>
      </c>
      <c r="I4" t="s">
        <v>3518</v>
      </c>
      <c r="J4" t="s">
        <v>3519</v>
      </c>
    </row>
    <row r="5" spans="1:10" x14ac:dyDescent="0.25">
      <c r="A5" t="s">
        <v>3521</v>
      </c>
      <c r="B5" t="s">
        <v>3513</v>
      </c>
      <c r="C5" t="s">
        <v>3522</v>
      </c>
      <c r="D5" t="s">
        <v>3523</v>
      </c>
      <c r="E5" t="s">
        <v>3524</v>
      </c>
      <c r="F5" t="s">
        <v>1649</v>
      </c>
      <c r="G5" t="s">
        <v>3525</v>
      </c>
      <c r="I5" t="s">
        <v>3526</v>
      </c>
      <c r="J5" t="s">
        <v>3519</v>
      </c>
    </row>
    <row r="6" spans="1:10" x14ac:dyDescent="0.25">
      <c r="A6" t="s">
        <v>3527</v>
      </c>
      <c r="B6" t="s">
        <v>0</v>
      </c>
      <c r="C6" t="s">
        <v>3514</v>
      </c>
      <c r="D6" t="s">
        <v>3528</v>
      </c>
      <c r="E6" t="s">
        <v>3529</v>
      </c>
      <c r="F6" t="s">
        <v>160</v>
      </c>
      <c r="G6" t="s">
        <v>3530</v>
      </c>
      <c r="I6" t="s">
        <v>3531</v>
      </c>
      <c r="J6" t="s">
        <v>3440</v>
      </c>
    </row>
    <row r="7" spans="1:10" x14ac:dyDescent="0.25">
      <c r="A7" t="s">
        <v>3532</v>
      </c>
      <c r="B7" t="s">
        <v>3513</v>
      </c>
      <c r="C7" t="s">
        <v>3502</v>
      </c>
      <c r="D7" t="s">
        <v>3533</v>
      </c>
      <c r="E7" t="s">
        <v>3534</v>
      </c>
      <c r="F7" t="s">
        <v>2619</v>
      </c>
      <c r="G7" t="s">
        <v>3535</v>
      </c>
      <c r="I7" t="s">
        <v>3536</v>
      </c>
      <c r="J7" t="s">
        <v>3537</v>
      </c>
    </row>
    <row r="8" spans="1:10" x14ac:dyDescent="0.25">
      <c r="A8" t="s">
        <v>3538</v>
      </c>
      <c r="B8" t="s">
        <v>3501</v>
      </c>
      <c r="C8" t="s">
        <v>3539</v>
      </c>
      <c r="D8" t="s">
        <v>8323</v>
      </c>
      <c r="E8" t="s">
        <v>3540</v>
      </c>
      <c r="F8" t="s">
        <v>2619</v>
      </c>
      <c r="G8" t="s">
        <v>3541</v>
      </c>
      <c r="H8" t="s">
        <v>3542</v>
      </c>
      <c r="I8" t="s">
        <v>3543</v>
      </c>
      <c r="J8" t="s">
        <v>3544</v>
      </c>
    </row>
    <row r="9" spans="1:10" x14ac:dyDescent="0.25">
      <c r="A9" t="s">
        <v>3466</v>
      </c>
      <c r="B9" t="s">
        <v>3545</v>
      </c>
      <c r="C9" t="s">
        <v>3508</v>
      </c>
      <c r="D9" t="s">
        <v>3546</v>
      </c>
      <c r="E9" t="s">
        <v>3547</v>
      </c>
      <c r="F9" t="s">
        <v>90</v>
      </c>
      <c r="I9" t="s">
        <v>3548</v>
      </c>
      <c r="J9" t="s">
        <v>3440</v>
      </c>
    </row>
    <row r="10" spans="1:10" x14ac:dyDescent="0.25">
      <c r="A10" t="s">
        <v>3549</v>
      </c>
      <c r="B10" t="s">
        <v>41</v>
      </c>
      <c r="C10" t="s">
        <v>3550</v>
      </c>
      <c r="D10" t="s">
        <v>3551</v>
      </c>
      <c r="E10" t="s">
        <v>3552</v>
      </c>
      <c r="F10" t="s">
        <v>2619</v>
      </c>
      <c r="G10" t="s">
        <v>3553</v>
      </c>
      <c r="I10" t="s">
        <v>3554</v>
      </c>
      <c r="J10" t="s">
        <v>3555</v>
      </c>
    </row>
    <row r="11" spans="1:10" x14ac:dyDescent="0.25">
      <c r="A11" t="s">
        <v>3556</v>
      </c>
      <c r="B11" t="s">
        <v>3557</v>
      </c>
      <c r="C11" t="s">
        <v>3514</v>
      </c>
      <c r="D11" t="s">
        <v>3558</v>
      </c>
      <c r="E11" t="s">
        <v>3559</v>
      </c>
      <c r="F11" t="s">
        <v>90</v>
      </c>
      <c r="I11" t="s">
        <v>3560</v>
      </c>
      <c r="J11" t="s">
        <v>3561</v>
      </c>
    </row>
    <row r="12" spans="1:10" x14ac:dyDescent="0.25">
      <c r="A12" t="s">
        <v>7360</v>
      </c>
      <c r="B12" t="s">
        <v>3501</v>
      </c>
      <c r="C12" t="s">
        <v>3514</v>
      </c>
      <c r="D12" t="s">
        <v>7368</v>
      </c>
      <c r="E12" t="s">
        <v>7374</v>
      </c>
      <c r="F12" t="s">
        <v>90</v>
      </c>
      <c r="G12" t="s">
        <v>7361</v>
      </c>
      <c r="H12" t="s">
        <v>3668</v>
      </c>
      <c r="I12" t="s">
        <v>7360</v>
      </c>
      <c r="J12" t="s">
        <v>3587</v>
      </c>
    </row>
    <row r="13" spans="1:10" x14ac:dyDescent="0.25">
      <c r="A13" t="s">
        <v>7864</v>
      </c>
      <c r="B13" t="s">
        <v>3513</v>
      </c>
      <c r="C13" t="s">
        <v>3522</v>
      </c>
      <c r="D13" t="s">
        <v>8297</v>
      </c>
      <c r="E13" t="s">
        <v>8324</v>
      </c>
      <c r="F13" t="s">
        <v>2619</v>
      </c>
      <c r="G13" t="s">
        <v>4659</v>
      </c>
      <c r="H13" t="s">
        <v>3704</v>
      </c>
      <c r="I13" t="s">
        <v>7864</v>
      </c>
      <c r="J13" t="s">
        <v>3976</v>
      </c>
    </row>
    <row r="14" spans="1:10" x14ac:dyDescent="0.25">
      <c r="A14" t="s">
        <v>3562</v>
      </c>
      <c r="B14" t="s">
        <v>3513</v>
      </c>
      <c r="C14" t="s">
        <v>3563</v>
      </c>
      <c r="D14" t="s">
        <v>3564</v>
      </c>
      <c r="E14" t="s">
        <v>3565</v>
      </c>
      <c r="F14" t="s">
        <v>160</v>
      </c>
      <c r="G14" t="s">
        <v>3566</v>
      </c>
      <c r="I14" t="s">
        <v>3567</v>
      </c>
      <c r="J14" t="s">
        <v>3440</v>
      </c>
    </row>
    <row r="15" spans="1:10" x14ac:dyDescent="0.25">
      <c r="A15" t="s">
        <v>3568</v>
      </c>
      <c r="B15" t="s">
        <v>3513</v>
      </c>
      <c r="C15" t="s">
        <v>3522</v>
      </c>
      <c r="D15" t="s">
        <v>3569</v>
      </c>
      <c r="E15" t="s">
        <v>3570</v>
      </c>
      <c r="F15" t="s">
        <v>2804</v>
      </c>
      <c r="G15" t="s">
        <v>3571</v>
      </c>
      <c r="I15" t="s">
        <v>3568</v>
      </c>
      <c r="J15" t="s">
        <v>3519</v>
      </c>
    </row>
    <row r="16" spans="1:10" x14ac:dyDescent="0.25">
      <c r="A16" t="s">
        <v>3572</v>
      </c>
      <c r="B16" t="s">
        <v>3513</v>
      </c>
      <c r="C16" t="s">
        <v>3508</v>
      </c>
      <c r="D16" t="s">
        <v>3573</v>
      </c>
      <c r="E16" t="s">
        <v>3574</v>
      </c>
      <c r="F16" t="s">
        <v>2804</v>
      </c>
      <c r="G16" t="s">
        <v>3575</v>
      </c>
      <c r="I16" t="s">
        <v>3572</v>
      </c>
      <c r="J16" t="s">
        <v>3576</v>
      </c>
    </row>
    <row r="17" spans="1:10" x14ac:dyDescent="0.25">
      <c r="A17" t="s">
        <v>3577</v>
      </c>
      <c r="B17" t="s">
        <v>41</v>
      </c>
      <c r="C17" t="s">
        <v>3578</v>
      </c>
      <c r="D17" t="s">
        <v>3579</v>
      </c>
      <c r="E17" t="s">
        <v>3580</v>
      </c>
      <c r="F17" t="s">
        <v>2619</v>
      </c>
      <c r="G17" t="s">
        <v>315</v>
      </c>
      <c r="I17" t="s">
        <v>3577</v>
      </c>
      <c r="J17" t="s">
        <v>3581</v>
      </c>
    </row>
    <row r="18" spans="1:10" x14ac:dyDescent="0.25">
      <c r="A18" t="s">
        <v>3470</v>
      </c>
      <c r="B18" t="s">
        <v>3513</v>
      </c>
      <c r="C18" t="s">
        <v>3578</v>
      </c>
      <c r="D18" t="s">
        <v>3460</v>
      </c>
      <c r="E18" t="s">
        <v>3582</v>
      </c>
      <c r="F18" t="s">
        <v>160</v>
      </c>
      <c r="G18" t="s">
        <v>315</v>
      </c>
      <c r="I18" t="s">
        <v>3470</v>
      </c>
      <c r="J18" t="s">
        <v>3519</v>
      </c>
    </row>
    <row r="19" spans="1:10" x14ac:dyDescent="0.25">
      <c r="A19" t="s">
        <v>8178</v>
      </c>
      <c r="B19" t="s">
        <v>3513</v>
      </c>
      <c r="C19" t="s">
        <v>3578</v>
      </c>
      <c r="D19" t="s">
        <v>8179</v>
      </c>
      <c r="E19" t="s">
        <v>8185</v>
      </c>
      <c r="F19" t="s">
        <v>160</v>
      </c>
      <c r="I19" t="s">
        <v>8180</v>
      </c>
      <c r="J19" t="s">
        <v>3587</v>
      </c>
    </row>
    <row r="20" spans="1:10" x14ac:dyDescent="0.25">
      <c r="A20" t="s">
        <v>7824</v>
      </c>
      <c r="B20" t="s">
        <v>3501</v>
      </c>
      <c r="C20" t="s">
        <v>3508</v>
      </c>
      <c r="D20" t="s">
        <v>7827</v>
      </c>
      <c r="E20" t="s">
        <v>7832</v>
      </c>
      <c r="F20" t="s">
        <v>38</v>
      </c>
      <c r="G20" t="s">
        <v>3633</v>
      </c>
      <c r="H20" t="s">
        <v>3668</v>
      </c>
      <c r="I20" t="s">
        <v>7825</v>
      </c>
      <c r="J20" t="s">
        <v>3576</v>
      </c>
    </row>
    <row r="21" spans="1:10" x14ac:dyDescent="0.25">
      <c r="A21" t="s">
        <v>3583</v>
      </c>
      <c r="B21" t="s">
        <v>3501</v>
      </c>
      <c r="C21" t="s">
        <v>3522</v>
      </c>
      <c r="D21" t="s">
        <v>3584</v>
      </c>
      <c r="E21" t="s">
        <v>3585</v>
      </c>
      <c r="F21" t="s">
        <v>2619</v>
      </c>
      <c r="I21" t="s">
        <v>3586</v>
      </c>
      <c r="J21" t="s">
        <v>3587</v>
      </c>
    </row>
    <row r="22" spans="1:10" x14ac:dyDescent="0.25">
      <c r="A22" t="s">
        <v>7865</v>
      </c>
      <c r="B22" t="s">
        <v>3513</v>
      </c>
      <c r="C22" t="s">
        <v>3522</v>
      </c>
      <c r="D22" t="s">
        <v>7866</v>
      </c>
      <c r="E22" t="s">
        <v>7869</v>
      </c>
      <c r="F22" t="s">
        <v>2619</v>
      </c>
      <c r="G22" t="s">
        <v>7867</v>
      </c>
      <c r="I22" t="s">
        <v>7868</v>
      </c>
      <c r="J22" t="s">
        <v>3576</v>
      </c>
    </row>
    <row r="23" spans="1:10" x14ac:dyDescent="0.25">
      <c r="A23" t="s">
        <v>3588</v>
      </c>
      <c r="B23" t="s">
        <v>41</v>
      </c>
      <c r="C23" t="s">
        <v>3508</v>
      </c>
      <c r="D23" t="s">
        <v>3589</v>
      </c>
      <c r="E23" t="s">
        <v>3590</v>
      </c>
      <c r="F23" t="s">
        <v>1649</v>
      </c>
      <c r="G23" t="s">
        <v>3591</v>
      </c>
      <c r="I23" t="s">
        <v>3592</v>
      </c>
      <c r="J23" t="s">
        <v>3576</v>
      </c>
    </row>
    <row r="24" spans="1:10" x14ac:dyDescent="0.25">
      <c r="A24" t="s">
        <v>7838</v>
      </c>
      <c r="B24" t="s">
        <v>41</v>
      </c>
      <c r="C24" t="s">
        <v>3522</v>
      </c>
      <c r="D24" t="s">
        <v>7839</v>
      </c>
      <c r="E24" t="s">
        <v>7846</v>
      </c>
      <c r="F24" t="s">
        <v>2136</v>
      </c>
      <c r="G24" t="s">
        <v>3674</v>
      </c>
      <c r="I24" t="s">
        <v>7838</v>
      </c>
      <c r="J24" t="s">
        <v>3581</v>
      </c>
    </row>
    <row r="25" spans="1:10" x14ac:dyDescent="0.25">
      <c r="A25" t="s">
        <v>131</v>
      </c>
      <c r="B25" t="s">
        <v>0</v>
      </c>
      <c r="C25" t="s">
        <v>3522</v>
      </c>
      <c r="D25" t="s">
        <v>3593</v>
      </c>
      <c r="E25" t="s">
        <v>3594</v>
      </c>
      <c r="F25" t="s">
        <v>90</v>
      </c>
      <c r="G25" t="s">
        <v>3595</v>
      </c>
      <c r="I25" t="s">
        <v>132</v>
      </c>
      <c r="J25" t="s">
        <v>3576</v>
      </c>
    </row>
    <row r="26" spans="1:10" x14ac:dyDescent="0.25">
      <c r="A26" t="s">
        <v>3596</v>
      </c>
      <c r="B26" t="s">
        <v>41</v>
      </c>
      <c r="C26" t="s">
        <v>3514</v>
      </c>
      <c r="D26" t="s">
        <v>7842</v>
      </c>
      <c r="E26" t="s">
        <v>3597</v>
      </c>
      <c r="F26" t="s">
        <v>2804</v>
      </c>
      <c r="G26" t="s">
        <v>3598</v>
      </c>
      <c r="I26" t="s">
        <v>3599</v>
      </c>
      <c r="J26" t="s">
        <v>3440</v>
      </c>
    </row>
    <row r="27" spans="1:10" x14ac:dyDescent="0.25">
      <c r="A27" t="s">
        <v>3600</v>
      </c>
      <c r="B27" t="s">
        <v>3513</v>
      </c>
      <c r="C27" t="s">
        <v>3522</v>
      </c>
      <c r="D27" t="s">
        <v>7612</v>
      </c>
      <c r="E27" t="s">
        <v>3601</v>
      </c>
      <c r="F27" t="s">
        <v>2619</v>
      </c>
      <c r="G27" t="s">
        <v>3602</v>
      </c>
      <c r="I27" t="s">
        <v>3603</v>
      </c>
      <c r="J27" t="s">
        <v>3544</v>
      </c>
    </row>
    <row r="28" spans="1:10" x14ac:dyDescent="0.25">
      <c r="A28" t="s">
        <v>7840</v>
      </c>
      <c r="B28" t="s">
        <v>3513</v>
      </c>
      <c r="C28" t="s">
        <v>3508</v>
      </c>
      <c r="D28" t="s">
        <v>7841</v>
      </c>
      <c r="E28" t="s">
        <v>7847</v>
      </c>
      <c r="F28" t="s">
        <v>2136</v>
      </c>
      <c r="G28" t="s">
        <v>3530</v>
      </c>
      <c r="I28" t="s">
        <v>7840</v>
      </c>
      <c r="J28" t="s">
        <v>3440</v>
      </c>
    </row>
    <row r="29" spans="1:10" x14ac:dyDescent="0.25">
      <c r="A29" t="s">
        <v>3604</v>
      </c>
      <c r="B29" t="s">
        <v>0</v>
      </c>
      <c r="C29" t="s">
        <v>3605</v>
      </c>
      <c r="D29" t="s">
        <v>3606</v>
      </c>
      <c r="E29" t="s">
        <v>3607</v>
      </c>
      <c r="F29" t="s">
        <v>160</v>
      </c>
      <c r="G29" t="s">
        <v>3530</v>
      </c>
      <c r="I29" t="s">
        <v>3608</v>
      </c>
      <c r="J29" t="s">
        <v>3576</v>
      </c>
    </row>
    <row r="30" spans="1:10" x14ac:dyDescent="0.25">
      <c r="A30" t="s">
        <v>3609</v>
      </c>
      <c r="B30" t="s">
        <v>3513</v>
      </c>
      <c r="C30" t="s">
        <v>3522</v>
      </c>
      <c r="D30" t="s">
        <v>3610</v>
      </c>
      <c r="E30" t="s">
        <v>3611</v>
      </c>
      <c r="F30" t="s">
        <v>497</v>
      </c>
      <c r="G30" t="s">
        <v>3541</v>
      </c>
      <c r="I30" t="s">
        <v>3609</v>
      </c>
      <c r="J30" t="s">
        <v>3581</v>
      </c>
    </row>
    <row r="31" spans="1:10" x14ac:dyDescent="0.25">
      <c r="A31" t="s">
        <v>3612</v>
      </c>
      <c r="B31" t="s">
        <v>3557</v>
      </c>
      <c r="C31" t="s">
        <v>3522</v>
      </c>
      <c r="D31" t="s">
        <v>3613</v>
      </c>
      <c r="E31" t="s">
        <v>3614</v>
      </c>
      <c r="F31" t="s">
        <v>38</v>
      </c>
      <c r="G31" t="s">
        <v>3615</v>
      </c>
      <c r="I31" t="s">
        <v>3616</v>
      </c>
      <c r="J31" t="s">
        <v>3561</v>
      </c>
    </row>
    <row r="32" spans="1:10" x14ac:dyDescent="0.25">
      <c r="A32" t="s">
        <v>3617</v>
      </c>
      <c r="B32" t="s">
        <v>3513</v>
      </c>
      <c r="C32" t="s">
        <v>3550</v>
      </c>
      <c r="D32" t="s">
        <v>3618</v>
      </c>
      <c r="E32" t="s">
        <v>3619</v>
      </c>
      <c r="F32" t="s">
        <v>160</v>
      </c>
      <c r="G32" t="s">
        <v>3620</v>
      </c>
      <c r="I32" t="s">
        <v>3621</v>
      </c>
      <c r="J32" t="s">
        <v>3555</v>
      </c>
    </row>
    <row r="33" spans="1:10" x14ac:dyDescent="0.25">
      <c r="A33" t="s">
        <v>7826</v>
      </c>
      <c r="B33" t="s">
        <v>3513</v>
      </c>
      <c r="C33" t="s">
        <v>3508</v>
      </c>
      <c r="D33" t="s">
        <v>7828</v>
      </c>
      <c r="E33" t="s">
        <v>7833</v>
      </c>
      <c r="F33" t="s">
        <v>38</v>
      </c>
      <c r="G33" t="s">
        <v>3845</v>
      </c>
      <c r="I33" t="s">
        <v>7829</v>
      </c>
      <c r="J33" t="s">
        <v>3576</v>
      </c>
    </row>
    <row r="34" spans="1:10" x14ac:dyDescent="0.25">
      <c r="A34" t="s">
        <v>3622</v>
      </c>
      <c r="B34" t="s">
        <v>41</v>
      </c>
      <c r="C34" t="s">
        <v>3522</v>
      </c>
      <c r="D34" t="s">
        <v>3623</v>
      </c>
      <c r="E34" t="s">
        <v>3624</v>
      </c>
      <c r="F34" t="s">
        <v>1649</v>
      </c>
      <c r="G34" t="s">
        <v>3625</v>
      </c>
      <c r="I34" t="s">
        <v>3626</v>
      </c>
      <c r="J34" t="s">
        <v>3519</v>
      </c>
    </row>
    <row r="35" spans="1:10" x14ac:dyDescent="0.25">
      <c r="A35" t="s">
        <v>3627</v>
      </c>
      <c r="B35" t="s">
        <v>41</v>
      </c>
      <c r="C35" t="s">
        <v>3514</v>
      </c>
      <c r="D35" t="s">
        <v>3628</v>
      </c>
      <c r="E35" t="s">
        <v>3629</v>
      </c>
      <c r="F35" t="s">
        <v>160</v>
      </c>
      <c r="G35" t="s">
        <v>264</v>
      </c>
      <c r="I35" t="s">
        <v>3627</v>
      </c>
      <c r="J35" t="s">
        <v>3440</v>
      </c>
    </row>
    <row r="36" spans="1:10" x14ac:dyDescent="0.25">
      <c r="A36" t="s">
        <v>3630</v>
      </c>
      <c r="B36" t="s">
        <v>3501</v>
      </c>
      <c r="C36" t="s">
        <v>3514</v>
      </c>
      <c r="D36" t="s">
        <v>3631</v>
      </c>
      <c r="E36" t="s">
        <v>3632</v>
      </c>
      <c r="F36" t="s">
        <v>90</v>
      </c>
      <c r="G36" t="s">
        <v>3633</v>
      </c>
      <c r="I36" t="s">
        <v>3630</v>
      </c>
      <c r="J36" t="s">
        <v>3440</v>
      </c>
    </row>
    <row r="37" spans="1:10" x14ac:dyDescent="0.25">
      <c r="A37" t="s">
        <v>3634</v>
      </c>
      <c r="B37" t="s">
        <v>3513</v>
      </c>
      <c r="C37" t="s">
        <v>3508</v>
      </c>
      <c r="D37" t="s">
        <v>3635</v>
      </c>
      <c r="E37" t="s">
        <v>3636</v>
      </c>
      <c r="F37" t="s">
        <v>90</v>
      </c>
      <c r="G37" t="s">
        <v>3637</v>
      </c>
      <c r="I37" t="s">
        <v>3638</v>
      </c>
      <c r="J37" t="s">
        <v>3440</v>
      </c>
    </row>
    <row r="38" spans="1:10" x14ac:dyDescent="0.25">
      <c r="A38" t="s">
        <v>3639</v>
      </c>
      <c r="B38" t="s">
        <v>3513</v>
      </c>
      <c r="C38" t="s">
        <v>3522</v>
      </c>
      <c r="D38" t="s">
        <v>3640</v>
      </c>
      <c r="E38" t="s">
        <v>3641</v>
      </c>
      <c r="F38" t="s">
        <v>493</v>
      </c>
      <c r="G38" t="s">
        <v>3642</v>
      </c>
      <c r="I38" t="s">
        <v>3643</v>
      </c>
      <c r="J38" t="s">
        <v>3581</v>
      </c>
    </row>
    <row r="39" spans="1:10" x14ac:dyDescent="0.25">
      <c r="A39" t="s">
        <v>3644</v>
      </c>
      <c r="B39" t="s">
        <v>41</v>
      </c>
      <c r="C39" t="s">
        <v>3578</v>
      </c>
      <c r="D39" t="s">
        <v>3645</v>
      </c>
      <c r="E39" t="s">
        <v>3646</v>
      </c>
      <c r="F39" t="s">
        <v>160</v>
      </c>
      <c r="G39" t="s">
        <v>3647</v>
      </c>
      <c r="I39" t="s">
        <v>3648</v>
      </c>
      <c r="J39" t="s">
        <v>3587</v>
      </c>
    </row>
    <row r="40" spans="1:10" x14ac:dyDescent="0.25">
      <c r="A40" t="s">
        <v>3649</v>
      </c>
      <c r="B40" t="s">
        <v>41</v>
      </c>
      <c r="C40" t="s">
        <v>3514</v>
      </c>
      <c r="D40" t="s">
        <v>3650</v>
      </c>
      <c r="E40" t="s">
        <v>3651</v>
      </c>
      <c r="F40" t="s">
        <v>160</v>
      </c>
      <c r="G40" t="s">
        <v>3652</v>
      </c>
      <c r="I40" t="s">
        <v>3653</v>
      </c>
      <c r="J40" t="s">
        <v>3587</v>
      </c>
    </row>
    <row r="41" spans="1:10" x14ac:dyDescent="0.25">
      <c r="A41" t="s">
        <v>3654</v>
      </c>
      <c r="B41" t="s">
        <v>41</v>
      </c>
      <c r="C41" t="s">
        <v>3655</v>
      </c>
      <c r="D41" t="s">
        <v>3656</v>
      </c>
      <c r="E41" t="s">
        <v>3657</v>
      </c>
      <c r="F41" t="s">
        <v>90</v>
      </c>
      <c r="G41" t="s">
        <v>3658</v>
      </c>
      <c r="I41" t="s">
        <v>3659</v>
      </c>
      <c r="J41" t="s">
        <v>3519</v>
      </c>
    </row>
    <row r="42" spans="1:10" x14ac:dyDescent="0.25">
      <c r="A42" t="s">
        <v>4744</v>
      </c>
      <c r="B42" t="s">
        <v>3501</v>
      </c>
      <c r="C42" t="s">
        <v>3514</v>
      </c>
      <c r="D42" t="s">
        <v>7370</v>
      </c>
      <c r="E42" t="s">
        <v>7375</v>
      </c>
      <c r="F42" t="s">
        <v>90</v>
      </c>
      <c r="G42" t="s">
        <v>4652</v>
      </c>
      <c r="I42" t="s">
        <v>4747</v>
      </c>
      <c r="J42" t="s">
        <v>3576</v>
      </c>
    </row>
    <row r="43" spans="1:10" x14ac:dyDescent="0.25">
      <c r="A43" t="s">
        <v>3660</v>
      </c>
      <c r="B43" t="s">
        <v>3557</v>
      </c>
      <c r="C43" t="s">
        <v>3522</v>
      </c>
      <c r="D43" t="s">
        <v>3661</v>
      </c>
      <c r="E43" t="s">
        <v>3662</v>
      </c>
      <c r="F43" t="s">
        <v>90</v>
      </c>
      <c r="G43" t="s">
        <v>3658</v>
      </c>
      <c r="I43" t="s">
        <v>3663</v>
      </c>
      <c r="J43" t="s">
        <v>3581</v>
      </c>
    </row>
    <row r="44" spans="1:10" x14ac:dyDescent="0.25">
      <c r="A44" t="s">
        <v>3664</v>
      </c>
      <c r="B44" t="s">
        <v>3513</v>
      </c>
      <c r="C44" t="s">
        <v>3522</v>
      </c>
      <c r="D44" t="s">
        <v>3665</v>
      </c>
      <c r="E44" t="s">
        <v>3666</v>
      </c>
      <c r="F44" t="s">
        <v>2619</v>
      </c>
      <c r="G44" t="s">
        <v>3667</v>
      </c>
      <c r="H44" t="s">
        <v>3668</v>
      </c>
      <c r="I44" t="s">
        <v>3669</v>
      </c>
      <c r="J44" t="s">
        <v>3576</v>
      </c>
    </row>
    <row r="45" spans="1:10" x14ac:dyDescent="0.25">
      <c r="A45" t="s">
        <v>3480</v>
      </c>
      <c r="B45" t="s">
        <v>3513</v>
      </c>
      <c r="C45" t="s">
        <v>3508</v>
      </c>
      <c r="D45" t="s">
        <v>3546</v>
      </c>
      <c r="E45" t="s">
        <v>3547</v>
      </c>
      <c r="F45" t="s">
        <v>2804</v>
      </c>
      <c r="G45" t="s">
        <v>3598</v>
      </c>
      <c r="I45" t="s">
        <v>3480</v>
      </c>
      <c r="J45" t="s">
        <v>3440</v>
      </c>
    </row>
    <row r="46" spans="1:10" x14ac:dyDescent="0.25">
      <c r="A46" t="s">
        <v>3670</v>
      </c>
      <c r="B46" t="s">
        <v>41</v>
      </c>
      <c r="C46" t="s">
        <v>3671</v>
      </c>
      <c r="D46" t="s">
        <v>3672</v>
      </c>
      <c r="E46" t="s">
        <v>3673</v>
      </c>
      <c r="F46" t="s">
        <v>2619</v>
      </c>
      <c r="G46" t="s">
        <v>3674</v>
      </c>
      <c r="H46" t="s">
        <v>3668</v>
      </c>
      <c r="I46" t="s">
        <v>3675</v>
      </c>
      <c r="J46" t="s">
        <v>3581</v>
      </c>
    </row>
    <row r="47" spans="1:10" x14ac:dyDescent="0.25">
      <c r="A47" t="s">
        <v>7843</v>
      </c>
      <c r="B47" t="s">
        <v>3501</v>
      </c>
      <c r="C47" t="s">
        <v>3522</v>
      </c>
      <c r="D47" t="s">
        <v>7844</v>
      </c>
      <c r="E47" t="s">
        <v>7848</v>
      </c>
      <c r="F47" t="s">
        <v>2136</v>
      </c>
      <c r="I47" t="s">
        <v>7845</v>
      </c>
      <c r="J47" t="s">
        <v>3440</v>
      </c>
    </row>
    <row r="48" spans="1:10" x14ac:dyDescent="0.25">
      <c r="A48" t="s">
        <v>7362</v>
      </c>
      <c r="B48" t="s">
        <v>3513</v>
      </c>
      <c r="C48" t="s">
        <v>3508</v>
      </c>
      <c r="D48" t="s">
        <v>7363</v>
      </c>
      <c r="E48" t="s">
        <v>7376</v>
      </c>
      <c r="F48" t="s">
        <v>38</v>
      </c>
      <c r="I48" t="s">
        <v>7364</v>
      </c>
      <c r="J48" t="s">
        <v>3555</v>
      </c>
    </row>
    <row r="49" spans="1:10" x14ac:dyDescent="0.25">
      <c r="A49" t="s">
        <v>7371</v>
      </c>
      <c r="B49" t="s">
        <v>3513</v>
      </c>
      <c r="C49" t="s">
        <v>3508</v>
      </c>
      <c r="D49" t="s">
        <v>7373</v>
      </c>
      <c r="E49" t="s">
        <v>7377</v>
      </c>
      <c r="F49" t="s">
        <v>38</v>
      </c>
      <c r="I49" t="s">
        <v>7372</v>
      </c>
      <c r="J49" t="s">
        <v>3976</v>
      </c>
    </row>
    <row r="50" spans="1:10" x14ac:dyDescent="0.25">
      <c r="A50" t="s">
        <v>3680</v>
      </c>
      <c r="B50" t="s">
        <v>3557</v>
      </c>
      <c r="C50" t="s">
        <v>3522</v>
      </c>
      <c r="D50" t="s">
        <v>3681</v>
      </c>
      <c r="E50" t="s">
        <v>3682</v>
      </c>
      <c r="F50" t="s">
        <v>90</v>
      </c>
      <c r="I50" t="s">
        <v>3683</v>
      </c>
      <c r="J50" t="s">
        <v>3581</v>
      </c>
    </row>
    <row r="51" spans="1:10" x14ac:dyDescent="0.25">
      <c r="A51" t="s">
        <v>3684</v>
      </c>
      <c r="B51" t="s">
        <v>3557</v>
      </c>
      <c r="C51" t="s">
        <v>3522</v>
      </c>
      <c r="D51" t="s">
        <v>3685</v>
      </c>
      <c r="E51" t="s">
        <v>3686</v>
      </c>
      <c r="F51" t="s">
        <v>90</v>
      </c>
      <c r="G51" t="s">
        <v>3687</v>
      </c>
      <c r="I51" t="s">
        <v>3688</v>
      </c>
      <c r="J51" t="s">
        <v>3561</v>
      </c>
    </row>
    <row r="52" spans="1:10" x14ac:dyDescent="0.25">
      <c r="A52" t="s">
        <v>3689</v>
      </c>
      <c r="B52" t="s">
        <v>3513</v>
      </c>
      <c r="C52" t="s">
        <v>3508</v>
      </c>
      <c r="D52" t="s">
        <v>3690</v>
      </c>
      <c r="E52" t="s">
        <v>3691</v>
      </c>
      <c r="F52" t="s">
        <v>497</v>
      </c>
      <c r="G52" t="s">
        <v>3692</v>
      </c>
      <c r="I52" t="s">
        <v>3689</v>
      </c>
      <c r="J52" t="s">
        <v>3519</v>
      </c>
    </row>
    <row r="53" spans="1:10" x14ac:dyDescent="0.25">
      <c r="A53" t="s">
        <v>3693</v>
      </c>
      <c r="B53" t="s">
        <v>3501</v>
      </c>
      <c r="C53" t="s">
        <v>3578</v>
      </c>
      <c r="D53" t="s">
        <v>3694</v>
      </c>
      <c r="E53" t="s">
        <v>3695</v>
      </c>
      <c r="F53" t="s">
        <v>1649</v>
      </c>
      <c r="G53" t="s">
        <v>3696</v>
      </c>
      <c r="I53" t="s">
        <v>3697</v>
      </c>
      <c r="J53" t="s">
        <v>3581</v>
      </c>
    </row>
    <row r="54" spans="1:10" x14ac:dyDescent="0.25">
      <c r="A54" t="s">
        <v>3698</v>
      </c>
      <c r="B54" t="s">
        <v>3513</v>
      </c>
      <c r="C54" t="s">
        <v>3502</v>
      </c>
      <c r="D54" t="s">
        <v>7613</v>
      </c>
      <c r="E54" t="s">
        <v>7636</v>
      </c>
      <c r="F54" t="s">
        <v>2619</v>
      </c>
      <c r="G54" t="s">
        <v>3699</v>
      </c>
      <c r="I54" t="s">
        <v>3700</v>
      </c>
      <c r="J54" t="s">
        <v>3537</v>
      </c>
    </row>
    <row r="55" spans="1:10" x14ac:dyDescent="0.25">
      <c r="A55" t="s">
        <v>3701</v>
      </c>
      <c r="B55" t="s">
        <v>3513</v>
      </c>
      <c r="C55" t="s">
        <v>3514</v>
      </c>
      <c r="D55" t="s">
        <v>3702</v>
      </c>
      <c r="E55" t="s">
        <v>3703</v>
      </c>
      <c r="F55" t="s">
        <v>160</v>
      </c>
      <c r="G55" t="s">
        <v>3687</v>
      </c>
      <c r="H55" t="s">
        <v>3704</v>
      </c>
      <c r="I55" t="s">
        <v>3701</v>
      </c>
      <c r="J55" t="s">
        <v>3705</v>
      </c>
    </row>
    <row r="56" spans="1:10" x14ac:dyDescent="0.25">
      <c r="A56" t="s">
        <v>3706</v>
      </c>
      <c r="B56" t="s">
        <v>3513</v>
      </c>
      <c r="C56" t="s">
        <v>3539</v>
      </c>
      <c r="D56" t="s">
        <v>3707</v>
      </c>
      <c r="E56" t="s">
        <v>3708</v>
      </c>
      <c r="F56" t="s">
        <v>160</v>
      </c>
      <c r="G56" t="s">
        <v>3709</v>
      </c>
      <c r="H56" t="s">
        <v>3542</v>
      </c>
      <c r="I56" t="s">
        <v>3710</v>
      </c>
      <c r="J56" t="s">
        <v>3519</v>
      </c>
    </row>
    <row r="57" spans="1:10" x14ac:dyDescent="0.25">
      <c r="A57" t="s">
        <v>3711</v>
      </c>
      <c r="B57" t="s">
        <v>3513</v>
      </c>
      <c r="C57" t="s">
        <v>3522</v>
      </c>
      <c r="D57" t="s">
        <v>3712</v>
      </c>
      <c r="E57" t="s">
        <v>3713</v>
      </c>
      <c r="F57" t="s">
        <v>2619</v>
      </c>
      <c r="H57" t="s">
        <v>3668</v>
      </c>
      <c r="I57" t="s">
        <v>3714</v>
      </c>
      <c r="J57" t="s">
        <v>3519</v>
      </c>
    </row>
    <row r="58" spans="1:10" x14ac:dyDescent="0.25">
      <c r="A58" t="s">
        <v>3715</v>
      </c>
      <c r="B58" t="s">
        <v>3513</v>
      </c>
      <c r="C58" t="s">
        <v>3508</v>
      </c>
      <c r="D58" t="s">
        <v>3716</v>
      </c>
      <c r="E58" t="s">
        <v>3717</v>
      </c>
      <c r="F58" t="s">
        <v>553</v>
      </c>
      <c r="G58" t="s">
        <v>3718</v>
      </c>
      <c r="I58" t="s">
        <v>3719</v>
      </c>
      <c r="J58" t="s">
        <v>3576</v>
      </c>
    </row>
    <row r="59" spans="1:10" x14ac:dyDescent="0.25">
      <c r="A59" t="s">
        <v>3720</v>
      </c>
      <c r="B59" t="s">
        <v>41</v>
      </c>
      <c r="C59" t="s">
        <v>3655</v>
      </c>
      <c r="D59" t="s">
        <v>3721</v>
      </c>
      <c r="E59" t="s">
        <v>3722</v>
      </c>
      <c r="F59" t="s">
        <v>90</v>
      </c>
      <c r="I59" t="s">
        <v>3720</v>
      </c>
      <c r="J59" t="s">
        <v>3519</v>
      </c>
    </row>
    <row r="60" spans="1:10" x14ac:dyDescent="0.25">
      <c r="A60" t="s">
        <v>7365</v>
      </c>
      <c r="B60" t="s">
        <v>3513</v>
      </c>
      <c r="C60" t="s">
        <v>3522</v>
      </c>
      <c r="D60" t="s">
        <v>7367</v>
      </c>
      <c r="E60" t="s">
        <v>7378</v>
      </c>
      <c r="F60" t="s">
        <v>90</v>
      </c>
      <c r="G60" t="s">
        <v>7369</v>
      </c>
      <c r="I60" t="s">
        <v>7366</v>
      </c>
      <c r="J60" t="s">
        <v>3587</v>
      </c>
    </row>
    <row r="61" spans="1:10" x14ac:dyDescent="0.25">
      <c r="A61" t="s">
        <v>3728</v>
      </c>
      <c r="B61" t="s">
        <v>41</v>
      </c>
      <c r="C61" t="s">
        <v>3671</v>
      </c>
      <c r="D61" t="s">
        <v>3729</v>
      </c>
      <c r="E61" t="s">
        <v>3730</v>
      </c>
      <c r="F61" t="s">
        <v>2619</v>
      </c>
      <c r="G61" t="s">
        <v>3731</v>
      </c>
      <c r="I61" t="s">
        <v>3732</v>
      </c>
      <c r="J61" t="s">
        <v>3576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3733</v>
      </c>
      <c r="D1" t="s">
        <v>3734</v>
      </c>
      <c r="E1" t="s">
        <v>1</v>
      </c>
      <c r="F1" t="s">
        <v>3440</v>
      </c>
      <c r="G1" t="s">
        <v>3735</v>
      </c>
      <c r="H1" t="s">
        <v>3736</v>
      </c>
      <c r="I1" t="s">
        <v>3737</v>
      </c>
      <c r="J1" t="s">
        <v>3738</v>
      </c>
      <c r="K1" t="s">
        <v>171</v>
      </c>
      <c r="L1" t="s">
        <v>3739</v>
      </c>
      <c r="M1" t="s">
        <v>8061</v>
      </c>
      <c r="N1" t="s">
        <v>8038</v>
      </c>
    </row>
    <row r="2" spans="1:14" x14ac:dyDescent="0.25">
      <c r="A2" t="s">
        <v>3740</v>
      </c>
      <c r="B2" t="s">
        <v>176</v>
      </c>
      <c r="C2" t="s">
        <v>3741</v>
      </c>
      <c r="D2" t="s">
        <v>3742</v>
      </c>
      <c r="E2" t="s">
        <v>160</v>
      </c>
      <c r="F2">
        <v>1</v>
      </c>
      <c r="G2">
        <v>1</v>
      </c>
      <c r="H2" t="s">
        <v>3743</v>
      </c>
      <c r="I2" t="s">
        <v>8065</v>
      </c>
      <c r="J2" t="s">
        <v>3457</v>
      </c>
      <c r="K2" t="s">
        <v>3744</v>
      </c>
      <c r="L2" t="s">
        <v>3745</v>
      </c>
      <c r="M2" t="s">
        <v>8062</v>
      </c>
      <c r="N2" t="s">
        <v>4323</v>
      </c>
    </row>
    <row r="3" spans="1:14" x14ac:dyDescent="0.25">
      <c r="A3" t="s">
        <v>3746</v>
      </c>
      <c r="B3" t="s">
        <v>176</v>
      </c>
      <c r="C3" t="s">
        <v>3741</v>
      </c>
      <c r="D3" t="s">
        <v>3742</v>
      </c>
      <c r="E3" t="s">
        <v>497</v>
      </c>
      <c r="F3">
        <v>1</v>
      </c>
      <c r="G3">
        <v>1</v>
      </c>
      <c r="H3" t="s">
        <v>3743</v>
      </c>
      <c r="I3" t="s">
        <v>3747</v>
      </c>
      <c r="J3" t="s">
        <v>3457</v>
      </c>
      <c r="K3" t="s">
        <v>3748</v>
      </c>
      <c r="L3" t="s">
        <v>3505</v>
      </c>
      <c r="M3" t="s">
        <v>8062</v>
      </c>
    </row>
    <row r="4" spans="1:14" x14ac:dyDescent="0.25">
      <c r="A4" t="s">
        <v>7878</v>
      </c>
      <c r="B4" t="s">
        <v>176</v>
      </c>
      <c r="C4" t="s">
        <v>3741</v>
      </c>
      <c r="D4" t="s">
        <v>3742</v>
      </c>
      <c r="E4" t="s">
        <v>1046</v>
      </c>
      <c r="F4">
        <v>1</v>
      </c>
      <c r="G4">
        <v>1</v>
      </c>
      <c r="H4" t="s">
        <v>3750</v>
      </c>
      <c r="I4" t="s">
        <v>7879</v>
      </c>
      <c r="J4" t="s">
        <v>3457</v>
      </c>
      <c r="K4" t="s">
        <v>7878</v>
      </c>
      <c r="L4" t="s">
        <v>7881</v>
      </c>
      <c r="M4" t="s">
        <v>8062</v>
      </c>
    </row>
    <row r="5" spans="1:14" x14ac:dyDescent="0.25">
      <c r="A5" t="s">
        <v>7355</v>
      </c>
      <c r="B5" t="s">
        <v>176</v>
      </c>
      <c r="C5" t="s">
        <v>3741</v>
      </c>
      <c r="D5" t="s">
        <v>3742</v>
      </c>
      <c r="E5" t="s">
        <v>2173</v>
      </c>
      <c r="F5">
        <v>1</v>
      </c>
      <c r="G5">
        <v>1</v>
      </c>
      <c r="H5" t="s">
        <v>3750</v>
      </c>
      <c r="I5" t="s">
        <v>7356</v>
      </c>
      <c r="J5" t="s">
        <v>3457</v>
      </c>
      <c r="K5" t="s">
        <v>7355</v>
      </c>
      <c r="L5" t="s">
        <v>7357</v>
      </c>
      <c r="M5" t="s">
        <v>8062</v>
      </c>
    </row>
    <row r="6" spans="1:14" x14ac:dyDescent="0.25">
      <c r="A6" t="s">
        <v>3749</v>
      </c>
      <c r="B6" t="s">
        <v>176</v>
      </c>
      <c r="C6" t="s">
        <v>3741</v>
      </c>
      <c r="D6" t="s">
        <v>3742</v>
      </c>
      <c r="E6" t="s">
        <v>2619</v>
      </c>
      <c r="F6">
        <v>1</v>
      </c>
      <c r="G6">
        <v>1</v>
      </c>
      <c r="H6" t="s">
        <v>3750</v>
      </c>
      <c r="I6" t="s">
        <v>3751</v>
      </c>
      <c r="J6" t="s">
        <v>7444</v>
      </c>
      <c r="K6" t="s">
        <v>3752</v>
      </c>
      <c r="L6" t="s">
        <v>3674</v>
      </c>
      <c r="M6" t="s">
        <v>8062</v>
      </c>
    </row>
    <row r="7" spans="1:14" x14ac:dyDescent="0.25">
      <c r="A7" t="s">
        <v>3753</v>
      </c>
      <c r="B7" t="s">
        <v>176</v>
      </c>
      <c r="C7" t="s">
        <v>3741</v>
      </c>
      <c r="D7" t="s">
        <v>3742</v>
      </c>
      <c r="E7" t="s">
        <v>1046</v>
      </c>
      <c r="F7">
        <v>1</v>
      </c>
      <c r="G7">
        <v>1</v>
      </c>
      <c r="H7" t="s">
        <v>3754</v>
      </c>
      <c r="I7" t="s">
        <v>8058</v>
      </c>
      <c r="J7" t="s">
        <v>3457</v>
      </c>
      <c r="K7" t="s">
        <v>3755</v>
      </c>
      <c r="L7" t="s">
        <v>7880</v>
      </c>
      <c r="M7" t="s">
        <v>8062</v>
      </c>
    </row>
    <row r="8" spans="1:14" x14ac:dyDescent="0.25">
      <c r="A8" t="s">
        <v>3756</v>
      </c>
      <c r="B8" t="s">
        <v>176</v>
      </c>
      <c r="C8" t="s">
        <v>3741</v>
      </c>
      <c r="D8" t="s">
        <v>3742</v>
      </c>
      <c r="E8" t="s">
        <v>1752</v>
      </c>
      <c r="F8">
        <v>1</v>
      </c>
      <c r="G8">
        <v>1</v>
      </c>
      <c r="H8" t="s">
        <v>3750</v>
      </c>
      <c r="I8" t="s">
        <v>3757</v>
      </c>
      <c r="J8" t="s">
        <v>3457</v>
      </c>
      <c r="K8" t="s">
        <v>3758</v>
      </c>
      <c r="M8" t="s">
        <v>8062</v>
      </c>
    </row>
    <row r="9" spans="1:14" x14ac:dyDescent="0.25">
      <c r="A9" t="s">
        <v>3759</v>
      </c>
      <c r="B9" t="s">
        <v>176</v>
      </c>
      <c r="C9" t="s">
        <v>3741</v>
      </c>
      <c r="D9" t="s">
        <v>3742</v>
      </c>
      <c r="E9" t="s">
        <v>1294</v>
      </c>
      <c r="F9">
        <v>1</v>
      </c>
      <c r="G9">
        <v>1</v>
      </c>
      <c r="H9" t="s">
        <v>3743</v>
      </c>
      <c r="I9" t="s">
        <v>3760</v>
      </c>
      <c r="J9" t="s">
        <v>3457</v>
      </c>
      <c r="K9" t="s">
        <v>3759</v>
      </c>
      <c r="L9" t="s">
        <v>3761</v>
      </c>
      <c r="M9" t="s">
        <v>8062</v>
      </c>
    </row>
    <row r="10" spans="1:14" x14ac:dyDescent="0.25">
      <c r="A10" t="s">
        <v>5081</v>
      </c>
      <c r="B10" t="s">
        <v>176</v>
      </c>
      <c r="C10" t="s">
        <v>3741</v>
      </c>
      <c r="D10" t="s">
        <v>3742</v>
      </c>
      <c r="E10" t="s">
        <v>160</v>
      </c>
      <c r="F10">
        <v>1</v>
      </c>
      <c r="G10">
        <v>1</v>
      </c>
      <c r="H10" t="s">
        <v>3743</v>
      </c>
      <c r="I10" t="s">
        <v>7984</v>
      </c>
      <c r="J10" t="s">
        <v>3457</v>
      </c>
      <c r="K10" t="s">
        <v>5081</v>
      </c>
      <c r="M10" t="s">
        <v>8062</v>
      </c>
    </row>
    <row r="11" spans="1:14" x14ac:dyDescent="0.25">
      <c r="A11" t="s">
        <v>3762</v>
      </c>
      <c r="B11" t="s">
        <v>176</v>
      </c>
      <c r="C11" t="s">
        <v>3741</v>
      </c>
      <c r="D11" t="s">
        <v>3742</v>
      </c>
      <c r="E11" t="s">
        <v>2619</v>
      </c>
      <c r="F11">
        <v>1</v>
      </c>
      <c r="G11">
        <v>1</v>
      </c>
      <c r="H11" t="s">
        <v>3750</v>
      </c>
      <c r="I11" t="s">
        <v>3763</v>
      </c>
      <c r="J11" t="s">
        <v>7450</v>
      </c>
      <c r="K11" t="s">
        <v>3764</v>
      </c>
      <c r="M11" t="s">
        <v>8062</v>
      </c>
    </row>
    <row r="12" spans="1:14" x14ac:dyDescent="0.25">
      <c r="A12" t="s">
        <v>3765</v>
      </c>
      <c r="B12" t="s">
        <v>176</v>
      </c>
      <c r="C12" t="s">
        <v>3741</v>
      </c>
      <c r="D12" t="s">
        <v>3742</v>
      </c>
      <c r="E12" t="s">
        <v>360</v>
      </c>
      <c r="F12">
        <v>1</v>
      </c>
      <c r="G12">
        <v>1</v>
      </c>
      <c r="H12" t="s">
        <v>3743</v>
      </c>
      <c r="I12" t="s">
        <v>3766</v>
      </c>
      <c r="J12" t="s">
        <v>3457</v>
      </c>
      <c r="K12" t="s">
        <v>3767</v>
      </c>
      <c r="L12" t="s">
        <v>3761</v>
      </c>
      <c r="M12" t="s">
        <v>8062</v>
      </c>
    </row>
    <row r="13" spans="1:14" x14ac:dyDescent="0.25">
      <c r="A13" t="s">
        <v>3768</v>
      </c>
      <c r="B13" t="s">
        <v>176</v>
      </c>
      <c r="C13" t="s">
        <v>3741</v>
      </c>
      <c r="D13" t="s">
        <v>3742</v>
      </c>
      <c r="E13" t="s">
        <v>160</v>
      </c>
      <c r="F13">
        <v>1</v>
      </c>
      <c r="G13">
        <v>1</v>
      </c>
      <c r="H13" t="s">
        <v>3743</v>
      </c>
      <c r="I13" t="s">
        <v>8067</v>
      </c>
      <c r="J13" t="s">
        <v>3457</v>
      </c>
      <c r="K13" t="s">
        <v>3768</v>
      </c>
      <c r="L13" t="s">
        <v>3769</v>
      </c>
      <c r="M13" t="s">
        <v>8062</v>
      </c>
      <c r="N13" t="s">
        <v>4323</v>
      </c>
    </row>
    <row r="14" spans="1:14" x14ac:dyDescent="0.25">
      <c r="A14" t="s">
        <v>3770</v>
      </c>
      <c r="B14" t="s">
        <v>176</v>
      </c>
      <c r="C14" t="s">
        <v>3741</v>
      </c>
      <c r="D14" t="s">
        <v>3742</v>
      </c>
      <c r="E14" t="s">
        <v>2132</v>
      </c>
      <c r="F14">
        <v>1</v>
      </c>
      <c r="G14">
        <v>1</v>
      </c>
      <c r="H14" t="s">
        <v>3743</v>
      </c>
      <c r="I14" t="s">
        <v>3771</v>
      </c>
      <c r="J14" t="s">
        <v>3457</v>
      </c>
      <c r="K14" t="s">
        <v>3770</v>
      </c>
      <c r="L14" t="s">
        <v>3674</v>
      </c>
      <c r="M14" t="s">
        <v>8062</v>
      </c>
    </row>
    <row r="15" spans="1:14" x14ac:dyDescent="0.25">
      <c r="A15" t="s">
        <v>3772</v>
      </c>
      <c r="B15" t="s">
        <v>176</v>
      </c>
      <c r="C15" t="s">
        <v>3741</v>
      </c>
      <c r="D15" t="s">
        <v>3742</v>
      </c>
      <c r="E15" t="s">
        <v>1294</v>
      </c>
      <c r="F15">
        <v>1</v>
      </c>
      <c r="G15">
        <v>1</v>
      </c>
      <c r="H15" t="s">
        <v>3750</v>
      </c>
      <c r="I15" t="s">
        <v>3773</v>
      </c>
      <c r="J15" t="s">
        <v>3457</v>
      </c>
      <c r="K15" t="s">
        <v>3772</v>
      </c>
      <c r="L15" t="s">
        <v>458</v>
      </c>
      <c r="M15" t="s">
        <v>8062</v>
      </c>
    </row>
    <row r="16" spans="1:14" x14ac:dyDescent="0.25">
      <c r="A16" t="s">
        <v>3774</v>
      </c>
      <c r="B16" t="s">
        <v>176</v>
      </c>
      <c r="C16" t="s">
        <v>3775</v>
      </c>
      <c r="D16" t="s">
        <v>3742</v>
      </c>
      <c r="E16" t="s">
        <v>2619</v>
      </c>
      <c r="F16">
        <v>1</v>
      </c>
      <c r="G16">
        <v>2</v>
      </c>
      <c r="H16" t="s">
        <v>3743</v>
      </c>
      <c r="I16" t="s">
        <v>8064</v>
      </c>
      <c r="J16" t="s">
        <v>7436</v>
      </c>
      <c r="K16" t="s">
        <v>3774</v>
      </c>
      <c r="L16" t="s">
        <v>3761</v>
      </c>
      <c r="M16" t="s">
        <v>8062</v>
      </c>
      <c r="N16" t="s">
        <v>4329</v>
      </c>
    </row>
    <row r="17" spans="1:14" x14ac:dyDescent="0.25">
      <c r="A17" t="s">
        <v>3776</v>
      </c>
      <c r="B17" t="s">
        <v>176</v>
      </c>
      <c r="C17" t="s">
        <v>3775</v>
      </c>
      <c r="D17" t="s">
        <v>3742</v>
      </c>
      <c r="E17" t="s">
        <v>2132</v>
      </c>
      <c r="F17">
        <v>1</v>
      </c>
      <c r="G17">
        <v>2</v>
      </c>
      <c r="H17" t="s">
        <v>3743</v>
      </c>
      <c r="I17" t="s">
        <v>3777</v>
      </c>
      <c r="J17" t="s">
        <v>3457</v>
      </c>
      <c r="K17" t="s">
        <v>3776</v>
      </c>
      <c r="L17" t="s">
        <v>3505</v>
      </c>
      <c r="M17" t="s">
        <v>8062</v>
      </c>
    </row>
    <row r="18" spans="1:14" x14ac:dyDescent="0.25">
      <c r="A18" t="s">
        <v>3778</v>
      </c>
      <c r="B18" t="s">
        <v>176</v>
      </c>
      <c r="C18" t="s">
        <v>3775</v>
      </c>
      <c r="D18" t="s">
        <v>3742</v>
      </c>
      <c r="E18" t="s">
        <v>2619</v>
      </c>
      <c r="F18">
        <v>1</v>
      </c>
      <c r="G18">
        <v>2</v>
      </c>
      <c r="H18" t="s">
        <v>3750</v>
      </c>
      <c r="I18" t="s">
        <v>3779</v>
      </c>
      <c r="J18" t="s">
        <v>3457</v>
      </c>
      <c r="K18" t="s">
        <v>3780</v>
      </c>
      <c r="L18" t="s">
        <v>3781</v>
      </c>
      <c r="M18" t="s">
        <v>8062</v>
      </c>
    </row>
    <row r="19" spans="1:14" x14ac:dyDescent="0.25">
      <c r="A19" t="s">
        <v>3782</v>
      </c>
      <c r="B19" t="s">
        <v>176</v>
      </c>
      <c r="C19" t="s">
        <v>3775</v>
      </c>
      <c r="D19" t="s">
        <v>3742</v>
      </c>
      <c r="E19" t="s">
        <v>160</v>
      </c>
      <c r="F19">
        <v>1</v>
      </c>
      <c r="G19">
        <v>2</v>
      </c>
      <c r="H19" t="s">
        <v>3743</v>
      </c>
      <c r="I19" t="s">
        <v>3783</v>
      </c>
      <c r="J19" t="s">
        <v>7454</v>
      </c>
      <c r="K19" t="s">
        <v>3784</v>
      </c>
      <c r="L19" t="s">
        <v>3674</v>
      </c>
      <c r="M19" t="s">
        <v>8062</v>
      </c>
    </row>
    <row r="20" spans="1:14" x14ac:dyDescent="0.25">
      <c r="A20" t="s">
        <v>7884</v>
      </c>
      <c r="B20" t="s">
        <v>176</v>
      </c>
      <c r="C20" t="s">
        <v>3775</v>
      </c>
      <c r="D20" t="s">
        <v>3742</v>
      </c>
      <c r="E20" t="s">
        <v>1046</v>
      </c>
      <c r="F20">
        <v>1</v>
      </c>
      <c r="G20">
        <v>2</v>
      </c>
      <c r="H20" t="s">
        <v>3750</v>
      </c>
      <c r="I20" t="s">
        <v>7885</v>
      </c>
      <c r="J20" t="s">
        <v>3457</v>
      </c>
      <c r="K20" t="s">
        <v>7884</v>
      </c>
      <c r="L20" t="s">
        <v>3806</v>
      </c>
      <c r="M20" t="s">
        <v>8062</v>
      </c>
    </row>
    <row r="21" spans="1:14" x14ac:dyDescent="0.25">
      <c r="A21" t="s">
        <v>7882</v>
      </c>
      <c r="B21" t="s">
        <v>176</v>
      </c>
      <c r="C21" t="s">
        <v>3775</v>
      </c>
      <c r="D21" t="s">
        <v>3742</v>
      </c>
      <c r="E21" t="s">
        <v>1046</v>
      </c>
      <c r="F21">
        <v>1</v>
      </c>
      <c r="G21">
        <v>2</v>
      </c>
      <c r="H21" t="s">
        <v>3750</v>
      </c>
      <c r="I21" t="s">
        <v>8088</v>
      </c>
      <c r="J21" t="s">
        <v>3457</v>
      </c>
      <c r="K21" t="s">
        <v>7883</v>
      </c>
      <c r="L21" t="s">
        <v>7881</v>
      </c>
      <c r="M21" t="s">
        <v>8062</v>
      </c>
      <c r="N21" t="s">
        <v>4321</v>
      </c>
    </row>
    <row r="22" spans="1:14" x14ac:dyDescent="0.25">
      <c r="A22" t="s">
        <v>3785</v>
      </c>
      <c r="B22" t="s">
        <v>176</v>
      </c>
      <c r="C22" t="s">
        <v>3775</v>
      </c>
      <c r="D22" t="s">
        <v>3786</v>
      </c>
      <c r="E22" t="s">
        <v>360</v>
      </c>
      <c r="F22">
        <v>1</v>
      </c>
      <c r="G22">
        <v>2</v>
      </c>
      <c r="H22" t="s">
        <v>3743</v>
      </c>
      <c r="I22" t="s">
        <v>8056</v>
      </c>
      <c r="J22" t="s">
        <v>3457</v>
      </c>
      <c r="K22" t="s">
        <v>3787</v>
      </c>
      <c r="L22" t="s">
        <v>3761</v>
      </c>
      <c r="M22" t="s">
        <v>8062</v>
      </c>
      <c r="N22" t="s">
        <v>4321</v>
      </c>
    </row>
    <row r="23" spans="1:14" x14ac:dyDescent="0.25">
      <c r="A23" t="s">
        <v>3788</v>
      </c>
      <c r="B23" t="s">
        <v>176</v>
      </c>
      <c r="C23" t="s">
        <v>3789</v>
      </c>
      <c r="D23" t="s">
        <v>3742</v>
      </c>
      <c r="E23" t="s">
        <v>2619</v>
      </c>
      <c r="F23">
        <v>1</v>
      </c>
      <c r="G23">
        <v>3</v>
      </c>
      <c r="H23" t="s">
        <v>3750</v>
      </c>
      <c r="I23" t="s">
        <v>7433</v>
      </c>
      <c r="J23" t="s">
        <v>7435</v>
      </c>
      <c r="K23" t="s">
        <v>3788</v>
      </c>
      <c r="M23" t="s">
        <v>8062</v>
      </c>
    </row>
    <row r="24" spans="1:14" x14ac:dyDescent="0.25">
      <c r="A24" t="s">
        <v>3790</v>
      </c>
      <c r="B24" t="s">
        <v>176</v>
      </c>
      <c r="C24" t="s">
        <v>3789</v>
      </c>
      <c r="D24" t="s">
        <v>3791</v>
      </c>
      <c r="E24" t="s">
        <v>1294</v>
      </c>
      <c r="F24">
        <v>1</v>
      </c>
      <c r="G24">
        <v>3</v>
      </c>
      <c r="H24" t="s">
        <v>3743</v>
      </c>
      <c r="I24" t="s">
        <v>3792</v>
      </c>
      <c r="J24" t="s">
        <v>3457</v>
      </c>
      <c r="K24" t="s">
        <v>3793</v>
      </c>
      <c r="L24" t="s">
        <v>3794</v>
      </c>
      <c r="M24" t="s">
        <v>8062</v>
      </c>
    </row>
    <row r="25" spans="1:14" x14ac:dyDescent="0.25">
      <c r="A25" t="s">
        <v>3795</v>
      </c>
      <c r="B25" t="s">
        <v>176</v>
      </c>
      <c r="C25" t="s">
        <v>3789</v>
      </c>
      <c r="D25" t="s">
        <v>3742</v>
      </c>
      <c r="E25" t="s">
        <v>1294</v>
      </c>
      <c r="F25">
        <v>1</v>
      </c>
      <c r="G25">
        <v>3</v>
      </c>
      <c r="H25" t="s">
        <v>3750</v>
      </c>
      <c r="I25" t="s">
        <v>3796</v>
      </c>
      <c r="J25" t="s">
        <v>7427</v>
      </c>
      <c r="K25" t="s">
        <v>3797</v>
      </c>
      <c r="M25" t="s">
        <v>8062</v>
      </c>
    </row>
    <row r="26" spans="1:14" x14ac:dyDescent="0.25">
      <c r="A26" t="s">
        <v>3798</v>
      </c>
      <c r="B26" t="s">
        <v>176</v>
      </c>
      <c r="C26" t="s">
        <v>3789</v>
      </c>
      <c r="D26" t="s">
        <v>3799</v>
      </c>
      <c r="E26" t="s">
        <v>360</v>
      </c>
      <c r="F26">
        <v>1</v>
      </c>
      <c r="G26">
        <v>3</v>
      </c>
      <c r="H26" t="s">
        <v>3743</v>
      </c>
      <c r="I26" t="s">
        <v>8057</v>
      </c>
      <c r="J26" t="s">
        <v>3457</v>
      </c>
      <c r="K26" t="s">
        <v>3800</v>
      </c>
      <c r="L26" t="s">
        <v>3761</v>
      </c>
      <c r="M26" t="s">
        <v>8062</v>
      </c>
      <c r="N26" t="s">
        <v>4323</v>
      </c>
    </row>
    <row r="27" spans="1:14" x14ac:dyDescent="0.25">
      <c r="A27" t="s">
        <v>3801</v>
      </c>
      <c r="B27" t="s">
        <v>182</v>
      </c>
      <c r="C27" t="s">
        <v>3741</v>
      </c>
      <c r="D27" t="s">
        <v>3742</v>
      </c>
      <c r="E27" t="s">
        <v>90</v>
      </c>
      <c r="F27">
        <v>1</v>
      </c>
      <c r="G27">
        <v>1</v>
      </c>
      <c r="H27" t="s">
        <v>3750</v>
      </c>
      <c r="I27" t="s">
        <v>3802</v>
      </c>
      <c r="J27" t="s">
        <v>5261</v>
      </c>
      <c r="K27" t="s">
        <v>3801</v>
      </c>
      <c r="M27" t="s">
        <v>8062</v>
      </c>
    </row>
    <row r="28" spans="1:14" x14ac:dyDescent="0.25">
      <c r="A28" t="s">
        <v>3803</v>
      </c>
      <c r="B28" t="s">
        <v>182</v>
      </c>
      <c r="C28" t="s">
        <v>3741</v>
      </c>
      <c r="D28" t="s">
        <v>3742</v>
      </c>
      <c r="E28" t="s">
        <v>90</v>
      </c>
      <c r="F28">
        <v>1</v>
      </c>
      <c r="G28">
        <v>1</v>
      </c>
      <c r="H28" t="s">
        <v>3750</v>
      </c>
      <c r="I28" t="s">
        <v>3804</v>
      </c>
      <c r="J28" t="s">
        <v>3457</v>
      </c>
      <c r="K28" t="s">
        <v>3805</v>
      </c>
      <c r="L28" t="s">
        <v>3806</v>
      </c>
      <c r="M28" t="s">
        <v>8062</v>
      </c>
    </row>
    <row r="29" spans="1:14" x14ac:dyDescent="0.25">
      <c r="A29" t="s">
        <v>3807</v>
      </c>
      <c r="B29" t="s">
        <v>182</v>
      </c>
      <c r="C29" t="s">
        <v>3741</v>
      </c>
      <c r="D29" t="s">
        <v>3742</v>
      </c>
      <c r="E29" t="s">
        <v>960</v>
      </c>
      <c r="F29">
        <v>1</v>
      </c>
      <c r="G29">
        <v>1</v>
      </c>
      <c r="H29" t="s">
        <v>3750</v>
      </c>
      <c r="I29" t="s">
        <v>3808</v>
      </c>
      <c r="J29" t="s">
        <v>3457</v>
      </c>
      <c r="K29" t="s">
        <v>3809</v>
      </c>
      <c r="L29" t="s">
        <v>3810</v>
      </c>
      <c r="M29" t="s">
        <v>8062</v>
      </c>
    </row>
    <row r="30" spans="1:14" x14ac:dyDescent="0.25">
      <c r="A30" t="s">
        <v>3811</v>
      </c>
      <c r="B30" t="s">
        <v>182</v>
      </c>
      <c r="C30" t="s">
        <v>3741</v>
      </c>
      <c r="D30" t="s">
        <v>3742</v>
      </c>
      <c r="E30" t="s">
        <v>960</v>
      </c>
      <c r="F30">
        <v>1</v>
      </c>
      <c r="G30">
        <v>1</v>
      </c>
      <c r="H30" t="s">
        <v>3750</v>
      </c>
      <c r="I30" t="s">
        <v>3812</v>
      </c>
      <c r="J30" t="s">
        <v>7453</v>
      </c>
      <c r="K30" t="s">
        <v>3813</v>
      </c>
      <c r="L30" t="s">
        <v>3814</v>
      </c>
      <c r="M30" t="s">
        <v>8062</v>
      </c>
    </row>
    <row r="31" spans="1:14" x14ac:dyDescent="0.25">
      <c r="A31" t="s">
        <v>3815</v>
      </c>
      <c r="B31" t="s">
        <v>182</v>
      </c>
      <c r="C31" t="s">
        <v>3741</v>
      </c>
      <c r="D31" t="s">
        <v>3742</v>
      </c>
      <c r="E31" t="s">
        <v>38</v>
      </c>
      <c r="F31">
        <v>1</v>
      </c>
      <c r="G31">
        <v>1</v>
      </c>
      <c r="H31" t="s">
        <v>3750</v>
      </c>
      <c r="I31" t="s">
        <v>3816</v>
      </c>
      <c r="J31" t="s">
        <v>3457</v>
      </c>
      <c r="K31" t="s">
        <v>3817</v>
      </c>
      <c r="L31" t="s">
        <v>3818</v>
      </c>
      <c r="M31" t="s">
        <v>8062</v>
      </c>
    </row>
    <row r="32" spans="1:14" x14ac:dyDescent="0.25">
      <c r="A32" t="s">
        <v>3819</v>
      </c>
      <c r="B32" t="s">
        <v>182</v>
      </c>
      <c r="C32" t="s">
        <v>3741</v>
      </c>
      <c r="D32" t="s">
        <v>3742</v>
      </c>
      <c r="E32" t="s">
        <v>38</v>
      </c>
      <c r="F32">
        <v>1</v>
      </c>
      <c r="G32">
        <v>1</v>
      </c>
      <c r="H32" t="s">
        <v>3750</v>
      </c>
      <c r="I32" t="s">
        <v>3820</v>
      </c>
      <c r="J32" t="s">
        <v>3457</v>
      </c>
      <c r="K32" t="s">
        <v>3821</v>
      </c>
      <c r="L32" t="s">
        <v>3822</v>
      </c>
      <c r="M32" t="s">
        <v>8062</v>
      </c>
    </row>
    <row r="33" spans="1:14" x14ac:dyDescent="0.25">
      <c r="A33" t="s">
        <v>3823</v>
      </c>
      <c r="B33" t="s">
        <v>182</v>
      </c>
      <c r="C33" t="s">
        <v>3741</v>
      </c>
      <c r="D33" t="s">
        <v>3791</v>
      </c>
      <c r="E33" t="s">
        <v>90</v>
      </c>
      <c r="F33">
        <v>1</v>
      </c>
      <c r="G33">
        <v>1</v>
      </c>
      <c r="H33" t="s">
        <v>3743</v>
      </c>
      <c r="I33" t="s">
        <v>3824</v>
      </c>
      <c r="J33" t="s">
        <v>7426</v>
      </c>
      <c r="K33" t="s">
        <v>3825</v>
      </c>
      <c r="L33" t="s">
        <v>3826</v>
      </c>
      <c r="M33" t="s">
        <v>8062</v>
      </c>
    </row>
    <row r="34" spans="1:14" x14ac:dyDescent="0.25">
      <c r="A34" t="s">
        <v>3827</v>
      </c>
      <c r="B34" t="s">
        <v>182</v>
      </c>
      <c r="C34" t="s">
        <v>3775</v>
      </c>
      <c r="D34" t="s">
        <v>3742</v>
      </c>
      <c r="E34" t="s">
        <v>90</v>
      </c>
      <c r="F34">
        <v>1</v>
      </c>
      <c r="G34">
        <v>2</v>
      </c>
      <c r="H34" t="s">
        <v>3743</v>
      </c>
      <c r="I34" t="s">
        <v>3828</v>
      </c>
      <c r="J34" t="s">
        <v>3457</v>
      </c>
      <c r="K34" t="s">
        <v>3829</v>
      </c>
      <c r="M34" t="s">
        <v>8062</v>
      </c>
    </row>
    <row r="35" spans="1:14" x14ac:dyDescent="0.25">
      <c r="A35" t="s">
        <v>3830</v>
      </c>
      <c r="B35" t="s">
        <v>182</v>
      </c>
      <c r="C35" t="s">
        <v>3775</v>
      </c>
      <c r="D35" t="s">
        <v>3742</v>
      </c>
      <c r="E35" t="s">
        <v>90</v>
      </c>
      <c r="F35">
        <v>1</v>
      </c>
      <c r="G35">
        <v>2</v>
      </c>
      <c r="H35" t="s">
        <v>3831</v>
      </c>
      <c r="I35" t="s">
        <v>8092</v>
      </c>
      <c r="J35" t="s">
        <v>3457</v>
      </c>
      <c r="K35" t="s">
        <v>3830</v>
      </c>
      <c r="M35" t="s">
        <v>8063</v>
      </c>
    </row>
    <row r="36" spans="1:14" x14ac:dyDescent="0.25">
      <c r="A36" t="s">
        <v>3832</v>
      </c>
      <c r="B36" t="s">
        <v>182</v>
      </c>
      <c r="C36" t="s">
        <v>3775</v>
      </c>
      <c r="D36" t="s">
        <v>3742</v>
      </c>
      <c r="E36" t="s">
        <v>38</v>
      </c>
      <c r="F36">
        <v>1</v>
      </c>
      <c r="G36">
        <v>2</v>
      </c>
      <c r="H36" t="s">
        <v>3750</v>
      </c>
      <c r="I36" t="s">
        <v>3833</v>
      </c>
      <c r="J36" t="s">
        <v>7463</v>
      </c>
      <c r="K36" t="s">
        <v>3834</v>
      </c>
      <c r="M36" t="s">
        <v>8062</v>
      </c>
    </row>
    <row r="37" spans="1:14" x14ac:dyDescent="0.25">
      <c r="A37" t="s">
        <v>3835</v>
      </c>
      <c r="B37" t="s">
        <v>182</v>
      </c>
      <c r="C37" t="s">
        <v>3789</v>
      </c>
      <c r="D37" t="s">
        <v>3742</v>
      </c>
      <c r="E37" t="s">
        <v>90</v>
      </c>
      <c r="F37">
        <v>1</v>
      </c>
      <c r="G37">
        <v>3</v>
      </c>
      <c r="H37" t="s">
        <v>3831</v>
      </c>
      <c r="I37" t="s">
        <v>8081</v>
      </c>
      <c r="J37" t="s">
        <v>7409</v>
      </c>
      <c r="K37" t="s">
        <v>3835</v>
      </c>
      <c r="M37" t="s">
        <v>8063</v>
      </c>
    </row>
    <row r="38" spans="1:14" x14ac:dyDescent="0.25">
      <c r="A38" t="s">
        <v>3836</v>
      </c>
      <c r="B38" t="s">
        <v>182</v>
      </c>
      <c r="C38" t="s">
        <v>3789</v>
      </c>
      <c r="D38" t="s">
        <v>3791</v>
      </c>
      <c r="E38" t="s">
        <v>90</v>
      </c>
      <c r="F38">
        <v>1</v>
      </c>
      <c r="G38">
        <v>3</v>
      </c>
      <c r="H38" t="s">
        <v>3837</v>
      </c>
      <c r="I38" t="s">
        <v>3838</v>
      </c>
      <c r="J38" t="s">
        <v>7421</v>
      </c>
      <c r="K38" t="s">
        <v>3836</v>
      </c>
      <c r="M38" t="s">
        <v>8062</v>
      </c>
    </row>
    <row r="39" spans="1:14" x14ac:dyDescent="0.25">
      <c r="A39" t="s">
        <v>3839</v>
      </c>
      <c r="B39" t="s">
        <v>222</v>
      </c>
      <c r="C39" t="s">
        <v>3741</v>
      </c>
      <c r="D39" t="s">
        <v>3742</v>
      </c>
      <c r="E39" t="s">
        <v>1649</v>
      </c>
      <c r="F39">
        <v>1</v>
      </c>
      <c r="G39">
        <v>1</v>
      </c>
      <c r="H39" t="s">
        <v>3743</v>
      </c>
      <c r="I39" t="s">
        <v>3840</v>
      </c>
      <c r="J39" t="s">
        <v>7437</v>
      </c>
      <c r="K39" t="s">
        <v>3839</v>
      </c>
      <c r="M39" t="s">
        <v>8062</v>
      </c>
    </row>
    <row r="40" spans="1:14" x14ac:dyDescent="0.25">
      <c r="A40" t="s">
        <v>7699</v>
      </c>
      <c r="B40" t="s">
        <v>222</v>
      </c>
      <c r="C40" t="s">
        <v>3741</v>
      </c>
      <c r="D40" t="s">
        <v>3742</v>
      </c>
      <c r="E40" t="s">
        <v>1649</v>
      </c>
      <c r="F40">
        <v>1</v>
      </c>
      <c r="G40">
        <v>1</v>
      </c>
      <c r="H40" t="s">
        <v>3750</v>
      </c>
      <c r="I40" t="s">
        <v>7700</v>
      </c>
      <c r="J40" t="s">
        <v>3457</v>
      </c>
      <c r="K40" t="s">
        <v>7701</v>
      </c>
      <c r="L40" t="s">
        <v>7702</v>
      </c>
      <c r="M40" t="s">
        <v>8062</v>
      </c>
    </row>
    <row r="41" spans="1:14" x14ac:dyDescent="0.25">
      <c r="A41" t="s">
        <v>3841</v>
      </c>
      <c r="B41" t="s">
        <v>222</v>
      </c>
      <c r="C41" t="s">
        <v>3741</v>
      </c>
      <c r="D41" t="s">
        <v>3742</v>
      </c>
      <c r="E41" t="s">
        <v>1201</v>
      </c>
      <c r="F41">
        <v>1</v>
      </c>
      <c r="G41">
        <v>1</v>
      </c>
      <c r="H41" t="s">
        <v>3743</v>
      </c>
      <c r="I41" t="s">
        <v>8066</v>
      </c>
      <c r="J41" t="s">
        <v>3457</v>
      </c>
      <c r="K41" t="s">
        <v>3841</v>
      </c>
      <c r="L41" t="s">
        <v>3842</v>
      </c>
      <c r="M41" t="s">
        <v>8062</v>
      </c>
      <c r="N41" t="s">
        <v>4323</v>
      </c>
    </row>
    <row r="42" spans="1:14" x14ac:dyDescent="0.25">
      <c r="A42" t="s">
        <v>7438</v>
      </c>
      <c r="B42" t="s">
        <v>222</v>
      </c>
      <c r="C42" t="s">
        <v>3741</v>
      </c>
      <c r="D42" t="s">
        <v>3742</v>
      </c>
      <c r="E42" t="s">
        <v>1649</v>
      </c>
      <c r="F42">
        <v>1</v>
      </c>
      <c r="G42">
        <v>1</v>
      </c>
      <c r="H42" t="s">
        <v>3743</v>
      </c>
      <c r="I42" t="s">
        <v>7439</v>
      </c>
      <c r="J42" t="s">
        <v>3457</v>
      </c>
      <c r="K42" t="s">
        <v>7438</v>
      </c>
      <c r="L42" t="s">
        <v>7440</v>
      </c>
      <c r="M42" t="s">
        <v>8062</v>
      </c>
    </row>
    <row r="43" spans="1:14" x14ac:dyDescent="0.25">
      <c r="A43" t="s">
        <v>3843</v>
      </c>
      <c r="B43" t="s">
        <v>222</v>
      </c>
      <c r="C43" t="s">
        <v>3741</v>
      </c>
      <c r="D43" t="s">
        <v>3742</v>
      </c>
      <c r="E43" t="s">
        <v>501</v>
      </c>
      <c r="F43">
        <v>1</v>
      </c>
      <c r="G43">
        <v>1</v>
      </c>
      <c r="H43" t="s">
        <v>3754</v>
      </c>
      <c r="I43" t="s">
        <v>3844</v>
      </c>
      <c r="J43" t="s">
        <v>3457</v>
      </c>
      <c r="K43" t="s">
        <v>3843</v>
      </c>
      <c r="L43" t="s">
        <v>3845</v>
      </c>
      <c r="M43" t="s">
        <v>8062</v>
      </c>
    </row>
    <row r="44" spans="1:14" x14ac:dyDescent="0.25">
      <c r="A44" t="s">
        <v>7688</v>
      </c>
      <c r="B44" t="s">
        <v>222</v>
      </c>
      <c r="C44" t="s">
        <v>3775</v>
      </c>
      <c r="D44" t="s">
        <v>3742</v>
      </c>
      <c r="E44" t="s">
        <v>1649</v>
      </c>
      <c r="F44">
        <v>1</v>
      </c>
      <c r="G44">
        <v>2</v>
      </c>
      <c r="H44" t="s">
        <v>3743</v>
      </c>
      <c r="I44" t="s">
        <v>7689</v>
      </c>
      <c r="J44" t="s">
        <v>3457</v>
      </c>
      <c r="K44" t="s">
        <v>7690</v>
      </c>
      <c r="L44" t="s">
        <v>7691</v>
      </c>
      <c r="M44" t="s">
        <v>8062</v>
      </c>
    </row>
    <row r="45" spans="1:14" x14ac:dyDescent="0.25">
      <c r="A45" t="s">
        <v>7979</v>
      </c>
      <c r="B45" t="s">
        <v>222</v>
      </c>
      <c r="C45" t="s">
        <v>3775</v>
      </c>
      <c r="D45" t="s">
        <v>3742</v>
      </c>
      <c r="E45" t="s">
        <v>1649</v>
      </c>
      <c r="F45">
        <v>1</v>
      </c>
      <c r="G45">
        <v>2</v>
      </c>
      <c r="H45" t="s">
        <v>3837</v>
      </c>
      <c r="I45" t="s">
        <v>7980</v>
      </c>
      <c r="J45" t="s">
        <v>7983</v>
      </c>
      <c r="K45" t="s">
        <v>7982</v>
      </c>
      <c r="M45" t="s">
        <v>8062</v>
      </c>
    </row>
    <row r="46" spans="1:14" x14ac:dyDescent="0.25">
      <c r="A46" t="s">
        <v>7968</v>
      </c>
      <c r="B46" t="s">
        <v>222</v>
      </c>
      <c r="C46" t="s">
        <v>3775</v>
      </c>
      <c r="D46" t="s">
        <v>3742</v>
      </c>
      <c r="E46" t="s">
        <v>1649</v>
      </c>
      <c r="F46">
        <v>1</v>
      </c>
      <c r="G46">
        <v>2</v>
      </c>
      <c r="H46" t="s">
        <v>3754</v>
      </c>
      <c r="I46" t="s">
        <v>7969</v>
      </c>
      <c r="J46" t="s">
        <v>3457</v>
      </c>
      <c r="K46" t="s">
        <v>7968</v>
      </c>
      <c r="L46" t="s">
        <v>7981</v>
      </c>
      <c r="M46" t="s">
        <v>8062</v>
      </c>
    </row>
    <row r="47" spans="1:14" x14ac:dyDescent="0.25">
      <c r="A47" t="s">
        <v>3846</v>
      </c>
      <c r="B47" t="s">
        <v>222</v>
      </c>
      <c r="C47" t="s">
        <v>3775</v>
      </c>
      <c r="D47" t="s">
        <v>3742</v>
      </c>
      <c r="E47" t="s">
        <v>1649</v>
      </c>
      <c r="F47">
        <v>1</v>
      </c>
      <c r="G47">
        <v>2</v>
      </c>
      <c r="H47" t="s">
        <v>3750</v>
      </c>
      <c r="I47" t="s">
        <v>3847</v>
      </c>
      <c r="J47" t="s">
        <v>7408</v>
      </c>
      <c r="K47" t="s">
        <v>3846</v>
      </c>
      <c r="M47" t="s">
        <v>8062</v>
      </c>
    </row>
    <row r="48" spans="1:14" x14ac:dyDescent="0.25">
      <c r="A48" t="s">
        <v>3848</v>
      </c>
      <c r="B48" t="s">
        <v>222</v>
      </c>
      <c r="C48" t="s">
        <v>3775</v>
      </c>
      <c r="D48" t="s">
        <v>3742</v>
      </c>
      <c r="E48" t="s">
        <v>1649</v>
      </c>
      <c r="F48">
        <v>1</v>
      </c>
      <c r="G48">
        <v>2</v>
      </c>
      <c r="H48" t="s">
        <v>3750</v>
      </c>
      <c r="I48" t="s">
        <v>3849</v>
      </c>
      <c r="J48" t="s">
        <v>7404</v>
      </c>
      <c r="K48" t="s">
        <v>3850</v>
      </c>
      <c r="L48" t="s">
        <v>3818</v>
      </c>
      <c r="M48" t="s">
        <v>8062</v>
      </c>
    </row>
    <row r="49" spans="1:13" x14ac:dyDescent="0.25">
      <c r="A49" t="s">
        <v>3851</v>
      </c>
      <c r="B49" t="s">
        <v>222</v>
      </c>
      <c r="C49" t="s">
        <v>3775</v>
      </c>
      <c r="D49" t="s">
        <v>3786</v>
      </c>
      <c r="E49" t="s">
        <v>501</v>
      </c>
      <c r="F49">
        <v>1</v>
      </c>
      <c r="G49">
        <v>2</v>
      </c>
      <c r="H49" t="s">
        <v>3750</v>
      </c>
      <c r="I49" t="s">
        <v>3852</v>
      </c>
      <c r="J49" t="s">
        <v>7401</v>
      </c>
      <c r="K49" t="s">
        <v>3851</v>
      </c>
      <c r="M49" t="s">
        <v>8062</v>
      </c>
    </row>
    <row r="50" spans="1:13" x14ac:dyDescent="0.25">
      <c r="A50" t="s">
        <v>3853</v>
      </c>
      <c r="B50" t="s">
        <v>222</v>
      </c>
      <c r="C50" t="s">
        <v>3775</v>
      </c>
      <c r="D50" t="s">
        <v>3742</v>
      </c>
      <c r="E50" t="s">
        <v>1649</v>
      </c>
      <c r="F50">
        <v>1</v>
      </c>
      <c r="G50">
        <v>2</v>
      </c>
      <c r="H50" t="s">
        <v>3743</v>
      </c>
      <c r="I50" t="s">
        <v>3854</v>
      </c>
      <c r="J50" t="s">
        <v>3457</v>
      </c>
      <c r="K50" t="s">
        <v>3853</v>
      </c>
      <c r="L50" t="s">
        <v>3855</v>
      </c>
      <c r="M50" t="s">
        <v>8062</v>
      </c>
    </row>
    <row r="51" spans="1:13" x14ac:dyDescent="0.25">
      <c r="A51" t="s">
        <v>3856</v>
      </c>
      <c r="B51" t="s">
        <v>222</v>
      </c>
      <c r="C51" t="s">
        <v>3775</v>
      </c>
      <c r="D51" t="s">
        <v>3742</v>
      </c>
      <c r="E51" t="s">
        <v>1649</v>
      </c>
      <c r="F51">
        <v>1</v>
      </c>
      <c r="G51">
        <v>2</v>
      </c>
      <c r="H51" t="s">
        <v>3750</v>
      </c>
      <c r="I51" t="s">
        <v>3857</v>
      </c>
      <c r="J51" t="s">
        <v>7684</v>
      </c>
      <c r="K51" t="s">
        <v>3856</v>
      </c>
      <c r="L51" t="s">
        <v>3858</v>
      </c>
      <c r="M51" t="s">
        <v>8062</v>
      </c>
    </row>
    <row r="52" spans="1:13" x14ac:dyDescent="0.25">
      <c r="A52" t="s">
        <v>3859</v>
      </c>
      <c r="B52" t="s">
        <v>222</v>
      </c>
      <c r="C52" t="s">
        <v>3775</v>
      </c>
      <c r="D52" t="s">
        <v>3742</v>
      </c>
      <c r="E52" t="s">
        <v>1649</v>
      </c>
      <c r="F52">
        <v>1</v>
      </c>
      <c r="G52">
        <v>2</v>
      </c>
      <c r="H52" t="s">
        <v>3750</v>
      </c>
      <c r="I52" t="s">
        <v>3860</v>
      </c>
      <c r="J52" t="s">
        <v>3457</v>
      </c>
      <c r="K52" t="s">
        <v>3861</v>
      </c>
      <c r="L52" t="s">
        <v>3862</v>
      </c>
      <c r="M52" t="s">
        <v>8062</v>
      </c>
    </row>
    <row r="53" spans="1:13" x14ac:dyDescent="0.25">
      <c r="A53" t="s">
        <v>3863</v>
      </c>
      <c r="B53" t="s">
        <v>222</v>
      </c>
      <c r="C53" t="s">
        <v>3775</v>
      </c>
      <c r="D53" t="s">
        <v>3742</v>
      </c>
      <c r="E53" t="s">
        <v>1129</v>
      </c>
      <c r="F53">
        <v>1</v>
      </c>
      <c r="G53">
        <v>2</v>
      </c>
      <c r="H53" t="s">
        <v>3837</v>
      </c>
      <c r="I53" t="s">
        <v>3864</v>
      </c>
      <c r="J53" t="s">
        <v>3457</v>
      </c>
      <c r="K53" t="s">
        <v>3863</v>
      </c>
      <c r="M53" t="s">
        <v>8062</v>
      </c>
    </row>
    <row r="54" spans="1:13" x14ac:dyDescent="0.25">
      <c r="A54" t="s">
        <v>3865</v>
      </c>
      <c r="B54" t="s">
        <v>222</v>
      </c>
      <c r="C54" t="s">
        <v>3789</v>
      </c>
      <c r="D54" t="s">
        <v>3742</v>
      </c>
      <c r="E54" t="s">
        <v>501</v>
      </c>
      <c r="F54">
        <v>1</v>
      </c>
      <c r="G54">
        <v>3</v>
      </c>
      <c r="H54" t="s">
        <v>3837</v>
      </c>
      <c r="I54" t="s">
        <v>3866</v>
      </c>
      <c r="J54" t="s">
        <v>7464</v>
      </c>
      <c r="K54" t="s">
        <v>3867</v>
      </c>
      <c r="M54" t="s">
        <v>8062</v>
      </c>
    </row>
    <row r="55" spans="1:13" x14ac:dyDescent="0.25">
      <c r="A55" t="s">
        <v>7973</v>
      </c>
      <c r="B55" t="s">
        <v>222</v>
      </c>
      <c r="C55" t="s">
        <v>3789</v>
      </c>
      <c r="D55" t="s">
        <v>3742</v>
      </c>
      <c r="E55" t="s">
        <v>1649</v>
      </c>
      <c r="F55">
        <v>1</v>
      </c>
      <c r="G55">
        <v>3</v>
      </c>
      <c r="H55" t="s">
        <v>3743</v>
      </c>
      <c r="I55" t="s">
        <v>7976</v>
      </c>
      <c r="J55" t="s">
        <v>7974</v>
      </c>
      <c r="K55" t="s">
        <v>7978</v>
      </c>
      <c r="L55" t="s">
        <v>7977</v>
      </c>
      <c r="M55" t="s">
        <v>8062</v>
      </c>
    </row>
    <row r="56" spans="1:13" x14ac:dyDescent="0.25">
      <c r="A56" t="s">
        <v>3868</v>
      </c>
      <c r="B56" t="s">
        <v>222</v>
      </c>
      <c r="C56" t="s">
        <v>3789</v>
      </c>
      <c r="D56" t="s">
        <v>3742</v>
      </c>
      <c r="E56" t="s">
        <v>1649</v>
      </c>
      <c r="F56">
        <v>1</v>
      </c>
      <c r="G56">
        <v>3</v>
      </c>
      <c r="H56" t="s">
        <v>3750</v>
      </c>
      <c r="I56" t="s">
        <v>3869</v>
      </c>
      <c r="J56" t="s">
        <v>7683</v>
      </c>
      <c r="K56" t="s">
        <v>3870</v>
      </c>
      <c r="L56" t="s">
        <v>3871</v>
      </c>
      <c r="M56" t="s">
        <v>8062</v>
      </c>
    </row>
    <row r="57" spans="1:13" x14ac:dyDescent="0.25">
      <c r="A57" t="s">
        <v>1168</v>
      </c>
      <c r="B57" t="s">
        <v>222</v>
      </c>
      <c r="C57" t="s">
        <v>3909</v>
      </c>
      <c r="D57" t="s">
        <v>3742</v>
      </c>
      <c r="E57" t="s">
        <v>1649</v>
      </c>
      <c r="F57">
        <v>1</v>
      </c>
      <c r="G57">
        <v>4</v>
      </c>
      <c r="H57" t="s">
        <v>3750</v>
      </c>
      <c r="I57" t="s">
        <v>7692</v>
      </c>
      <c r="J57" t="s">
        <v>7698</v>
      </c>
      <c r="K57" t="s">
        <v>1168</v>
      </c>
      <c r="L57" t="s">
        <v>458</v>
      </c>
      <c r="M57" t="s">
        <v>8062</v>
      </c>
    </row>
    <row r="58" spans="1:13" x14ac:dyDescent="0.25">
      <c r="A58" t="s">
        <v>7970</v>
      </c>
      <c r="B58" t="s">
        <v>222</v>
      </c>
      <c r="C58" t="s">
        <v>3909</v>
      </c>
      <c r="D58" t="s">
        <v>3742</v>
      </c>
      <c r="E58" t="s">
        <v>1649</v>
      </c>
      <c r="F58">
        <v>1</v>
      </c>
      <c r="G58">
        <v>4</v>
      </c>
      <c r="H58" t="s">
        <v>3743</v>
      </c>
      <c r="I58" t="s">
        <v>7971</v>
      </c>
      <c r="J58" t="s">
        <v>3457</v>
      </c>
      <c r="K58" t="s">
        <v>7972</v>
      </c>
      <c r="L58" t="s">
        <v>3862</v>
      </c>
      <c r="M58" t="s">
        <v>8062</v>
      </c>
    </row>
    <row r="59" spans="1:13" x14ac:dyDescent="0.25">
      <c r="A59" t="s">
        <v>7893</v>
      </c>
      <c r="B59" t="s">
        <v>179</v>
      </c>
      <c r="C59" t="s">
        <v>3741</v>
      </c>
      <c r="D59" t="s">
        <v>3742</v>
      </c>
      <c r="E59" t="s">
        <v>1795</v>
      </c>
      <c r="F59">
        <v>1</v>
      </c>
      <c r="G59">
        <v>1</v>
      </c>
      <c r="H59" t="s">
        <v>3831</v>
      </c>
      <c r="I59" t="s">
        <v>8082</v>
      </c>
      <c r="J59" t="s">
        <v>3457</v>
      </c>
      <c r="K59" t="s">
        <v>7894</v>
      </c>
      <c r="M59" t="s">
        <v>8063</v>
      </c>
    </row>
    <row r="60" spans="1:13" x14ac:dyDescent="0.25">
      <c r="A60" t="s">
        <v>3872</v>
      </c>
      <c r="B60" t="s">
        <v>179</v>
      </c>
      <c r="C60" t="s">
        <v>3741</v>
      </c>
      <c r="D60" t="s">
        <v>3742</v>
      </c>
      <c r="E60" t="s">
        <v>1795</v>
      </c>
      <c r="F60">
        <v>1</v>
      </c>
      <c r="G60">
        <v>1</v>
      </c>
      <c r="H60" t="s">
        <v>3837</v>
      </c>
      <c r="I60" t="s">
        <v>3873</v>
      </c>
      <c r="J60" t="s">
        <v>7465</v>
      </c>
      <c r="K60" t="s">
        <v>3872</v>
      </c>
      <c r="M60" t="s">
        <v>8062</v>
      </c>
    </row>
    <row r="61" spans="1:13" x14ac:dyDescent="0.25">
      <c r="A61" t="s">
        <v>7685</v>
      </c>
      <c r="B61" t="s">
        <v>179</v>
      </c>
      <c r="C61" t="s">
        <v>3741</v>
      </c>
      <c r="D61" t="s">
        <v>3742</v>
      </c>
      <c r="E61" t="s">
        <v>689</v>
      </c>
      <c r="F61">
        <v>1</v>
      </c>
      <c r="G61">
        <v>1</v>
      </c>
      <c r="H61" t="s">
        <v>3743</v>
      </c>
      <c r="I61" t="s">
        <v>7686</v>
      </c>
      <c r="J61" t="s">
        <v>3457</v>
      </c>
      <c r="K61" t="s">
        <v>7685</v>
      </c>
      <c r="L61" t="s">
        <v>7687</v>
      </c>
      <c r="M61" t="s">
        <v>8062</v>
      </c>
    </row>
    <row r="62" spans="1:13" x14ac:dyDescent="0.25">
      <c r="A62" t="s">
        <v>3874</v>
      </c>
      <c r="B62" t="s">
        <v>179</v>
      </c>
      <c r="C62" t="s">
        <v>3775</v>
      </c>
      <c r="D62" t="s">
        <v>3742</v>
      </c>
      <c r="E62" t="s">
        <v>1795</v>
      </c>
      <c r="F62">
        <v>1</v>
      </c>
      <c r="G62">
        <v>2</v>
      </c>
      <c r="H62" t="s">
        <v>3831</v>
      </c>
      <c r="I62" t="s">
        <v>8083</v>
      </c>
      <c r="J62" t="s">
        <v>7396</v>
      </c>
      <c r="K62" t="s">
        <v>3875</v>
      </c>
      <c r="M62" t="s">
        <v>8063</v>
      </c>
    </row>
    <row r="63" spans="1:13" x14ac:dyDescent="0.25">
      <c r="A63" t="s">
        <v>3876</v>
      </c>
      <c r="B63" t="s">
        <v>179</v>
      </c>
      <c r="C63" t="s">
        <v>3775</v>
      </c>
      <c r="D63" t="s">
        <v>3742</v>
      </c>
      <c r="E63" t="s">
        <v>1795</v>
      </c>
      <c r="F63">
        <v>1</v>
      </c>
      <c r="G63">
        <v>2</v>
      </c>
      <c r="H63" t="s">
        <v>3750</v>
      </c>
      <c r="I63" t="s">
        <v>3877</v>
      </c>
      <c r="J63" t="s">
        <v>7397</v>
      </c>
      <c r="K63" t="s">
        <v>3876</v>
      </c>
      <c r="M63" t="s">
        <v>8062</v>
      </c>
    </row>
    <row r="64" spans="1:13" x14ac:dyDescent="0.25">
      <c r="A64" t="s">
        <v>7890</v>
      </c>
      <c r="B64" t="s">
        <v>179</v>
      </c>
      <c r="C64" t="s">
        <v>3789</v>
      </c>
      <c r="D64" t="s">
        <v>3742</v>
      </c>
      <c r="E64" t="s">
        <v>553</v>
      </c>
      <c r="F64">
        <v>1</v>
      </c>
      <c r="G64">
        <v>3</v>
      </c>
      <c r="H64" t="s">
        <v>3750</v>
      </c>
      <c r="I64" t="s">
        <v>7891</v>
      </c>
      <c r="J64" t="s">
        <v>3457</v>
      </c>
      <c r="K64" t="s">
        <v>7892</v>
      </c>
      <c r="L64" t="s">
        <v>3818</v>
      </c>
      <c r="M64" t="s">
        <v>8062</v>
      </c>
    </row>
    <row r="65" spans="1:13" x14ac:dyDescent="0.25">
      <c r="A65" t="s">
        <v>3878</v>
      </c>
      <c r="B65" t="s">
        <v>179</v>
      </c>
      <c r="C65" t="s">
        <v>3789</v>
      </c>
      <c r="D65" t="s">
        <v>3742</v>
      </c>
      <c r="E65" t="s">
        <v>1795</v>
      </c>
      <c r="F65">
        <v>1</v>
      </c>
      <c r="G65">
        <v>3</v>
      </c>
      <c r="H65" t="s">
        <v>3750</v>
      </c>
      <c r="I65" t="s">
        <v>3879</v>
      </c>
      <c r="J65" t="s">
        <v>3457</v>
      </c>
      <c r="K65" t="s">
        <v>3878</v>
      </c>
      <c r="M65" t="s">
        <v>8062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3733</v>
      </c>
      <c r="D1" t="s">
        <v>3734</v>
      </c>
      <c r="E1" t="s">
        <v>1</v>
      </c>
      <c r="F1" t="s">
        <v>3440</v>
      </c>
      <c r="G1" t="s">
        <v>3735</v>
      </c>
      <c r="H1" t="s">
        <v>3736</v>
      </c>
      <c r="I1" t="s">
        <v>3737</v>
      </c>
      <c r="J1" t="s">
        <v>3738</v>
      </c>
      <c r="K1" t="s">
        <v>171</v>
      </c>
      <c r="L1" t="s">
        <v>3739</v>
      </c>
      <c r="M1" t="s">
        <v>7467</v>
      </c>
      <c r="N1" t="s">
        <v>8061</v>
      </c>
      <c r="O1" t="s">
        <v>8038</v>
      </c>
    </row>
    <row r="2" spans="1:15" x14ac:dyDescent="0.25">
      <c r="A2" t="s">
        <v>3880</v>
      </c>
      <c r="B2" t="s">
        <v>176</v>
      </c>
      <c r="C2" t="s">
        <v>3741</v>
      </c>
      <c r="D2" t="s">
        <v>3791</v>
      </c>
      <c r="E2" t="s">
        <v>1046</v>
      </c>
      <c r="F2">
        <v>1</v>
      </c>
      <c r="G2">
        <v>3</v>
      </c>
      <c r="H2" t="s">
        <v>3754</v>
      </c>
      <c r="I2" t="s">
        <v>8087</v>
      </c>
      <c r="J2" t="s">
        <v>7448</v>
      </c>
      <c r="K2" t="s">
        <v>3880</v>
      </c>
      <c r="L2" t="s">
        <v>3881</v>
      </c>
      <c r="N2" t="s">
        <v>8062</v>
      </c>
    </row>
    <row r="3" spans="1:15" x14ac:dyDescent="0.25">
      <c r="A3" t="s">
        <v>3882</v>
      </c>
      <c r="B3" t="s">
        <v>176</v>
      </c>
      <c r="C3" t="s">
        <v>3741</v>
      </c>
      <c r="D3" t="s">
        <v>3791</v>
      </c>
      <c r="E3" t="s">
        <v>1752</v>
      </c>
      <c r="F3">
        <v>1</v>
      </c>
      <c r="G3">
        <v>3</v>
      </c>
      <c r="H3" t="s">
        <v>3743</v>
      </c>
      <c r="I3" t="s">
        <v>3883</v>
      </c>
      <c r="J3" t="s">
        <v>3457</v>
      </c>
      <c r="K3" t="s">
        <v>3884</v>
      </c>
      <c r="L3" t="s">
        <v>3885</v>
      </c>
      <c r="N3" t="s">
        <v>8062</v>
      </c>
    </row>
    <row r="4" spans="1:15" x14ac:dyDescent="0.25">
      <c r="A4" t="s">
        <v>3886</v>
      </c>
      <c r="B4" t="s">
        <v>176</v>
      </c>
      <c r="C4" t="s">
        <v>3741</v>
      </c>
      <c r="D4" t="s">
        <v>3791</v>
      </c>
      <c r="E4" t="s">
        <v>2132</v>
      </c>
      <c r="F4">
        <v>1</v>
      </c>
      <c r="G4">
        <v>3</v>
      </c>
      <c r="H4" t="s">
        <v>3837</v>
      </c>
      <c r="I4" t="s">
        <v>3887</v>
      </c>
      <c r="J4" t="s">
        <v>7379</v>
      </c>
      <c r="K4" t="s">
        <v>3886</v>
      </c>
      <c r="N4" t="s">
        <v>8062</v>
      </c>
    </row>
    <row r="5" spans="1:15" x14ac:dyDescent="0.25">
      <c r="A5" t="s">
        <v>3888</v>
      </c>
      <c r="B5" t="s">
        <v>176</v>
      </c>
      <c r="C5" t="s">
        <v>3741</v>
      </c>
      <c r="D5" t="s">
        <v>3742</v>
      </c>
      <c r="E5" t="s">
        <v>160</v>
      </c>
      <c r="F5">
        <v>1</v>
      </c>
      <c r="G5">
        <v>3</v>
      </c>
      <c r="H5" t="s">
        <v>3831</v>
      </c>
      <c r="I5" t="s">
        <v>8084</v>
      </c>
      <c r="J5" t="s">
        <v>7456</v>
      </c>
      <c r="K5" t="s">
        <v>3888</v>
      </c>
      <c r="N5" t="s">
        <v>8063</v>
      </c>
    </row>
    <row r="6" spans="1:15" x14ac:dyDescent="0.25">
      <c r="A6" t="s">
        <v>7358</v>
      </c>
      <c r="B6" t="s">
        <v>176</v>
      </c>
      <c r="C6" t="s">
        <v>3741</v>
      </c>
      <c r="D6" t="s">
        <v>3791</v>
      </c>
      <c r="E6" t="s">
        <v>2173</v>
      </c>
      <c r="F6">
        <v>1</v>
      </c>
      <c r="G6">
        <v>3</v>
      </c>
      <c r="H6" t="s">
        <v>3750</v>
      </c>
      <c r="I6" t="s">
        <v>7359</v>
      </c>
      <c r="J6" t="s">
        <v>3457</v>
      </c>
      <c r="K6" t="s">
        <v>7358</v>
      </c>
      <c r="L6" t="s">
        <v>4569</v>
      </c>
      <c r="N6" t="s">
        <v>8062</v>
      </c>
    </row>
    <row r="7" spans="1:15" x14ac:dyDescent="0.25">
      <c r="A7" t="s">
        <v>3889</v>
      </c>
      <c r="B7" t="s">
        <v>176</v>
      </c>
      <c r="C7" t="s">
        <v>3741</v>
      </c>
      <c r="D7" t="s">
        <v>3791</v>
      </c>
      <c r="E7" t="s">
        <v>2619</v>
      </c>
      <c r="F7">
        <v>1</v>
      </c>
      <c r="G7">
        <v>3</v>
      </c>
      <c r="H7" t="s">
        <v>3743</v>
      </c>
      <c r="I7" t="s">
        <v>3890</v>
      </c>
      <c r="J7" t="s">
        <v>7458</v>
      </c>
      <c r="K7" t="s">
        <v>3891</v>
      </c>
      <c r="N7" t="s">
        <v>8062</v>
      </c>
    </row>
    <row r="8" spans="1:15" x14ac:dyDescent="0.25">
      <c r="A8" t="s">
        <v>3892</v>
      </c>
      <c r="B8" t="s">
        <v>176</v>
      </c>
      <c r="C8" t="s">
        <v>3741</v>
      </c>
      <c r="D8" t="s">
        <v>3742</v>
      </c>
      <c r="E8" t="s">
        <v>1294</v>
      </c>
      <c r="F8">
        <v>1</v>
      </c>
      <c r="G8">
        <v>3</v>
      </c>
      <c r="H8" t="s">
        <v>3754</v>
      </c>
      <c r="I8" t="s">
        <v>3893</v>
      </c>
      <c r="J8" t="s">
        <v>3457</v>
      </c>
      <c r="K8" t="s">
        <v>3892</v>
      </c>
      <c r="N8" t="s">
        <v>8062</v>
      </c>
    </row>
    <row r="9" spans="1:15" x14ac:dyDescent="0.25">
      <c r="A9" t="s">
        <v>3894</v>
      </c>
      <c r="B9" t="s">
        <v>176</v>
      </c>
      <c r="C9" t="s">
        <v>3741</v>
      </c>
      <c r="D9" t="s">
        <v>3742</v>
      </c>
      <c r="E9" t="s">
        <v>160</v>
      </c>
      <c r="F9">
        <v>1</v>
      </c>
      <c r="G9">
        <v>3</v>
      </c>
      <c r="H9" t="s">
        <v>3837</v>
      </c>
      <c r="I9" t="s">
        <v>3895</v>
      </c>
      <c r="J9" t="s">
        <v>3457</v>
      </c>
      <c r="K9" t="s">
        <v>3894</v>
      </c>
      <c r="N9" t="s">
        <v>8062</v>
      </c>
    </row>
    <row r="10" spans="1:15" x14ac:dyDescent="0.25">
      <c r="A10" t="s">
        <v>7903</v>
      </c>
      <c r="B10" t="s">
        <v>176</v>
      </c>
      <c r="C10" t="s">
        <v>3741</v>
      </c>
      <c r="D10" t="s">
        <v>3742</v>
      </c>
      <c r="E10" t="s">
        <v>2619</v>
      </c>
      <c r="F10">
        <v>1</v>
      </c>
      <c r="G10">
        <v>3</v>
      </c>
      <c r="H10" t="s">
        <v>3750</v>
      </c>
      <c r="I10" t="s">
        <v>7904</v>
      </c>
      <c r="J10" t="s">
        <v>3457</v>
      </c>
      <c r="K10" t="s">
        <v>7905</v>
      </c>
      <c r="N10" t="s">
        <v>8062</v>
      </c>
    </row>
    <row r="11" spans="1:15" x14ac:dyDescent="0.25">
      <c r="A11" t="s">
        <v>3896</v>
      </c>
      <c r="B11" t="s">
        <v>176</v>
      </c>
      <c r="C11" t="s">
        <v>3775</v>
      </c>
      <c r="D11" t="s">
        <v>3897</v>
      </c>
      <c r="E11" t="s">
        <v>1294</v>
      </c>
      <c r="F11">
        <v>1</v>
      </c>
      <c r="G11">
        <v>5</v>
      </c>
      <c r="H11" t="s">
        <v>3754</v>
      </c>
      <c r="I11" t="s">
        <v>3898</v>
      </c>
      <c r="J11" t="s">
        <v>3457</v>
      </c>
      <c r="K11" t="s">
        <v>3896</v>
      </c>
      <c r="N11" t="s">
        <v>8062</v>
      </c>
    </row>
    <row r="12" spans="1:15" x14ac:dyDescent="0.25">
      <c r="A12" t="s">
        <v>3899</v>
      </c>
      <c r="B12" t="s">
        <v>176</v>
      </c>
      <c r="C12" t="s">
        <v>3775</v>
      </c>
      <c r="D12" t="s">
        <v>3742</v>
      </c>
      <c r="E12" t="s">
        <v>160</v>
      </c>
      <c r="F12">
        <v>1</v>
      </c>
      <c r="G12">
        <v>5</v>
      </c>
      <c r="H12" t="s">
        <v>3750</v>
      </c>
      <c r="I12" t="s">
        <v>3900</v>
      </c>
      <c r="J12" t="s">
        <v>3457</v>
      </c>
      <c r="K12" t="s">
        <v>3901</v>
      </c>
      <c r="N12" t="s">
        <v>8062</v>
      </c>
    </row>
    <row r="13" spans="1:15" x14ac:dyDescent="0.25">
      <c r="A13" t="s">
        <v>7886</v>
      </c>
      <c r="B13" t="s">
        <v>176</v>
      </c>
      <c r="C13" t="s">
        <v>3775</v>
      </c>
      <c r="D13" t="s">
        <v>3742</v>
      </c>
      <c r="E13" t="s">
        <v>1046</v>
      </c>
      <c r="F13">
        <v>1</v>
      </c>
      <c r="G13">
        <v>5</v>
      </c>
      <c r="H13" t="s">
        <v>3750</v>
      </c>
      <c r="I13" t="s">
        <v>7887</v>
      </c>
      <c r="J13" t="s">
        <v>3457</v>
      </c>
      <c r="K13" t="s">
        <v>7888</v>
      </c>
      <c r="L13" t="s">
        <v>7889</v>
      </c>
      <c r="N13" t="s">
        <v>8062</v>
      </c>
    </row>
    <row r="14" spans="1:15" x14ac:dyDescent="0.25">
      <c r="A14" t="s">
        <v>3902</v>
      </c>
      <c r="B14" t="s">
        <v>176</v>
      </c>
      <c r="C14" t="s">
        <v>3775</v>
      </c>
      <c r="D14" t="s">
        <v>3742</v>
      </c>
      <c r="E14" t="s">
        <v>1029</v>
      </c>
      <c r="F14">
        <v>1</v>
      </c>
      <c r="G14">
        <v>5</v>
      </c>
      <c r="H14" t="s">
        <v>3750</v>
      </c>
      <c r="I14" t="s">
        <v>3903</v>
      </c>
      <c r="J14" t="s">
        <v>7446</v>
      </c>
      <c r="K14" t="s">
        <v>3904</v>
      </c>
      <c r="N14" t="s">
        <v>8062</v>
      </c>
    </row>
    <row r="15" spans="1:15" x14ac:dyDescent="0.25">
      <c r="A15" t="s">
        <v>3905</v>
      </c>
      <c r="B15" t="s">
        <v>176</v>
      </c>
      <c r="C15" t="s">
        <v>3775</v>
      </c>
      <c r="D15" t="s">
        <v>3742</v>
      </c>
      <c r="E15" t="s">
        <v>1298</v>
      </c>
      <c r="F15">
        <v>1</v>
      </c>
      <c r="G15">
        <v>5</v>
      </c>
      <c r="H15" t="s">
        <v>3750</v>
      </c>
      <c r="I15" t="s">
        <v>3906</v>
      </c>
      <c r="J15" t="s">
        <v>3457</v>
      </c>
      <c r="K15" t="s">
        <v>3905</v>
      </c>
      <c r="N15" t="s">
        <v>8062</v>
      </c>
    </row>
    <row r="16" spans="1:15" x14ac:dyDescent="0.25">
      <c r="A16" t="s">
        <v>7901</v>
      </c>
      <c r="B16" t="s">
        <v>176</v>
      </c>
      <c r="C16" t="s">
        <v>3775</v>
      </c>
      <c r="D16" t="s">
        <v>7902</v>
      </c>
      <c r="E16" t="s">
        <v>1046</v>
      </c>
      <c r="F16">
        <v>1</v>
      </c>
      <c r="G16">
        <v>5</v>
      </c>
      <c r="H16" t="s">
        <v>3750</v>
      </c>
      <c r="I16" t="s">
        <v>7900</v>
      </c>
      <c r="J16" t="s">
        <v>3457</v>
      </c>
      <c r="K16" t="s">
        <v>7901</v>
      </c>
      <c r="N16" t="s">
        <v>8062</v>
      </c>
    </row>
    <row r="17" spans="1:14" x14ac:dyDescent="0.25">
      <c r="A17" t="s">
        <v>3467</v>
      </c>
      <c r="B17" t="s">
        <v>176</v>
      </c>
      <c r="C17" t="s">
        <v>3789</v>
      </c>
      <c r="D17" t="s">
        <v>3742</v>
      </c>
      <c r="E17" t="s">
        <v>160</v>
      </c>
      <c r="F17">
        <v>1</v>
      </c>
      <c r="G17">
        <v>7</v>
      </c>
      <c r="H17" t="s">
        <v>3743</v>
      </c>
      <c r="I17" t="s">
        <v>3907</v>
      </c>
      <c r="J17" t="s">
        <v>3457</v>
      </c>
      <c r="K17" t="s">
        <v>3467</v>
      </c>
      <c r="N17" t="s">
        <v>8062</v>
      </c>
    </row>
    <row r="18" spans="1:14" x14ac:dyDescent="0.25">
      <c r="A18" t="s">
        <v>3908</v>
      </c>
      <c r="B18" t="s">
        <v>176</v>
      </c>
      <c r="C18" t="s">
        <v>3909</v>
      </c>
      <c r="D18" t="s">
        <v>3786</v>
      </c>
      <c r="E18" t="s">
        <v>1046</v>
      </c>
      <c r="F18">
        <v>1</v>
      </c>
      <c r="G18">
        <v>9</v>
      </c>
      <c r="H18" t="s">
        <v>3743</v>
      </c>
      <c r="I18" t="s">
        <v>3910</v>
      </c>
      <c r="J18" t="s">
        <v>3457</v>
      </c>
      <c r="K18" t="s">
        <v>3908</v>
      </c>
      <c r="L18" t="s">
        <v>3761</v>
      </c>
      <c r="N18" t="s">
        <v>8062</v>
      </c>
    </row>
    <row r="19" spans="1:14" x14ac:dyDescent="0.25">
      <c r="A19" t="s">
        <v>7906</v>
      </c>
      <c r="B19" t="s">
        <v>176</v>
      </c>
      <c r="C19" t="s">
        <v>3909</v>
      </c>
      <c r="D19" t="s">
        <v>3791</v>
      </c>
      <c r="E19" t="s">
        <v>709</v>
      </c>
      <c r="F19">
        <v>1</v>
      </c>
      <c r="G19">
        <v>9</v>
      </c>
      <c r="H19" t="s">
        <v>3750</v>
      </c>
      <c r="I19" t="s">
        <v>7907</v>
      </c>
      <c r="J19" t="s">
        <v>3457</v>
      </c>
      <c r="K19" t="s">
        <v>7908</v>
      </c>
      <c r="N19" t="s">
        <v>8062</v>
      </c>
    </row>
    <row r="20" spans="1:14" x14ac:dyDescent="0.25">
      <c r="A20" t="s">
        <v>7896</v>
      </c>
      <c r="B20" t="s">
        <v>182</v>
      </c>
      <c r="C20" t="s">
        <v>3741</v>
      </c>
      <c r="D20" t="s">
        <v>3742</v>
      </c>
      <c r="E20" t="s">
        <v>90</v>
      </c>
      <c r="F20">
        <v>1</v>
      </c>
      <c r="G20">
        <v>3</v>
      </c>
      <c r="H20" t="s">
        <v>3750</v>
      </c>
      <c r="I20" t="s">
        <v>7895</v>
      </c>
      <c r="J20" t="s">
        <v>3457</v>
      </c>
      <c r="K20" t="s">
        <v>7897</v>
      </c>
      <c r="N20" t="s">
        <v>8062</v>
      </c>
    </row>
    <row r="21" spans="1:14" x14ac:dyDescent="0.25">
      <c r="A21" t="s">
        <v>3911</v>
      </c>
      <c r="B21" t="s">
        <v>182</v>
      </c>
      <c r="C21" t="s">
        <v>3741</v>
      </c>
      <c r="D21" t="s">
        <v>3791</v>
      </c>
      <c r="E21" t="s">
        <v>90</v>
      </c>
      <c r="F21">
        <v>1</v>
      </c>
      <c r="G21">
        <v>3</v>
      </c>
      <c r="H21" t="s">
        <v>3750</v>
      </c>
      <c r="I21" t="s">
        <v>3912</v>
      </c>
      <c r="J21" t="s">
        <v>3457</v>
      </c>
      <c r="K21" t="s">
        <v>3913</v>
      </c>
      <c r="N21" t="s">
        <v>8062</v>
      </c>
    </row>
    <row r="22" spans="1:14" x14ac:dyDescent="0.25">
      <c r="A22" t="s">
        <v>3914</v>
      </c>
      <c r="B22" t="s">
        <v>182</v>
      </c>
      <c r="C22" t="s">
        <v>3741</v>
      </c>
      <c r="D22" t="s">
        <v>3742</v>
      </c>
      <c r="E22" t="s">
        <v>38</v>
      </c>
      <c r="F22">
        <v>1</v>
      </c>
      <c r="G22">
        <v>3</v>
      </c>
      <c r="H22" t="s">
        <v>3750</v>
      </c>
      <c r="I22" t="s">
        <v>3915</v>
      </c>
      <c r="J22" t="s">
        <v>7411</v>
      </c>
      <c r="K22" t="s">
        <v>3914</v>
      </c>
      <c r="N22" t="s">
        <v>8062</v>
      </c>
    </row>
    <row r="23" spans="1:14" x14ac:dyDescent="0.25">
      <c r="A23" t="s">
        <v>3916</v>
      </c>
      <c r="B23" t="s">
        <v>182</v>
      </c>
      <c r="C23" t="s">
        <v>3775</v>
      </c>
      <c r="D23" t="s">
        <v>3742</v>
      </c>
      <c r="E23" t="s">
        <v>353</v>
      </c>
      <c r="F23">
        <v>1</v>
      </c>
      <c r="G23">
        <v>5</v>
      </c>
      <c r="H23" t="s">
        <v>3831</v>
      </c>
      <c r="I23" t="s">
        <v>8077</v>
      </c>
      <c r="J23" t="s">
        <v>3457</v>
      </c>
      <c r="K23" t="s">
        <v>3917</v>
      </c>
      <c r="N23" t="s">
        <v>8063</v>
      </c>
    </row>
    <row r="24" spans="1:14" x14ac:dyDescent="0.25">
      <c r="A24" t="s">
        <v>3918</v>
      </c>
      <c r="B24" t="s">
        <v>182</v>
      </c>
      <c r="C24" t="s">
        <v>3775</v>
      </c>
      <c r="D24" t="s">
        <v>3742</v>
      </c>
      <c r="E24" t="s">
        <v>353</v>
      </c>
      <c r="F24">
        <v>1</v>
      </c>
      <c r="G24">
        <v>5</v>
      </c>
      <c r="H24" t="s">
        <v>3831</v>
      </c>
      <c r="I24" t="s">
        <v>8080</v>
      </c>
      <c r="J24" t="s">
        <v>3457</v>
      </c>
      <c r="K24" t="s">
        <v>3919</v>
      </c>
      <c r="N24" t="s">
        <v>8063</v>
      </c>
    </row>
    <row r="25" spans="1:14" x14ac:dyDescent="0.25">
      <c r="A25" t="s">
        <v>3920</v>
      </c>
      <c r="B25" t="s">
        <v>182</v>
      </c>
      <c r="C25" t="s">
        <v>3775</v>
      </c>
      <c r="D25" t="s">
        <v>3742</v>
      </c>
      <c r="E25" t="s">
        <v>353</v>
      </c>
      <c r="F25">
        <v>1</v>
      </c>
      <c r="G25">
        <v>5</v>
      </c>
      <c r="H25" t="s">
        <v>3831</v>
      </c>
      <c r="I25" t="s">
        <v>8078</v>
      </c>
      <c r="J25" t="s">
        <v>3457</v>
      </c>
      <c r="K25" t="s">
        <v>3921</v>
      </c>
      <c r="N25" t="s">
        <v>8063</v>
      </c>
    </row>
    <row r="26" spans="1:14" x14ac:dyDescent="0.25">
      <c r="A26" t="s">
        <v>3922</v>
      </c>
      <c r="B26" t="s">
        <v>182</v>
      </c>
      <c r="C26" t="s">
        <v>3775</v>
      </c>
      <c r="D26" t="s">
        <v>3791</v>
      </c>
      <c r="E26" t="s">
        <v>38</v>
      </c>
      <c r="F26">
        <v>1</v>
      </c>
      <c r="G26">
        <v>5</v>
      </c>
      <c r="H26" t="s">
        <v>3743</v>
      </c>
      <c r="I26" t="s">
        <v>3923</v>
      </c>
      <c r="J26" t="s">
        <v>7462</v>
      </c>
      <c r="K26" t="s">
        <v>3924</v>
      </c>
      <c r="N26" t="s">
        <v>8062</v>
      </c>
    </row>
    <row r="27" spans="1:14" x14ac:dyDescent="0.25">
      <c r="A27" t="s">
        <v>3925</v>
      </c>
      <c r="B27" t="s">
        <v>182</v>
      </c>
      <c r="C27" t="s">
        <v>3775</v>
      </c>
      <c r="D27" t="s">
        <v>3742</v>
      </c>
      <c r="E27" t="s">
        <v>353</v>
      </c>
      <c r="F27">
        <v>1</v>
      </c>
      <c r="G27">
        <v>5</v>
      </c>
      <c r="H27" t="s">
        <v>3831</v>
      </c>
      <c r="I27" t="s">
        <v>8079</v>
      </c>
      <c r="J27" t="s">
        <v>3457</v>
      </c>
      <c r="K27" t="s">
        <v>3926</v>
      </c>
      <c r="N27" t="s">
        <v>8063</v>
      </c>
    </row>
    <row r="28" spans="1:14" x14ac:dyDescent="0.25">
      <c r="A28" t="s">
        <v>3927</v>
      </c>
      <c r="B28" t="s">
        <v>182</v>
      </c>
      <c r="C28" t="s">
        <v>3789</v>
      </c>
      <c r="D28" t="s">
        <v>3742</v>
      </c>
      <c r="E28" t="s">
        <v>353</v>
      </c>
      <c r="F28">
        <v>1</v>
      </c>
      <c r="G28">
        <v>7</v>
      </c>
      <c r="H28" t="s">
        <v>3831</v>
      </c>
      <c r="I28" t="s">
        <v>8093</v>
      </c>
      <c r="J28" t="s">
        <v>3457</v>
      </c>
      <c r="K28" t="s">
        <v>3929</v>
      </c>
      <c r="N28" t="s">
        <v>8063</v>
      </c>
    </row>
    <row r="29" spans="1:14" x14ac:dyDescent="0.25">
      <c r="A29" t="s">
        <v>7898</v>
      </c>
      <c r="B29" t="s">
        <v>182</v>
      </c>
      <c r="C29" t="s">
        <v>3789</v>
      </c>
      <c r="D29" t="s">
        <v>3742</v>
      </c>
      <c r="E29" t="s">
        <v>353</v>
      </c>
      <c r="F29">
        <v>1</v>
      </c>
      <c r="G29">
        <v>7</v>
      </c>
      <c r="H29" t="s">
        <v>3831</v>
      </c>
      <c r="I29" t="s">
        <v>8085</v>
      </c>
      <c r="J29" t="s">
        <v>3457</v>
      </c>
      <c r="K29" t="s">
        <v>7899</v>
      </c>
      <c r="N29" t="s">
        <v>8063</v>
      </c>
    </row>
    <row r="30" spans="1:14" x14ac:dyDescent="0.25">
      <c r="A30" t="s">
        <v>3930</v>
      </c>
      <c r="B30" t="s">
        <v>182</v>
      </c>
      <c r="C30" t="s">
        <v>3789</v>
      </c>
      <c r="D30" t="s">
        <v>3742</v>
      </c>
      <c r="E30" t="s">
        <v>90</v>
      </c>
      <c r="F30">
        <v>1</v>
      </c>
      <c r="G30">
        <v>7</v>
      </c>
      <c r="H30" t="s">
        <v>3831</v>
      </c>
      <c r="I30" t="s">
        <v>3931</v>
      </c>
      <c r="J30" t="s">
        <v>7432</v>
      </c>
      <c r="K30" t="s">
        <v>3932</v>
      </c>
      <c r="N30" t="s">
        <v>8063</v>
      </c>
    </row>
    <row r="31" spans="1:14" x14ac:dyDescent="0.25">
      <c r="A31" t="s">
        <v>3933</v>
      </c>
      <c r="B31" t="s">
        <v>182</v>
      </c>
      <c r="C31" t="s">
        <v>3909</v>
      </c>
      <c r="D31" t="s">
        <v>3791</v>
      </c>
      <c r="E31" t="s">
        <v>90</v>
      </c>
      <c r="F31">
        <v>1</v>
      </c>
      <c r="G31">
        <v>9</v>
      </c>
      <c r="H31" t="s">
        <v>3750</v>
      </c>
      <c r="I31" t="s">
        <v>3934</v>
      </c>
      <c r="J31" t="s">
        <v>7459</v>
      </c>
      <c r="K31" t="s">
        <v>3935</v>
      </c>
      <c r="N31" t="s">
        <v>8062</v>
      </c>
    </row>
    <row r="32" spans="1:14" x14ac:dyDescent="0.25">
      <c r="A32" t="s">
        <v>3936</v>
      </c>
      <c r="B32" t="s">
        <v>222</v>
      </c>
      <c r="C32" t="s">
        <v>3741</v>
      </c>
      <c r="D32" t="s">
        <v>3791</v>
      </c>
      <c r="E32" t="s">
        <v>1129</v>
      </c>
      <c r="F32">
        <v>1</v>
      </c>
      <c r="G32">
        <v>3</v>
      </c>
      <c r="H32" t="s">
        <v>3743</v>
      </c>
      <c r="I32" t="s">
        <v>3937</v>
      </c>
      <c r="J32" t="s">
        <v>3457</v>
      </c>
      <c r="K32" t="s">
        <v>3938</v>
      </c>
      <c r="L32" t="s">
        <v>3769</v>
      </c>
      <c r="N32" t="s">
        <v>8062</v>
      </c>
    </row>
    <row r="33" spans="1:14" x14ac:dyDescent="0.25">
      <c r="A33" t="s">
        <v>3939</v>
      </c>
      <c r="B33" t="s">
        <v>222</v>
      </c>
      <c r="C33" t="s">
        <v>3741</v>
      </c>
      <c r="D33" t="s">
        <v>3742</v>
      </c>
      <c r="E33" t="s">
        <v>501</v>
      </c>
      <c r="F33">
        <v>1</v>
      </c>
      <c r="G33">
        <v>3</v>
      </c>
      <c r="H33" t="s">
        <v>3750</v>
      </c>
      <c r="I33" t="s">
        <v>3940</v>
      </c>
      <c r="J33" t="s">
        <v>7453</v>
      </c>
      <c r="K33" t="s">
        <v>3939</v>
      </c>
      <c r="L33" t="s">
        <v>3674</v>
      </c>
      <c r="N33" t="s">
        <v>8062</v>
      </c>
    </row>
    <row r="34" spans="1:14" x14ac:dyDescent="0.25">
      <c r="A34" t="s">
        <v>3941</v>
      </c>
      <c r="B34" t="s">
        <v>222</v>
      </c>
      <c r="C34" t="s">
        <v>3741</v>
      </c>
      <c r="D34" t="s">
        <v>3742</v>
      </c>
      <c r="E34" t="s">
        <v>1649</v>
      </c>
      <c r="F34">
        <v>1</v>
      </c>
      <c r="G34">
        <v>3</v>
      </c>
      <c r="H34" t="s">
        <v>3750</v>
      </c>
      <c r="I34" t="s">
        <v>3942</v>
      </c>
      <c r="J34" t="s">
        <v>3457</v>
      </c>
      <c r="K34" t="s">
        <v>3941</v>
      </c>
      <c r="L34" t="s">
        <v>3862</v>
      </c>
      <c r="N34" t="s">
        <v>8062</v>
      </c>
    </row>
    <row r="35" spans="1:14" x14ac:dyDescent="0.25">
      <c r="A35" t="s">
        <v>3943</v>
      </c>
      <c r="B35" t="s">
        <v>222</v>
      </c>
      <c r="C35" t="s">
        <v>3741</v>
      </c>
      <c r="D35" t="s">
        <v>3791</v>
      </c>
      <c r="E35" t="s">
        <v>501</v>
      </c>
      <c r="F35">
        <v>1</v>
      </c>
      <c r="G35">
        <v>3</v>
      </c>
      <c r="H35" t="s">
        <v>3754</v>
      </c>
      <c r="I35" t="s">
        <v>3944</v>
      </c>
      <c r="J35" t="s">
        <v>3457</v>
      </c>
      <c r="K35" t="s">
        <v>3943</v>
      </c>
      <c r="L35" t="s">
        <v>3845</v>
      </c>
      <c r="N35" t="s">
        <v>8062</v>
      </c>
    </row>
    <row r="36" spans="1:14" x14ac:dyDescent="0.25">
      <c r="A36" t="s">
        <v>3945</v>
      </c>
      <c r="B36" t="s">
        <v>222</v>
      </c>
      <c r="C36" t="s">
        <v>3741</v>
      </c>
      <c r="D36" t="s">
        <v>3742</v>
      </c>
      <c r="E36" t="s">
        <v>1649</v>
      </c>
      <c r="F36">
        <v>1</v>
      </c>
      <c r="G36">
        <v>3</v>
      </c>
      <c r="H36" t="s">
        <v>3750</v>
      </c>
      <c r="I36" t="s">
        <v>3946</v>
      </c>
      <c r="J36" t="s">
        <v>7445</v>
      </c>
      <c r="K36" t="s">
        <v>3945</v>
      </c>
      <c r="L36" t="s">
        <v>3862</v>
      </c>
      <c r="N36" t="s">
        <v>8062</v>
      </c>
    </row>
    <row r="37" spans="1:14" x14ac:dyDescent="0.25">
      <c r="A37" t="s">
        <v>3947</v>
      </c>
      <c r="B37" t="s">
        <v>222</v>
      </c>
      <c r="C37" t="s">
        <v>3741</v>
      </c>
      <c r="D37" t="s">
        <v>3742</v>
      </c>
      <c r="E37" t="s">
        <v>501</v>
      </c>
      <c r="F37">
        <v>1</v>
      </c>
      <c r="G37">
        <v>3</v>
      </c>
      <c r="H37" t="s">
        <v>3743</v>
      </c>
      <c r="I37" t="s">
        <v>3948</v>
      </c>
      <c r="J37" t="s">
        <v>3457</v>
      </c>
      <c r="K37" t="s">
        <v>3949</v>
      </c>
      <c r="N37" t="s">
        <v>8062</v>
      </c>
    </row>
    <row r="38" spans="1:14" x14ac:dyDescent="0.25">
      <c r="A38" t="s">
        <v>7910</v>
      </c>
      <c r="B38" t="s">
        <v>222</v>
      </c>
      <c r="C38" t="s">
        <v>3775</v>
      </c>
      <c r="D38" t="s">
        <v>3786</v>
      </c>
      <c r="E38" t="s">
        <v>1649</v>
      </c>
      <c r="F38">
        <v>1</v>
      </c>
      <c r="G38">
        <v>5</v>
      </c>
      <c r="H38" t="s">
        <v>3750</v>
      </c>
      <c r="I38" t="s">
        <v>7911</v>
      </c>
      <c r="J38" t="s">
        <v>3457</v>
      </c>
      <c r="K38" t="s">
        <v>7909</v>
      </c>
      <c r="L38" t="s">
        <v>7912</v>
      </c>
      <c r="N38" t="s">
        <v>8062</v>
      </c>
    </row>
    <row r="39" spans="1:14" x14ac:dyDescent="0.25">
      <c r="A39" t="s">
        <v>3950</v>
      </c>
      <c r="B39" t="s">
        <v>222</v>
      </c>
      <c r="C39" t="s">
        <v>3775</v>
      </c>
      <c r="D39" t="s">
        <v>3742</v>
      </c>
      <c r="E39" t="s">
        <v>1649</v>
      </c>
      <c r="F39">
        <v>1</v>
      </c>
      <c r="G39">
        <v>5</v>
      </c>
      <c r="H39" t="s">
        <v>3750</v>
      </c>
      <c r="I39" t="s">
        <v>3951</v>
      </c>
      <c r="J39" t="s">
        <v>3457</v>
      </c>
      <c r="K39" t="s">
        <v>3950</v>
      </c>
      <c r="N39" t="s">
        <v>8062</v>
      </c>
    </row>
    <row r="40" spans="1:14" x14ac:dyDescent="0.25">
      <c r="A40" t="s">
        <v>7428</v>
      </c>
      <c r="B40" t="s">
        <v>222</v>
      </c>
      <c r="C40" t="s">
        <v>3775</v>
      </c>
      <c r="D40" t="s">
        <v>3791</v>
      </c>
      <c r="E40" t="s">
        <v>1649</v>
      </c>
      <c r="F40">
        <v>1</v>
      </c>
      <c r="G40">
        <v>5</v>
      </c>
      <c r="H40" t="s">
        <v>7468</v>
      </c>
      <c r="I40" t="s">
        <v>8094</v>
      </c>
      <c r="J40" t="s">
        <v>7457</v>
      </c>
      <c r="K40" t="s">
        <v>7469</v>
      </c>
      <c r="L40" t="s">
        <v>3862</v>
      </c>
      <c r="M40">
        <v>3</v>
      </c>
      <c r="N40" t="s">
        <v>8062</v>
      </c>
    </row>
    <row r="41" spans="1:14" x14ac:dyDescent="0.25">
      <c r="A41" t="s">
        <v>3952</v>
      </c>
      <c r="B41" t="s">
        <v>222</v>
      </c>
      <c r="C41" t="s">
        <v>3775</v>
      </c>
      <c r="D41" t="s">
        <v>3897</v>
      </c>
      <c r="E41" t="s">
        <v>1649</v>
      </c>
      <c r="F41">
        <v>1</v>
      </c>
      <c r="G41">
        <v>5</v>
      </c>
      <c r="H41" t="s">
        <v>3754</v>
      </c>
      <c r="I41" t="s">
        <v>3953</v>
      </c>
      <c r="J41" t="s">
        <v>7462</v>
      </c>
      <c r="K41" t="s">
        <v>3954</v>
      </c>
      <c r="N41" t="s">
        <v>8062</v>
      </c>
    </row>
    <row r="42" spans="1:14" x14ac:dyDescent="0.25">
      <c r="A42" t="s">
        <v>3955</v>
      </c>
      <c r="B42" t="s">
        <v>222</v>
      </c>
      <c r="C42" t="s">
        <v>3775</v>
      </c>
      <c r="D42" t="s">
        <v>3742</v>
      </c>
      <c r="E42" t="s">
        <v>1649</v>
      </c>
      <c r="F42">
        <v>1</v>
      </c>
      <c r="G42">
        <v>5</v>
      </c>
      <c r="H42" t="s">
        <v>3750</v>
      </c>
      <c r="I42" t="s">
        <v>3956</v>
      </c>
      <c r="J42" t="s">
        <v>3457</v>
      </c>
      <c r="K42" t="s">
        <v>3955</v>
      </c>
      <c r="L42" t="s">
        <v>3862</v>
      </c>
      <c r="N42" t="s">
        <v>8062</v>
      </c>
    </row>
    <row r="43" spans="1:14" x14ac:dyDescent="0.25">
      <c r="A43" t="s">
        <v>3957</v>
      </c>
      <c r="B43" t="s">
        <v>222</v>
      </c>
      <c r="C43" t="s">
        <v>3789</v>
      </c>
      <c r="D43" t="s">
        <v>3958</v>
      </c>
      <c r="E43" t="s">
        <v>1649</v>
      </c>
      <c r="F43">
        <v>1</v>
      </c>
      <c r="G43">
        <v>7</v>
      </c>
      <c r="H43" t="s">
        <v>3837</v>
      </c>
      <c r="I43" t="s">
        <v>3959</v>
      </c>
      <c r="J43" t="s">
        <v>7379</v>
      </c>
      <c r="K43" t="s">
        <v>3960</v>
      </c>
      <c r="N43" t="s">
        <v>8062</v>
      </c>
    </row>
    <row r="44" spans="1:14" x14ac:dyDescent="0.25">
      <c r="A44" t="s">
        <v>3961</v>
      </c>
      <c r="B44" t="s">
        <v>222</v>
      </c>
      <c r="C44" t="s">
        <v>3789</v>
      </c>
      <c r="D44" t="s">
        <v>3791</v>
      </c>
      <c r="E44" t="s">
        <v>1649</v>
      </c>
      <c r="F44">
        <v>1</v>
      </c>
      <c r="G44">
        <v>7</v>
      </c>
      <c r="H44" t="s">
        <v>3754</v>
      </c>
      <c r="I44" t="s">
        <v>3962</v>
      </c>
      <c r="J44" t="s">
        <v>7449</v>
      </c>
      <c r="K44" t="s">
        <v>3963</v>
      </c>
      <c r="N44" t="s">
        <v>8062</v>
      </c>
    </row>
    <row r="45" spans="1:14" x14ac:dyDescent="0.25">
      <c r="A45" t="s">
        <v>3964</v>
      </c>
      <c r="B45" t="s">
        <v>222</v>
      </c>
      <c r="C45" t="s">
        <v>3909</v>
      </c>
      <c r="D45" t="s">
        <v>3791</v>
      </c>
      <c r="E45" t="s">
        <v>1649</v>
      </c>
      <c r="F45">
        <v>1</v>
      </c>
      <c r="G45">
        <v>9</v>
      </c>
      <c r="H45" t="s">
        <v>3743</v>
      </c>
      <c r="I45" t="s">
        <v>8068</v>
      </c>
      <c r="J45" t="s">
        <v>3457</v>
      </c>
      <c r="K45" t="s">
        <v>3965</v>
      </c>
      <c r="L45" t="s">
        <v>3966</v>
      </c>
      <c r="N45" t="s">
        <v>8062</v>
      </c>
    </row>
    <row r="46" spans="1:14" x14ac:dyDescent="0.25">
      <c r="A46" t="s">
        <v>3967</v>
      </c>
      <c r="B46" t="s">
        <v>179</v>
      </c>
      <c r="C46" t="s">
        <v>3741</v>
      </c>
      <c r="D46" t="s">
        <v>3742</v>
      </c>
      <c r="E46" t="s">
        <v>689</v>
      </c>
      <c r="F46">
        <v>1</v>
      </c>
      <c r="G46">
        <v>3</v>
      </c>
      <c r="H46" t="s">
        <v>3831</v>
      </c>
      <c r="I46" t="s">
        <v>8073</v>
      </c>
      <c r="J46" t="s">
        <v>3457</v>
      </c>
      <c r="K46" t="s">
        <v>3967</v>
      </c>
      <c r="N46" t="s">
        <v>8063</v>
      </c>
    </row>
    <row r="47" spans="1:14" x14ac:dyDescent="0.25">
      <c r="A47" t="s">
        <v>3968</v>
      </c>
      <c r="B47" t="s">
        <v>179</v>
      </c>
      <c r="C47" t="s">
        <v>3775</v>
      </c>
      <c r="D47" t="s">
        <v>3742</v>
      </c>
      <c r="E47" t="s">
        <v>689</v>
      </c>
      <c r="F47">
        <v>1</v>
      </c>
      <c r="G47">
        <v>5</v>
      </c>
      <c r="H47" t="s">
        <v>3831</v>
      </c>
      <c r="I47" t="s">
        <v>8073</v>
      </c>
      <c r="J47" t="s">
        <v>3457</v>
      </c>
      <c r="K47" t="s">
        <v>3969</v>
      </c>
      <c r="N47" t="s">
        <v>8063</v>
      </c>
    </row>
    <row r="48" spans="1:14" x14ac:dyDescent="0.25">
      <c r="A48" t="s">
        <v>3970</v>
      </c>
      <c r="B48" t="s">
        <v>179</v>
      </c>
      <c r="C48" t="s">
        <v>3789</v>
      </c>
      <c r="D48" t="s">
        <v>3786</v>
      </c>
      <c r="E48" t="s">
        <v>2154</v>
      </c>
      <c r="F48">
        <v>1</v>
      </c>
      <c r="G48">
        <v>7</v>
      </c>
      <c r="H48" t="s">
        <v>3743</v>
      </c>
      <c r="I48" t="s">
        <v>3971</v>
      </c>
      <c r="J48" t="s">
        <v>7455</v>
      </c>
      <c r="K48" t="s">
        <v>3970</v>
      </c>
      <c r="N48" t="s">
        <v>8062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7382</v>
      </c>
      <c r="D1" t="s">
        <v>3452</v>
      </c>
      <c r="E1" t="s">
        <v>3495</v>
      </c>
    </row>
    <row r="2" spans="1:5" x14ac:dyDescent="0.25">
      <c r="A2" t="s">
        <v>7441</v>
      </c>
      <c r="B2" t="s">
        <v>7412</v>
      </c>
      <c r="C2" t="s">
        <v>7443</v>
      </c>
      <c r="D2" t="s">
        <v>7442</v>
      </c>
      <c r="E2" t="s">
        <v>8002</v>
      </c>
    </row>
    <row r="3" spans="1:5" x14ac:dyDescent="0.25">
      <c r="A3" t="s">
        <v>7470</v>
      </c>
      <c r="B3" t="s">
        <v>3679</v>
      </c>
      <c r="C3" t="s">
        <v>3457</v>
      </c>
      <c r="D3" t="s">
        <v>7471</v>
      </c>
      <c r="E3" t="s">
        <v>8003</v>
      </c>
    </row>
    <row r="4" spans="1:5" x14ac:dyDescent="0.25">
      <c r="A4" t="s">
        <v>7431</v>
      </c>
      <c r="B4" t="s">
        <v>3982</v>
      </c>
      <c r="C4" t="s">
        <v>7395</v>
      </c>
      <c r="D4" t="s">
        <v>7434</v>
      </c>
      <c r="E4" t="s">
        <v>8004</v>
      </c>
    </row>
    <row r="5" spans="1:5" x14ac:dyDescent="0.25">
      <c r="A5" t="s">
        <v>7401</v>
      </c>
      <c r="B5" t="s">
        <v>5285</v>
      </c>
      <c r="C5" t="s">
        <v>7390</v>
      </c>
      <c r="D5" t="s">
        <v>7403</v>
      </c>
      <c r="E5" t="s">
        <v>8005</v>
      </c>
    </row>
    <row r="6" spans="1:5" x14ac:dyDescent="0.25">
      <c r="A6" t="s">
        <v>7396</v>
      </c>
      <c r="B6" t="s">
        <v>5721</v>
      </c>
      <c r="C6" t="s">
        <v>7389</v>
      </c>
      <c r="D6" t="s">
        <v>7410</v>
      </c>
      <c r="E6" t="s">
        <v>8006</v>
      </c>
    </row>
    <row r="7" spans="1:5" x14ac:dyDescent="0.25">
      <c r="A7" t="s">
        <v>7447</v>
      </c>
      <c r="B7" t="s">
        <v>5721</v>
      </c>
      <c r="C7" t="s">
        <v>3457</v>
      </c>
      <c r="D7" t="s">
        <v>7461</v>
      </c>
      <c r="E7" t="s">
        <v>8007</v>
      </c>
    </row>
    <row r="8" spans="1:5" x14ac:dyDescent="0.25">
      <c r="A8" t="s">
        <v>7693</v>
      </c>
      <c r="B8" t="s">
        <v>5721</v>
      </c>
      <c r="C8" t="s">
        <v>7694</v>
      </c>
      <c r="D8" t="s">
        <v>7695</v>
      </c>
      <c r="E8" t="s">
        <v>8008</v>
      </c>
    </row>
    <row r="9" spans="1:5" x14ac:dyDescent="0.25">
      <c r="A9" t="s">
        <v>7696</v>
      </c>
      <c r="B9" t="s">
        <v>7383</v>
      </c>
      <c r="C9" t="s">
        <v>7385</v>
      </c>
      <c r="D9" t="s">
        <v>7697</v>
      </c>
      <c r="E9" t="s">
        <v>8009</v>
      </c>
    </row>
    <row r="10" spans="1:5" x14ac:dyDescent="0.25">
      <c r="A10" t="s">
        <v>5201</v>
      </c>
      <c r="B10" t="s">
        <v>7412</v>
      </c>
      <c r="C10" t="s">
        <v>7389</v>
      </c>
      <c r="D10" t="s">
        <v>7413</v>
      </c>
      <c r="E10" t="s">
        <v>8010</v>
      </c>
    </row>
    <row r="11" spans="1:5" x14ac:dyDescent="0.25">
      <c r="A11" t="s">
        <v>7387</v>
      </c>
      <c r="B11" t="s">
        <v>7388</v>
      </c>
      <c r="C11" t="s">
        <v>3457</v>
      </c>
      <c r="D11" t="s">
        <v>7420</v>
      </c>
      <c r="E11" t="s">
        <v>8011</v>
      </c>
    </row>
    <row r="12" spans="1:5" x14ac:dyDescent="0.25">
      <c r="A12" t="s">
        <v>1322</v>
      </c>
      <c r="B12" t="s">
        <v>3982</v>
      </c>
      <c r="C12" t="s">
        <v>7390</v>
      </c>
      <c r="D12" t="s">
        <v>7418</v>
      </c>
      <c r="E12" t="s">
        <v>8012</v>
      </c>
    </row>
    <row r="13" spans="1:5" x14ac:dyDescent="0.25">
      <c r="A13" t="s">
        <v>7409</v>
      </c>
      <c r="B13" t="s">
        <v>5721</v>
      </c>
      <c r="C13" t="s">
        <v>7389</v>
      </c>
      <c r="D13" t="s">
        <v>7472</v>
      </c>
      <c r="E13" t="s">
        <v>8013</v>
      </c>
    </row>
    <row r="14" spans="1:5" x14ac:dyDescent="0.25">
      <c r="A14" t="s">
        <v>7424</v>
      </c>
      <c r="B14" t="s">
        <v>7412</v>
      </c>
      <c r="C14" t="s">
        <v>3457</v>
      </c>
      <c r="D14" t="s">
        <v>7425</v>
      </c>
      <c r="E14" t="s">
        <v>8014</v>
      </c>
    </row>
    <row r="15" spans="1:5" x14ac:dyDescent="0.25">
      <c r="A15" t="s">
        <v>7422</v>
      </c>
      <c r="B15" t="s">
        <v>7383</v>
      </c>
      <c r="C15" t="s">
        <v>7385</v>
      </c>
      <c r="D15" t="s">
        <v>7423</v>
      </c>
      <c r="E15" t="s">
        <v>8015</v>
      </c>
    </row>
    <row r="16" spans="1:5" x14ac:dyDescent="0.25">
      <c r="A16" t="s">
        <v>7405</v>
      </c>
      <c r="B16" t="s">
        <v>3679</v>
      </c>
      <c r="C16" t="s">
        <v>3457</v>
      </c>
      <c r="D16" t="s">
        <v>7407</v>
      </c>
      <c r="E16" t="s">
        <v>8016</v>
      </c>
    </row>
    <row r="17" spans="1:5" x14ac:dyDescent="0.25">
      <c r="A17" t="s">
        <v>7451</v>
      </c>
      <c r="B17" t="s">
        <v>5721</v>
      </c>
      <c r="C17" t="s">
        <v>7395</v>
      </c>
      <c r="D17" t="s">
        <v>7452</v>
      </c>
      <c r="E17" t="s">
        <v>8017</v>
      </c>
    </row>
    <row r="18" spans="1:5" x14ac:dyDescent="0.25">
      <c r="A18" t="s">
        <v>7397</v>
      </c>
      <c r="B18" t="s">
        <v>3982</v>
      </c>
      <c r="C18" t="s">
        <v>3457</v>
      </c>
      <c r="D18" t="s">
        <v>7415</v>
      </c>
      <c r="E18" t="s">
        <v>8018</v>
      </c>
    </row>
    <row r="19" spans="1:5" x14ac:dyDescent="0.25">
      <c r="A19" t="s">
        <v>7411</v>
      </c>
      <c r="B19" t="s">
        <v>5721</v>
      </c>
      <c r="C19" t="s">
        <v>3457</v>
      </c>
      <c r="D19" t="s">
        <v>7473</v>
      </c>
      <c r="E19" t="s">
        <v>8019</v>
      </c>
    </row>
    <row r="20" spans="1:5" x14ac:dyDescent="0.25">
      <c r="A20" t="s">
        <v>7393</v>
      </c>
      <c r="B20" t="s">
        <v>5285</v>
      </c>
      <c r="C20" t="s">
        <v>7395</v>
      </c>
      <c r="D20" t="s">
        <v>7394</v>
      </c>
      <c r="E20" t="s">
        <v>8020</v>
      </c>
    </row>
    <row r="21" spans="1:5" x14ac:dyDescent="0.25">
      <c r="A21" t="s">
        <v>7386</v>
      </c>
      <c r="B21" t="s">
        <v>7383</v>
      </c>
      <c r="C21" t="s">
        <v>7389</v>
      </c>
      <c r="D21" t="s">
        <v>7417</v>
      </c>
      <c r="E21" t="s">
        <v>8021</v>
      </c>
    </row>
    <row r="22" spans="1:5" x14ac:dyDescent="0.25">
      <c r="A22" t="s">
        <v>7384</v>
      </c>
      <c r="B22" t="s">
        <v>7383</v>
      </c>
      <c r="C22" t="s">
        <v>7385</v>
      </c>
      <c r="D22" t="s">
        <v>7419</v>
      </c>
      <c r="E22" t="s">
        <v>8022</v>
      </c>
    </row>
    <row r="23" spans="1:5" x14ac:dyDescent="0.25">
      <c r="A23" t="s">
        <v>7400</v>
      </c>
      <c r="B23" t="s">
        <v>3679</v>
      </c>
      <c r="C23" t="s">
        <v>3457</v>
      </c>
      <c r="D23" t="s">
        <v>7414</v>
      </c>
      <c r="E23" t="s">
        <v>8023</v>
      </c>
    </row>
    <row r="24" spans="1:5" x14ac:dyDescent="0.25">
      <c r="A24" t="s">
        <v>5448</v>
      </c>
      <c r="B24" t="s">
        <v>5721</v>
      </c>
      <c r="C24" t="s">
        <v>7381</v>
      </c>
      <c r="D24" t="s">
        <v>7406</v>
      </c>
      <c r="E24" t="s">
        <v>8024</v>
      </c>
    </row>
    <row r="25" spans="1:5" x14ac:dyDescent="0.25">
      <c r="A25" t="s">
        <v>5261</v>
      </c>
      <c r="B25" t="s">
        <v>5285</v>
      </c>
      <c r="C25" t="s">
        <v>3457</v>
      </c>
      <c r="D25" t="s">
        <v>7402</v>
      </c>
      <c r="E25" t="s">
        <v>8025</v>
      </c>
    </row>
    <row r="26" spans="1:5" x14ac:dyDescent="0.25">
      <c r="A26" t="s">
        <v>7449</v>
      </c>
      <c r="B26" t="s">
        <v>5721</v>
      </c>
      <c r="C26" t="s">
        <v>3457</v>
      </c>
      <c r="D26" t="s">
        <v>7460</v>
      </c>
      <c r="E26" t="s">
        <v>8026</v>
      </c>
    </row>
    <row r="27" spans="1:5" x14ac:dyDescent="0.25">
      <c r="A27" t="s">
        <v>5275</v>
      </c>
      <c r="B27" t="s">
        <v>7412</v>
      </c>
      <c r="C27" t="s">
        <v>7385</v>
      </c>
      <c r="D27" t="s">
        <v>7392</v>
      </c>
      <c r="E27" t="s">
        <v>8027</v>
      </c>
    </row>
    <row r="28" spans="1:5" x14ac:dyDescent="0.25">
      <c r="A28" t="s">
        <v>7391</v>
      </c>
      <c r="B28" t="s">
        <v>3982</v>
      </c>
      <c r="C28" t="s">
        <v>7390</v>
      </c>
      <c r="D28" t="s">
        <v>7416</v>
      </c>
      <c r="E28" t="s">
        <v>8028</v>
      </c>
    </row>
    <row r="29" spans="1:5" x14ac:dyDescent="0.25">
      <c r="A29" t="s">
        <v>7399</v>
      </c>
      <c r="B29" t="s">
        <v>5285</v>
      </c>
      <c r="C29" t="s">
        <v>7398</v>
      </c>
      <c r="D29" t="s">
        <v>7474</v>
      </c>
      <c r="E29" t="s">
        <v>8029</v>
      </c>
    </row>
    <row r="30" spans="1:5" x14ac:dyDescent="0.25">
      <c r="A30" t="s">
        <v>7379</v>
      </c>
      <c r="B30" t="s">
        <v>3679</v>
      </c>
      <c r="C30" t="s">
        <v>3457</v>
      </c>
      <c r="D30" t="s">
        <v>7380</v>
      </c>
      <c r="E30" t="s">
        <v>8030</v>
      </c>
    </row>
    <row r="31" spans="1:5" x14ac:dyDescent="0.25">
      <c r="A31" t="s">
        <v>7429</v>
      </c>
      <c r="B31" t="s">
        <v>7412</v>
      </c>
      <c r="C31" t="s">
        <v>7389</v>
      </c>
      <c r="D31" t="s">
        <v>7430</v>
      </c>
      <c r="E31" t="s">
        <v>8031</v>
      </c>
    </row>
    <row r="32" spans="1:5" x14ac:dyDescent="0.25">
      <c r="A32" t="s">
        <v>7974</v>
      </c>
      <c r="B32" t="s">
        <v>7412</v>
      </c>
      <c r="C32" t="s">
        <v>3457</v>
      </c>
      <c r="D32" t="s">
        <v>7975</v>
      </c>
      <c r="E32" t="s">
        <v>8032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3972</v>
      </c>
      <c r="E1" t="s">
        <v>3973</v>
      </c>
      <c r="F1" t="s">
        <v>3974</v>
      </c>
      <c r="G1" t="s">
        <v>3975</v>
      </c>
      <c r="H1" t="s">
        <v>3976</v>
      </c>
      <c r="I1" t="s">
        <v>3977</v>
      </c>
      <c r="J1" t="s">
        <v>3978</v>
      </c>
      <c r="K1" t="s">
        <v>3979</v>
      </c>
      <c r="L1" t="s">
        <v>3980</v>
      </c>
      <c r="M1" t="s">
        <v>7</v>
      </c>
    </row>
    <row r="2" spans="1:13" x14ac:dyDescent="0.25">
      <c r="A2" t="s">
        <v>4001</v>
      </c>
      <c r="B2" t="s">
        <v>3991</v>
      </c>
      <c r="C2" t="s">
        <v>501</v>
      </c>
      <c r="D2" t="s">
        <v>8095</v>
      </c>
      <c r="E2" t="s">
        <v>4002</v>
      </c>
      <c r="F2" t="s">
        <v>8096</v>
      </c>
      <c r="G2" t="s">
        <v>4003</v>
      </c>
      <c r="H2" t="s">
        <v>4004</v>
      </c>
      <c r="I2" t="s">
        <v>3995</v>
      </c>
      <c r="J2" t="s">
        <v>187</v>
      </c>
      <c r="K2" t="s">
        <v>4005</v>
      </c>
      <c r="L2" t="s">
        <v>4006</v>
      </c>
      <c r="M2" t="s">
        <v>4001</v>
      </c>
    </row>
    <row r="3" spans="1:13" x14ac:dyDescent="0.25">
      <c r="A3" t="s">
        <v>3998</v>
      </c>
      <c r="B3" t="s">
        <v>3982</v>
      </c>
      <c r="C3" t="s">
        <v>90</v>
      </c>
      <c r="D3" t="s">
        <v>8097</v>
      </c>
      <c r="E3" t="s">
        <v>7479</v>
      </c>
      <c r="F3" t="s">
        <v>8098</v>
      </c>
      <c r="G3" t="s">
        <v>7480</v>
      </c>
      <c r="H3" t="s">
        <v>3999</v>
      </c>
      <c r="I3" t="s">
        <v>3457</v>
      </c>
      <c r="J3" t="s">
        <v>187</v>
      </c>
      <c r="K3" t="s">
        <v>4000</v>
      </c>
      <c r="L3" t="s">
        <v>3985</v>
      </c>
      <c r="M3" t="s">
        <v>3998</v>
      </c>
    </row>
    <row r="4" spans="1:13" x14ac:dyDescent="0.25">
      <c r="A4" t="s">
        <v>3990</v>
      </c>
      <c r="B4" t="s">
        <v>3991</v>
      </c>
      <c r="C4" t="s">
        <v>1649</v>
      </c>
      <c r="D4" t="s">
        <v>8099</v>
      </c>
      <c r="E4" t="s">
        <v>3992</v>
      </c>
      <c r="F4" t="s">
        <v>8100</v>
      </c>
      <c r="G4" t="s">
        <v>3993</v>
      </c>
      <c r="H4" t="s">
        <v>3994</v>
      </c>
      <c r="I4" t="s">
        <v>3995</v>
      </c>
      <c r="J4" t="s">
        <v>3996</v>
      </c>
      <c r="K4" t="s">
        <v>3997</v>
      </c>
      <c r="L4" t="s">
        <v>3985</v>
      </c>
      <c r="M4" t="s">
        <v>3990</v>
      </c>
    </row>
    <row r="5" spans="1:13" x14ac:dyDescent="0.25">
      <c r="A5" t="s">
        <v>3986</v>
      </c>
      <c r="B5" t="s">
        <v>3982</v>
      </c>
      <c r="C5" t="s">
        <v>1649</v>
      </c>
      <c r="D5" t="s">
        <v>8033</v>
      </c>
      <c r="E5" t="s">
        <v>3987</v>
      </c>
      <c r="F5" t="s">
        <v>8101</v>
      </c>
      <c r="G5" t="s">
        <v>8102</v>
      </c>
      <c r="H5" t="s">
        <v>3988</v>
      </c>
      <c r="I5" t="s">
        <v>3457</v>
      </c>
      <c r="J5" t="s">
        <v>187</v>
      </c>
      <c r="K5" t="s">
        <v>3989</v>
      </c>
      <c r="L5" t="s">
        <v>3985</v>
      </c>
      <c r="M5" t="s">
        <v>3986</v>
      </c>
    </row>
    <row r="6" spans="1:13" x14ac:dyDescent="0.25">
      <c r="A6" t="s">
        <v>3981</v>
      </c>
      <c r="B6" t="s">
        <v>3982</v>
      </c>
      <c r="C6" t="s">
        <v>90</v>
      </c>
      <c r="D6" t="s">
        <v>7674</v>
      </c>
      <c r="E6" t="s">
        <v>7481</v>
      </c>
      <c r="F6" t="s">
        <v>8103</v>
      </c>
      <c r="G6" t="s">
        <v>7482</v>
      </c>
      <c r="H6" t="s">
        <v>3983</v>
      </c>
      <c r="I6" t="s">
        <v>3457</v>
      </c>
      <c r="J6" t="s">
        <v>187</v>
      </c>
      <c r="K6" t="s">
        <v>3984</v>
      </c>
      <c r="L6" t="s">
        <v>3985</v>
      </c>
      <c r="M6" t="s">
        <v>3981</v>
      </c>
    </row>
    <row r="7" spans="1:13" x14ac:dyDescent="0.25">
      <c r="A7" t="s">
        <v>5150</v>
      </c>
      <c r="B7" t="s">
        <v>3991</v>
      </c>
      <c r="C7" t="s">
        <v>1649</v>
      </c>
      <c r="D7" t="s">
        <v>8104</v>
      </c>
      <c r="E7" t="s">
        <v>7637</v>
      </c>
      <c r="F7" t="s">
        <v>8105</v>
      </c>
      <c r="G7" t="s">
        <v>7638</v>
      </c>
      <c r="H7" t="s">
        <v>7619</v>
      </c>
      <c r="I7" t="s">
        <v>7620</v>
      </c>
      <c r="J7" t="s">
        <v>187</v>
      </c>
      <c r="K7" t="s">
        <v>7639</v>
      </c>
      <c r="L7" t="s">
        <v>3985</v>
      </c>
      <c r="M7" t="s">
        <v>5150</v>
      </c>
    </row>
    <row r="8" spans="1:13" x14ac:dyDescent="0.25">
      <c r="A8" t="s">
        <v>5279</v>
      </c>
      <c r="B8" t="s">
        <v>3991</v>
      </c>
      <c r="C8" t="s">
        <v>90</v>
      </c>
      <c r="D8" t="s">
        <v>7640</v>
      </c>
      <c r="E8" t="s">
        <v>7641</v>
      </c>
      <c r="F8" t="s">
        <v>7703</v>
      </c>
      <c r="G8" t="s">
        <v>7642</v>
      </c>
      <c r="H8" t="s">
        <v>7617</v>
      </c>
      <c r="I8" t="s">
        <v>7616</v>
      </c>
      <c r="J8" t="s">
        <v>187</v>
      </c>
      <c r="K8" t="s">
        <v>7643</v>
      </c>
      <c r="L8" t="s">
        <v>3985</v>
      </c>
      <c r="M8" t="s">
        <v>5279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7794</v>
      </c>
      <c r="B6" t="s">
        <v>2698</v>
      </c>
      <c r="C6" t="s">
        <v>39</v>
      </c>
      <c r="F6" t="s">
        <v>40</v>
      </c>
      <c r="G6" t="s">
        <v>41</v>
      </c>
      <c r="H6" t="s">
        <v>7795</v>
      </c>
      <c r="O6" t="s">
        <v>7796</v>
      </c>
      <c r="R6" t="s">
        <v>7797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7791</v>
      </c>
      <c r="B9" t="s">
        <v>2698</v>
      </c>
      <c r="C9" t="s">
        <v>39</v>
      </c>
      <c r="F9" t="s">
        <v>40</v>
      </c>
      <c r="G9" t="s">
        <v>3501</v>
      </c>
      <c r="H9" t="s">
        <v>7792</v>
      </c>
      <c r="J9" t="s">
        <v>7793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7778</v>
      </c>
      <c r="B11" t="s">
        <v>38</v>
      </c>
      <c r="C11" t="s">
        <v>39</v>
      </c>
      <c r="E11" t="s">
        <v>7779</v>
      </c>
      <c r="F11" t="s">
        <v>40</v>
      </c>
      <c r="G11" t="s">
        <v>41</v>
      </c>
      <c r="H11" t="s">
        <v>7780</v>
      </c>
      <c r="I11" t="s">
        <v>7781</v>
      </c>
      <c r="O11" t="s">
        <v>7782</v>
      </c>
      <c r="Q11" t="s">
        <v>7783</v>
      </c>
      <c r="R11" t="s">
        <v>7784</v>
      </c>
      <c r="S11" t="s">
        <v>7785</v>
      </c>
      <c r="U11" t="s">
        <v>7786</v>
      </c>
      <c r="V11" t="s">
        <v>7787</v>
      </c>
      <c r="W11" t="s">
        <v>7788</v>
      </c>
      <c r="Y11" t="s">
        <v>7789</v>
      </c>
      <c r="Z11" t="s">
        <v>7790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7808</v>
      </c>
      <c r="B14" t="s">
        <v>90</v>
      </c>
      <c r="C14" t="s">
        <v>39</v>
      </c>
      <c r="E14" t="s">
        <v>7809</v>
      </c>
      <c r="F14" t="s">
        <v>40</v>
      </c>
      <c r="G14" t="s">
        <v>41</v>
      </c>
      <c r="H14" t="s">
        <v>7810</v>
      </c>
      <c r="I14" t="s">
        <v>7811</v>
      </c>
      <c r="O14" t="s">
        <v>7812</v>
      </c>
      <c r="Q14" t="s">
        <v>7813</v>
      </c>
      <c r="R14" t="s">
        <v>7814</v>
      </c>
      <c r="S14" t="s">
        <v>7815</v>
      </c>
      <c r="U14" t="s">
        <v>7813</v>
      </c>
      <c r="V14" t="s">
        <v>7816</v>
      </c>
      <c r="W14" t="s">
        <v>7817</v>
      </c>
      <c r="Y14" t="s">
        <v>7813</v>
      </c>
      <c r="Z14" t="s">
        <v>7818</v>
      </c>
      <c r="AA14" t="s">
        <v>99</v>
      </c>
      <c r="AC14" t="s">
        <v>7819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7798</v>
      </c>
      <c r="B16" t="s">
        <v>90</v>
      </c>
      <c r="C16" t="s">
        <v>39</v>
      </c>
      <c r="E16" t="s">
        <v>7799</v>
      </c>
      <c r="F16" t="s">
        <v>40</v>
      </c>
      <c r="G16" t="s">
        <v>41</v>
      </c>
      <c r="H16" t="s">
        <v>7800</v>
      </c>
      <c r="I16" t="s">
        <v>7801</v>
      </c>
      <c r="O16" t="s">
        <v>7785</v>
      </c>
      <c r="Q16" t="s">
        <v>7802</v>
      </c>
      <c r="R16" t="s">
        <v>7787</v>
      </c>
      <c r="S16" t="s">
        <v>7782</v>
      </c>
      <c r="U16" t="s">
        <v>7803</v>
      </c>
      <c r="V16" t="s">
        <v>7784</v>
      </c>
      <c r="W16" t="s">
        <v>7804</v>
      </c>
      <c r="Y16" t="s">
        <v>7805</v>
      </c>
      <c r="Z16" t="s">
        <v>7806</v>
      </c>
      <c r="AA16" t="s">
        <v>5721</v>
      </c>
      <c r="AC16" t="s">
        <v>7807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3452</v>
      </c>
      <c r="E1" t="s">
        <v>3495</v>
      </c>
      <c r="F1" t="s">
        <v>170</v>
      </c>
      <c r="G1" t="s">
        <v>1</v>
      </c>
      <c r="H1" t="s">
        <v>7</v>
      </c>
      <c r="I1" t="s">
        <v>7492</v>
      </c>
    </row>
    <row r="2" spans="1:9" x14ac:dyDescent="0.25">
      <c r="A2" t="s">
        <v>7524</v>
      </c>
      <c r="B2" t="s">
        <v>3513</v>
      </c>
      <c r="C2" t="s">
        <v>4507</v>
      </c>
      <c r="D2" t="s">
        <v>7525</v>
      </c>
      <c r="E2" t="s">
        <v>7535</v>
      </c>
      <c r="G2" t="s">
        <v>2619</v>
      </c>
      <c r="H2" t="s">
        <v>7536</v>
      </c>
      <c r="I2" t="s">
        <v>7507</v>
      </c>
    </row>
    <row r="3" spans="1:9" x14ac:dyDescent="0.25">
      <c r="A3" t="s">
        <v>7503</v>
      </c>
      <c r="B3" t="s">
        <v>3513</v>
      </c>
      <c r="C3" t="s">
        <v>4507</v>
      </c>
      <c r="D3" t="s">
        <v>7505</v>
      </c>
      <c r="E3" t="s">
        <v>7529</v>
      </c>
      <c r="F3" t="s">
        <v>8309</v>
      </c>
      <c r="G3" t="s">
        <v>160</v>
      </c>
      <c r="H3" t="s">
        <v>7504</v>
      </c>
      <c r="I3" t="s">
        <v>7494</v>
      </c>
    </row>
    <row r="4" spans="1:9" x14ac:dyDescent="0.25">
      <c r="A4" t="s">
        <v>7508</v>
      </c>
      <c r="B4" t="s">
        <v>3501</v>
      </c>
      <c r="C4" t="s">
        <v>4507</v>
      </c>
      <c r="D4" t="s">
        <v>7509</v>
      </c>
      <c r="E4" t="s">
        <v>7530</v>
      </c>
      <c r="F4" t="s">
        <v>8310</v>
      </c>
      <c r="G4" t="s">
        <v>160</v>
      </c>
      <c r="H4" t="s">
        <v>7513</v>
      </c>
      <c r="I4" t="s">
        <v>7507</v>
      </c>
    </row>
    <row r="5" spans="1:9" x14ac:dyDescent="0.25">
      <c r="A5" t="s">
        <v>7510</v>
      </c>
      <c r="B5" t="s">
        <v>3501</v>
      </c>
      <c r="C5" t="s">
        <v>4507</v>
      </c>
      <c r="D5" t="s">
        <v>7511</v>
      </c>
      <c r="E5" t="s">
        <v>7531</v>
      </c>
      <c r="F5" t="s">
        <v>8310</v>
      </c>
      <c r="G5" t="s">
        <v>160</v>
      </c>
      <c r="H5" t="s">
        <v>7512</v>
      </c>
      <c r="I5" t="s">
        <v>7507</v>
      </c>
    </row>
    <row r="6" spans="1:9" x14ac:dyDescent="0.25">
      <c r="A6" t="s">
        <v>7514</v>
      </c>
      <c r="B6" t="s">
        <v>3501</v>
      </c>
      <c r="C6" t="s">
        <v>4507</v>
      </c>
      <c r="D6" t="s">
        <v>7516</v>
      </c>
      <c r="E6" t="s">
        <v>7532</v>
      </c>
      <c r="F6" t="s">
        <v>8310</v>
      </c>
      <c r="G6" t="s">
        <v>160</v>
      </c>
      <c r="H6" t="s">
        <v>7515</v>
      </c>
      <c r="I6" t="s">
        <v>7507</v>
      </c>
    </row>
    <row r="7" spans="1:9" x14ac:dyDescent="0.25">
      <c r="A7" t="s">
        <v>7520</v>
      </c>
      <c r="B7" t="s">
        <v>3501</v>
      </c>
      <c r="C7" t="s">
        <v>4507</v>
      </c>
      <c r="D7" t="s">
        <v>7521</v>
      </c>
      <c r="E7" t="s">
        <v>7534</v>
      </c>
      <c r="G7" t="s">
        <v>2619</v>
      </c>
      <c r="H7" t="s">
        <v>7522</v>
      </c>
      <c r="I7" t="s">
        <v>7523</v>
      </c>
    </row>
    <row r="8" spans="1:9" x14ac:dyDescent="0.25">
      <c r="A8" t="s">
        <v>3520</v>
      </c>
      <c r="B8" t="s">
        <v>3501</v>
      </c>
      <c r="C8" t="s">
        <v>3522</v>
      </c>
      <c r="D8" t="s">
        <v>8235</v>
      </c>
      <c r="E8" t="s">
        <v>8186</v>
      </c>
      <c r="G8" t="s">
        <v>90</v>
      </c>
      <c r="H8" t="s">
        <v>3520</v>
      </c>
      <c r="I8" t="s">
        <v>7493</v>
      </c>
    </row>
    <row r="9" spans="1:9" x14ac:dyDescent="0.25">
      <c r="A9" t="s">
        <v>8176</v>
      </c>
      <c r="B9" t="s">
        <v>3501</v>
      </c>
      <c r="C9" t="s">
        <v>3522</v>
      </c>
      <c r="D9" t="s">
        <v>8234</v>
      </c>
      <c r="E9" t="s">
        <v>8187</v>
      </c>
      <c r="F9" t="s">
        <v>8311</v>
      </c>
      <c r="G9" t="s">
        <v>353</v>
      </c>
      <c r="H9" t="s">
        <v>8176</v>
      </c>
      <c r="I9" t="s">
        <v>7506</v>
      </c>
    </row>
    <row r="10" spans="1:9" x14ac:dyDescent="0.25">
      <c r="A10" t="s">
        <v>8151</v>
      </c>
      <c r="B10" t="s">
        <v>41</v>
      </c>
      <c r="C10" t="s">
        <v>3522</v>
      </c>
      <c r="D10" t="s">
        <v>8233</v>
      </c>
      <c r="E10" t="s">
        <v>8188</v>
      </c>
      <c r="F10" t="s">
        <v>8311</v>
      </c>
      <c r="G10" t="s">
        <v>353</v>
      </c>
      <c r="H10" t="s">
        <v>8152</v>
      </c>
      <c r="I10" t="s">
        <v>7506</v>
      </c>
    </row>
    <row r="11" spans="1:9" x14ac:dyDescent="0.25">
      <c r="A11" t="s">
        <v>7712</v>
      </c>
      <c r="B11" t="s">
        <v>3501</v>
      </c>
      <c r="C11" t="s">
        <v>3522</v>
      </c>
      <c r="D11" t="s">
        <v>8232</v>
      </c>
      <c r="E11" t="s">
        <v>8189</v>
      </c>
      <c r="G11" t="s">
        <v>90</v>
      </c>
      <c r="H11" t="s">
        <v>7713</v>
      </c>
      <c r="I11" t="s">
        <v>7714</v>
      </c>
    </row>
    <row r="12" spans="1:9" x14ac:dyDescent="0.25">
      <c r="A12" t="s">
        <v>8167</v>
      </c>
      <c r="B12" t="s">
        <v>41</v>
      </c>
      <c r="C12" t="s">
        <v>4507</v>
      </c>
      <c r="D12" t="s">
        <v>8168</v>
      </c>
      <c r="E12" t="s">
        <v>8190</v>
      </c>
      <c r="F12" t="s">
        <v>8309</v>
      </c>
      <c r="G12" t="s">
        <v>160</v>
      </c>
      <c r="H12" t="s">
        <v>8169</v>
      </c>
      <c r="I12" t="s">
        <v>7494</v>
      </c>
    </row>
    <row r="13" spans="1:9" x14ac:dyDescent="0.25">
      <c r="A13" t="s">
        <v>7498</v>
      </c>
      <c r="B13" t="s">
        <v>3513</v>
      </c>
      <c r="C13" t="s">
        <v>4507</v>
      </c>
      <c r="D13" t="s">
        <v>8106</v>
      </c>
      <c r="E13" t="s">
        <v>8107</v>
      </c>
      <c r="F13" t="s">
        <v>8309</v>
      </c>
      <c r="G13" t="s">
        <v>160</v>
      </c>
      <c r="H13" t="s">
        <v>7499</v>
      </c>
      <c r="I13" t="s">
        <v>7494</v>
      </c>
    </row>
    <row r="14" spans="1:9" x14ac:dyDescent="0.25">
      <c r="A14" t="s">
        <v>7517</v>
      </c>
      <c r="B14" t="s">
        <v>3501</v>
      </c>
      <c r="C14" t="s">
        <v>4507</v>
      </c>
      <c r="D14" t="s">
        <v>7518</v>
      </c>
      <c r="E14" t="s">
        <v>7533</v>
      </c>
      <c r="F14" t="s">
        <v>8310</v>
      </c>
      <c r="G14" t="s">
        <v>2619</v>
      </c>
      <c r="H14" t="s">
        <v>7519</v>
      </c>
      <c r="I14" t="s">
        <v>7507</v>
      </c>
    </row>
    <row r="15" spans="1:9" x14ac:dyDescent="0.25">
      <c r="A15" t="s">
        <v>3676</v>
      </c>
      <c r="B15" t="s">
        <v>3513</v>
      </c>
      <c r="C15" t="s">
        <v>4507</v>
      </c>
      <c r="D15" t="s">
        <v>3677</v>
      </c>
      <c r="E15" t="s">
        <v>7526</v>
      </c>
      <c r="F15" t="s">
        <v>8311</v>
      </c>
      <c r="G15" t="s">
        <v>353</v>
      </c>
      <c r="H15" t="s">
        <v>3678</v>
      </c>
      <c r="I15" t="s">
        <v>7506</v>
      </c>
    </row>
    <row r="16" spans="1:9" x14ac:dyDescent="0.25">
      <c r="A16" t="s">
        <v>8177</v>
      </c>
      <c r="B16" t="s">
        <v>3513</v>
      </c>
      <c r="C16" t="s">
        <v>3522</v>
      </c>
      <c r="D16" t="s">
        <v>8229</v>
      </c>
      <c r="E16" t="s">
        <v>8191</v>
      </c>
      <c r="F16" t="s">
        <v>8311</v>
      </c>
      <c r="G16" t="s">
        <v>353</v>
      </c>
      <c r="H16" t="s">
        <v>8177</v>
      </c>
      <c r="I16" t="s">
        <v>7506</v>
      </c>
    </row>
    <row r="17" spans="1:9" x14ac:dyDescent="0.25">
      <c r="A17" t="s">
        <v>8183</v>
      </c>
      <c r="B17" t="s">
        <v>3513</v>
      </c>
      <c r="C17" t="s">
        <v>3522</v>
      </c>
      <c r="D17" t="s">
        <v>8230</v>
      </c>
      <c r="E17" t="s">
        <v>8192</v>
      </c>
      <c r="F17" t="s">
        <v>8311</v>
      </c>
      <c r="G17" t="s">
        <v>353</v>
      </c>
      <c r="H17" t="s">
        <v>8184</v>
      </c>
      <c r="I17" t="s">
        <v>7506</v>
      </c>
    </row>
    <row r="18" spans="1:9" x14ac:dyDescent="0.25">
      <c r="A18" t="s">
        <v>8181</v>
      </c>
      <c r="B18" t="s">
        <v>3513</v>
      </c>
      <c r="C18" t="s">
        <v>3522</v>
      </c>
      <c r="D18" t="s">
        <v>8231</v>
      </c>
      <c r="E18" t="s">
        <v>8193</v>
      </c>
      <c r="F18" t="s">
        <v>8311</v>
      </c>
      <c r="G18" t="s">
        <v>353</v>
      </c>
      <c r="H18" t="s">
        <v>8182</v>
      </c>
      <c r="I18" t="s">
        <v>7506</v>
      </c>
    </row>
    <row r="19" spans="1:9" x14ac:dyDescent="0.25">
      <c r="A19" t="s">
        <v>7495</v>
      </c>
      <c r="B19" t="s">
        <v>41</v>
      </c>
      <c r="C19" t="s">
        <v>4507</v>
      </c>
      <c r="D19" t="s">
        <v>4152</v>
      </c>
      <c r="E19" t="s">
        <v>4153</v>
      </c>
      <c r="F19" t="s">
        <v>8309</v>
      </c>
      <c r="G19" t="s">
        <v>160</v>
      </c>
      <c r="H19" t="s">
        <v>7527</v>
      </c>
      <c r="I19" t="s">
        <v>7494</v>
      </c>
    </row>
    <row r="20" spans="1:9" x14ac:dyDescent="0.25">
      <c r="A20" t="s">
        <v>7496</v>
      </c>
      <c r="B20" t="s">
        <v>41</v>
      </c>
      <c r="C20" t="s">
        <v>4507</v>
      </c>
      <c r="D20" t="s">
        <v>4207</v>
      </c>
      <c r="E20" t="s">
        <v>4208</v>
      </c>
      <c r="F20" t="s">
        <v>8309</v>
      </c>
      <c r="G20" t="s">
        <v>160</v>
      </c>
      <c r="H20" t="s">
        <v>7497</v>
      </c>
      <c r="I20" t="s">
        <v>7494</v>
      </c>
    </row>
    <row r="21" spans="1:9" x14ac:dyDescent="0.25">
      <c r="A21" t="s">
        <v>7500</v>
      </c>
      <c r="B21" t="s">
        <v>41</v>
      </c>
      <c r="C21" t="s">
        <v>4507</v>
      </c>
      <c r="D21" t="s">
        <v>7502</v>
      </c>
      <c r="E21" t="s">
        <v>7528</v>
      </c>
      <c r="F21" t="s">
        <v>8309</v>
      </c>
      <c r="G21" t="s">
        <v>160</v>
      </c>
      <c r="H21" t="s">
        <v>7501</v>
      </c>
      <c r="I21" t="s">
        <v>7494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4007</v>
      </c>
      <c r="B1" t="s">
        <v>1</v>
      </c>
      <c r="C1" t="s">
        <v>4008</v>
      </c>
      <c r="D1" t="s">
        <v>6</v>
      </c>
      <c r="E1" t="s">
        <v>3452</v>
      </c>
      <c r="F1" t="s">
        <v>3495</v>
      </c>
      <c r="G1" t="s">
        <v>170</v>
      </c>
      <c r="H1" t="s">
        <v>171</v>
      </c>
      <c r="I1" t="s">
        <v>4009</v>
      </c>
      <c r="K1" t="s">
        <v>4010</v>
      </c>
      <c r="L1" t="s">
        <v>1</v>
      </c>
      <c r="N1" t="s">
        <v>4011</v>
      </c>
      <c r="O1" t="s">
        <v>1</v>
      </c>
    </row>
    <row r="2" spans="1:15" x14ac:dyDescent="0.25">
      <c r="A2" t="s">
        <v>4012</v>
      </c>
      <c r="B2" t="s">
        <v>2154</v>
      </c>
      <c r="C2" t="s">
        <v>4013</v>
      </c>
      <c r="D2" t="s">
        <v>41</v>
      </c>
      <c r="E2" t="s">
        <v>4014</v>
      </c>
      <c r="F2" t="s">
        <v>4015</v>
      </c>
      <c r="K2" t="s">
        <v>4016</v>
      </c>
      <c r="L2" t="s">
        <v>1795</v>
      </c>
      <c r="N2" t="s">
        <v>4017</v>
      </c>
      <c r="O2" t="s">
        <v>2154</v>
      </c>
    </row>
    <row r="3" spans="1:15" x14ac:dyDescent="0.25">
      <c r="A3" t="s">
        <v>4018</v>
      </c>
      <c r="B3" t="s">
        <v>1284</v>
      </c>
      <c r="C3" t="s">
        <v>4013</v>
      </c>
      <c r="D3" t="s">
        <v>3513</v>
      </c>
      <c r="E3" t="s">
        <v>4019</v>
      </c>
      <c r="F3" t="s">
        <v>4020</v>
      </c>
      <c r="H3" t="s">
        <v>4021</v>
      </c>
      <c r="K3" t="s">
        <v>4022</v>
      </c>
      <c r="L3" t="s">
        <v>1795</v>
      </c>
      <c r="N3" t="s">
        <v>4023</v>
      </c>
      <c r="O3" t="s">
        <v>2154</v>
      </c>
    </row>
    <row r="4" spans="1:15" x14ac:dyDescent="0.25">
      <c r="A4" t="s">
        <v>4024</v>
      </c>
      <c r="B4" t="s">
        <v>2154</v>
      </c>
      <c r="C4" t="s">
        <v>4013</v>
      </c>
      <c r="D4" t="s">
        <v>3513</v>
      </c>
      <c r="E4" t="s">
        <v>4025</v>
      </c>
      <c r="F4" t="s">
        <v>4026</v>
      </c>
      <c r="K4" t="s">
        <v>4027</v>
      </c>
      <c r="L4" t="s">
        <v>1795</v>
      </c>
      <c r="N4" t="s">
        <v>4028</v>
      </c>
      <c r="O4" t="s">
        <v>2154</v>
      </c>
    </row>
    <row r="5" spans="1:15" x14ac:dyDescent="0.25">
      <c r="A5" t="s">
        <v>4029</v>
      </c>
      <c r="B5" t="s">
        <v>2154</v>
      </c>
      <c r="C5" t="s">
        <v>4030</v>
      </c>
      <c r="D5" t="s">
        <v>41</v>
      </c>
      <c r="E5" t="s">
        <v>4031</v>
      </c>
      <c r="F5" t="s">
        <v>4032</v>
      </c>
      <c r="H5" t="s">
        <v>4033</v>
      </c>
      <c r="I5" t="s">
        <v>7475</v>
      </c>
      <c r="K5" t="s">
        <v>4034</v>
      </c>
      <c r="L5" t="s">
        <v>1795</v>
      </c>
      <c r="N5" t="s">
        <v>4035</v>
      </c>
      <c r="O5" t="s">
        <v>2154</v>
      </c>
    </row>
    <row r="6" spans="1:15" x14ac:dyDescent="0.25">
      <c r="A6" t="s">
        <v>4036</v>
      </c>
      <c r="B6" t="s">
        <v>2154</v>
      </c>
      <c r="C6" t="s">
        <v>4030</v>
      </c>
      <c r="D6" t="s">
        <v>3513</v>
      </c>
      <c r="E6" t="s">
        <v>7618</v>
      </c>
      <c r="F6" t="s">
        <v>4037</v>
      </c>
      <c r="K6" t="s">
        <v>4038</v>
      </c>
      <c r="L6" t="s">
        <v>1795</v>
      </c>
      <c r="N6" t="s">
        <v>4039</v>
      </c>
      <c r="O6" t="s">
        <v>2154</v>
      </c>
    </row>
    <row r="7" spans="1:15" x14ac:dyDescent="0.25">
      <c r="A7" t="s">
        <v>4040</v>
      </c>
      <c r="B7" t="s">
        <v>2154</v>
      </c>
      <c r="C7" t="s">
        <v>4041</v>
      </c>
      <c r="D7" t="s">
        <v>41</v>
      </c>
      <c r="E7" t="s">
        <v>4042</v>
      </c>
      <c r="F7" t="s">
        <v>4043</v>
      </c>
      <c r="H7" t="s">
        <v>4044</v>
      </c>
      <c r="K7" t="s">
        <v>4045</v>
      </c>
      <c r="L7" t="s">
        <v>1795</v>
      </c>
      <c r="N7" t="s">
        <v>4046</v>
      </c>
      <c r="O7" t="s">
        <v>2154</v>
      </c>
    </row>
    <row r="8" spans="1:15" x14ac:dyDescent="0.25">
      <c r="A8" t="s">
        <v>4047</v>
      </c>
      <c r="B8" t="s">
        <v>1284</v>
      </c>
      <c r="C8" t="s">
        <v>4013</v>
      </c>
      <c r="D8" t="s">
        <v>3513</v>
      </c>
      <c r="E8" t="s">
        <v>4048</v>
      </c>
      <c r="F8" t="s">
        <v>4049</v>
      </c>
      <c r="G8" t="s">
        <v>8219</v>
      </c>
      <c r="K8" t="s">
        <v>4050</v>
      </c>
      <c r="L8" t="s">
        <v>1795</v>
      </c>
      <c r="N8" t="s">
        <v>4051</v>
      </c>
      <c r="O8" t="s">
        <v>2154</v>
      </c>
    </row>
    <row r="9" spans="1:15" x14ac:dyDescent="0.25">
      <c r="A9" t="s">
        <v>4052</v>
      </c>
      <c r="B9" t="s">
        <v>2154</v>
      </c>
      <c r="C9" t="s">
        <v>4030</v>
      </c>
      <c r="D9" t="s">
        <v>3501</v>
      </c>
      <c r="E9" t="s">
        <v>4053</v>
      </c>
      <c r="F9" t="s">
        <v>4054</v>
      </c>
      <c r="K9" t="s">
        <v>4055</v>
      </c>
      <c r="L9" t="s">
        <v>1795</v>
      </c>
      <c r="N9" t="s">
        <v>4056</v>
      </c>
      <c r="O9" t="s">
        <v>2154</v>
      </c>
    </row>
    <row r="10" spans="1:15" x14ac:dyDescent="0.25">
      <c r="K10" t="s">
        <v>4057</v>
      </c>
      <c r="L10" t="s">
        <v>1795</v>
      </c>
      <c r="N10" t="s">
        <v>4058</v>
      </c>
      <c r="O10" t="s">
        <v>2154</v>
      </c>
    </row>
    <row r="11" spans="1:15" x14ac:dyDescent="0.25">
      <c r="K11" t="s">
        <v>4059</v>
      </c>
      <c r="L11" t="s">
        <v>1795</v>
      </c>
      <c r="N11" t="s">
        <v>4060</v>
      </c>
      <c r="O11" t="s">
        <v>2154</v>
      </c>
    </row>
    <row r="12" spans="1:15" x14ac:dyDescent="0.25">
      <c r="K12" t="s">
        <v>4061</v>
      </c>
      <c r="L12" t="s">
        <v>1795</v>
      </c>
      <c r="N12" t="s">
        <v>4062</v>
      </c>
      <c r="O12" t="s">
        <v>2154</v>
      </c>
    </row>
    <row r="13" spans="1:15" x14ac:dyDescent="0.25">
      <c r="K13" t="s">
        <v>4063</v>
      </c>
      <c r="L13" t="s">
        <v>1795</v>
      </c>
      <c r="N13" t="s">
        <v>4064</v>
      </c>
      <c r="O13" t="s">
        <v>2154</v>
      </c>
    </row>
    <row r="14" spans="1:15" x14ac:dyDescent="0.25">
      <c r="K14" t="s">
        <v>4065</v>
      </c>
      <c r="L14" t="s">
        <v>1795</v>
      </c>
      <c r="N14" t="s">
        <v>4066</v>
      </c>
      <c r="O14" t="s">
        <v>2154</v>
      </c>
    </row>
    <row r="15" spans="1:15" x14ac:dyDescent="0.25">
      <c r="K15" t="s">
        <v>4067</v>
      </c>
      <c r="L15" t="s">
        <v>1795</v>
      </c>
      <c r="N15" t="s">
        <v>4068</v>
      </c>
      <c r="O15" t="s">
        <v>2154</v>
      </c>
    </row>
    <row r="16" spans="1:15" x14ac:dyDescent="0.25">
      <c r="K16" t="s">
        <v>4069</v>
      </c>
      <c r="L16" t="s">
        <v>1795</v>
      </c>
      <c r="N16" t="s">
        <v>4070</v>
      </c>
      <c r="O16" t="s">
        <v>2154</v>
      </c>
    </row>
    <row r="17" spans="11:15" x14ac:dyDescent="0.25">
      <c r="K17" t="s">
        <v>4071</v>
      </c>
      <c r="L17" t="s">
        <v>1795</v>
      </c>
      <c r="N17" t="s">
        <v>4072</v>
      </c>
      <c r="O17" t="s">
        <v>2154</v>
      </c>
    </row>
    <row r="18" spans="11:15" x14ac:dyDescent="0.25">
      <c r="K18" t="s">
        <v>4073</v>
      </c>
      <c r="L18" t="s">
        <v>1795</v>
      </c>
      <c r="N18" t="s">
        <v>4074</v>
      </c>
      <c r="O18" t="s">
        <v>2154</v>
      </c>
    </row>
    <row r="19" spans="11:15" x14ac:dyDescent="0.25">
      <c r="K19" t="s">
        <v>4075</v>
      </c>
      <c r="L19" t="s">
        <v>1795</v>
      </c>
      <c r="N19" t="s">
        <v>4076</v>
      </c>
      <c r="O19" t="s">
        <v>2154</v>
      </c>
    </row>
    <row r="20" spans="11:15" x14ac:dyDescent="0.25">
      <c r="K20" t="s">
        <v>4077</v>
      </c>
      <c r="L20" t="s">
        <v>1795</v>
      </c>
      <c r="N20" t="s">
        <v>4078</v>
      </c>
      <c r="O20" t="s">
        <v>2154</v>
      </c>
    </row>
    <row r="21" spans="11:15" x14ac:dyDescent="0.25">
      <c r="K21" t="s">
        <v>4079</v>
      </c>
      <c r="L21" t="s">
        <v>1795</v>
      </c>
      <c r="N21" t="s">
        <v>4080</v>
      </c>
      <c r="O21" t="s">
        <v>2154</v>
      </c>
    </row>
    <row r="22" spans="11:15" x14ac:dyDescent="0.25">
      <c r="K22" t="s">
        <v>4081</v>
      </c>
      <c r="L22" t="s">
        <v>1795</v>
      </c>
      <c r="N22" t="s">
        <v>4082</v>
      </c>
      <c r="O22" t="s">
        <v>2154</v>
      </c>
    </row>
    <row r="23" spans="11:15" x14ac:dyDescent="0.25">
      <c r="K23" t="s">
        <v>4083</v>
      </c>
      <c r="L23" t="s">
        <v>1795</v>
      </c>
      <c r="N23" t="s">
        <v>4084</v>
      </c>
      <c r="O23" t="s">
        <v>2154</v>
      </c>
    </row>
    <row r="24" spans="11:15" x14ac:dyDescent="0.25">
      <c r="K24" t="s">
        <v>4085</v>
      </c>
      <c r="L24" t="s">
        <v>1795</v>
      </c>
      <c r="N24" t="s">
        <v>4086</v>
      </c>
      <c r="O24" t="s">
        <v>2154</v>
      </c>
    </row>
    <row r="25" spans="11:15" x14ac:dyDescent="0.25">
      <c r="K25" t="s">
        <v>4087</v>
      </c>
      <c r="L25" t="s">
        <v>1795</v>
      </c>
      <c r="N25" t="s">
        <v>4088</v>
      </c>
      <c r="O25" t="s">
        <v>2154</v>
      </c>
    </row>
    <row r="26" spans="11:15" x14ac:dyDescent="0.25">
      <c r="K26" t="s">
        <v>4089</v>
      </c>
      <c r="L26" t="s">
        <v>1795</v>
      </c>
      <c r="N26" t="s">
        <v>4090</v>
      </c>
      <c r="O26" t="s">
        <v>2154</v>
      </c>
    </row>
    <row r="27" spans="11:15" x14ac:dyDescent="0.25">
      <c r="K27" t="s">
        <v>4091</v>
      </c>
      <c r="L27" t="s">
        <v>2866</v>
      </c>
      <c r="N27" t="s">
        <v>4092</v>
      </c>
      <c r="O27" t="s">
        <v>2154</v>
      </c>
    </row>
    <row r="28" spans="11:15" x14ac:dyDescent="0.25">
      <c r="K28" t="s">
        <v>4093</v>
      </c>
      <c r="L28" t="s">
        <v>2866</v>
      </c>
      <c r="N28" t="s">
        <v>4094</v>
      </c>
      <c r="O28" t="s">
        <v>2154</v>
      </c>
    </row>
    <row r="29" spans="11:15" x14ac:dyDescent="0.25">
      <c r="K29" t="s">
        <v>4095</v>
      </c>
      <c r="L29" t="s">
        <v>2866</v>
      </c>
      <c r="N29" t="s">
        <v>4096</v>
      </c>
      <c r="O29" t="s">
        <v>2154</v>
      </c>
    </row>
    <row r="30" spans="11:15" x14ac:dyDescent="0.25">
      <c r="K30" t="s">
        <v>4097</v>
      </c>
      <c r="L30" t="s">
        <v>2866</v>
      </c>
      <c r="N30" t="s">
        <v>4098</v>
      </c>
      <c r="O30" t="s">
        <v>2154</v>
      </c>
    </row>
    <row r="31" spans="11:15" x14ac:dyDescent="0.25">
      <c r="K31" t="s">
        <v>4099</v>
      </c>
      <c r="L31" t="s">
        <v>2866</v>
      </c>
      <c r="N31" t="s">
        <v>4100</v>
      </c>
      <c r="O31" t="s">
        <v>2154</v>
      </c>
    </row>
    <row r="32" spans="11:15" x14ac:dyDescent="0.25">
      <c r="K32" t="s">
        <v>4101</v>
      </c>
      <c r="L32" t="s">
        <v>2866</v>
      </c>
      <c r="N32" t="s">
        <v>4102</v>
      </c>
      <c r="O32" t="s">
        <v>2154</v>
      </c>
    </row>
    <row r="33" spans="11:15" x14ac:dyDescent="0.25">
      <c r="K33" t="s">
        <v>4103</v>
      </c>
      <c r="L33" t="s">
        <v>2866</v>
      </c>
      <c r="N33" t="s">
        <v>4104</v>
      </c>
      <c r="O33" t="s">
        <v>2154</v>
      </c>
    </row>
    <row r="34" spans="11:15" x14ac:dyDescent="0.25">
      <c r="K34" t="s">
        <v>4105</v>
      </c>
      <c r="L34" t="s">
        <v>2866</v>
      </c>
      <c r="N34" t="s">
        <v>4106</v>
      </c>
      <c r="O34" t="s">
        <v>2154</v>
      </c>
    </row>
    <row r="35" spans="11:15" x14ac:dyDescent="0.25">
      <c r="K35" t="s">
        <v>4107</v>
      </c>
      <c r="L35" t="s">
        <v>2866</v>
      </c>
      <c r="N35" t="s">
        <v>4108</v>
      </c>
      <c r="O35" t="s">
        <v>2154</v>
      </c>
    </row>
    <row r="36" spans="11:15" x14ac:dyDescent="0.25">
      <c r="K36" t="s">
        <v>4073</v>
      </c>
      <c r="L36" t="s">
        <v>2866</v>
      </c>
      <c r="N36" t="s">
        <v>4109</v>
      </c>
      <c r="O36" t="s">
        <v>2154</v>
      </c>
    </row>
    <row r="37" spans="11:15" x14ac:dyDescent="0.25">
      <c r="K37" t="s">
        <v>4110</v>
      </c>
      <c r="L37" t="s">
        <v>2866</v>
      </c>
      <c r="N37" t="s">
        <v>4111</v>
      </c>
      <c r="O37" t="s">
        <v>2154</v>
      </c>
    </row>
    <row r="38" spans="11:15" x14ac:dyDescent="0.25">
      <c r="N38" t="s">
        <v>4112</v>
      </c>
      <c r="O38" t="s">
        <v>2154</v>
      </c>
    </row>
    <row r="39" spans="11:15" x14ac:dyDescent="0.25">
      <c r="N39" t="s">
        <v>4113</v>
      </c>
      <c r="O39" t="s">
        <v>2154</v>
      </c>
    </row>
    <row r="40" spans="11:15" x14ac:dyDescent="0.25">
      <c r="N40" t="s">
        <v>4114</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4008</v>
      </c>
      <c r="C1" t="s">
        <v>3452</v>
      </c>
      <c r="D1" t="s">
        <v>3495</v>
      </c>
      <c r="E1" t="s">
        <v>4115</v>
      </c>
      <c r="F1" t="s">
        <v>4116</v>
      </c>
      <c r="G1" t="s">
        <v>4009</v>
      </c>
    </row>
    <row r="2" spans="1:7" x14ac:dyDescent="0.25">
      <c r="A2" t="s">
        <v>4129</v>
      </c>
      <c r="B2" t="s">
        <v>4030</v>
      </c>
      <c r="C2" t="s">
        <v>8286</v>
      </c>
      <c r="D2" t="s">
        <v>4130</v>
      </c>
      <c r="E2" t="s">
        <v>8287</v>
      </c>
      <c r="F2" t="s">
        <v>4131</v>
      </c>
    </row>
    <row r="3" spans="1:7" x14ac:dyDescent="0.25">
      <c r="A3" t="s">
        <v>4021</v>
      </c>
      <c r="B3" t="s">
        <v>4013</v>
      </c>
      <c r="C3" t="s">
        <v>7733</v>
      </c>
      <c r="D3" t="s">
        <v>7734</v>
      </c>
      <c r="E3" t="s">
        <v>4156</v>
      </c>
      <c r="F3" t="s">
        <v>4157</v>
      </c>
    </row>
    <row r="4" spans="1:7" x14ac:dyDescent="0.25">
      <c r="A4" t="s">
        <v>4140</v>
      </c>
      <c r="B4" t="s">
        <v>4013</v>
      </c>
      <c r="C4" t="s">
        <v>4141</v>
      </c>
      <c r="D4" t="s">
        <v>4142</v>
      </c>
      <c r="E4" t="s">
        <v>4143</v>
      </c>
      <c r="F4" t="s">
        <v>4144</v>
      </c>
      <c r="G4" t="s">
        <v>4145</v>
      </c>
    </row>
    <row r="5" spans="1:7" x14ac:dyDescent="0.25">
      <c r="A5" t="s">
        <v>4151</v>
      </c>
      <c r="B5" t="s">
        <v>4030</v>
      </c>
      <c r="C5" t="s">
        <v>4152</v>
      </c>
      <c r="D5" t="s">
        <v>4153</v>
      </c>
      <c r="E5" t="s">
        <v>4154</v>
      </c>
      <c r="F5" t="s">
        <v>4155</v>
      </c>
    </row>
    <row r="6" spans="1:7" x14ac:dyDescent="0.25">
      <c r="A6" t="s">
        <v>4146</v>
      </c>
      <c r="B6" t="s">
        <v>4030</v>
      </c>
      <c r="C6" t="s">
        <v>4147</v>
      </c>
      <c r="D6" t="s">
        <v>4148</v>
      </c>
      <c r="E6" t="s">
        <v>4149</v>
      </c>
      <c r="F6" t="s">
        <v>4150</v>
      </c>
    </row>
    <row r="7" spans="1:7" x14ac:dyDescent="0.25">
      <c r="A7" t="s">
        <v>4135</v>
      </c>
      <c r="B7" t="s">
        <v>4013</v>
      </c>
      <c r="C7" t="s">
        <v>4136</v>
      </c>
      <c r="D7" t="s">
        <v>4137</v>
      </c>
      <c r="E7" t="s">
        <v>4138</v>
      </c>
      <c r="F7" t="s">
        <v>4139</v>
      </c>
    </row>
    <row r="8" spans="1:7" x14ac:dyDescent="0.25">
      <c r="A8" t="s">
        <v>4132</v>
      </c>
      <c r="B8" t="s">
        <v>4030</v>
      </c>
      <c r="C8" t="s">
        <v>3628</v>
      </c>
      <c r="D8" t="s">
        <v>4133</v>
      </c>
      <c r="E8" t="s">
        <v>3631</v>
      </c>
      <c r="F8" t="s">
        <v>4134</v>
      </c>
    </row>
    <row r="9" spans="1:7" x14ac:dyDescent="0.25">
      <c r="A9" t="s">
        <v>4121</v>
      </c>
      <c r="B9" t="s">
        <v>4013</v>
      </c>
      <c r="C9" t="s">
        <v>4122</v>
      </c>
      <c r="D9" t="s">
        <v>4123</v>
      </c>
      <c r="E9" t="s">
        <v>4124</v>
      </c>
      <c r="F9" t="s">
        <v>4125</v>
      </c>
    </row>
    <row r="10" spans="1:7" x14ac:dyDescent="0.25">
      <c r="A10" t="s">
        <v>4117</v>
      </c>
      <c r="B10" t="s">
        <v>4030</v>
      </c>
      <c r="C10" t="s">
        <v>3569</v>
      </c>
      <c r="D10" t="s">
        <v>4118</v>
      </c>
      <c r="E10" t="s">
        <v>4119</v>
      </c>
      <c r="F10" t="s">
        <v>4120</v>
      </c>
    </row>
    <row r="11" spans="1:7" x14ac:dyDescent="0.25">
      <c r="A11" t="s">
        <v>4126</v>
      </c>
      <c r="B11" t="s">
        <v>4041</v>
      </c>
      <c r="C11" t="s">
        <v>4042</v>
      </c>
      <c r="D11" t="s">
        <v>4043</v>
      </c>
      <c r="E11" t="s">
        <v>4127</v>
      </c>
      <c r="F11" t="s">
        <v>4128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4008</v>
      </c>
      <c r="D1" t="s">
        <v>3972</v>
      </c>
      <c r="E1" t="s">
        <v>3973</v>
      </c>
      <c r="F1" t="s">
        <v>4158</v>
      </c>
      <c r="G1" t="s">
        <v>4159</v>
      </c>
      <c r="H1" t="s">
        <v>170</v>
      </c>
      <c r="I1" t="s">
        <v>3496</v>
      </c>
      <c r="J1" t="s">
        <v>171</v>
      </c>
    </row>
    <row r="2" spans="1:10" x14ac:dyDescent="0.25">
      <c r="A2" t="s">
        <v>4160</v>
      </c>
      <c r="B2" t="s">
        <v>41</v>
      </c>
      <c r="C2" t="s">
        <v>4013</v>
      </c>
      <c r="D2" t="s">
        <v>7743</v>
      </c>
      <c r="E2" t="s">
        <v>7744</v>
      </c>
      <c r="F2" t="s">
        <v>7745</v>
      </c>
      <c r="G2" t="s">
        <v>7746</v>
      </c>
      <c r="H2" t="s">
        <v>8219</v>
      </c>
      <c r="I2" t="s">
        <v>90</v>
      </c>
      <c r="J2" t="s">
        <v>4161</v>
      </c>
    </row>
    <row r="3" spans="1:10" x14ac:dyDescent="0.25">
      <c r="A3" t="s">
        <v>4162</v>
      </c>
      <c r="B3" t="s">
        <v>41</v>
      </c>
      <c r="C3" t="s">
        <v>4030</v>
      </c>
      <c r="D3" t="s">
        <v>4152</v>
      </c>
      <c r="E3" t="s">
        <v>4153</v>
      </c>
      <c r="F3" t="s">
        <v>4163</v>
      </c>
      <c r="G3" t="s">
        <v>4164</v>
      </c>
      <c r="I3" t="s">
        <v>90</v>
      </c>
      <c r="J3" t="s">
        <v>4165</v>
      </c>
    </row>
    <row r="4" spans="1:10" x14ac:dyDescent="0.25">
      <c r="A4" t="s">
        <v>4166</v>
      </c>
      <c r="B4" t="s">
        <v>41</v>
      </c>
      <c r="C4" t="s">
        <v>4030</v>
      </c>
      <c r="D4" t="s">
        <v>4167</v>
      </c>
      <c r="E4" t="s">
        <v>4168</v>
      </c>
      <c r="F4" t="s">
        <v>4169</v>
      </c>
      <c r="G4" t="s">
        <v>4170</v>
      </c>
      <c r="I4" t="s">
        <v>90</v>
      </c>
      <c r="J4" t="s">
        <v>4171</v>
      </c>
    </row>
    <row r="5" spans="1:10" x14ac:dyDescent="0.25">
      <c r="A5" t="s">
        <v>4172</v>
      </c>
      <c r="B5" t="s">
        <v>41</v>
      </c>
      <c r="C5" t="s">
        <v>4030</v>
      </c>
      <c r="D5" t="s">
        <v>4173</v>
      </c>
      <c r="E5" t="s">
        <v>4174</v>
      </c>
      <c r="F5" t="s">
        <v>4175</v>
      </c>
      <c r="G5" t="s">
        <v>4176</v>
      </c>
      <c r="I5" t="s">
        <v>90</v>
      </c>
      <c r="J5" t="s">
        <v>4177</v>
      </c>
    </row>
    <row r="6" spans="1:10" x14ac:dyDescent="0.25">
      <c r="A6" t="s">
        <v>4178</v>
      </c>
      <c r="B6" t="s">
        <v>3501</v>
      </c>
      <c r="C6" t="s">
        <v>4030</v>
      </c>
      <c r="D6" t="s">
        <v>3628</v>
      </c>
      <c r="E6" t="s">
        <v>4133</v>
      </c>
      <c r="F6" t="s">
        <v>4179</v>
      </c>
      <c r="G6" t="s">
        <v>4180</v>
      </c>
      <c r="I6" t="s">
        <v>90</v>
      </c>
      <c r="J6" t="s">
        <v>4181</v>
      </c>
    </row>
    <row r="7" spans="1:10" x14ac:dyDescent="0.25">
      <c r="A7" t="s">
        <v>4182</v>
      </c>
      <c r="B7" t="s">
        <v>41</v>
      </c>
      <c r="C7" t="s">
        <v>4030</v>
      </c>
      <c r="D7" t="s">
        <v>4183</v>
      </c>
      <c r="E7" t="s">
        <v>4184</v>
      </c>
      <c r="F7" t="s">
        <v>4185</v>
      </c>
      <c r="G7" t="s">
        <v>4186</v>
      </c>
      <c r="I7" t="s">
        <v>90</v>
      </c>
      <c r="J7" t="s">
        <v>4187</v>
      </c>
    </row>
    <row r="8" spans="1:10" x14ac:dyDescent="0.25">
      <c r="A8" t="s">
        <v>4188</v>
      </c>
      <c r="B8" t="s">
        <v>41</v>
      </c>
      <c r="C8" t="s">
        <v>4030</v>
      </c>
      <c r="D8" t="s">
        <v>4189</v>
      </c>
      <c r="E8" t="s">
        <v>4190</v>
      </c>
      <c r="F8" t="s">
        <v>4191</v>
      </c>
      <c r="G8" t="s">
        <v>4192</v>
      </c>
      <c r="I8" t="s">
        <v>90</v>
      </c>
      <c r="J8" t="s">
        <v>4193</v>
      </c>
    </row>
    <row r="9" spans="1:10" x14ac:dyDescent="0.25">
      <c r="A9" t="s">
        <v>4194</v>
      </c>
      <c r="B9" t="s">
        <v>41</v>
      </c>
      <c r="C9" t="s">
        <v>4013</v>
      </c>
      <c r="D9" t="s">
        <v>4195</v>
      </c>
      <c r="E9" t="s">
        <v>4196</v>
      </c>
      <c r="F9" t="s">
        <v>4197</v>
      </c>
      <c r="G9" t="s">
        <v>4198</v>
      </c>
      <c r="I9" t="s">
        <v>90</v>
      </c>
      <c r="J9" t="s">
        <v>4199</v>
      </c>
    </row>
    <row r="10" spans="1:10" x14ac:dyDescent="0.25">
      <c r="A10" t="s">
        <v>4200</v>
      </c>
      <c r="B10" t="s">
        <v>3513</v>
      </c>
      <c r="C10" t="s">
        <v>4030</v>
      </c>
      <c r="D10" t="s">
        <v>4201</v>
      </c>
      <c r="E10" t="s">
        <v>4202</v>
      </c>
      <c r="F10" t="s">
        <v>4203</v>
      </c>
      <c r="G10" t="s">
        <v>4204</v>
      </c>
      <c r="I10" t="s">
        <v>38</v>
      </c>
      <c r="J10" t="s">
        <v>4205</v>
      </c>
    </row>
    <row r="11" spans="1:10" x14ac:dyDescent="0.25">
      <c r="A11" t="s">
        <v>4206</v>
      </c>
      <c r="B11" t="s">
        <v>41</v>
      </c>
      <c r="C11" t="s">
        <v>4030</v>
      </c>
      <c r="D11" t="s">
        <v>4207</v>
      </c>
      <c r="E11" t="s">
        <v>4208</v>
      </c>
      <c r="F11" t="s">
        <v>4209</v>
      </c>
      <c r="G11" t="s">
        <v>4210</v>
      </c>
      <c r="I11" t="s">
        <v>2154</v>
      </c>
      <c r="J11" t="s">
        <v>3457</v>
      </c>
    </row>
    <row r="12" spans="1:10" x14ac:dyDescent="0.25">
      <c r="A12" t="s">
        <v>4211</v>
      </c>
      <c r="B12" t="s">
        <v>3501</v>
      </c>
      <c r="C12" t="s">
        <v>4030</v>
      </c>
      <c r="D12" t="s">
        <v>4212</v>
      </c>
      <c r="E12" t="s">
        <v>4213</v>
      </c>
      <c r="F12" t="s">
        <v>3457</v>
      </c>
      <c r="G12" t="s">
        <v>4214</v>
      </c>
      <c r="I12" t="s">
        <v>2154</v>
      </c>
      <c r="J12" t="s">
        <v>3457</v>
      </c>
    </row>
    <row r="13" spans="1:10" x14ac:dyDescent="0.25">
      <c r="A13" t="s">
        <v>4215</v>
      </c>
      <c r="B13" t="s">
        <v>3501</v>
      </c>
      <c r="C13" t="s">
        <v>4030</v>
      </c>
      <c r="D13" t="s">
        <v>4216</v>
      </c>
      <c r="E13" t="s">
        <v>4217</v>
      </c>
      <c r="F13" t="s">
        <v>4218</v>
      </c>
      <c r="G13" t="s">
        <v>4219</v>
      </c>
      <c r="I13" t="s">
        <v>2154</v>
      </c>
      <c r="J13" t="s">
        <v>3457</v>
      </c>
    </row>
    <row r="14" spans="1:10" x14ac:dyDescent="0.25">
      <c r="A14" t="s">
        <v>4220</v>
      </c>
      <c r="B14" t="s">
        <v>3513</v>
      </c>
      <c r="C14" t="s">
        <v>4030</v>
      </c>
      <c r="D14" t="s">
        <v>4221</v>
      </c>
      <c r="E14" t="s">
        <v>4222</v>
      </c>
      <c r="F14" t="s">
        <v>4223</v>
      </c>
      <c r="G14" t="s">
        <v>4224</v>
      </c>
      <c r="I14" t="s">
        <v>2154</v>
      </c>
      <c r="J14" t="s">
        <v>3457</v>
      </c>
    </row>
    <row r="15" spans="1:10" x14ac:dyDescent="0.25">
      <c r="A15" t="s">
        <v>4225</v>
      </c>
      <c r="B15" t="s">
        <v>41</v>
      </c>
      <c r="C15" t="s">
        <v>4013</v>
      </c>
      <c r="D15" t="s">
        <v>4195</v>
      </c>
      <c r="E15" t="s">
        <v>4196</v>
      </c>
      <c r="F15" t="s">
        <v>4226</v>
      </c>
      <c r="G15" t="s">
        <v>4227</v>
      </c>
      <c r="I15" t="s">
        <v>256</v>
      </c>
      <c r="J15" t="s">
        <v>3457</v>
      </c>
    </row>
    <row r="16" spans="1:10" x14ac:dyDescent="0.25">
      <c r="A16" t="s">
        <v>4228</v>
      </c>
      <c r="B16" t="s">
        <v>3513</v>
      </c>
      <c r="C16" t="s">
        <v>4041</v>
      </c>
      <c r="D16" t="s">
        <v>4229</v>
      </c>
      <c r="E16" t="s">
        <v>4214</v>
      </c>
      <c r="F16" t="s">
        <v>4229</v>
      </c>
      <c r="G16" t="s">
        <v>4214</v>
      </c>
      <c r="I16" t="s">
        <v>256</v>
      </c>
      <c r="J16" t="s">
        <v>3457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4008</v>
      </c>
      <c r="E1" t="s">
        <v>167</v>
      </c>
      <c r="F1" t="s">
        <v>7626</v>
      </c>
      <c r="G1" t="s">
        <v>3452</v>
      </c>
      <c r="H1" t="s">
        <v>3495</v>
      </c>
      <c r="I1" t="s">
        <v>170</v>
      </c>
      <c r="J1" t="s">
        <v>171</v>
      </c>
    </row>
    <row r="2" spans="1:10" x14ac:dyDescent="0.25">
      <c r="A2" t="s">
        <v>7660</v>
      </c>
      <c r="B2" t="s">
        <v>3513</v>
      </c>
      <c r="C2" t="s">
        <v>2154</v>
      </c>
      <c r="D2" t="s">
        <v>4030</v>
      </c>
      <c r="E2" t="s">
        <v>7632</v>
      </c>
      <c r="F2">
        <v>2</v>
      </c>
      <c r="G2" t="s">
        <v>7668</v>
      </c>
      <c r="H2" t="s">
        <v>7675</v>
      </c>
      <c r="J2" t="s">
        <v>3457</v>
      </c>
    </row>
    <row r="3" spans="1:10" x14ac:dyDescent="0.25">
      <c r="A3" t="s">
        <v>7635</v>
      </c>
      <c r="B3" t="s">
        <v>3501</v>
      </c>
      <c r="C3" t="s">
        <v>1795</v>
      </c>
      <c r="D3" t="s">
        <v>4013</v>
      </c>
      <c r="E3" t="s">
        <v>7631</v>
      </c>
      <c r="F3">
        <v>4</v>
      </c>
      <c r="G3" t="s">
        <v>7634</v>
      </c>
      <c r="H3" t="s">
        <v>4026</v>
      </c>
      <c r="J3" t="s">
        <v>3457</v>
      </c>
    </row>
    <row r="4" spans="1:10" x14ac:dyDescent="0.25">
      <c r="A4" t="s">
        <v>7662</v>
      </c>
      <c r="B4" t="s">
        <v>3724</v>
      </c>
      <c r="C4" t="s">
        <v>1795</v>
      </c>
      <c r="D4" t="s">
        <v>4030</v>
      </c>
      <c r="E4" t="s">
        <v>7632</v>
      </c>
      <c r="F4">
        <v>1</v>
      </c>
      <c r="G4" t="s">
        <v>7670</v>
      </c>
      <c r="H4" t="s">
        <v>7676</v>
      </c>
      <c r="J4" t="s">
        <v>3457</v>
      </c>
    </row>
    <row r="5" spans="1:10" x14ac:dyDescent="0.25">
      <c r="A5" t="s">
        <v>7633</v>
      </c>
      <c r="B5" t="s">
        <v>3501</v>
      </c>
      <c r="C5" t="s">
        <v>2154</v>
      </c>
      <c r="D5" t="s">
        <v>4030</v>
      </c>
      <c r="E5" t="s">
        <v>7632</v>
      </c>
      <c r="F5">
        <v>3</v>
      </c>
      <c r="G5" t="s">
        <v>7664</v>
      </c>
      <c r="H5" t="s">
        <v>7645</v>
      </c>
      <c r="I5" t="s">
        <v>8220</v>
      </c>
      <c r="J5" t="s">
        <v>3457</v>
      </c>
    </row>
    <row r="6" spans="1:10" x14ac:dyDescent="0.25">
      <c r="A6" t="s">
        <v>7658</v>
      </c>
      <c r="B6" t="s">
        <v>41</v>
      </c>
      <c r="C6" t="s">
        <v>2154</v>
      </c>
      <c r="D6" t="s">
        <v>4013</v>
      </c>
      <c r="E6" t="s">
        <v>7632</v>
      </c>
      <c r="F6">
        <v>3</v>
      </c>
      <c r="G6" t="s">
        <v>7666</v>
      </c>
      <c r="H6" t="s">
        <v>7677</v>
      </c>
      <c r="J6" t="s">
        <v>3457</v>
      </c>
    </row>
    <row r="7" spans="1:10" x14ac:dyDescent="0.25">
      <c r="A7" t="s">
        <v>7657</v>
      </c>
      <c r="B7" t="s">
        <v>41</v>
      </c>
      <c r="C7" t="s">
        <v>2154</v>
      </c>
      <c r="D7" t="s">
        <v>4013</v>
      </c>
      <c r="E7" t="s">
        <v>7632</v>
      </c>
      <c r="F7">
        <v>3</v>
      </c>
      <c r="G7" t="s">
        <v>7665</v>
      </c>
      <c r="H7" t="s">
        <v>7678</v>
      </c>
      <c r="J7" t="s">
        <v>3457</v>
      </c>
    </row>
    <row r="8" spans="1:10" x14ac:dyDescent="0.25">
      <c r="A8" t="s">
        <v>7659</v>
      </c>
      <c r="B8" t="s">
        <v>41</v>
      </c>
      <c r="C8" t="s">
        <v>2154</v>
      </c>
      <c r="D8" t="s">
        <v>4030</v>
      </c>
      <c r="E8" t="s">
        <v>7632</v>
      </c>
      <c r="F8">
        <v>2</v>
      </c>
      <c r="G8" t="s">
        <v>7667</v>
      </c>
      <c r="H8" t="s">
        <v>7679</v>
      </c>
      <c r="J8" t="s">
        <v>3457</v>
      </c>
    </row>
    <row r="9" spans="1:10" x14ac:dyDescent="0.25">
      <c r="A9" t="s">
        <v>7630</v>
      </c>
      <c r="B9" t="s">
        <v>41</v>
      </c>
      <c r="C9" t="s">
        <v>2154</v>
      </c>
      <c r="D9" t="s">
        <v>4041</v>
      </c>
      <c r="E9" t="s">
        <v>3449</v>
      </c>
      <c r="F9">
        <v>4</v>
      </c>
      <c r="G9" t="s">
        <v>4229</v>
      </c>
      <c r="H9" t="s">
        <v>101</v>
      </c>
      <c r="J9" t="s">
        <v>3457</v>
      </c>
    </row>
    <row r="10" spans="1:10" x14ac:dyDescent="0.25">
      <c r="A10" t="s">
        <v>7672</v>
      </c>
      <c r="B10" t="s">
        <v>3513</v>
      </c>
      <c r="C10" t="s">
        <v>490</v>
      </c>
      <c r="D10" t="s">
        <v>4041</v>
      </c>
      <c r="E10" t="s">
        <v>7632</v>
      </c>
      <c r="F10">
        <v>2</v>
      </c>
      <c r="G10" t="s">
        <v>7673</v>
      </c>
      <c r="H10" t="s">
        <v>7680</v>
      </c>
      <c r="J10" t="s">
        <v>3457</v>
      </c>
    </row>
    <row r="11" spans="1:10" x14ac:dyDescent="0.25">
      <c r="A11" t="s">
        <v>7661</v>
      </c>
      <c r="B11" t="s">
        <v>3501</v>
      </c>
      <c r="C11" t="s">
        <v>2154</v>
      </c>
      <c r="D11" t="s">
        <v>4030</v>
      </c>
      <c r="E11" t="s">
        <v>7632</v>
      </c>
      <c r="F11">
        <v>3</v>
      </c>
      <c r="G11" t="s">
        <v>7669</v>
      </c>
      <c r="H11" t="s">
        <v>7681</v>
      </c>
      <c r="J11" t="s">
        <v>3457</v>
      </c>
    </row>
    <row r="12" spans="1:10" x14ac:dyDescent="0.25">
      <c r="A12" t="s">
        <v>7663</v>
      </c>
      <c r="B12" t="s">
        <v>3501</v>
      </c>
      <c r="C12" t="s">
        <v>2154</v>
      </c>
      <c r="D12" t="s">
        <v>4030</v>
      </c>
      <c r="E12" t="s">
        <v>7632</v>
      </c>
      <c r="F12">
        <v>3</v>
      </c>
      <c r="G12" t="s">
        <v>7671</v>
      </c>
      <c r="H12" t="s">
        <v>7682</v>
      </c>
      <c r="J12" t="s">
        <v>3457</v>
      </c>
    </row>
    <row r="13" spans="1:10" x14ac:dyDescent="0.25">
      <c r="A13" t="s">
        <v>3723</v>
      </c>
      <c r="B13" t="s">
        <v>3724</v>
      </c>
      <c r="C13" t="s">
        <v>1795</v>
      </c>
      <c r="D13" t="s">
        <v>4030</v>
      </c>
      <c r="E13" t="s">
        <v>7631</v>
      </c>
      <c r="F13">
        <v>1</v>
      </c>
      <c r="G13" t="s">
        <v>3725</v>
      </c>
      <c r="H13" t="s">
        <v>7644</v>
      </c>
      <c r="J13" t="s">
        <v>3457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3734</v>
      </c>
      <c r="D1" t="s">
        <v>167</v>
      </c>
      <c r="E1" t="s">
        <v>3452</v>
      </c>
      <c r="F1" t="s">
        <v>3495</v>
      </c>
      <c r="G1" t="s">
        <v>3739</v>
      </c>
      <c r="H1" t="s">
        <v>1</v>
      </c>
      <c r="I1" t="s">
        <v>7</v>
      </c>
    </row>
    <row r="2" spans="1:9" x14ac:dyDescent="0.25">
      <c r="A2" t="s">
        <v>8155</v>
      </c>
      <c r="B2" t="s">
        <v>41</v>
      </c>
      <c r="C2" t="s">
        <v>3742</v>
      </c>
      <c r="D2" t="s">
        <v>3522</v>
      </c>
      <c r="E2" t="s">
        <v>8222</v>
      </c>
      <c r="F2" t="s">
        <v>8194</v>
      </c>
      <c r="G2" t="s">
        <v>8158</v>
      </c>
      <c r="H2" t="s">
        <v>160</v>
      </c>
      <c r="I2" t="s">
        <v>8156</v>
      </c>
    </row>
    <row r="3" spans="1:9" x14ac:dyDescent="0.25">
      <c r="A3" t="s">
        <v>8211</v>
      </c>
      <c r="B3" t="s">
        <v>3513</v>
      </c>
      <c r="C3" t="s">
        <v>3897</v>
      </c>
      <c r="D3" t="s">
        <v>8221</v>
      </c>
      <c r="E3" t="s">
        <v>8236</v>
      </c>
      <c r="F3" t="s">
        <v>8278</v>
      </c>
      <c r="G3" t="s">
        <v>4620</v>
      </c>
      <c r="H3" t="s">
        <v>344</v>
      </c>
      <c r="I3" t="s">
        <v>8211</v>
      </c>
    </row>
    <row r="4" spans="1:9" x14ac:dyDescent="0.25">
      <c r="A4" t="s">
        <v>8153</v>
      </c>
      <c r="B4" t="s">
        <v>3513</v>
      </c>
      <c r="C4" t="s">
        <v>3742</v>
      </c>
      <c r="D4" t="s">
        <v>3522</v>
      </c>
      <c r="E4" t="s">
        <v>8223</v>
      </c>
      <c r="F4" t="s">
        <v>8195</v>
      </c>
      <c r="G4" t="s">
        <v>4652</v>
      </c>
      <c r="H4" t="s">
        <v>160</v>
      </c>
      <c r="I4" t="s">
        <v>8154</v>
      </c>
    </row>
    <row r="5" spans="1:9" x14ac:dyDescent="0.25">
      <c r="A5" t="s">
        <v>8216</v>
      </c>
      <c r="B5" t="s">
        <v>3513</v>
      </c>
      <c r="C5" t="s">
        <v>3786</v>
      </c>
      <c r="D5" t="s">
        <v>8221</v>
      </c>
      <c r="E5" t="s">
        <v>8237</v>
      </c>
      <c r="F5" t="s">
        <v>8279</v>
      </c>
      <c r="G5" t="s">
        <v>4620</v>
      </c>
      <c r="H5" t="s">
        <v>344</v>
      </c>
      <c r="I5" t="s">
        <v>8216</v>
      </c>
    </row>
    <row r="6" spans="1:9" x14ac:dyDescent="0.25">
      <c r="A6" t="s">
        <v>8160</v>
      </c>
      <c r="B6" t="s">
        <v>3513</v>
      </c>
      <c r="C6" t="s">
        <v>3742</v>
      </c>
      <c r="D6" t="s">
        <v>3522</v>
      </c>
      <c r="E6" t="s">
        <v>8280</v>
      </c>
      <c r="F6" t="s">
        <v>8196</v>
      </c>
      <c r="G6" t="s">
        <v>4652</v>
      </c>
      <c r="H6" t="s">
        <v>2619</v>
      </c>
      <c r="I6" t="s">
        <v>8161</v>
      </c>
    </row>
    <row r="7" spans="1:9" x14ac:dyDescent="0.25">
      <c r="A7" t="s">
        <v>8214</v>
      </c>
      <c r="B7" t="s">
        <v>3501</v>
      </c>
      <c r="C7" t="s">
        <v>3786</v>
      </c>
      <c r="D7" t="s">
        <v>8221</v>
      </c>
      <c r="E7" t="s">
        <v>8238</v>
      </c>
      <c r="F7" t="s">
        <v>8281</v>
      </c>
      <c r="G7" t="s">
        <v>8215</v>
      </c>
      <c r="H7" t="s">
        <v>344</v>
      </c>
      <c r="I7" t="s">
        <v>8214</v>
      </c>
    </row>
    <row r="8" spans="1:9" x14ac:dyDescent="0.25">
      <c r="A8" t="s">
        <v>8157</v>
      </c>
      <c r="B8" t="s">
        <v>3501</v>
      </c>
      <c r="C8" t="s">
        <v>3742</v>
      </c>
      <c r="D8" t="s">
        <v>3522</v>
      </c>
      <c r="E8" t="s">
        <v>8224</v>
      </c>
      <c r="F8" t="s">
        <v>8197</v>
      </c>
      <c r="G8" t="s">
        <v>4652</v>
      </c>
      <c r="H8" t="s">
        <v>160</v>
      </c>
      <c r="I8" t="s">
        <v>8159</v>
      </c>
    </row>
    <row r="9" spans="1:9" x14ac:dyDescent="0.25">
      <c r="A9" t="s">
        <v>8212</v>
      </c>
      <c r="B9" t="s">
        <v>3501</v>
      </c>
      <c r="C9" t="s">
        <v>3742</v>
      </c>
      <c r="D9" t="s">
        <v>8221</v>
      </c>
      <c r="E9" t="s">
        <v>8239</v>
      </c>
      <c r="F9" t="s">
        <v>8282</v>
      </c>
      <c r="G9" t="s">
        <v>8213</v>
      </c>
      <c r="H9" t="s">
        <v>344</v>
      </c>
      <c r="I9" t="s">
        <v>8212</v>
      </c>
    </row>
    <row r="10" spans="1:9" x14ac:dyDescent="0.25">
      <c r="A10" t="s">
        <v>4588</v>
      </c>
      <c r="B10" t="s">
        <v>3501</v>
      </c>
      <c r="C10" t="s">
        <v>3742</v>
      </c>
      <c r="D10" t="s">
        <v>3522</v>
      </c>
      <c r="E10" t="s">
        <v>8298</v>
      </c>
      <c r="F10" t="s">
        <v>8325</v>
      </c>
      <c r="G10" t="s">
        <v>4804</v>
      </c>
      <c r="H10" t="s">
        <v>2804</v>
      </c>
      <c r="I10" t="s">
        <v>4588</v>
      </c>
    </row>
    <row r="11" spans="1:9" x14ac:dyDescent="0.25">
      <c r="A11" t="s">
        <v>8170</v>
      </c>
      <c r="B11" t="s">
        <v>3513</v>
      </c>
      <c r="C11" t="s">
        <v>3742</v>
      </c>
      <c r="D11" t="s">
        <v>3522</v>
      </c>
      <c r="E11" t="s">
        <v>8225</v>
      </c>
      <c r="F11" t="s">
        <v>8198</v>
      </c>
      <c r="H11" t="s">
        <v>2619</v>
      </c>
      <c r="I11" t="s">
        <v>8171</v>
      </c>
    </row>
    <row r="12" spans="1:9" x14ac:dyDescent="0.25">
      <c r="A12" t="s">
        <v>4617</v>
      </c>
      <c r="B12" t="s">
        <v>41</v>
      </c>
      <c r="C12" t="s">
        <v>3897</v>
      </c>
      <c r="D12" t="s">
        <v>8221</v>
      </c>
      <c r="E12" t="s">
        <v>8240</v>
      </c>
      <c r="F12" t="s">
        <v>8283</v>
      </c>
      <c r="G12" t="s">
        <v>8259</v>
      </c>
      <c r="H12" t="s">
        <v>344</v>
      </c>
      <c r="I12" t="s">
        <v>4617</v>
      </c>
    </row>
    <row r="13" spans="1:9" x14ac:dyDescent="0.25">
      <c r="A13" t="s">
        <v>8174</v>
      </c>
      <c r="B13" t="s">
        <v>41</v>
      </c>
      <c r="C13" t="s">
        <v>3742</v>
      </c>
      <c r="D13" t="s">
        <v>3522</v>
      </c>
      <c r="E13" t="s">
        <v>4433</v>
      </c>
      <c r="F13" t="s">
        <v>8199</v>
      </c>
      <c r="H13" t="s">
        <v>160</v>
      </c>
      <c r="I13" t="s">
        <v>8175</v>
      </c>
    </row>
    <row r="14" spans="1:9" x14ac:dyDescent="0.25">
      <c r="A14" t="s">
        <v>8166</v>
      </c>
      <c r="B14" t="s">
        <v>41</v>
      </c>
      <c r="C14" t="s">
        <v>3742</v>
      </c>
      <c r="D14" t="s">
        <v>3522</v>
      </c>
      <c r="E14" t="s">
        <v>8284</v>
      </c>
      <c r="F14" t="s">
        <v>8200</v>
      </c>
      <c r="H14" t="s">
        <v>2619</v>
      </c>
      <c r="I14" t="s">
        <v>8166</v>
      </c>
    </row>
    <row r="15" spans="1:9" x14ac:dyDescent="0.25">
      <c r="A15" t="s">
        <v>8172</v>
      </c>
      <c r="B15" t="s">
        <v>41</v>
      </c>
      <c r="C15" t="s">
        <v>3742</v>
      </c>
      <c r="D15" t="s">
        <v>3522</v>
      </c>
      <c r="E15" t="s">
        <v>8226</v>
      </c>
      <c r="F15" t="s">
        <v>8201</v>
      </c>
      <c r="H15" t="s">
        <v>160</v>
      </c>
      <c r="I15" t="s">
        <v>8173</v>
      </c>
    </row>
    <row r="16" spans="1:9" x14ac:dyDescent="0.25">
      <c r="A16" t="s">
        <v>4705</v>
      </c>
      <c r="B16" t="s">
        <v>3513</v>
      </c>
      <c r="C16" t="s">
        <v>3742</v>
      </c>
      <c r="D16" t="s">
        <v>3522</v>
      </c>
      <c r="E16" t="s">
        <v>3569</v>
      </c>
      <c r="F16" t="s">
        <v>3570</v>
      </c>
      <c r="H16" t="s">
        <v>160</v>
      </c>
      <c r="I16" t="s">
        <v>4707</v>
      </c>
    </row>
    <row r="17" spans="1:9" x14ac:dyDescent="0.25">
      <c r="A17" t="s">
        <v>8162</v>
      </c>
      <c r="B17" t="s">
        <v>3513</v>
      </c>
      <c r="C17" t="s">
        <v>3742</v>
      </c>
      <c r="D17" t="s">
        <v>3522</v>
      </c>
      <c r="E17" t="s">
        <v>8227</v>
      </c>
      <c r="F17" t="s">
        <v>3666</v>
      </c>
      <c r="G17" t="s">
        <v>4652</v>
      </c>
      <c r="H17" t="s">
        <v>2619</v>
      </c>
      <c r="I17" t="s">
        <v>8163</v>
      </c>
    </row>
    <row r="18" spans="1:9" x14ac:dyDescent="0.25">
      <c r="A18" t="s">
        <v>4911</v>
      </c>
      <c r="B18" t="s">
        <v>41</v>
      </c>
      <c r="C18" t="s">
        <v>3742</v>
      </c>
      <c r="D18" t="s">
        <v>3522</v>
      </c>
      <c r="E18" t="s">
        <v>8258</v>
      </c>
      <c r="F18" t="s">
        <v>8285</v>
      </c>
      <c r="G18" t="s">
        <v>8260</v>
      </c>
      <c r="H18" t="s">
        <v>344</v>
      </c>
      <c r="I18" t="s">
        <v>4911</v>
      </c>
    </row>
    <row r="19" spans="1:9" x14ac:dyDescent="0.25">
      <c r="A19" t="s">
        <v>8164</v>
      </c>
      <c r="B19" t="s">
        <v>3501</v>
      </c>
      <c r="C19" t="s">
        <v>3742</v>
      </c>
      <c r="D19" t="s">
        <v>3522</v>
      </c>
      <c r="E19" t="s">
        <v>8228</v>
      </c>
      <c r="F19" t="s">
        <v>3509</v>
      </c>
      <c r="G19" t="s">
        <v>3687</v>
      </c>
      <c r="H19" t="s">
        <v>2619</v>
      </c>
      <c r="I19" t="s">
        <v>8165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3734</v>
      </c>
      <c r="D1" t="s">
        <v>8245</v>
      </c>
      <c r="E1" t="s">
        <v>8246</v>
      </c>
      <c r="F1" t="s">
        <v>3495</v>
      </c>
      <c r="G1" t="s">
        <v>167</v>
      </c>
      <c r="H1" t="s">
        <v>3522</v>
      </c>
      <c r="I1" t="s">
        <v>8288</v>
      </c>
      <c r="J1" t="s">
        <v>3737</v>
      </c>
      <c r="K1" t="s">
        <v>8218</v>
      </c>
      <c r="L1" t="s">
        <v>3739</v>
      </c>
      <c r="M1" t="s">
        <v>1</v>
      </c>
      <c r="N1" t="s">
        <v>7</v>
      </c>
    </row>
    <row r="2" spans="1:14" x14ac:dyDescent="0.25">
      <c r="A2" t="s">
        <v>8317</v>
      </c>
      <c r="B2" t="s">
        <v>3501</v>
      </c>
      <c r="C2" t="s">
        <v>3791</v>
      </c>
      <c r="D2" t="s">
        <v>8247</v>
      </c>
      <c r="E2" t="s">
        <v>8204</v>
      </c>
      <c r="F2" t="s">
        <v>8266</v>
      </c>
      <c r="G2" t="s">
        <v>5441</v>
      </c>
      <c r="H2" t="s">
        <v>8318</v>
      </c>
      <c r="I2" t="s">
        <v>8326</v>
      </c>
      <c r="J2" t="s">
        <v>8315</v>
      </c>
      <c r="K2">
        <v>3</v>
      </c>
      <c r="L2" t="s">
        <v>3530</v>
      </c>
      <c r="M2" t="s">
        <v>2804</v>
      </c>
      <c r="N2" t="s">
        <v>8319</v>
      </c>
    </row>
    <row r="3" spans="1:14" x14ac:dyDescent="0.25">
      <c r="A3" t="s">
        <v>8264</v>
      </c>
      <c r="B3" t="s">
        <v>3501</v>
      </c>
      <c r="C3" t="s">
        <v>8265</v>
      </c>
      <c r="D3" t="s">
        <v>8247</v>
      </c>
      <c r="E3" t="s">
        <v>8269</v>
      </c>
      <c r="F3" t="s">
        <v>8306</v>
      </c>
      <c r="G3" t="s">
        <v>5441</v>
      </c>
      <c r="H3" t="s">
        <v>8267</v>
      </c>
      <c r="I3" t="s">
        <v>8289</v>
      </c>
      <c r="J3" t="s">
        <v>8244</v>
      </c>
      <c r="K3">
        <v>3</v>
      </c>
      <c r="M3" t="s">
        <v>344</v>
      </c>
      <c r="N3" t="s">
        <v>8268</v>
      </c>
    </row>
    <row r="4" spans="1:14" x14ac:dyDescent="0.25">
      <c r="A4" t="s">
        <v>8243</v>
      </c>
      <c r="B4" t="s">
        <v>3513</v>
      </c>
      <c r="C4" t="s">
        <v>3897</v>
      </c>
      <c r="D4" t="s">
        <v>8247</v>
      </c>
      <c r="E4" t="s">
        <v>3897</v>
      </c>
      <c r="F4" t="s">
        <v>8248</v>
      </c>
      <c r="G4" t="s">
        <v>5441</v>
      </c>
      <c r="H4" t="s">
        <v>8251</v>
      </c>
      <c r="I4" t="s">
        <v>8290</v>
      </c>
      <c r="J4" t="s">
        <v>8244</v>
      </c>
      <c r="K4">
        <v>3</v>
      </c>
      <c r="M4" t="s">
        <v>344</v>
      </c>
      <c r="N4" t="s">
        <v>8249</v>
      </c>
    </row>
    <row r="5" spans="1:14" x14ac:dyDescent="0.25">
      <c r="A5" t="s">
        <v>6831</v>
      </c>
      <c r="B5" t="s">
        <v>3501</v>
      </c>
      <c r="C5" t="s">
        <v>3786</v>
      </c>
      <c r="D5" t="s">
        <v>8272</v>
      </c>
      <c r="E5" t="s">
        <v>8273</v>
      </c>
      <c r="F5" t="s">
        <v>8266</v>
      </c>
      <c r="G5" t="s">
        <v>5448</v>
      </c>
      <c r="H5" t="s">
        <v>8291</v>
      </c>
      <c r="I5" t="s">
        <v>8292</v>
      </c>
      <c r="J5" t="s">
        <v>8274</v>
      </c>
      <c r="K5">
        <v>3</v>
      </c>
      <c r="M5" t="s">
        <v>1046</v>
      </c>
      <c r="N5" t="s">
        <v>8277</v>
      </c>
    </row>
    <row r="6" spans="1:14" x14ac:dyDescent="0.25">
      <c r="A6" t="s">
        <v>8299</v>
      </c>
      <c r="B6" t="s">
        <v>3513</v>
      </c>
      <c r="C6" t="s">
        <v>3742</v>
      </c>
      <c r="D6" t="s">
        <v>8300</v>
      </c>
      <c r="E6" t="s">
        <v>3742</v>
      </c>
      <c r="F6" t="s">
        <v>8248</v>
      </c>
      <c r="G6" t="s">
        <v>5448</v>
      </c>
      <c r="H6" t="s">
        <v>8313</v>
      </c>
      <c r="I6" t="s">
        <v>8327</v>
      </c>
      <c r="J6" t="s">
        <v>8301</v>
      </c>
      <c r="K6">
        <v>3</v>
      </c>
      <c r="L6" t="s">
        <v>8303</v>
      </c>
      <c r="M6" t="s">
        <v>2804</v>
      </c>
      <c r="N6" t="s">
        <v>8302</v>
      </c>
    </row>
    <row r="7" spans="1:14" x14ac:dyDescent="0.25">
      <c r="A7" t="s">
        <v>4692</v>
      </c>
      <c r="B7" t="s">
        <v>41</v>
      </c>
      <c r="C7" t="s">
        <v>3786</v>
      </c>
      <c r="D7" t="s">
        <v>8272</v>
      </c>
      <c r="E7" t="s">
        <v>8273</v>
      </c>
      <c r="F7" t="s">
        <v>8248</v>
      </c>
      <c r="G7" t="s">
        <v>5448</v>
      </c>
      <c r="H7" t="s">
        <v>3457</v>
      </c>
      <c r="J7" t="s">
        <v>8274</v>
      </c>
      <c r="K7">
        <v>3</v>
      </c>
      <c r="M7" t="s">
        <v>1046</v>
      </c>
      <c r="N7" t="s">
        <v>4695</v>
      </c>
    </row>
    <row r="8" spans="1:14" x14ac:dyDescent="0.25">
      <c r="A8" t="s">
        <v>8250</v>
      </c>
      <c r="B8" t="s">
        <v>3501</v>
      </c>
      <c r="C8" t="s">
        <v>3897</v>
      </c>
      <c r="D8" t="s">
        <v>8247</v>
      </c>
      <c r="E8" t="s">
        <v>3897</v>
      </c>
      <c r="F8" t="s">
        <v>8248</v>
      </c>
      <c r="G8" t="s">
        <v>5441</v>
      </c>
      <c r="H8" t="s">
        <v>8252</v>
      </c>
      <c r="I8" t="s">
        <v>8293</v>
      </c>
      <c r="J8" t="s">
        <v>8254</v>
      </c>
      <c r="K8">
        <v>3</v>
      </c>
      <c r="M8" t="s">
        <v>344</v>
      </c>
      <c r="N8" t="s">
        <v>8253</v>
      </c>
    </row>
    <row r="9" spans="1:14" x14ac:dyDescent="0.25">
      <c r="A9" t="s">
        <v>8304</v>
      </c>
      <c r="B9" t="s">
        <v>3501</v>
      </c>
      <c r="C9" t="s">
        <v>3742</v>
      </c>
      <c r="D9" t="s">
        <v>8300</v>
      </c>
      <c r="E9" t="s">
        <v>8273</v>
      </c>
      <c r="F9" t="s">
        <v>8248</v>
      </c>
      <c r="G9" t="s">
        <v>5448</v>
      </c>
      <c r="H9" t="s">
        <v>8313</v>
      </c>
      <c r="I9" t="s">
        <v>8327</v>
      </c>
      <c r="J9" t="s">
        <v>8301</v>
      </c>
      <c r="K9">
        <v>3</v>
      </c>
      <c r="L9" t="s">
        <v>8303</v>
      </c>
      <c r="M9" t="s">
        <v>2804</v>
      </c>
      <c r="N9" t="s">
        <v>8305</v>
      </c>
    </row>
    <row r="10" spans="1:14" x14ac:dyDescent="0.25">
      <c r="A10" t="s">
        <v>8314</v>
      </c>
      <c r="B10" t="s">
        <v>41</v>
      </c>
      <c r="C10" t="s">
        <v>3791</v>
      </c>
      <c r="D10" t="s">
        <v>8247</v>
      </c>
      <c r="E10" t="s">
        <v>8265</v>
      </c>
      <c r="F10" t="s">
        <v>8248</v>
      </c>
      <c r="G10" t="s">
        <v>5441</v>
      </c>
      <c r="H10" t="s">
        <v>3457</v>
      </c>
      <c r="J10" t="s">
        <v>8315</v>
      </c>
      <c r="K10">
        <v>3</v>
      </c>
      <c r="M10" t="s">
        <v>2804</v>
      </c>
      <c r="N10" t="s">
        <v>8314</v>
      </c>
    </row>
    <row r="11" spans="1:14" x14ac:dyDescent="0.25">
      <c r="A11" t="s">
        <v>8255</v>
      </c>
      <c r="B11" t="s">
        <v>41</v>
      </c>
      <c r="C11" t="s">
        <v>3897</v>
      </c>
      <c r="D11" t="s">
        <v>8247</v>
      </c>
      <c r="E11" t="s">
        <v>3897</v>
      </c>
      <c r="F11" t="s">
        <v>8248</v>
      </c>
      <c r="G11" t="s">
        <v>5441</v>
      </c>
      <c r="H11" t="s">
        <v>3457</v>
      </c>
      <c r="J11" t="s">
        <v>8257</v>
      </c>
      <c r="K11">
        <v>3</v>
      </c>
      <c r="L11" t="s">
        <v>3687</v>
      </c>
      <c r="M11" t="s">
        <v>344</v>
      </c>
      <c r="N11" t="s">
        <v>8256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6828</v>
      </c>
      <c r="C1" t="s">
        <v>6829</v>
      </c>
      <c r="D1" t="s">
        <v>8262</v>
      </c>
    </row>
    <row r="2" spans="1:4" x14ac:dyDescent="0.25">
      <c r="A2" t="s">
        <v>8264</v>
      </c>
      <c r="B2" t="s">
        <v>8243</v>
      </c>
      <c r="C2" t="s">
        <v>8270</v>
      </c>
      <c r="D2" t="s">
        <v>8271</v>
      </c>
    </row>
    <row r="3" spans="1:4" x14ac:dyDescent="0.25">
      <c r="A3" t="s">
        <v>8243</v>
      </c>
      <c r="B3" t="s">
        <v>8255</v>
      </c>
      <c r="C3" t="s">
        <v>8261</v>
      </c>
      <c r="D3" t="s">
        <v>8271</v>
      </c>
    </row>
    <row r="4" spans="1:4" x14ac:dyDescent="0.25">
      <c r="A4" t="s">
        <v>6831</v>
      </c>
      <c r="B4" t="s">
        <v>4692</v>
      </c>
      <c r="C4" t="s">
        <v>8276</v>
      </c>
      <c r="D4" t="s">
        <v>8275</v>
      </c>
    </row>
    <row r="5" spans="1:4" x14ac:dyDescent="0.25">
      <c r="A5" t="s">
        <v>8250</v>
      </c>
      <c r="B5" t="s">
        <v>8243</v>
      </c>
      <c r="C5" t="s">
        <v>8263</v>
      </c>
      <c r="D5" t="s">
        <v>8271</v>
      </c>
    </row>
    <row r="6" spans="1:4" x14ac:dyDescent="0.25">
      <c r="A6" t="s">
        <v>8304</v>
      </c>
      <c r="B6" t="s">
        <v>8299</v>
      </c>
      <c r="C6" t="s">
        <v>4588</v>
      </c>
      <c r="D6" t="s">
        <v>8275</v>
      </c>
    </row>
    <row r="7" spans="1:4" x14ac:dyDescent="0.25">
      <c r="A7" t="s">
        <v>8317</v>
      </c>
      <c r="B7" t="s">
        <v>8314</v>
      </c>
      <c r="C7" t="s">
        <v>8316</v>
      </c>
      <c r="D7" t="s">
        <v>8275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3734</v>
      </c>
      <c r="D1" t="s">
        <v>3452</v>
      </c>
      <c r="E1" t="s">
        <v>3495</v>
      </c>
      <c r="F1" t="s">
        <v>1</v>
      </c>
      <c r="G1" t="s">
        <v>7</v>
      </c>
    </row>
    <row r="2" spans="1:7" x14ac:dyDescent="0.25">
      <c r="A2" t="s">
        <v>7865</v>
      </c>
      <c r="B2" t="s">
        <v>41</v>
      </c>
      <c r="C2" t="s">
        <v>3786</v>
      </c>
      <c r="D2" t="s">
        <v>8241</v>
      </c>
      <c r="E2" t="s">
        <v>8294</v>
      </c>
      <c r="F2" t="s">
        <v>344</v>
      </c>
      <c r="G2" t="s">
        <v>7868</v>
      </c>
    </row>
    <row r="3" spans="1:7" x14ac:dyDescent="0.25">
      <c r="A3" t="s">
        <v>8217</v>
      </c>
      <c r="B3" t="s">
        <v>3501</v>
      </c>
      <c r="C3" t="s">
        <v>7902</v>
      </c>
      <c r="D3" t="s">
        <v>8242</v>
      </c>
      <c r="E3" t="s">
        <v>8295</v>
      </c>
      <c r="F3" t="s">
        <v>344</v>
      </c>
      <c r="G3" t="s">
        <v>8217</v>
      </c>
    </row>
    <row r="4" spans="1:7" x14ac:dyDescent="0.25">
      <c r="A4" t="s">
        <v>8208</v>
      </c>
      <c r="B4" t="s">
        <v>41</v>
      </c>
      <c r="C4" t="s">
        <v>3791</v>
      </c>
      <c r="D4" t="s">
        <v>3457</v>
      </c>
      <c r="E4" t="s">
        <v>3457</v>
      </c>
      <c r="F4" t="s">
        <v>344</v>
      </c>
      <c r="G4" t="s">
        <v>8209</v>
      </c>
    </row>
    <row r="5" spans="1:7" x14ac:dyDescent="0.25">
      <c r="A5" t="s">
        <v>8202</v>
      </c>
      <c r="B5" t="s">
        <v>3501</v>
      </c>
      <c r="C5" t="s">
        <v>8204</v>
      </c>
      <c r="D5" t="s">
        <v>8205</v>
      </c>
      <c r="E5" t="s">
        <v>8210</v>
      </c>
      <c r="F5" t="s">
        <v>344</v>
      </c>
      <c r="G5" t="s">
        <v>8206</v>
      </c>
    </row>
    <row r="6" spans="1:7" x14ac:dyDescent="0.25">
      <c r="A6" t="s">
        <v>8203</v>
      </c>
      <c r="B6" t="s">
        <v>3513</v>
      </c>
      <c r="C6" t="s">
        <v>3742</v>
      </c>
      <c r="D6" t="s">
        <v>7466</v>
      </c>
      <c r="E6" t="s">
        <v>3509</v>
      </c>
      <c r="F6" t="s">
        <v>344</v>
      </c>
      <c r="G6" t="s">
        <v>8207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3739</v>
      </c>
      <c r="D1" t="s">
        <v>7</v>
      </c>
      <c r="E1" t="s">
        <v>6</v>
      </c>
      <c r="F1" t="s">
        <v>4230</v>
      </c>
      <c r="G1" t="s">
        <v>4231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4232</v>
      </c>
      <c r="B2" t="s">
        <v>160</v>
      </c>
      <c r="C2" t="s">
        <v>4233</v>
      </c>
      <c r="D2" t="s">
        <v>4234</v>
      </c>
      <c r="E2" t="s">
        <v>41</v>
      </c>
      <c r="L2" t="s">
        <v>4235</v>
      </c>
      <c r="N2" t="s">
        <v>4236</v>
      </c>
      <c r="O2" t="s">
        <v>49</v>
      </c>
      <c r="Q2" t="s">
        <v>4237</v>
      </c>
      <c r="R2" t="s">
        <v>3537</v>
      </c>
      <c r="U2" t="s">
        <v>4238</v>
      </c>
    </row>
    <row r="3" spans="1:37" x14ac:dyDescent="0.25">
      <c r="A3" t="s">
        <v>4239</v>
      </c>
      <c r="B3" t="s">
        <v>2619</v>
      </c>
      <c r="C3" t="s">
        <v>4233</v>
      </c>
      <c r="D3" t="s">
        <v>4240</v>
      </c>
      <c r="E3" t="s">
        <v>41</v>
      </c>
      <c r="G3" t="s">
        <v>187</v>
      </c>
      <c r="N3" t="s">
        <v>4241</v>
      </c>
      <c r="O3" t="s">
        <v>49</v>
      </c>
      <c r="Q3" t="s">
        <v>4242</v>
      </c>
      <c r="R3" t="s">
        <v>3537</v>
      </c>
      <c r="U3" t="s">
        <v>4243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4244</v>
      </c>
      <c r="B1" t="s">
        <v>1</v>
      </c>
      <c r="C1" t="s">
        <v>4245</v>
      </c>
      <c r="D1" t="s">
        <v>4246</v>
      </c>
      <c r="E1" t="s">
        <v>4247</v>
      </c>
      <c r="F1" t="s">
        <v>7</v>
      </c>
    </row>
    <row r="2" spans="1:6" x14ac:dyDescent="0.25">
      <c r="A2" t="s">
        <v>4248</v>
      </c>
      <c r="B2" t="s">
        <v>90</v>
      </c>
      <c r="C2" t="s">
        <v>4249</v>
      </c>
      <c r="D2" t="s">
        <v>4250</v>
      </c>
      <c r="E2" t="s">
        <v>3457</v>
      </c>
      <c r="F2" t="s">
        <v>4251</v>
      </c>
    </row>
    <row r="3" spans="1:6" x14ac:dyDescent="0.25">
      <c r="A3" t="s">
        <v>4252</v>
      </c>
      <c r="B3" t="s">
        <v>38</v>
      </c>
      <c r="C3" t="s">
        <v>4253</v>
      </c>
      <c r="D3" t="s">
        <v>4250</v>
      </c>
      <c r="E3">
        <v>3</v>
      </c>
      <c r="F3" t="s">
        <v>4252</v>
      </c>
    </row>
    <row r="4" spans="1:6" x14ac:dyDescent="0.25">
      <c r="A4" t="s">
        <v>4254</v>
      </c>
      <c r="B4" t="s">
        <v>38</v>
      </c>
      <c r="C4" t="s">
        <v>4255</v>
      </c>
      <c r="D4" t="s">
        <v>4250</v>
      </c>
      <c r="E4">
        <v>3</v>
      </c>
      <c r="F4" t="s">
        <v>4256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3452</v>
      </c>
      <c r="C1" t="s">
        <v>3495</v>
      </c>
      <c r="D1" t="s">
        <v>4257</v>
      </c>
      <c r="E1" t="s">
        <v>4258</v>
      </c>
      <c r="F1" t="s">
        <v>4259</v>
      </c>
    </row>
    <row r="2" spans="1:6" x14ac:dyDescent="0.25">
      <c r="A2" t="s">
        <v>4260</v>
      </c>
      <c r="B2" t="s">
        <v>4261</v>
      </c>
      <c r="C2" t="s">
        <v>4262</v>
      </c>
      <c r="E2" t="s">
        <v>4263</v>
      </c>
      <c r="F2" t="s">
        <v>4260</v>
      </c>
    </row>
    <row r="3" spans="1:6" x14ac:dyDescent="0.25">
      <c r="A3" t="s">
        <v>7611</v>
      </c>
      <c r="B3" t="s">
        <v>7614</v>
      </c>
      <c r="C3" t="s">
        <v>7646</v>
      </c>
      <c r="E3" t="s">
        <v>7615</v>
      </c>
      <c r="F3" t="s">
        <v>7611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3452</v>
      </c>
      <c r="D1" t="s">
        <v>3495</v>
      </c>
      <c r="E1" t="s">
        <v>4257</v>
      </c>
      <c r="F1" t="s">
        <v>3440</v>
      </c>
      <c r="G1" t="s">
        <v>4259</v>
      </c>
    </row>
    <row r="2" spans="1:7" x14ac:dyDescent="0.25">
      <c r="A2" t="s">
        <v>4264</v>
      </c>
      <c r="B2" t="s">
        <v>4265</v>
      </c>
      <c r="C2" t="s">
        <v>4266</v>
      </c>
      <c r="D2" t="s">
        <v>4267</v>
      </c>
      <c r="E2" t="s">
        <v>4268</v>
      </c>
      <c r="F2">
        <v>1</v>
      </c>
      <c r="G2" t="s">
        <v>4264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3737</v>
      </c>
      <c r="B1" t="s">
        <v>167</v>
      </c>
      <c r="C1" t="s">
        <v>3733</v>
      </c>
      <c r="D1" t="s">
        <v>8034</v>
      </c>
      <c r="E1" t="s">
        <v>8035</v>
      </c>
      <c r="F1" t="s">
        <v>8036</v>
      </c>
      <c r="G1" t="s">
        <v>8037</v>
      </c>
      <c r="H1" t="s">
        <v>8061</v>
      </c>
      <c r="I1" t="s">
        <v>8038</v>
      </c>
      <c r="J1" t="s">
        <v>170</v>
      </c>
    </row>
    <row r="2" spans="1:10" x14ac:dyDescent="0.25">
      <c r="A2" t="s">
        <v>3895</v>
      </c>
      <c r="B2" t="s">
        <v>3837</v>
      </c>
      <c r="C2" t="s">
        <v>3741</v>
      </c>
      <c r="D2" t="s">
        <v>8041</v>
      </c>
      <c r="E2" t="s">
        <v>3894</v>
      </c>
      <c r="G2" t="s">
        <v>8040</v>
      </c>
      <c r="H2" t="s">
        <v>8062</v>
      </c>
    </row>
    <row r="3" spans="1:10" x14ac:dyDescent="0.25">
      <c r="A3" t="s">
        <v>8055</v>
      </c>
      <c r="D3" t="s">
        <v>6458</v>
      </c>
      <c r="E3" t="s">
        <v>5279</v>
      </c>
      <c r="F3" t="s">
        <v>8051</v>
      </c>
      <c r="G3" t="s">
        <v>8052</v>
      </c>
      <c r="H3" t="s">
        <v>8063</v>
      </c>
    </row>
    <row r="4" spans="1:10" x14ac:dyDescent="0.25">
      <c r="A4" t="s">
        <v>3485</v>
      </c>
      <c r="D4" t="s">
        <v>8049</v>
      </c>
      <c r="E4" t="s">
        <v>3484</v>
      </c>
      <c r="G4" t="s">
        <v>8040</v>
      </c>
      <c r="H4" t="s">
        <v>8063</v>
      </c>
    </row>
    <row r="5" spans="1:10" x14ac:dyDescent="0.25">
      <c r="A5" t="s">
        <v>7887</v>
      </c>
      <c r="B5" t="s">
        <v>3750</v>
      </c>
      <c r="C5" t="s">
        <v>3775</v>
      </c>
      <c r="D5" t="s">
        <v>8041</v>
      </c>
      <c r="E5" t="s">
        <v>7886</v>
      </c>
      <c r="G5" t="s">
        <v>8040</v>
      </c>
      <c r="H5" t="s">
        <v>8062</v>
      </c>
    </row>
    <row r="6" spans="1:10" x14ac:dyDescent="0.25">
      <c r="A6" t="s">
        <v>8059</v>
      </c>
      <c r="D6" t="s">
        <v>6458</v>
      </c>
      <c r="E6" t="s">
        <v>5150</v>
      </c>
      <c r="F6" t="s">
        <v>8051</v>
      </c>
      <c r="G6" t="s">
        <v>8052</v>
      </c>
      <c r="H6" t="s">
        <v>8063</v>
      </c>
    </row>
    <row r="7" spans="1:10" x14ac:dyDescent="0.25">
      <c r="A7" t="s">
        <v>8060</v>
      </c>
      <c r="D7" t="s">
        <v>6458</v>
      </c>
      <c r="E7" t="s">
        <v>4001</v>
      </c>
      <c r="F7" t="s">
        <v>8051</v>
      </c>
      <c r="G7" t="s">
        <v>8052</v>
      </c>
      <c r="H7" t="s">
        <v>8063</v>
      </c>
    </row>
    <row r="8" spans="1:10" x14ac:dyDescent="0.25">
      <c r="A8" t="s">
        <v>3931</v>
      </c>
      <c r="B8" t="s">
        <v>3831</v>
      </c>
      <c r="C8" t="s">
        <v>3789</v>
      </c>
      <c r="D8" t="s">
        <v>8041</v>
      </c>
      <c r="E8" t="s">
        <v>3930</v>
      </c>
      <c r="G8" t="s">
        <v>8040</v>
      </c>
      <c r="H8" t="s">
        <v>8063</v>
      </c>
    </row>
    <row r="9" spans="1:10" x14ac:dyDescent="0.25">
      <c r="A9" t="s">
        <v>8089</v>
      </c>
      <c r="D9" t="s">
        <v>6458</v>
      </c>
      <c r="E9" t="s">
        <v>3990</v>
      </c>
      <c r="F9" t="s">
        <v>8051</v>
      </c>
      <c r="G9" t="s">
        <v>8052</v>
      </c>
      <c r="H9" t="s">
        <v>8063</v>
      </c>
    </row>
    <row r="10" spans="1:10" x14ac:dyDescent="0.25">
      <c r="A10" t="s">
        <v>3953</v>
      </c>
      <c r="B10" t="s">
        <v>3754</v>
      </c>
      <c r="C10" t="s">
        <v>3775</v>
      </c>
      <c r="D10" t="s">
        <v>8041</v>
      </c>
      <c r="E10" t="s">
        <v>3952</v>
      </c>
      <c r="G10" t="s">
        <v>8040</v>
      </c>
      <c r="H10" t="s">
        <v>8062</v>
      </c>
    </row>
    <row r="11" spans="1:10" x14ac:dyDescent="0.25">
      <c r="A11" t="s">
        <v>3877</v>
      </c>
      <c r="B11" t="s">
        <v>3750</v>
      </c>
      <c r="C11" t="s">
        <v>3775</v>
      </c>
      <c r="D11" t="s">
        <v>8039</v>
      </c>
      <c r="E11" t="s">
        <v>3876</v>
      </c>
      <c r="G11" t="s">
        <v>8040</v>
      </c>
      <c r="H11" t="s">
        <v>8062</v>
      </c>
    </row>
    <row r="12" spans="1:10" x14ac:dyDescent="0.25">
      <c r="A12" t="s">
        <v>3879</v>
      </c>
      <c r="B12" t="s">
        <v>3750</v>
      </c>
      <c r="C12" t="s">
        <v>3789</v>
      </c>
      <c r="D12" t="s">
        <v>8039</v>
      </c>
      <c r="E12" t="s">
        <v>3878</v>
      </c>
      <c r="G12" t="s">
        <v>8040</v>
      </c>
      <c r="H12" t="s">
        <v>8062</v>
      </c>
    </row>
    <row r="13" spans="1:10" x14ac:dyDescent="0.25">
      <c r="A13" t="s">
        <v>3857</v>
      </c>
      <c r="B13" t="s">
        <v>3750</v>
      </c>
      <c r="C13" t="s">
        <v>3775</v>
      </c>
      <c r="D13" t="s">
        <v>8039</v>
      </c>
      <c r="E13" t="s">
        <v>3856</v>
      </c>
      <c r="G13" t="s">
        <v>8040</v>
      </c>
      <c r="H13" t="s">
        <v>8062</v>
      </c>
    </row>
    <row r="14" spans="1:10" x14ac:dyDescent="0.25">
      <c r="A14" t="s">
        <v>3903</v>
      </c>
      <c r="B14" t="s">
        <v>3750</v>
      </c>
      <c r="C14" t="s">
        <v>3775</v>
      </c>
      <c r="D14" t="s">
        <v>8041</v>
      </c>
      <c r="E14" t="s">
        <v>3902</v>
      </c>
      <c r="G14" t="s">
        <v>8040</v>
      </c>
      <c r="H14" t="s">
        <v>8062</v>
      </c>
    </row>
    <row r="15" spans="1:10" x14ac:dyDescent="0.25">
      <c r="A15" t="s">
        <v>7433</v>
      </c>
      <c r="B15" t="s">
        <v>3750</v>
      </c>
      <c r="C15" t="s">
        <v>3789</v>
      </c>
      <c r="D15" t="s">
        <v>8039</v>
      </c>
      <c r="E15" t="s">
        <v>3788</v>
      </c>
      <c r="G15" t="s">
        <v>8040</v>
      </c>
      <c r="H15" t="s">
        <v>8062</v>
      </c>
    </row>
    <row r="16" spans="1:10" x14ac:dyDescent="0.25">
      <c r="A16" t="s">
        <v>3852</v>
      </c>
      <c r="B16" t="s">
        <v>3750</v>
      </c>
      <c r="C16" t="s">
        <v>3775</v>
      </c>
      <c r="D16" t="s">
        <v>8039</v>
      </c>
      <c r="E16" t="s">
        <v>3851</v>
      </c>
      <c r="G16" t="s">
        <v>8040</v>
      </c>
      <c r="H16" t="s">
        <v>8062</v>
      </c>
    </row>
    <row r="17" spans="1:9" x14ac:dyDescent="0.25">
      <c r="A17" t="s">
        <v>3900</v>
      </c>
      <c r="B17" t="s">
        <v>3750</v>
      </c>
      <c r="C17" t="s">
        <v>3775</v>
      </c>
      <c r="D17" t="s">
        <v>8041</v>
      </c>
      <c r="E17" t="s">
        <v>3899</v>
      </c>
      <c r="G17" t="s">
        <v>8040</v>
      </c>
      <c r="H17" t="s">
        <v>8062</v>
      </c>
    </row>
    <row r="18" spans="1:9" x14ac:dyDescent="0.25">
      <c r="A18" t="s">
        <v>3860</v>
      </c>
      <c r="B18" t="s">
        <v>3750</v>
      </c>
      <c r="C18" t="s">
        <v>3775</v>
      </c>
      <c r="D18" t="s">
        <v>8039</v>
      </c>
      <c r="E18" t="s">
        <v>3859</v>
      </c>
      <c r="G18" t="s">
        <v>8040</v>
      </c>
      <c r="H18" t="s">
        <v>8062</v>
      </c>
    </row>
    <row r="19" spans="1:9" x14ac:dyDescent="0.25">
      <c r="A19" t="s">
        <v>8069</v>
      </c>
      <c r="D19" t="s">
        <v>8049</v>
      </c>
      <c r="E19" t="s">
        <v>3471</v>
      </c>
      <c r="G19" t="s">
        <v>8040</v>
      </c>
      <c r="H19" t="s">
        <v>8063</v>
      </c>
    </row>
    <row r="20" spans="1:9" x14ac:dyDescent="0.25">
      <c r="A20" t="s">
        <v>3923</v>
      </c>
      <c r="B20" t="s">
        <v>3743</v>
      </c>
      <c r="C20" t="s">
        <v>3775</v>
      </c>
      <c r="D20" t="s">
        <v>8041</v>
      </c>
      <c r="E20" t="s">
        <v>8042</v>
      </c>
      <c r="G20" t="s">
        <v>8040</v>
      </c>
      <c r="H20" t="s">
        <v>8062</v>
      </c>
    </row>
    <row r="21" spans="1:9" x14ac:dyDescent="0.25">
      <c r="A21" t="s">
        <v>8070</v>
      </c>
      <c r="D21" t="s">
        <v>8049</v>
      </c>
      <c r="E21" t="s">
        <v>3474</v>
      </c>
      <c r="G21" t="s">
        <v>8040</v>
      </c>
      <c r="H21" t="s">
        <v>8063</v>
      </c>
    </row>
    <row r="22" spans="1:9" x14ac:dyDescent="0.25">
      <c r="A22" t="s">
        <v>3833</v>
      </c>
      <c r="B22" t="s">
        <v>3750</v>
      </c>
      <c r="C22" t="s">
        <v>3775</v>
      </c>
      <c r="D22" t="s">
        <v>8039</v>
      </c>
      <c r="E22" t="s">
        <v>3832</v>
      </c>
      <c r="G22" t="s">
        <v>8040</v>
      </c>
      <c r="H22" t="s">
        <v>8062</v>
      </c>
    </row>
    <row r="23" spans="1:9" x14ac:dyDescent="0.25">
      <c r="A23" t="s">
        <v>3893</v>
      </c>
      <c r="B23" t="s">
        <v>3754</v>
      </c>
      <c r="C23" t="s">
        <v>3741</v>
      </c>
      <c r="D23" t="s">
        <v>8041</v>
      </c>
      <c r="E23" t="s">
        <v>3892</v>
      </c>
      <c r="G23" t="s">
        <v>8040</v>
      </c>
      <c r="H23" t="s">
        <v>8062</v>
      </c>
    </row>
    <row r="24" spans="1:9" x14ac:dyDescent="0.25">
      <c r="A24" t="s">
        <v>8065</v>
      </c>
      <c r="B24" t="s">
        <v>3743</v>
      </c>
      <c r="C24" t="s">
        <v>3741</v>
      </c>
      <c r="D24" t="s">
        <v>8039</v>
      </c>
      <c r="E24" t="s">
        <v>3740</v>
      </c>
      <c r="G24" t="s">
        <v>8040</v>
      </c>
      <c r="H24" t="s">
        <v>8062</v>
      </c>
      <c r="I24">
        <v>3</v>
      </c>
    </row>
    <row r="25" spans="1:9" x14ac:dyDescent="0.25">
      <c r="A25" t="s">
        <v>8066</v>
      </c>
      <c r="B25" t="s">
        <v>3743</v>
      </c>
      <c r="C25" t="s">
        <v>3741</v>
      </c>
      <c r="D25" t="s">
        <v>8039</v>
      </c>
      <c r="E25" t="s">
        <v>3841</v>
      </c>
      <c r="G25" t="s">
        <v>8040</v>
      </c>
      <c r="H25" t="s">
        <v>8062</v>
      </c>
      <c r="I25">
        <v>3</v>
      </c>
    </row>
    <row r="26" spans="1:9" x14ac:dyDescent="0.25">
      <c r="A26" t="s">
        <v>8064</v>
      </c>
      <c r="B26" t="s">
        <v>3743</v>
      </c>
      <c r="C26" t="s">
        <v>3775</v>
      </c>
      <c r="D26" t="s">
        <v>8039</v>
      </c>
      <c r="E26" t="s">
        <v>3774</v>
      </c>
      <c r="G26" t="s">
        <v>8040</v>
      </c>
      <c r="H26" t="s">
        <v>8062</v>
      </c>
      <c r="I26">
        <v>5</v>
      </c>
    </row>
    <row r="27" spans="1:9" x14ac:dyDescent="0.25">
      <c r="A27" t="s">
        <v>8067</v>
      </c>
      <c r="B27" t="s">
        <v>3743</v>
      </c>
      <c r="C27" t="s">
        <v>3741</v>
      </c>
      <c r="D27" t="s">
        <v>8039</v>
      </c>
      <c r="E27" t="s">
        <v>3768</v>
      </c>
      <c r="G27" t="s">
        <v>8040</v>
      </c>
      <c r="H27" t="s">
        <v>8062</v>
      </c>
      <c r="I27">
        <v>3</v>
      </c>
    </row>
    <row r="28" spans="1:9" x14ac:dyDescent="0.25">
      <c r="A28" t="s">
        <v>3937</v>
      </c>
      <c r="B28" t="s">
        <v>3743</v>
      </c>
      <c r="C28" t="s">
        <v>3741</v>
      </c>
      <c r="D28" t="s">
        <v>8041</v>
      </c>
      <c r="E28" t="s">
        <v>3936</v>
      </c>
      <c r="G28" t="s">
        <v>8040</v>
      </c>
      <c r="H28" t="s">
        <v>8062</v>
      </c>
    </row>
    <row r="29" spans="1:9" x14ac:dyDescent="0.25">
      <c r="A29" t="s">
        <v>3777</v>
      </c>
      <c r="B29" t="s">
        <v>3743</v>
      </c>
      <c r="C29" t="s">
        <v>3775</v>
      </c>
      <c r="D29" t="s">
        <v>8039</v>
      </c>
      <c r="E29" t="s">
        <v>3776</v>
      </c>
      <c r="G29" t="s">
        <v>8040</v>
      </c>
      <c r="H29" t="s">
        <v>8062</v>
      </c>
    </row>
    <row r="30" spans="1:9" x14ac:dyDescent="0.25">
      <c r="A30" t="s">
        <v>3948</v>
      </c>
      <c r="B30" t="s">
        <v>3743</v>
      </c>
      <c r="C30" t="s">
        <v>3741</v>
      </c>
      <c r="D30" t="s">
        <v>8041</v>
      </c>
      <c r="E30" t="s">
        <v>3947</v>
      </c>
      <c r="G30" t="s">
        <v>8040</v>
      </c>
      <c r="H30" t="s">
        <v>8062</v>
      </c>
    </row>
    <row r="31" spans="1:9" x14ac:dyDescent="0.25">
      <c r="A31" t="s">
        <v>7984</v>
      </c>
      <c r="B31" t="s">
        <v>3743</v>
      </c>
      <c r="C31" t="s">
        <v>3741</v>
      </c>
      <c r="D31" t="s">
        <v>8039</v>
      </c>
      <c r="E31" t="s">
        <v>5081</v>
      </c>
      <c r="G31" t="s">
        <v>8040</v>
      </c>
      <c r="H31" t="s">
        <v>8062</v>
      </c>
    </row>
    <row r="32" spans="1:9" x14ac:dyDescent="0.25">
      <c r="A32" t="s">
        <v>3792</v>
      </c>
      <c r="B32" t="s">
        <v>3743</v>
      </c>
      <c r="C32" t="s">
        <v>3789</v>
      </c>
      <c r="D32" t="s">
        <v>8039</v>
      </c>
      <c r="E32" t="s">
        <v>3790</v>
      </c>
      <c r="G32" t="s">
        <v>8040</v>
      </c>
      <c r="H32" t="s">
        <v>8062</v>
      </c>
    </row>
    <row r="33" spans="1:9" x14ac:dyDescent="0.25">
      <c r="A33" t="s">
        <v>3910</v>
      </c>
      <c r="B33" t="s">
        <v>3743</v>
      </c>
      <c r="C33" t="s">
        <v>3909</v>
      </c>
      <c r="D33" t="s">
        <v>8041</v>
      </c>
      <c r="E33" t="s">
        <v>3908</v>
      </c>
      <c r="G33" t="s">
        <v>8040</v>
      </c>
      <c r="H33" t="s">
        <v>8062</v>
      </c>
    </row>
    <row r="34" spans="1:9" x14ac:dyDescent="0.25">
      <c r="A34" t="s">
        <v>7689</v>
      </c>
      <c r="B34" t="s">
        <v>3743</v>
      </c>
      <c r="C34" t="s">
        <v>3775</v>
      </c>
      <c r="D34" t="s">
        <v>8039</v>
      </c>
      <c r="E34" t="s">
        <v>7688</v>
      </c>
      <c r="G34" t="s">
        <v>8040</v>
      </c>
      <c r="H34" t="s">
        <v>8062</v>
      </c>
    </row>
    <row r="35" spans="1:9" x14ac:dyDescent="0.25">
      <c r="A35" t="s">
        <v>3854</v>
      </c>
      <c r="B35" t="s">
        <v>3743</v>
      </c>
      <c r="C35" t="s">
        <v>3775</v>
      </c>
      <c r="D35" t="s">
        <v>8039</v>
      </c>
      <c r="E35" t="s">
        <v>3853</v>
      </c>
      <c r="G35" t="s">
        <v>8040</v>
      </c>
      <c r="H35" t="s">
        <v>8062</v>
      </c>
    </row>
    <row r="36" spans="1:9" x14ac:dyDescent="0.25">
      <c r="A36" t="s">
        <v>8047</v>
      </c>
      <c r="B36" t="s">
        <v>3743</v>
      </c>
      <c r="C36" t="s">
        <v>3775</v>
      </c>
      <c r="D36" t="s">
        <v>8041</v>
      </c>
      <c r="E36" t="s">
        <v>7428</v>
      </c>
      <c r="F36" t="s">
        <v>8048</v>
      </c>
      <c r="G36" t="s">
        <v>8040</v>
      </c>
      <c r="H36" t="s">
        <v>8062</v>
      </c>
    </row>
    <row r="37" spans="1:9" x14ac:dyDescent="0.25">
      <c r="A37" t="s">
        <v>7976</v>
      </c>
      <c r="B37" t="s">
        <v>3743</v>
      </c>
      <c r="C37" t="s">
        <v>3789</v>
      </c>
      <c r="D37" t="s">
        <v>8039</v>
      </c>
      <c r="E37" t="s">
        <v>7973</v>
      </c>
      <c r="G37" t="s">
        <v>8040</v>
      </c>
      <c r="H37" t="s">
        <v>8062</v>
      </c>
    </row>
    <row r="38" spans="1:9" x14ac:dyDescent="0.25">
      <c r="A38" t="s">
        <v>3766</v>
      </c>
      <c r="B38" t="s">
        <v>3743</v>
      </c>
      <c r="C38" t="s">
        <v>3741</v>
      </c>
      <c r="D38" t="s">
        <v>8039</v>
      </c>
      <c r="E38" t="s">
        <v>3765</v>
      </c>
      <c r="G38" t="s">
        <v>8040</v>
      </c>
      <c r="H38" t="s">
        <v>8062</v>
      </c>
    </row>
    <row r="39" spans="1:9" x14ac:dyDescent="0.25">
      <c r="A39" t="s">
        <v>8056</v>
      </c>
      <c r="B39" t="s">
        <v>3743</v>
      </c>
      <c r="C39" t="s">
        <v>3775</v>
      </c>
      <c r="D39" t="s">
        <v>8039</v>
      </c>
      <c r="E39" t="s">
        <v>3785</v>
      </c>
      <c r="G39" t="s">
        <v>8040</v>
      </c>
      <c r="H39" t="s">
        <v>8062</v>
      </c>
      <c r="I39">
        <v>2</v>
      </c>
    </row>
    <row r="40" spans="1:9" x14ac:dyDescent="0.25">
      <c r="A40" t="s">
        <v>8057</v>
      </c>
      <c r="B40" t="s">
        <v>3743</v>
      </c>
      <c r="C40" t="s">
        <v>3789</v>
      </c>
      <c r="D40" t="s">
        <v>8039</v>
      </c>
      <c r="E40" t="s">
        <v>3798</v>
      </c>
      <c r="G40" t="s">
        <v>8040</v>
      </c>
      <c r="H40" t="s">
        <v>8062</v>
      </c>
      <c r="I40">
        <v>3</v>
      </c>
    </row>
    <row r="41" spans="1:9" x14ac:dyDescent="0.25">
      <c r="A41" t="s">
        <v>3760</v>
      </c>
      <c r="B41" t="s">
        <v>3743</v>
      </c>
      <c r="C41" t="s">
        <v>3741</v>
      </c>
      <c r="D41" t="s">
        <v>8039</v>
      </c>
      <c r="E41" t="s">
        <v>3759</v>
      </c>
      <c r="G41" t="s">
        <v>8040</v>
      </c>
      <c r="H41" t="s">
        <v>8062</v>
      </c>
    </row>
    <row r="42" spans="1:9" x14ac:dyDescent="0.25">
      <c r="A42" t="s">
        <v>3771</v>
      </c>
      <c r="B42" t="s">
        <v>3743</v>
      </c>
      <c r="C42" t="s">
        <v>3741</v>
      </c>
      <c r="D42" t="s">
        <v>8039</v>
      </c>
      <c r="E42" t="s">
        <v>3770</v>
      </c>
      <c r="G42" t="s">
        <v>8040</v>
      </c>
      <c r="H42" t="s">
        <v>8062</v>
      </c>
    </row>
    <row r="43" spans="1:9" x14ac:dyDescent="0.25">
      <c r="A43" t="s">
        <v>3883</v>
      </c>
      <c r="B43" t="s">
        <v>3743</v>
      </c>
      <c r="C43" t="s">
        <v>3741</v>
      </c>
      <c r="D43" t="s">
        <v>8041</v>
      </c>
      <c r="E43" t="s">
        <v>3882</v>
      </c>
      <c r="G43" t="s">
        <v>8040</v>
      </c>
      <c r="H43" t="s">
        <v>8062</v>
      </c>
    </row>
    <row r="44" spans="1:9" x14ac:dyDescent="0.25">
      <c r="A44" t="s">
        <v>7971</v>
      </c>
      <c r="B44" t="s">
        <v>3743</v>
      </c>
      <c r="C44" t="s">
        <v>3909</v>
      </c>
      <c r="D44" t="s">
        <v>8039</v>
      </c>
      <c r="E44" t="s">
        <v>7970</v>
      </c>
      <c r="G44" t="s">
        <v>8040</v>
      </c>
      <c r="H44" t="s">
        <v>8062</v>
      </c>
    </row>
    <row r="45" spans="1:9" x14ac:dyDescent="0.25">
      <c r="A45" t="s">
        <v>3747</v>
      </c>
      <c r="B45" t="s">
        <v>3743</v>
      </c>
      <c r="C45" t="s">
        <v>3741</v>
      </c>
      <c r="D45" t="s">
        <v>8039</v>
      </c>
      <c r="E45" t="s">
        <v>3746</v>
      </c>
      <c r="G45" t="s">
        <v>8040</v>
      </c>
      <c r="H45" t="s">
        <v>8062</v>
      </c>
    </row>
    <row r="46" spans="1:9" x14ac:dyDescent="0.25">
      <c r="A46" t="s">
        <v>7686</v>
      </c>
      <c r="B46" t="s">
        <v>3743</v>
      </c>
      <c r="C46" t="s">
        <v>3741</v>
      </c>
      <c r="D46" t="s">
        <v>8039</v>
      </c>
      <c r="E46" t="s">
        <v>7685</v>
      </c>
      <c r="G46" t="s">
        <v>8040</v>
      </c>
      <c r="H46" t="s">
        <v>8062</v>
      </c>
    </row>
    <row r="47" spans="1:9" x14ac:dyDescent="0.25">
      <c r="A47" t="s">
        <v>3828</v>
      </c>
      <c r="B47" t="s">
        <v>3743</v>
      </c>
      <c r="C47" t="s">
        <v>3775</v>
      </c>
      <c r="D47" t="s">
        <v>8039</v>
      </c>
      <c r="E47" t="s">
        <v>3827</v>
      </c>
      <c r="G47" t="s">
        <v>8040</v>
      </c>
      <c r="H47" t="s">
        <v>8062</v>
      </c>
    </row>
    <row r="48" spans="1:9" x14ac:dyDescent="0.25">
      <c r="A48" t="s">
        <v>3824</v>
      </c>
      <c r="B48" t="s">
        <v>3743</v>
      </c>
      <c r="C48" t="s">
        <v>3741</v>
      </c>
      <c r="D48" t="s">
        <v>8039</v>
      </c>
      <c r="E48" t="s">
        <v>3823</v>
      </c>
      <c r="G48" t="s">
        <v>8040</v>
      </c>
      <c r="H48" t="s">
        <v>8062</v>
      </c>
    </row>
    <row r="49" spans="1:8" x14ac:dyDescent="0.25">
      <c r="A49" t="s">
        <v>3783</v>
      </c>
      <c r="B49" t="s">
        <v>3743</v>
      </c>
      <c r="C49" t="s">
        <v>3775</v>
      </c>
      <c r="D49" t="s">
        <v>8039</v>
      </c>
      <c r="E49" t="s">
        <v>3782</v>
      </c>
      <c r="G49" t="s">
        <v>8040</v>
      </c>
      <c r="H49" t="s">
        <v>8062</v>
      </c>
    </row>
    <row r="50" spans="1:8" x14ac:dyDescent="0.25">
      <c r="A50" t="s">
        <v>7439</v>
      </c>
      <c r="B50" t="s">
        <v>3743</v>
      </c>
      <c r="C50" t="s">
        <v>3741</v>
      </c>
      <c r="D50" t="s">
        <v>8039</v>
      </c>
      <c r="E50" t="s">
        <v>7438</v>
      </c>
      <c r="G50" t="s">
        <v>8040</v>
      </c>
      <c r="H50" t="s">
        <v>8062</v>
      </c>
    </row>
    <row r="51" spans="1:8" x14ac:dyDescent="0.25">
      <c r="A51" t="s">
        <v>3890</v>
      </c>
      <c r="B51" t="s">
        <v>3743</v>
      </c>
      <c r="C51" t="s">
        <v>3741</v>
      </c>
      <c r="D51" t="s">
        <v>8041</v>
      </c>
      <c r="E51" t="s">
        <v>3889</v>
      </c>
      <c r="G51" t="s">
        <v>8040</v>
      </c>
      <c r="H51" t="s">
        <v>8062</v>
      </c>
    </row>
    <row r="52" spans="1:8" x14ac:dyDescent="0.25">
      <c r="A52" t="s">
        <v>3907</v>
      </c>
      <c r="B52" t="s">
        <v>3743</v>
      </c>
      <c r="C52" t="s">
        <v>3789</v>
      </c>
      <c r="D52" t="s">
        <v>8041</v>
      </c>
      <c r="E52" t="s">
        <v>3467</v>
      </c>
      <c r="G52" t="s">
        <v>8040</v>
      </c>
      <c r="H52" t="s">
        <v>8062</v>
      </c>
    </row>
    <row r="53" spans="1:8" x14ac:dyDescent="0.25">
      <c r="A53" t="s">
        <v>7700</v>
      </c>
      <c r="B53" t="s">
        <v>3750</v>
      </c>
      <c r="C53" t="s">
        <v>3741</v>
      </c>
      <c r="D53" t="s">
        <v>8039</v>
      </c>
      <c r="E53" t="s">
        <v>7699</v>
      </c>
      <c r="G53" t="s">
        <v>8040</v>
      </c>
      <c r="H53" t="s">
        <v>8062</v>
      </c>
    </row>
    <row r="54" spans="1:8" x14ac:dyDescent="0.25">
      <c r="A54" t="s">
        <v>7356</v>
      </c>
      <c r="B54" t="s">
        <v>3750</v>
      </c>
      <c r="C54" t="s">
        <v>3741</v>
      </c>
      <c r="D54" t="s">
        <v>8039</v>
      </c>
      <c r="E54" t="s">
        <v>7355</v>
      </c>
      <c r="G54" t="s">
        <v>8040</v>
      </c>
      <c r="H54" t="s">
        <v>8062</v>
      </c>
    </row>
    <row r="55" spans="1:8" x14ac:dyDescent="0.25">
      <c r="A55" t="s">
        <v>7900</v>
      </c>
      <c r="B55" t="s">
        <v>3750</v>
      </c>
      <c r="C55" t="s">
        <v>3775</v>
      </c>
      <c r="D55" t="s">
        <v>8041</v>
      </c>
      <c r="E55" t="s">
        <v>7901</v>
      </c>
      <c r="G55" t="s">
        <v>8040</v>
      </c>
      <c r="H55" t="s">
        <v>8062</v>
      </c>
    </row>
    <row r="56" spans="1:8" x14ac:dyDescent="0.25">
      <c r="A56" t="s">
        <v>3757</v>
      </c>
      <c r="B56" t="s">
        <v>3750</v>
      </c>
      <c r="C56" t="s">
        <v>3741</v>
      </c>
      <c r="D56" t="s">
        <v>8039</v>
      </c>
      <c r="E56" t="s">
        <v>3756</v>
      </c>
      <c r="G56" t="s">
        <v>8040</v>
      </c>
      <c r="H56" t="s">
        <v>8062</v>
      </c>
    </row>
    <row r="57" spans="1:8" x14ac:dyDescent="0.25">
      <c r="A57" t="s">
        <v>3840</v>
      </c>
      <c r="B57" t="s">
        <v>3743</v>
      </c>
      <c r="C57" t="s">
        <v>3741</v>
      </c>
      <c r="D57" t="s">
        <v>8039</v>
      </c>
      <c r="E57" t="s">
        <v>3839</v>
      </c>
      <c r="G57" t="s">
        <v>8040</v>
      </c>
      <c r="H57" t="s">
        <v>8062</v>
      </c>
    </row>
    <row r="58" spans="1:8" x14ac:dyDescent="0.25">
      <c r="A58" t="s">
        <v>8077</v>
      </c>
      <c r="B58" t="s">
        <v>3831</v>
      </c>
      <c r="C58" t="s">
        <v>3775</v>
      </c>
      <c r="D58" t="s">
        <v>8041</v>
      </c>
      <c r="E58" t="s">
        <v>3916</v>
      </c>
      <c r="G58" t="s">
        <v>8040</v>
      </c>
      <c r="H58" t="s">
        <v>8063</v>
      </c>
    </row>
    <row r="59" spans="1:8" x14ac:dyDescent="0.25">
      <c r="A59" t="s">
        <v>8078</v>
      </c>
      <c r="B59" t="s">
        <v>3831</v>
      </c>
      <c r="C59" t="s">
        <v>3775</v>
      </c>
      <c r="D59" t="s">
        <v>8041</v>
      </c>
      <c r="E59" t="s">
        <v>3920</v>
      </c>
      <c r="G59" t="s">
        <v>8040</v>
      </c>
      <c r="H59" t="s">
        <v>8063</v>
      </c>
    </row>
    <row r="60" spans="1:8" x14ac:dyDescent="0.25">
      <c r="A60" t="s">
        <v>8079</v>
      </c>
      <c r="B60" t="s">
        <v>3831</v>
      </c>
      <c r="C60" t="s">
        <v>3775</v>
      </c>
      <c r="D60" t="s">
        <v>8041</v>
      </c>
      <c r="E60" t="s">
        <v>3925</v>
      </c>
      <c r="G60" t="s">
        <v>8040</v>
      </c>
      <c r="H60" t="s">
        <v>8063</v>
      </c>
    </row>
    <row r="61" spans="1:8" x14ac:dyDescent="0.25">
      <c r="A61" t="s">
        <v>8080</v>
      </c>
      <c r="B61" t="s">
        <v>3831</v>
      </c>
      <c r="C61" t="s">
        <v>3775</v>
      </c>
      <c r="D61" t="s">
        <v>8041</v>
      </c>
      <c r="E61" t="s">
        <v>3918</v>
      </c>
      <c r="G61" t="s">
        <v>8040</v>
      </c>
      <c r="H61" t="s">
        <v>8063</v>
      </c>
    </row>
    <row r="62" spans="1:8" x14ac:dyDescent="0.25">
      <c r="A62" t="s">
        <v>8081</v>
      </c>
      <c r="B62" t="s">
        <v>3831</v>
      </c>
      <c r="C62" t="s">
        <v>3789</v>
      </c>
      <c r="D62" t="s">
        <v>8039</v>
      </c>
      <c r="E62" t="s">
        <v>3835</v>
      </c>
      <c r="G62" t="s">
        <v>8040</v>
      </c>
      <c r="H62" t="s">
        <v>8063</v>
      </c>
    </row>
    <row r="63" spans="1:8" x14ac:dyDescent="0.25">
      <c r="A63" t="s">
        <v>8082</v>
      </c>
      <c r="B63" t="s">
        <v>3831</v>
      </c>
      <c r="C63" t="s">
        <v>3741</v>
      </c>
      <c r="D63" t="s">
        <v>8039</v>
      </c>
      <c r="E63" t="s">
        <v>7893</v>
      </c>
      <c r="G63" t="s">
        <v>8040</v>
      </c>
      <c r="H63" t="s">
        <v>8063</v>
      </c>
    </row>
    <row r="64" spans="1:8" x14ac:dyDescent="0.25">
      <c r="A64" t="s">
        <v>8083</v>
      </c>
      <c r="B64" t="s">
        <v>3831</v>
      </c>
      <c r="C64" t="s">
        <v>3775</v>
      </c>
      <c r="D64" t="s">
        <v>8039</v>
      </c>
      <c r="E64" t="s">
        <v>3874</v>
      </c>
      <c r="G64" t="s">
        <v>8040</v>
      </c>
      <c r="H64" t="s">
        <v>8063</v>
      </c>
    </row>
    <row r="65" spans="1:8" x14ac:dyDescent="0.25">
      <c r="A65" t="s">
        <v>8084</v>
      </c>
      <c r="B65" t="s">
        <v>3831</v>
      </c>
      <c r="C65" t="s">
        <v>3741</v>
      </c>
      <c r="D65" t="s">
        <v>8041</v>
      </c>
      <c r="E65" t="s">
        <v>3888</v>
      </c>
      <c r="G65" t="s">
        <v>8040</v>
      </c>
      <c r="H65" t="s">
        <v>8063</v>
      </c>
    </row>
    <row r="66" spans="1:8" x14ac:dyDescent="0.25">
      <c r="A66" t="s">
        <v>8043</v>
      </c>
      <c r="B66" t="s">
        <v>3750</v>
      </c>
      <c r="C66" t="s">
        <v>3775</v>
      </c>
      <c r="D66" t="s">
        <v>8041</v>
      </c>
      <c r="E66" t="s">
        <v>7428</v>
      </c>
      <c r="F66" t="s">
        <v>8044</v>
      </c>
      <c r="G66" t="s">
        <v>8040</v>
      </c>
      <c r="H66" t="s">
        <v>8062</v>
      </c>
    </row>
    <row r="67" spans="1:8" x14ac:dyDescent="0.25">
      <c r="A67" t="s">
        <v>7911</v>
      </c>
      <c r="B67" t="s">
        <v>3750</v>
      </c>
      <c r="C67" t="s">
        <v>3775</v>
      </c>
      <c r="D67" t="s">
        <v>8041</v>
      </c>
      <c r="E67" t="s">
        <v>7910</v>
      </c>
      <c r="G67" t="s">
        <v>8040</v>
      </c>
      <c r="H67" t="s">
        <v>8062</v>
      </c>
    </row>
    <row r="68" spans="1:8" x14ac:dyDescent="0.25">
      <c r="A68" t="s">
        <v>7907</v>
      </c>
      <c r="B68" t="s">
        <v>3750</v>
      </c>
      <c r="C68" t="s">
        <v>3909</v>
      </c>
      <c r="D68" t="s">
        <v>8041</v>
      </c>
      <c r="E68" t="s">
        <v>7906</v>
      </c>
      <c r="G68" t="s">
        <v>8040</v>
      </c>
      <c r="H68" t="s">
        <v>8062</v>
      </c>
    </row>
    <row r="69" spans="1:8" x14ac:dyDescent="0.25">
      <c r="A69" t="s">
        <v>7969</v>
      </c>
      <c r="B69" t="s">
        <v>3754</v>
      </c>
      <c r="C69" t="s">
        <v>3775</v>
      </c>
      <c r="D69" t="s">
        <v>8039</v>
      </c>
      <c r="E69" t="s">
        <v>7968</v>
      </c>
      <c r="G69" t="s">
        <v>8040</v>
      </c>
      <c r="H69" t="s">
        <v>8062</v>
      </c>
    </row>
    <row r="70" spans="1:8" x14ac:dyDescent="0.25">
      <c r="A70" t="s">
        <v>3864</v>
      </c>
      <c r="B70" t="s">
        <v>3837</v>
      </c>
      <c r="C70" t="s">
        <v>3775</v>
      </c>
      <c r="D70" t="s">
        <v>8039</v>
      </c>
      <c r="E70" t="s">
        <v>3863</v>
      </c>
      <c r="G70" t="s">
        <v>8040</v>
      </c>
      <c r="H70" t="s">
        <v>8062</v>
      </c>
    </row>
    <row r="71" spans="1:8" x14ac:dyDescent="0.25">
      <c r="A71" t="s">
        <v>3951</v>
      </c>
      <c r="B71" t="s">
        <v>3750</v>
      </c>
      <c r="C71" t="s">
        <v>3775</v>
      </c>
      <c r="D71" t="s">
        <v>8041</v>
      </c>
      <c r="E71" t="s">
        <v>3950</v>
      </c>
      <c r="G71" t="s">
        <v>8040</v>
      </c>
      <c r="H71" t="s">
        <v>8062</v>
      </c>
    </row>
    <row r="72" spans="1:8" x14ac:dyDescent="0.25">
      <c r="A72" t="s">
        <v>3808</v>
      </c>
      <c r="B72" t="s">
        <v>3750</v>
      </c>
      <c r="C72" t="s">
        <v>3741</v>
      </c>
      <c r="D72" t="s">
        <v>8039</v>
      </c>
      <c r="E72" t="s">
        <v>3807</v>
      </c>
      <c r="G72" t="s">
        <v>8040</v>
      </c>
      <c r="H72" t="s">
        <v>8062</v>
      </c>
    </row>
    <row r="73" spans="1:8" x14ac:dyDescent="0.25">
      <c r="A73" t="s">
        <v>7891</v>
      </c>
      <c r="B73" t="s">
        <v>3750</v>
      </c>
      <c r="C73" t="s">
        <v>3789</v>
      </c>
      <c r="D73" t="s">
        <v>8039</v>
      </c>
      <c r="E73" t="s">
        <v>7890</v>
      </c>
      <c r="G73" t="s">
        <v>8040</v>
      </c>
      <c r="H73" t="s">
        <v>8062</v>
      </c>
    </row>
    <row r="74" spans="1:8" x14ac:dyDescent="0.25">
      <c r="A74" t="s">
        <v>3956</v>
      </c>
      <c r="B74" t="s">
        <v>3750</v>
      </c>
      <c r="C74" t="s">
        <v>3775</v>
      </c>
      <c r="D74" t="s">
        <v>8041</v>
      </c>
      <c r="E74" t="s">
        <v>3955</v>
      </c>
      <c r="G74" t="s">
        <v>8040</v>
      </c>
      <c r="H74" t="s">
        <v>8062</v>
      </c>
    </row>
    <row r="75" spans="1:8" x14ac:dyDescent="0.25">
      <c r="A75" t="s">
        <v>8071</v>
      </c>
      <c r="D75" t="s">
        <v>8049</v>
      </c>
      <c r="E75" t="s">
        <v>3487</v>
      </c>
      <c r="G75" t="s">
        <v>8040</v>
      </c>
      <c r="H75" t="s">
        <v>8063</v>
      </c>
    </row>
    <row r="76" spans="1:8" x14ac:dyDescent="0.25">
      <c r="A76" t="s">
        <v>3804</v>
      </c>
      <c r="B76" t="s">
        <v>3750</v>
      </c>
      <c r="C76" t="s">
        <v>3741</v>
      </c>
      <c r="D76" t="s">
        <v>8039</v>
      </c>
      <c r="E76" t="s">
        <v>3803</v>
      </c>
      <c r="G76" t="s">
        <v>8040</v>
      </c>
      <c r="H76" t="s">
        <v>8062</v>
      </c>
    </row>
    <row r="77" spans="1:8" x14ac:dyDescent="0.25">
      <c r="A77" t="s">
        <v>3866</v>
      </c>
      <c r="B77" t="s">
        <v>3837</v>
      </c>
      <c r="C77" t="s">
        <v>3789</v>
      </c>
      <c r="D77" t="s">
        <v>8039</v>
      </c>
      <c r="E77" t="s">
        <v>3865</v>
      </c>
      <c r="G77" t="s">
        <v>8040</v>
      </c>
      <c r="H77" t="s">
        <v>8062</v>
      </c>
    </row>
    <row r="78" spans="1:8" x14ac:dyDescent="0.25">
      <c r="A78" t="s">
        <v>3934</v>
      </c>
      <c r="B78" t="s">
        <v>3750</v>
      </c>
      <c r="C78" t="s">
        <v>3909</v>
      </c>
      <c r="D78" t="s">
        <v>8041</v>
      </c>
      <c r="E78" t="s">
        <v>3933</v>
      </c>
      <c r="G78" t="s">
        <v>8040</v>
      </c>
      <c r="H78" t="s">
        <v>8062</v>
      </c>
    </row>
    <row r="79" spans="1:8" x14ac:dyDescent="0.25">
      <c r="A79" t="s">
        <v>3959</v>
      </c>
      <c r="B79" t="s">
        <v>3837</v>
      </c>
      <c r="C79" t="s">
        <v>3789</v>
      </c>
      <c r="D79" t="s">
        <v>8041</v>
      </c>
      <c r="E79" t="s">
        <v>3957</v>
      </c>
      <c r="G79" t="s">
        <v>8040</v>
      </c>
      <c r="H79" t="s">
        <v>8062</v>
      </c>
    </row>
    <row r="80" spans="1:8" x14ac:dyDescent="0.25">
      <c r="A80" t="s">
        <v>3912</v>
      </c>
      <c r="B80" t="s">
        <v>3750</v>
      </c>
      <c r="C80" t="s">
        <v>3741</v>
      </c>
      <c r="D80" t="s">
        <v>8041</v>
      </c>
      <c r="E80" t="s">
        <v>3913</v>
      </c>
      <c r="G80" t="s">
        <v>8040</v>
      </c>
      <c r="H80" t="s">
        <v>8062</v>
      </c>
    </row>
    <row r="81" spans="1:8" x14ac:dyDescent="0.25">
      <c r="A81" t="s">
        <v>3773</v>
      </c>
      <c r="B81" t="s">
        <v>3750</v>
      </c>
      <c r="C81" t="s">
        <v>3741</v>
      </c>
      <c r="D81" t="s">
        <v>8039</v>
      </c>
      <c r="E81" t="s">
        <v>3772</v>
      </c>
      <c r="G81" t="s">
        <v>8040</v>
      </c>
      <c r="H81" t="s">
        <v>8062</v>
      </c>
    </row>
    <row r="82" spans="1:8" x14ac:dyDescent="0.25">
      <c r="A82" t="s">
        <v>3942</v>
      </c>
      <c r="B82" t="s">
        <v>3750</v>
      </c>
      <c r="C82" t="s">
        <v>3741</v>
      </c>
      <c r="D82" t="s">
        <v>8041</v>
      </c>
      <c r="E82" t="s">
        <v>3941</v>
      </c>
      <c r="G82" t="s">
        <v>8040</v>
      </c>
      <c r="H82" t="s">
        <v>8062</v>
      </c>
    </row>
    <row r="83" spans="1:8" x14ac:dyDescent="0.25">
      <c r="A83" t="s">
        <v>3796</v>
      </c>
      <c r="B83" t="s">
        <v>3750</v>
      </c>
      <c r="C83" t="s">
        <v>3789</v>
      </c>
      <c r="D83" t="s">
        <v>8039</v>
      </c>
      <c r="E83" t="s">
        <v>3795</v>
      </c>
      <c r="G83" t="s">
        <v>8040</v>
      </c>
      <c r="H83" t="s">
        <v>8062</v>
      </c>
    </row>
    <row r="84" spans="1:8" x14ac:dyDescent="0.25">
      <c r="A84" t="s">
        <v>8053</v>
      </c>
      <c r="D84" t="s">
        <v>6458</v>
      </c>
      <c r="E84" t="s">
        <v>3986</v>
      </c>
      <c r="F84" t="s">
        <v>8051</v>
      </c>
      <c r="G84" t="s">
        <v>8052</v>
      </c>
      <c r="H84" t="s">
        <v>8063</v>
      </c>
    </row>
    <row r="85" spans="1:8" x14ac:dyDescent="0.25">
      <c r="A85" t="s">
        <v>8054</v>
      </c>
      <c r="D85" t="s">
        <v>6458</v>
      </c>
      <c r="E85" t="s">
        <v>3981</v>
      </c>
      <c r="F85" t="s">
        <v>8051</v>
      </c>
      <c r="G85" t="s">
        <v>8052</v>
      </c>
      <c r="H85" t="s">
        <v>8063</v>
      </c>
    </row>
    <row r="86" spans="1:8" x14ac:dyDescent="0.25">
      <c r="A86" t="s">
        <v>8090</v>
      </c>
      <c r="D86" t="s">
        <v>6458</v>
      </c>
      <c r="E86" t="s">
        <v>3998</v>
      </c>
      <c r="F86" t="s">
        <v>8051</v>
      </c>
      <c r="G86" t="s">
        <v>8052</v>
      </c>
      <c r="H86" t="s">
        <v>8063</v>
      </c>
    </row>
    <row r="87" spans="1:8" x14ac:dyDescent="0.25">
      <c r="A87" t="s">
        <v>8068</v>
      </c>
      <c r="B87" t="s">
        <v>3743</v>
      </c>
      <c r="C87" t="s">
        <v>3909</v>
      </c>
      <c r="D87" t="s">
        <v>8041</v>
      </c>
      <c r="E87" t="s">
        <v>3964</v>
      </c>
      <c r="G87" t="s">
        <v>8040</v>
      </c>
      <c r="H87" t="s">
        <v>8062</v>
      </c>
    </row>
    <row r="88" spans="1:8" x14ac:dyDescent="0.25">
      <c r="A88" t="s">
        <v>8296</v>
      </c>
      <c r="D88" t="s">
        <v>8049</v>
      </c>
      <c r="E88" t="s">
        <v>3454</v>
      </c>
      <c r="G88" t="s">
        <v>8040</v>
      </c>
      <c r="H88" t="s">
        <v>8063</v>
      </c>
    </row>
    <row r="89" spans="1:8" x14ac:dyDescent="0.25">
      <c r="A89" t="s">
        <v>3940</v>
      </c>
      <c r="B89" t="s">
        <v>3750</v>
      </c>
      <c r="C89" t="s">
        <v>3741</v>
      </c>
      <c r="D89" t="s">
        <v>8041</v>
      </c>
      <c r="E89" t="s">
        <v>3939</v>
      </c>
      <c r="G89" t="s">
        <v>8040</v>
      </c>
      <c r="H89" t="s">
        <v>8062</v>
      </c>
    </row>
    <row r="90" spans="1:8" x14ac:dyDescent="0.25">
      <c r="A90" t="s">
        <v>8075</v>
      </c>
      <c r="D90" t="s">
        <v>8049</v>
      </c>
      <c r="E90" t="s">
        <v>3463</v>
      </c>
      <c r="G90" t="s">
        <v>8040</v>
      </c>
      <c r="H90" t="s">
        <v>8063</v>
      </c>
    </row>
    <row r="91" spans="1:8" x14ac:dyDescent="0.25">
      <c r="A91" t="s">
        <v>8074</v>
      </c>
      <c r="D91" t="s">
        <v>8049</v>
      </c>
      <c r="E91" t="s">
        <v>3482</v>
      </c>
      <c r="G91" t="s">
        <v>8040</v>
      </c>
      <c r="H91" t="s">
        <v>8063</v>
      </c>
    </row>
    <row r="92" spans="1:8" x14ac:dyDescent="0.25">
      <c r="A92" t="s">
        <v>8073</v>
      </c>
      <c r="B92" t="s">
        <v>3831</v>
      </c>
      <c r="C92" t="s">
        <v>3741</v>
      </c>
      <c r="D92" t="s">
        <v>8041</v>
      </c>
      <c r="E92" t="s">
        <v>3967</v>
      </c>
      <c r="G92" t="s">
        <v>8040</v>
      </c>
      <c r="H92" t="s">
        <v>8063</v>
      </c>
    </row>
    <row r="93" spans="1:8" x14ac:dyDescent="0.25">
      <c r="A93" t="s">
        <v>8073</v>
      </c>
      <c r="B93" t="s">
        <v>3831</v>
      </c>
      <c r="C93" t="s">
        <v>3775</v>
      </c>
      <c r="D93" t="s">
        <v>8041</v>
      </c>
      <c r="E93" t="s">
        <v>3968</v>
      </c>
      <c r="G93" t="s">
        <v>8040</v>
      </c>
      <c r="H93" t="s">
        <v>8063</v>
      </c>
    </row>
    <row r="94" spans="1:8" x14ac:dyDescent="0.25">
      <c r="A94" t="s">
        <v>3844</v>
      </c>
      <c r="B94" t="s">
        <v>3754</v>
      </c>
      <c r="C94" t="s">
        <v>3741</v>
      </c>
      <c r="D94" t="s">
        <v>8039</v>
      </c>
      <c r="E94" t="s">
        <v>3843</v>
      </c>
      <c r="G94" t="s">
        <v>8040</v>
      </c>
      <c r="H94" t="s">
        <v>8062</v>
      </c>
    </row>
    <row r="95" spans="1:8" x14ac:dyDescent="0.25">
      <c r="A95" t="s">
        <v>8058</v>
      </c>
      <c r="B95" t="s">
        <v>3754</v>
      </c>
      <c r="C95" t="s">
        <v>3741</v>
      </c>
      <c r="D95" t="s">
        <v>8039</v>
      </c>
      <c r="E95" t="s">
        <v>3753</v>
      </c>
      <c r="G95" t="s">
        <v>8040</v>
      </c>
      <c r="H95" t="s">
        <v>8062</v>
      </c>
    </row>
    <row r="96" spans="1:8" x14ac:dyDescent="0.25">
      <c r="A96" t="s">
        <v>8087</v>
      </c>
      <c r="B96" t="s">
        <v>3754</v>
      </c>
      <c r="C96" t="s">
        <v>3741</v>
      </c>
      <c r="D96" t="s">
        <v>8041</v>
      </c>
      <c r="E96" t="s">
        <v>3880</v>
      </c>
      <c r="G96" t="s">
        <v>8040</v>
      </c>
      <c r="H96" t="s">
        <v>8062</v>
      </c>
    </row>
    <row r="97" spans="1:9" x14ac:dyDescent="0.25">
      <c r="A97" t="s">
        <v>3944</v>
      </c>
      <c r="B97" t="s">
        <v>3754</v>
      </c>
      <c r="C97" t="s">
        <v>3741</v>
      </c>
      <c r="D97" t="s">
        <v>8041</v>
      </c>
      <c r="E97" t="s">
        <v>3943</v>
      </c>
      <c r="G97" t="s">
        <v>8040</v>
      </c>
      <c r="H97" t="s">
        <v>8062</v>
      </c>
    </row>
    <row r="98" spans="1:9" x14ac:dyDescent="0.25">
      <c r="A98" t="s">
        <v>8085</v>
      </c>
      <c r="B98" t="s">
        <v>3831</v>
      </c>
      <c r="C98" t="s">
        <v>3789</v>
      </c>
      <c r="D98" t="s">
        <v>8041</v>
      </c>
      <c r="E98" t="s">
        <v>7898</v>
      </c>
      <c r="G98" t="s">
        <v>8040</v>
      </c>
      <c r="H98" t="s">
        <v>8063</v>
      </c>
    </row>
    <row r="99" spans="1:9" x14ac:dyDescent="0.25">
      <c r="A99" t="s">
        <v>8091</v>
      </c>
      <c r="D99" t="s">
        <v>8049</v>
      </c>
      <c r="E99" t="s">
        <v>3490</v>
      </c>
      <c r="G99" t="s">
        <v>8040</v>
      </c>
      <c r="H99" t="s">
        <v>8063</v>
      </c>
    </row>
    <row r="100" spans="1:9" x14ac:dyDescent="0.25">
      <c r="A100" t="s">
        <v>3802</v>
      </c>
      <c r="B100" t="s">
        <v>3750</v>
      </c>
      <c r="C100" t="s">
        <v>3741</v>
      </c>
      <c r="D100" t="s">
        <v>8039</v>
      </c>
      <c r="E100" t="s">
        <v>3801</v>
      </c>
      <c r="G100" t="s">
        <v>8040</v>
      </c>
      <c r="H100" t="s">
        <v>8062</v>
      </c>
    </row>
    <row r="101" spans="1:9" x14ac:dyDescent="0.25">
      <c r="A101" t="s">
        <v>3906</v>
      </c>
      <c r="B101" t="s">
        <v>3750</v>
      </c>
      <c r="C101" t="s">
        <v>3775</v>
      </c>
      <c r="D101" t="s">
        <v>8041</v>
      </c>
      <c r="E101" t="s">
        <v>3905</v>
      </c>
      <c r="G101" t="s">
        <v>8040</v>
      </c>
      <c r="H101" t="s">
        <v>8062</v>
      </c>
    </row>
    <row r="102" spans="1:9" x14ac:dyDescent="0.25">
      <c r="A102" t="s">
        <v>7359</v>
      </c>
      <c r="B102" t="s">
        <v>3750</v>
      </c>
      <c r="C102" t="s">
        <v>3741</v>
      </c>
      <c r="D102" t="s">
        <v>8041</v>
      </c>
      <c r="E102" t="s">
        <v>7358</v>
      </c>
      <c r="G102" t="s">
        <v>8040</v>
      </c>
      <c r="H102" t="s">
        <v>8062</v>
      </c>
    </row>
    <row r="103" spans="1:9" x14ac:dyDescent="0.25">
      <c r="A103" t="s">
        <v>3816</v>
      </c>
      <c r="B103" t="s">
        <v>3750</v>
      </c>
      <c r="C103" t="s">
        <v>3741</v>
      </c>
      <c r="D103" t="s">
        <v>8039</v>
      </c>
      <c r="E103" t="s">
        <v>3815</v>
      </c>
      <c r="G103" t="s">
        <v>8040</v>
      </c>
      <c r="H103" t="s">
        <v>8062</v>
      </c>
    </row>
    <row r="104" spans="1:9" x14ac:dyDescent="0.25">
      <c r="A104" t="s">
        <v>3751</v>
      </c>
      <c r="B104" t="s">
        <v>3750</v>
      </c>
      <c r="C104" t="s">
        <v>3741</v>
      </c>
      <c r="D104" t="s">
        <v>8039</v>
      </c>
      <c r="E104" t="s">
        <v>3749</v>
      </c>
      <c r="G104" t="s">
        <v>8040</v>
      </c>
      <c r="H104" t="s">
        <v>8062</v>
      </c>
    </row>
    <row r="105" spans="1:9" x14ac:dyDescent="0.25">
      <c r="A105" t="s">
        <v>3946</v>
      </c>
      <c r="B105" t="s">
        <v>3750</v>
      </c>
      <c r="C105" t="s">
        <v>3741</v>
      </c>
      <c r="D105" t="s">
        <v>8041</v>
      </c>
      <c r="E105" t="s">
        <v>3945</v>
      </c>
      <c r="G105" t="s">
        <v>8040</v>
      </c>
      <c r="H105" t="s">
        <v>8062</v>
      </c>
    </row>
    <row r="106" spans="1:9" x14ac:dyDescent="0.25">
      <c r="A106" t="s">
        <v>8092</v>
      </c>
      <c r="D106" t="s">
        <v>8049</v>
      </c>
      <c r="E106" t="s">
        <v>3459</v>
      </c>
      <c r="G106" t="s">
        <v>8040</v>
      </c>
      <c r="H106" t="s">
        <v>8063</v>
      </c>
    </row>
    <row r="107" spans="1:9" x14ac:dyDescent="0.25">
      <c r="A107" t="s">
        <v>3847</v>
      </c>
      <c r="B107" t="s">
        <v>3750</v>
      </c>
      <c r="C107" t="s">
        <v>3775</v>
      </c>
      <c r="D107" t="s">
        <v>8039</v>
      </c>
      <c r="E107" t="s">
        <v>3846</v>
      </c>
      <c r="G107" t="s">
        <v>8040</v>
      </c>
      <c r="H107" t="s">
        <v>8062</v>
      </c>
    </row>
    <row r="108" spans="1:9" x14ac:dyDescent="0.25">
      <c r="A108" t="s">
        <v>3873</v>
      </c>
      <c r="B108" t="s">
        <v>3837</v>
      </c>
      <c r="C108" t="s">
        <v>3741</v>
      </c>
      <c r="D108" t="s">
        <v>8039</v>
      </c>
      <c r="E108" t="s">
        <v>3872</v>
      </c>
      <c r="G108" t="s">
        <v>8040</v>
      </c>
      <c r="H108" t="s">
        <v>8062</v>
      </c>
    </row>
    <row r="109" spans="1:9" x14ac:dyDescent="0.25">
      <c r="A109" t="s">
        <v>3779</v>
      </c>
      <c r="B109" t="s">
        <v>3750</v>
      </c>
      <c r="C109" t="s">
        <v>3775</v>
      </c>
      <c r="D109" t="s">
        <v>8039</v>
      </c>
      <c r="E109" t="s">
        <v>3778</v>
      </c>
      <c r="G109" t="s">
        <v>8040</v>
      </c>
      <c r="H109" t="s">
        <v>8062</v>
      </c>
    </row>
    <row r="110" spans="1:9" x14ac:dyDescent="0.25">
      <c r="A110" t="s">
        <v>7885</v>
      </c>
      <c r="B110" t="s">
        <v>3750</v>
      </c>
      <c r="C110" t="s">
        <v>3775</v>
      </c>
      <c r="D110" t="s">
        <v>8039</v>
      </c>
      <c r="E110" t="s">
        <v>7884</v>
      </c>
      <c r="G110" t="s">
        <v>8040</v>
      </c>
      <c r="H110" t="s">
        <v>8062</v>
      </c>
    </row>
    <row r="111" spans="1:9" x14ac:dyDescent="0.25">
      <c r="A111" t="s">
        <v>7879</v>
      </c>
      <c r="B111" t="s">
        <v>3750</v>
      </c>
      <c r="C111" t="s">
        <v>3741</v>
      </c>
      <c r="D111" t="s">
        <v>8039</v>
      </c>
      <c r="E111" t="s">
        <v>7878</v>
      </c>
      <c r="G111" t="s">
        <v>8040</v>
      </c>
      <c r="H111" t="s">
        <v>8062</v>
      </c>
    </row>
    <row r="112" spans="1:9" x14ac:dyDescent="0.25">
      <c r="A112" t="s">
        <v>8088</v>
      </c>
      <c r="B112" t="s">
        <v>3750</v>
      </c>
      <c r="C112" t="s">
        <v>3775</v>
      </c>
      <c r="D112" t="s">
        <v>8039</v>
      </c>
      <c r="E112" t="s">
        <v>7882</v>
      </c>
      <c r="G112" t="s">
        <v>8040</v>
      </c>
      <c r="H112" t="s">
        <v>8062</v>
      </c>
      <c r="I112">
        <v>2</v>
      </c>
    </row>
    <row r="113" spans="1:8" x14ac:dyDescent="0.25">
      <c r="A113" t="s">
        <v>3820</v>
      </c>
      <c r="B113" t="s">
        <v>3750</v>
      </c>
      <c r="C113" t="s">
        <v>3741</v>
      </c>
      <c r="D113" t="s">
        <v>8039</v>
      </c>
      <c r="E113" t="s">
        <v>3819</v>
      </c>
      <c r="G113" t="s">
        <v>8040</v>
      </c>
      <c r="H113" t="s">
        <v>8062</v>
      </c>
    </row>
    <row r="114" spans="1:8" x14ac:dyDescent="0.25">
      <c r="A114" t="s">
        <v>3971</v>
      </c>
      <c r="B114" t="s">
        <v>3743</v>
      </c>
      <c r="C114" t="s">
        <v>3789</v>
      </c>
      <c r="D114" t="s">
        <v>8041</v>
      </c>
      <c r="E114" t="s">
        <v>3970</v>
      </c>
      <c r="G114" t="s">
        <v>8040</v>
      </c>
      <c r="H114" t="s">
        <v>8062</v>
      </c>
    </row>
    <row r="115" spans="1:8" x14ac:dyDescent="0.25">
      <c r="A115" t="s">
        <v>3962</v>
      </c>
      <c r="B115" t="s">
        <v>3754</v>
      </c>
      <c r="C115" t="s">
        <v>3789</v>
      </c>
      <c r="D115" t="s">
        <v>8041</v>
      </c>
      <c r="E115" t="s">
        <v>3961</v>
      </c>
      <c r="G115" t="s">
        <v>8040</v>
      </c>
      <c r="H115" t="s">
        <v>8062</v>
      </c>
    </row>
    <row r="116" spans="1:8" x14ac:dyDescent="0.25">
      <c r="A116" t="s">
        <v>7692</v>
      </c>
      <c r="B116" t="s">
        <v>3750</v>
      </c>
      <c r="C116" t="s">
        <v>3909</v>
      </c>
      <c r="D116" t="s">
        <v>8039</v>
      </c>
      <c r="E116" t="s">
        <v>1168</v>
      </c>
      <c r="G116" t="s">
        <v>8040</v>
      </c>
      <c r="H116" t="s">
        <v>8062</v>
      </c>
    </row>
    <row r="117" spans="1:8" x14ac:dyDescent="0.25">
      <c r="A117" t="s">
        <v>3898</v>
      </c>
      <c r="B117" t="s">
        <v>3754</v>
      </c>
      <c r="C117" t="s">
        <v>3775</v>
      </c>
      <c r="D117" t="s">
        <v>8041</v>
      </c>
      <c r="E117" t="s">
        <v>3896</v>
      </c>
      <c r="G117" t="s">
        <v>8040</v>
      </c>
      <c r="H117" t="s">
        <v>8062</v>
      </c>
    </row>
    <row r="118" spans="1:8" x14ac:dyDescent="0.25">
      <c r="A118" t="s">
        <v>8072</v>
      </c>
      <c r="D118" t="s">
        <v>8049</v>
      </c>
      <c r="E118" t="s">
        <v>3478</v>
      </c>
      <c r="G118" t="s">
        <v>8040</v>
      </c>
      <c r="H118" t="s">
        <v>8063</v>
      </c>
    </row>
    <row r="119" spans="1:8" x14ac:dyDescent="0.25">
      <c r="A119" t="s">
        <v>7904</v>
      </c>
      <c r="B119" t="s">
        <v>3750</v>
      </c>
      <c r="C119" t="s">
        <v>3741</v>
      </c>
      <c r="D119" t="s">
        <v>8041</v>
      </c>
      <c r="E119" t="s">
        <v>7903</v>
      </c>
      <c r="G119" t="s">
        <v>8040</v>
      </c>
      <c r="H119" t="s">
        <v>8062</v>
      </c>
    </row>
    <row r="120" spans="1:8" x14ac:dyDescent="0.25">
      <c r="A120" t="s">
        <v>7895</v>
      </c>
      <c r="B120" t="s">
        <v>3750</v>
      </c>
      <c r="C120" t="s">
        <v>3741</v>
      </c>
      <c r="D120" t="s">
        <v>8041</v>
      </c>
      <c r="E120" t="s">
        <v>7896</v>
      </c>
      <c r="G120" t="s">
        <v>8040</v>
      </c>
      <c r="H120" t="s">
        <v>8062</v>
      </c>
    </row>
    <row r="121" spans="1:8" x14ac:dyDescent="0.25">
      <c r="A121" t="s">
        <v>8045</v>
      </c>
      <c r="B121" t="s">
        <v>3750</v>
      </c>
      <c r="C121" t="s">
        <v>3775</v>
      </c>
      <c r="D121" t="s">
        <v>8041</v>
      </c>
      <c r="E121" t="s">
        <v>7428</v>
      </c>
      <c r="F121" t="s">
        <v>8046</v>
      </c>
      <c r="G121" t="s">
        <v>8040</v>
      </c>
      <c r="H121" t="s">
        <v>8062</v>
      </c>
    </row>
    <row r="122" spans="1:8" x14ac:dyDescent="0.25">
      <c r="A122" t="s">
        <v>3812</v>
      </c>
      <c r="B122" t="s">
        <v>3750</v>
      </c>
      <c r="C122" t="s">
        <v>3741</v>
      </c>
      <c r="D122" t="s">
        <v>8039</v>
      </c>
      <c r="E122" t="s">
        <v>3811</v>
      </c>
      <c r="G122" t="s">
        <v>8040</v>
      </c>
      <c r="H122" t="s">
        <v>8062</v>
      </c>
    </row>
    <row r="123" spans="1:8" x14ac:dyDescent="0.25">
      <c r="A123" t="s">
        <v>3869</v>
      </c>
      <c r="B123" t="s">
        <v>3750</v>
      </c>
      <c r="C123" t="s">
        <v>3789</v>
      </c>
      <c r="D123" t="s">
        <v>8039</v>
      </c>
      <c r="E123" t="s">
        <v>3868</v>
      </c>
      <c r="G123" t="s">
        <v>8040</v>
      </c>
      <c r="H123" t="s">
        <v>8062</v>
      </c>
    </row>
    <row r="124" spans="1:8" x14ac:dyDescent="0.25">
      <c r="A124" t="s">
        <v>3763</v>
      </c>
      <c r="B124" t="s">
        <v>3750</v>
      </c>
      <c r="C124" t="s">
        <v>3741</v>
      </c>
      <c r="D124" t="s">
        <v>8039</v>
      </c>
      <c r="E124" t="s">
        <v>3762</v>
      </c>
      <c r="G124" t="s">
        <v>8040</v>
      </c>
      <c r="H124" t="s">
        <v>8062</v>
      </c>
    </row>
    <row r="125" spans="1:8" x14ac:dyDescent="0.25">
      <c r="A125" t="s">
        <v>3915</v>
      </c>
      <c r="B125" t="s">
        <v>3750</v>
      </c>
      <c r="C125" t="s">
        <v>3741</v>
      </c>
      <c r="D125" t="s">
        <v>8041</v>
      </c>
      <c r="E125" t="s">
        <v>3914</v>
      </c>
      <c r="G125" t="s">
        <v>8040</v>
      </c>
      <c r="H125" t="s">
        <v>8062</v>
      </c>
    </row>
    <row r="126" spans="1:8" x14ac:dyDescent="0.25">
      <c r="A126" t="s">
        <v>8076</v>
      </c>
      <c r="D126" t="s">
        <v>8049</v>
      </c>
      <c r="E126" t="s">
        <v>3467</v>
      </c>
      <c r="G126" t="s">
        <v>8040</v>
      </c>
      <c r="H126" t="s">
        <v>8063</v>
      </c>
    </row>
    <row r="127" spans="1:8" x14ac:dyDescent="0.25">
      <c r="A127" t="s">
        <v>3849</v>
      </c>
      <c r="B127" t="s">
        <v>3750</v>
      </c>
      <c r="C127" t="s">
        <v>3775</v>
      </c>
      <c r="D127" t="s">
        <v>8039</v>
      </c>
      <c r="E127" t="s">
        <v>3848</v>
      </c>
      <c r="G127" t="s">
        <v>8040</v>
      </c>
      <c r="H127" t="s">
        <v>8062</v>
      </c>
    </row>
    <row r="128" spans="1:8" x14ac:dyDescent="0.25">
      <c r="A128" t="s">
        <v>8086</v>
      </c>
      <c r="B128" t="s">
        <v>3831</v>
      </c>
      <c r="C128" t="s">
        <v>3789</v>
      </c>
      <c r="D128" t="s">
        <v>8041</v>
      </c>
      <c r="E128" t="s">
        <v>3927</v>
      </c>
      <c r="G128" t="s">
        <v>8040</v>
      </c>
      <c r="H128" t="s">
        <v>8063</v>
      </c>
    </row>
    <row r="129" spans="1:8" x14ac:dyDescent="0.25">
      <c r="A129" t="s">
        <v>7980</v>
      </c>
      <c r="B129" t="s">
        <v>3837</v>
      </c>
      <c r="C129" t="s">
        <v>3775</v>
      </c>
      <c r="D129" t="s">
        <v>8039</v>
      </c>
      <c r="E129" t="s">
        <v>7979</v>
      </c>
      <c r="G129" t="s">
        <v>8040</v>
      </c>
      <c r="H129" t="s">
        <v>8062</v>
      </c>
    </row>
    <row r="130" spans="1:8" x14ac:dyDescent="0.25">
      <c r="A130" t="s">
        <v>3887</v>
      </c>
      <c r="B130" t="s">
        <v>3837</v>
      </c>
      <c r="C130" t="s">
        <v>3741</v>
      </c>
      <c r="D130" t="s">
        <v>8041</v>
      </c>
      <c r="E130" t="s">
        <v>3886</v>
      </c>
      <c r="G130" t="s">
        <v>8040</v>
      </c>
      <c r="H130" t="s">
        <v>8062</v>
      </c>
    </row>
    <row r="131" spans="1:8" x14ac:dyDescent="0.25">
      <c r="A131" t="s">
        <v>3838</v>
      </c>
      <c r="B131" t="s">
        <v>3837</v>
      </c>
      <c r="C131" t="s">
        <v>3789</v>
      </c>
      <c r="D131" t="s">
        <v>8039</v>
      </c>
      <c r="E131" t="s">
        <v>3836</v>
      </c>
      <c r="G131" t="s">
        <v>8040</v>
      </c>
      <c r="H131" t="s">
        <v>8062</v>
      </c>
    </row>
    <row r="132" spans="1:8" x14ac:dyDescent="0.25">
      <c r="A132" t="s">
        <v>4249</v>
      </c>
      <c r="D132" t="s">
        <v>8050</v>
      </c>
      <c r="E132" t="s">
        <v>4248</v>
      </c>
      <c r="G132" t="s">
        <v>8040</v>
      </c>
      <c r="H132" t="s">
        <v>8063</v>
      </c>
    </row>
    <row r="133" spans="1:8" x14ac:dyDescent="0.25">
      <c r="A133" t="s">
        <v>4253</v>
      </c>
      <c r="D133" t="s">
        <v>8050</v>
      </c>
      <c r="E133" t="s">
        <v>4252</v>
      </c>
      <c r="G133" t="s">
        <v>8040</v>
      </c>
      <c r="H133" t="s">
        <v>8063</v>
      </c>
    </row>
    <row r="134" spans="1:8" x14ac:dyDescent="0.25">
      <c r="A134" t="s">
        <v>8092</v>
      </c>
      <c r="B134" t="s">
        <v>3831</v>
      </c>
      <c r="C134" t="s">
        <v>3775</v>
      </c>
      <c r="D134" t="s">
        <v>8039</v>
      </c>
      <c r="E134" t="s">
        <v>3830</v>
      </c>
      <c r="G134" t="s">
        <v>8040</v>
      </c>
      <c r="H134" t="s">
        <v>8063</v>
      </c>
    </row>
    <row r="135" spans="1:8" x14ac:dyDescent="0.25">
      <c r="A135" t="s">
        <v>4255</v>
      </c>
      <c r="D135" t="s">
        <v>8050</v>
      </c>
      <c r="E135" t="s">
        <v>4254</v>
      </c>
      <c r="G135" t="s">
        <v>8040</v>
      </c>
      <c r="H135" t="s">
        <v>8063</v>
      </c>
    </row>
    <row r="136" spans="1:8" x14ac:dyDescent="0.25">
      <c r="A136" t="s">
        <v>8244</v>
      </c>
      <c r="B136" t="s">
        <v>3750</v>
      </c>
      <c r="D136" t="s">
        <v>5754</v>
      </c>
      <c r="E136" t="s">
        <v>8243</v>
      </c>
      <c r="G136" t="s">
        <v>8040</v>
      </c>
      <c r="H136" t="s">
        <v>8062</v>
      </c>
    </row>
    <row r="137" spans="1:8" x14ac:dyDescent="0.25">
      <c r="A137" t="s">
        <v>8254</v>
      </c>
      <c r="B137" t="s">
        <v>3750</v>
      </c>
      <c r="D137" t="s">
        <v>5754</v>
      </c>
      <c r="E137" t="s">
        <v>8250</v>
      </c>
      <c r="G137" t="s">
        <v>8040</v>
      </c>
      <c r="H137" t="s">
        <v>8062</v>
      </c>
    </row>
    <row r="138" spans="1:8" x14ac:dyDescent="0.25">
      <c r="A138" t="s">
        <v>8257</v>
      </c>
      <c r="B138" t="s">
        <v>3743</v>
      </c>
      <c r="D138" t="s">
        <v>5754</v>
      </c>
      <c r="E138" t="s">
        <v>8255</v>
      </c>
      <c r="G138" t="s">
        <v>8040</v>
      </c>
      <c r="H138" t="s">
        <v>8062</v>
      </c>
    </row>
    <row r="139" spans="1:8" x14ac:dyDescent="0.25">
      <c r="A139" t="s">
        <v>8244</v>
      </c>
      <c r="B139" t="s">
        <v>3750</v>
      </c>
      <c r="D139" t="s">
        <v>5754</v>
      </c>
      <c r="E139" t="s">
        <v>8264</v>
      </c>
      <c r="G139" t="s">
        <v>8040</v>
      </c>
      <c r="H139" t="s">
        <v>8062</v>
      </c>
    </row>
    <row r="140" spans="1:8" x14ac:dyDescent="0.25">
      <c r="A140" t="s">
        <v>8274</v>
      </c>
      <c r="B140" t="s">
        <v>3750</v>
      </c>
      <c r="D140" t="s">
        <v>5754</v>
      </c>
      <c r="E140" t="s">
        <v>4692</v>
      </c>
      <c r="G140" t="s">
        <v>8040</v>
      </c>
      <c r="H140" t="s">
        <v>8062</v>
      </c>
    </row>
    <row r="141" spans="1:8" x14ac:dyDescent="0.25">
      <c r="A141" t="s">
        <v>8274</v>
      </c>
      <c r="B141" t="s">
        <v>3750</v>
      </c>
      <c r="D141" t="s">
        <v>5754</v>
      </c>
      <c r="E141" t="s">
        <v>6831</v>
      </c>
      <c r="G141" t="s">
        <v>8040</v>
      </c>
      <c r="H141" t="s">
        <v>8062</v>
      </c>
    </row>
    <row r="142" spans="1:8" x14ac:dyDescent="0.25">
      <c r="A142" t="s">
        <v>8301</v>
      </c>
      <c r="B142" t="s">
        <v>3743</v>
      </c>
      <c r="D142" t="s">
        <v>5754</v>
      </c>
      <c r="E142" t="s">
        <v>8299</v>
      </c>
      <c r="G142" t="s">
        <v>8040</v>
      </c>
      <c r="H142" t="s">
        <v>8062</v>
      </c>
    </row>
    <row r="143" spans="1:8" x14ac:dyDescent="0.25">
      <c r="A143" t="s">
        <v>8301</v>
      </c>
      <c r="B143" t="s">
        <v>3743</v>
      </c>
      <c r="D143" t="s">
        <v>5754</v>
      </c>
      <c r="E143" t="s">
        <v>8304</v>
      </c>
      <c r="G143" t="s">
        <v>8040</v>
      </c>
      <c r="H143" t="s">
        <v>8062</v>
      </c>
    </row>
    <row r="144" spans="1:8" x14ac:dyDescent="0.25">
      <c r="A144" t="s">
        <v>8315</v>
      </c>
      <c r="B144" t="s">
        <v>3743</v>
      </c>
      <c r="D144" t="s">
        <v>5754</v>
      </c>
      <c r="E144" t="s">
        <v>8314</v>
      </c>
      <c r="G144" t="s">
        <v>8040</v>
      </c>
      <c r="H144" t="s">
        <v>8062</v>
      </c>
    </row>
    <row r="145" spans="1:8" x14ac:dyDescent="0.25">
      <c r="A145" t="s">
        <v>8315</v>
      </c>
      <c r="B145" t="s">
        <v>3743</v>
      </c>
      <c r="D145" t="s">
        <v>5754</v>
      </c>
      <c r="E145" t="s">
        <v>8317</v>
      </c>
      <c r="G145" t="s">
        <v>8040</v>
      </c>
      <c r="H145" t="s">
        <v>8062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4301</v>
      </c>
    </row>
    <row r="2" spans="1:28" x14ac:dyDescent="0.25">
      <c r="A2" s="13" t="s">
        <v>4302</v>
      </c>
    </row>
    <row r="4" spans="1:28" ht="25.5" customHeight="1" x14ac:dyDescent="0.25">
      <c r="A4" s="14" t="s">
        <v>4303</v>
      </c>
      <c r="B4" s="14" t="s">
        <v>4304</v>
      </c>
      <c r="C4" s="14" t="s">
        <v>4305</v>
      </c>
      <c r="E4" s="14" t="s">
        <v>4306</v>
      </c>
      <c r="F4" s="14" t="s">
        <v>4307</v>
      </c>
      <c r="G4" s="14" t="s">
        <v>172</v>
      </c>
      <c r="I4" s="14" t="s">
        <v>4308</v>
      </c>
      <c r="J4" s="14" t="s">
        <v>4307</v>
      </c>
      <c r="K4" s="14" t="s">
        <v>172</v>
      </c>
      <c r="L4" s="14" t="s">
        <v>4309</v>
      </c>
      <c r="N4" s="14" t="s">
        <v>4310</v>
      </c>
      <c r="O4" s="14" t="s">
        <v>1</v>
      </c>
      <c r="P4" s="14" t="s">
        <v>4306</v>
      </c>
      <c r="R4" s="14" t="s">
        <v>4310</v>
      </c>
      <c r="S4" s="14" t="s">
        <v>4311</v>
      </c>
      <c r="T4" s="14" t="s">
        <v>4306</v>
      </c>
      <c r="V4" s="14" t="s">
        <v>166</v>
      </c>
      <c r="W4" s="14" t="s">
        <v>4307</v>
      </c>
      <c r="X4" s="14" t="s">
        <v>172</v>
      </c>
      <c r="Y4" s="14" t="s">
        <v>4312</v>
      </c>
      <c r="AA4" s="14" t="s">
        <v>4313</v>
      </c>
      <c r="AB4" s="14" t="s">
        <v>4312</v>
      </c>
    </row>
    <row r="5" spans="1:28" x14ac:dyDescent="0.25">
      <c r="A5" s="15" t="s">
        <v>4307</v>
      </c>
      <c r="B5" s="16">
        <f>COUNTA(games!$A$2:$A$950)</f>
        <v>899</v>
      </c>
      <c r="C5" s="17" t="s">
        <v>4314</v>
      </c>
      <c r="E5" t="s">
        <v>4315</v>
      </c>
      <c r="F5">
        <f>COUNTIF('Map Calc'!$D$2:$D$950,0)</f>
        <v>59</v>
      </c>
      <c r="G5">
        <f>COUNTIFS('Map Calc'!$D$2:$D$950,0,'Map Calc'!$P$2:$P$950,"Yes")</f>
        <v>34</v>
      </c>
      <c r="I5" t="s">
        <v>176</v>
      </c>
      <c r="J5">
        <f>COUNTIF(games!$C$2:$C$950,$I5)</f>
        <v>388</v>
      </c>
      <c r="K5">
        <f>COUNTIFS(games!$C$2:$C$950,$I5,games!$H$2:$H$950,"Yes")</f>
        <v>261</v>
      </c>
      <c r="L5" s="18">
        <f>IF($J5=0,0,$K5/$J5)</f>
        <v>0.67268041237113407</v>
      </c>
      <c r="N5">
        <v>1</v>
      </c>
      <c r="O5" t="str">
        <f>IFERROR(INDEX('Map Calc'!$A$2:$A$950,MATCH(LARGE('Map Calc'!$O$2:$O$950,1),'Map Calc'!$O$2:$O$950,0)),"")</f>
        <v>Slay the Spire</v>
      </c>
      <c r="P5">
        <f>IFERROR(INDEX('Map Calc'!$D$2:$D$950,MATCH(LARGE('Map Calc'!$O$2:$O$950,1),'Map Calc'!$O$2:$O$950,0)),"")</f>
        <v>158</v>
      </c>
      <c r="R5">
        <v>1</v>
      </c>
      <c r="S5" t="str">
        <f>IFERROR(INDEX('Map Calc'!$A$2:$A$950,MATCH(LARGE('Map Calc'!$Q$2:$Q$950,1),'Map Calc'!$Q$2:$Q$950,0)),"")</f>
        <v>Slay the Spire</v>
      </c>
      <c r="T5">
        <f>IFERROR(INDEX('Map Calc'!$D$2:$D$950,MATCH(LARGE('Map Calc'!$Q$2:$Q$950,1),'Map Calc'!$Q$2:$Q$950,0)),"")</f>
        <v>158</v>
      </c>
      <c r="V5">
        <v>1978</v>
      </c>
      <c r="W5">
        <f>COUNTIF(games!$B$2:$B$950,$V5)</f>
        <v>1</v>
      </c>
      <c r="X5">
        <f>COUNTIFS(games!$B$2:$B$950,$V5,games!$H$2:$H$950,"Yes")</f>
        <v>1</v>
      </c>
      <c r="Y5">
        <f>COUNTIF('Map Calc'!$T$2:$T$1400,$V5)</f>
        <v>0</v>
      </c>
      <c r="AA5">
        <v>0</v>
      </c>
      <c r="AB5">
        <f>COUNTIF('Map Calc'!$V$2:$V$1400,$AA5)</f>
        <v>13</v>
      </c>
    </row>
    <row r="6" spans="1:28" x14ac:dyDescent="0.25">
      <c r="A6" s="15" t="s">
        <v>4316</v>
      </c>
      <c r="B6" s="16">
        <f>COUNTIF(games!$H$2:$H$950,"Yes")</f>
        <v>569</v>
      </c>
      <c r="C6" s="17" t="s">
        <v>4317</v>
      </c>
      <c r="E6" t="s">
        <v>4318</v>
      </c>
      <c r="F6">
        <f>COUNTIF('Map Calc'!$D$2:$D$950,1)</f>
        <v>326</v>
      </c>
      <c r="G6">
        <f>COUNTIFS('Map Calc'!$D$2:$D$950,1,'Map Calc'!$P$2:$P$950,"Yes")</f>
        <v>198</v>
      </c>
      <c r="I6" t="s">
        <v>222</v>
      </c>
      <c r="J6">
        <f>COUNTIF(games!$C$2:$C$950,$I6)</f>
        <v>158</v>
      </c>
      <c r="K6">
        <f>COUNTIFS(games!$C$2:$C$950,$I6,games!$H$2:$H$950,"Yes")</f>
        <v>101</v>
      </c>
      <c r="L6" s="18">
        <f>IF($J6=0,0,$K6/$J6)</f>
        <v>0.63924050632911389</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111</v>
      </c>
    </row>
    <row r="7" spans="1:28" x14ac:dyDescent="0.25">
      <c r="A7" s="15" t="s">
        <v>4319</v>
      </c>
      <c r="B7" s="19">
        <f>IF(B5=0,0,B6/B5)</f>
        <v>0.63292547274749722</v>
      </c>
      <c r="C7" s="17" t="s">
        <v>4320</v>
      </c>
      <c r="E7" t="s">
        <v>4321</v>
      </c>
      <c r="F7">
        <f>COUNTIF('Map Calc'!$D$2:$D$950,2)</f>
        <v>209</v>
      </c>
      <c r="G7">
        <f>COUNTIFS('Map Calc'!$D$2:$D$950,2,'Map Calc'!$P$2:$P$950,"Yes")</f>
        <v>120</v>
      </c>
      <c r="I7" t="s">
        <v>182</v>
      </c>
      <c r="J7">
        <f>COUNTIF(games!$C$2:$C$950,$I7)</f>
        <v>186</v>
      </c>
      <c r="K7">
        <f>COUNTIFS(games!$C$2:$C$950,$I7,games!$H$2:$H$950,"Yes")</f>
        <v>100</v>
      </c>
      <c r="L7" s="18">
        <f>IF($J7=0,0,$K7/$J7)</f>
        <v>0.5376344086021505</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29</v>
      </c>
      <c r="AA7">
        <v>2</v>
      </c>
      <c r="AB7">
        <f>COUNTIF('Map Calc'!$V$2:$V$1400,$AA7)</f>
        <v>177</v>
      </c>
    </row>
    <row r="8" spans="1:28" x14ac:dyDescent="0.25">
      <c r="A8" s="15" t="s">
        <v>4312</v>
      </c>
      <c r="B8" s="25">
        <f>COUNTA(connections!$A$2:$A$1496)</f>
        <v>1495</v>
      </c>
      <c r="C8" s="17" t="s">
        <v>4322</v>
      </c>
      <c r="E8" t="s">
        <v>4323</v>
      </c>
      <c r="F8">
        <f>COUNTIF('Map Calc'!$D$2:$D$950,3)</f>
        <v>133</v>
      </c>
      <c r="G8">
        <f>COUNTIFS('Map Calc'!$D$2:$D$950,3,'Map Calc'!$P$2:$P$950,"Yes")</f>
        <v>93</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70</v>
      </c>
      <c r="R8">
        <v>4</v>
      </c>
      <c r="S8" t="str">
        <f>IFERROR(INDEX('Map Calc'!$A$2:$A$950,MATCH(LARGE('Map Calc'!$Q$2:$Q$950,4),'Map Calc'!$Q$2:$Q$950,0)),"")</f>
        <v>Hades</v>
      </c>
      <c r="T8">
        <f>IFERROR(INDEX('Map Calc'!$D$2:$D$950,MATCH(LARGE('Map Calc'!$Q$2:$Q$950,4),'Map Calc'!$Q$2:$Q$950,0)),"")</f>
        <v>70</v>
      </c>
      <c r="V8">
        <v>1981</v>
      </c>
      <c r="W8">
        <f>COUNTIF(games!$B$2:$B$950,$V8)</f>
        <v>0</v>
      </c>
      <c r="X8">
        <f>COUNTIFS(games!$B$2:$B$950,$V8,games!$H$2:$H$950,"Yes")</f>
        <v>0</v>
      </c>
      <c r="Y8">
        <f>COUNTIF('Map Calc'!$T$2:$T$1400,$V8)</f>
        <v>0</v>
      </c>
      <c r="AA8">
        <v>3</v>
      </c>
      <c r="AB8">
        <f>COUNTIF('Map Calc'!$V$2:$V$1400,$AA8)</f>
        <v>166</v>
      </c>
    </row>
    <row r="9" spans="1:28" x14ac:dyDescent="0.25">
      <c r="A9" s="15" t="s">
        <v>4324</v>
      </c>
      <c r="B9" s="20">
        <f>IF(B5=0,0,2*B8/B5)</f>
        <v>3.3259176863181312</v>
      </c>
      <c r="C9" s="17" t="s">
        <v>4325</v>
      </c>
      <c r="E9" t="s">
        <v>4326</v>
      </c>
      <c r="F9">
        <f>COUNTIF('Map Calc'!$D$2:$D$950,4)</f>
        <v>63</v>
      </c>
      <c r="G9">
        <f>COUNTIFS('Map Calc'!$D$2:$D$950,4,'Map Calc'!$P$2:$P$950,"Yes")</f>
        <v>40</v>
      </c>
      <c r="I9" s="21" t="s">
        <v>39</v>
      </c>
      <c r="J9" s="21">
        <f>SUM(J5:J8)</f>
        <v>899</v>
      </c>
      <c r="K9" s="21">
        <f>SUM(K5:K8)</f>
        <v>569</v>
      </c>
      <c r="L9" s="22">
        <f>IF($J9=0,0,$K9/$J9)</f>
        <v>0.63292547274749722</v>
      </c>
      <c r="N9">
        <v>5</v>
      </c>
      <c r="O9" t="str">
        <f>IFERROR(INDEX('Map Calc'!$A$2:$A$950,MATCH(LARGE('Map Calc'!$O$2:$O$950,5),'Map Calc'!$O$2:$O$950,0)),"")</f>
        <v>Balatro</v>
      </c>
      <c r="P9">
        <f>IFERROR(INDEX('Map Calc'!$D$2:$D$950,MATCH(LARGE('Map Calc'!$O$2:$O$950,5),'Map Calc'!$O$2:$O$950,0)),"")</f>
        <v>61</v>
      </c>
      <c r="R9">
        <v>5</v>
      </c>
      <c r="S9" t="str">
        <f>IFERROR(INDEX('Map Calc'!$A$2:$A$950,MATCH(LARGE('Map Calc'!$Q$2:$Q$950,5),'Map Calc'!$Q$2:$Q$950,0)),"")</f>
        <v>Balatro</v>
      </c>
      <c r="T9">
        <f>IFERROR(INDEX('Map Calc'!$D$2:$D$950,MATCH(LARGE('Map Calc'!$Q$2:$Q$950,5),'Map Calc'!$Q$2:$Q$950,0)),"")</f>
        <v>61</v>
      </c>
      <c r="V9">
        <v>1982</v>
      </c>
      <c r="W9">
        <f>COUNTIF(games!$B$2:$B$950,$V9)</f>
        <v>1</v>
      </c>
      <c r="X9">
        <f>COUNTIFS(games!$B$2:$B$950,$V9,games!$H$2:$H$950,"Yes")</f>
        <v>0</v>
      </c>
      <c r="Y9">
        <f>COUNTIF('Map Calc'!$T$2:$T$1400,$V9)</f>
        <v>1</v>
      </c>
      <c r="AA9">
        <v>4</v>
      </c>
      <c r="AB9">
        <f>COUNTIF('Map Calc'!$V$2:$V$1400,$AA9)</f>
        <v>161</v>
      </c>
    </row>
    <row r="10" spans="1:28" x14ac:dyDescent="0.25">
      <c r="A10" s="15" t="s">
        <v>4327</v>
      </c>
      <c r="B10" s="20">
        <f>IFERROR(SUMIFS('Map Calc'!$D$2:$D$950,games!$H$2:$H$950,"Yes")/B6,0)</f>
        <v>4.0949033391915641</v>
      </c>
      <c r="C10" s="17" t="s">
        <v>4328</v>
      </c>
      <c r="E10" t="s">
        <v>4329</v>
      </c>
      <c r="F10">
        <f>COUNTIF('Map Calc'!$D$2:$D$950,5)</f>
        <v>30</v>
      </c>
      <c r="G10">
        <f>COUNTIFS('Map Calc'!$D$2:$D$950,5,'Map Calc'!$P$2:$P$950,"Yes")</f>
        <v>14</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137</v>
      </c>
    </row>
    <row r="11" spans="1:28" x14ac:dyDescent="0.25">
      <c r="A11" s="15" t="s">
        <v>4330</v>
      </c>
      <c r="B11" s="16">
        <f>MEDIAN('Map Calc'!$D$2:$D$950)</f>
        <v>2</v>
      </c>
      <c r="C11" s="17" t="s">
        <v>4331</v>
      </c>
      <c r="E11" t="s">
        <v>4332</v>
      </c>
      <c r="F11">
        <f>COUNTIFS('Map Calc'!$D$2:$D$950,"&gt;=6",'Map Calc'!$D$2:$D$950,"&lt;=9")</f>
        <v>41</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104</v>
      </c>
    </row>
    <row r="12" spans="1:28" x14ac:dyDescent="0.25">
      <c r="A12" s="15" t="s">
        <v>4333</v>
      </c>
      <c r="B12" s="16">
        <f>MAX('Map Calc'!$D$2:$D$950)</f>
        <v>158</v>
      </c>
      <c r="C12" s="17" t="s">
        <v>4334</v>
      </c>
      <c r="E12" t="s">
        <v>4335</v>
      </c>
      <c r="F12">
        <f>COUNTIFS('Map Calc'!$D$2:$D$950,"&gt;=10",'Map Calc'!$D$2:$D$950,"&lt;=24")</f>
        <v>21</v>
      </c>
      <c r="G12">
        <f>COUNTIFS('Map Calc'!$D$2:$D$950,"&gt;=10",'Map Calc'!$D$2:$D$950,"&lt;=24",'Map Calc'!$P$2:$P$950,"Yes")</f>
        <v>21</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4336</v>
      </c>
      <c r="B13" s="16">
        <f>COUNTIF('Map Calc'!$D$2:$D$950,1)</f>
        <v>326</v>
      </c>
      <c r="C13" s="17" t="s">
        <v>4337</v>
      </c>
      <c r="E13" t="s">
        <v>4338</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76</v>
      </c>
    </row>
    <row r="14" spans="1:28" x14ac:dyDescent="0.25">
      <c r="A14" s="15" t="s">
        <v>4339</v>
      </c>
      <c r="B14" s="16">
        <f>COUNTIF('Map Calc'!$D$2:$D$950,0)</f>
        <v>59</v>
      </c>
      <c r="C14" s="17" t="s">
        <v>4340</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38</v>
      </c>
      <c r="AA14">
        <v>9</v>
      </c>
      <c r="AB14">
        <f>COUNTIF('Map Calc'!$V$2:$V$1400,$AA14)</f>
        <v>68</v>
      </c>
    </row>
    <row r="15" spans="1:28" x14ac:dyDescent="0.25">
      <c r="A15" s="15" t="s">
        <v>4341</v>
      </c>
      <c r="B15" s="16">
        <f>B13+B14</f>
        <v>385</v>
      </c>
      <c r="C15" s="17" t="s">
        <v>4342</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33</v>
      </c>
    </row>
    <row r="16" spans="1:28" x14ac:dyDescent="0.25">
      <c r="A16" s="15" t="s">
        <v>4343</v>
      </c>
      <c r="B16" s="16">
        <f>COUNTIFS(games!$H$2:$H$950,"Yes",'Map Calc'!$D$2:$D$950,"&gt;1")</f>
        <v>337</v>
      </c>
      <c r="C16" s="17" t="s">
        <v>4344</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4345</v>
      </c>
      <c r="AB16">
        <f>COUNTIFS('Map Calc'!$V$2:$V$1400,"&gt;=11",'Map Calc'!$V$2:$V$1400,"&lt;=20")</f>
        <v>149</v>
      </c>
    </row>
    <row r="17" spans="1:28" x14ac:dyDescent="0.25">
      <c r="A17" s="15" t="s">
        <v>4346</v>
      </c>
      <c r="B17" s="16">
        <f>COUNTIFS(games!$H$2:$H$950,"Yes",'Map Calc'!$D$2:$D$950,"&lt;=1")</f>
        <v>232</v>
      </c>
      <c r="C17" s="17" t="s">
        <v>4347</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4348</v>
      </c>
      <c r="AB17">
        <f>COUNTIF('Map Calc'!$V$2:$V$1400,"&gt;=21")</f>
        <v>102</v>
      </c>
    </row>
    <row r="18" spans="1:28" x14ac:dyDescent="0.25">
      <c r="A18" s="15" t="s">
        <v>4349</v>
      </c>
      <c r="B18" s="23" t="e">
        <f>SUMPRODUCT(('Map Calc'!$V$2:$V$1400&lt;&gt;"")*('Map Calc'!$V$2:$V$1400&lt;0))</f>
        <v>#REF!</v>
      </c>
      <c r="C18" s="17" t="s">
        <v>4350</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4351</v>
      </c>
      <c r="B19" s="16" t="e">
        <f>SUMPRODUCT(('Map Calc'!$V$2:$V$1400&lt;&gt;"")*('Map Calc'!$V$2:$V$1400=0))</f>
        <v>#REF!</v>
      </c>
      <c r="C19" s="17" t="s">
        <v>4352</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4353</v>
      </c>
      <c r="B20" s="24" t="e">
        <f>MEDIAN('Map Calc'!$V$2:$V$1400)</f>
        <v>#REF!</v>
      </c>
      <c r="C20" s="17" t="s">
        <v>4354</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22</v>
      </c>
    </row>
    <row r="21" spans="1:28" x14ac:dyDescent="0.25">
      <c r="A21" s="15" t="s">
        <v>4355</v>
      </c>
      <c r="B21" s="25">
        <f>COUNTIF(connections!$D$2:$D$1496,"Yes")</f>
        <v>152</v>
      </c>
      <c r="C21" s="17" t="s">
        <v>4356</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4357</v>
      </c>
      <c r="B22" s="25">
        <f>COUNTA(connections!$E$2:$E$1496)</f>
        <v>1344</v>
      </c>
      <c r="C22" s="17" t="s">
        <v>4358</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4359</v>
      </c>
      <c r="B23" s="16">
        <f>COUNTIFS(games!$H$2:$H$950,"Yes",games!$J$2:$J$950,"")</f>
        <v>90</v>
      </c>
      <c r="C23" s="17" t="s">
        <v>4360</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18</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78</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38</v>
      </c>
    </row>
    <row r="44" spans="22:25" x14ac:dyDescent="0.25">
      <c r="V44">
        <v>2017</v>
      </c>
      <c r="W44">
        <f>COUNTIF(games!$B$2:$B$950,$V44)</f>
        <v>32</v>
      </c>
      <c r="X44">
        <f>COUNTIFS(games!$B$2:$B$950,$V44,games!$H$2:$H$950,"Yes")</f>
        <v>21</v>
      </c>
      <c r="Y44">
        <f>COUNTIF('Map Calc'!$T$2:$T$1400,$V44)</f>
        <v>158</v>
      </c>
    </row>
    <row r="45" spans="22:25" x14ac:dyDescent="0.25">
      <c r="V45">
        <v>2018</v>
      </c>
      <c r="W45">
        <f>COUNTIF(games!$B$2:$B$950,$V45)</f>
        <v>24</v>
      </c>
      <c r="X45">
        <f>COUNTIFS(games!$B$2:$B$950,$V45,games!$H$2:$H$950,"Yes")</f>
        <v>17</v>
      </c>
      <c r="Y45">
        <f>COUNTIF('Map Calc'!$T$2:$T$1400,$V45)</f>
        <v>75</v>
      </c>
    </row>
    <row r="46" spans="22:25" x14ac:dyDescent="0.25">
      <c r="V46">
        <v>2019</v>
      </c>
      <c r="W46">
        <f>COUNTIF(games!$B$2:$B$950,$V46)</f>
        <v>39</v>
      </c>
      <c r="X46">
        <f>COUNTIFS(games!$B$2:$B$950,$V46,games!$H$2:$H$950,"Yes")</f>
        <v>27</v>
      </c>
      <c r="Y46">
        <f>COUNTIF('Map Calc'!$T$2:$T$1400,$V46)</f>
        <v>103</v>
      </c>
    </row>
    <row r="47" spans="22:25" x14ac:dyDescent="0.25">
      <c r="V47">
        <v>2020</v>
      </c>
      <c r="W47">
        <f>COUNTIF(games!$B$2:$B$950,$V47)</f>
        <v>51</v>
      </c>
      <c r="X47">
        <f>COUNTIFS(games!$B$2:$B$950,$V47,games!$H$2:$H$950,"Yes")</f>
        <v>43</v>
      </c>
      <c r="Y47">
        <f>COUNTIF('Map Calc'!$T$2:$T$1400,$V47)</f>
        <v>61</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57</v>
      </c>
      <c r="Y49">
        <f>COUNTIF('Map Calc'!$T$2:$T$1400,$V49)</f>
        <v>78</v>
      </c>
    </row>
    <row r="50" spans="22:25" x14ac:dyDescent="0.25">
      <c r="V50">
        <v>2023</v>
      </c>
      <c r="W50">
        <f>COUNTIF(games!$B$2:$B$950,$V50)</f>
        <v>97</v>
      </c>
      <c r="X50">
        <f>COUNTIFS(games!$B$2:$B$950,$V50,games!$H$2:$H$950,"Yes")</f>
        <v>78</v>
      </c>
      <c r="Y50">
        <f>COUNTIF('Map Calc'!$T$2:$T$1400,$V50)</f>
        <v>95</v>
      </c>
    </row>
    <row r="51" spans="22:25" x14ac:dyDescent="0.25">
      <c r="V51">
        <v>2024</v>
      </c>
      <c r="W51">
        <f>COUNTIF(games!$B$2:$B$950,$V51)</f>
        <v>101</v>
      </c>
      <c r="X51">
        <f>COUNTIFS(games!$B$2:$B$950,$V51,games!$H$2:$H$950,"Yes")</f>
        <v>60</v>
      </c>
      <c r="Y51">
        <f>COUNTIF('Map Calc'!$T$2:$T$1400,$V51)</f>
        <v>21</v>
      </c>
    </row>
    <row r="52" spans="22:25" x14ac:dyDescent="0.25">
      <c r="V52">
        <v>2025</v>
      </c>
      <c r="W52">
        <f>COUNTIF(games!$B$2:$B$950,$V52)</f>
        <v>155</v>
      </c>
      <c r="X52">
        <f>COUNTIFS(games!$B$2:$B$950,$V52,games!$H$2:$H$950,"Yes")</f>
        <v>80</v>
      </c>
      <c r="Y52">
        <f>COUNTIF('Map Calc'!$T$2:$T$1400,$V52)</f>
        <v>12</v>
      </c>
    </row>
    <row r="53" spans="22:25" x14ac:dyDescent="0.25">
      <c r="V53">
        <v>2026</v>
      </c>
      <c r="W53">
        <f>COUNTIF(games!$B$2:$B$950,$V53)</f>
        <v>110</v>
      </c>
      <c r="X53">
        <f>COUNTIFS(games!$B$2:$B$950,$V53,games!$H$2:$H$950,"Yes")</f>
        <v>19</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4269</v>
      </c>
      <c r="F1" t="s">
        <v>3495</v>
      </c>
      <c r="G1" t="s">
        <v>4270</v>
      </c>
      <c r="H1" t="s">
        <v>7</v>
      </c>
    </row>
    <row r="2" spans="1:8" x14ac:dyDescent="0.25">
      <c r="B2" t="s">
        <v>4271</v>
      </c>
      <c r="C2" t="s">
        <v>3741</v>
      </c>
      <c r="D2" t="s">
        <v>41</v>
      </c>
      <c r="E2" t="s">
        <v>4272</v>
      </c>
      <c r="F2" t="s">
        <v>3457</v>
      </c>
      <c r="G2" t="s">
        <v>4273</v>
      </c>
    </row>
    <row r="3" spans="1:8" x14ac:dyDescent="0.25">
      <c r="B3" t="s">
        <v>4271</v>
      </c>
      <c r="C3" t="s">
        <v>3775</v>
      </c>
      <c r="D3" t="s">
        <v>41</v>
      </c>
      <c r="E3" t="s">
        <v>4274</v>
      </c>
      <c r="G3" t="s">
        <v>4275</v>
      </c>
    </row>
    <row r="4" spans="1:8" x14ac:dyDescent="0.25">
      <c r="B4" t="s">
        <v>4271</v>
      </c>
      <c r="C4" t="s">
        <v>3789</v>
      </c>
      <c r="D4" t="s">
        <v>41</v>
      </c>
      <c r="E4" t="s">
        <v>4276</v>
      </c>
      <c r="G4" t="s">
        <v>4277</v>
      </c>
    </row>
    <row r="5" spans="1:8" x14ac:dyDescent="0.25">
      <c r="B5" t="s">
        <v>4278</v>
      </c>
      <c r="C5" t="s">
        <v>3741</v>
      </c>
      <c r="D5" t="s">
        <v>41</v>
      </c>
      <c r="E5" t="s">
        <v>4279</v>
      </c>
      <c r="F5" t="s">
        <v>3457</v>
      </c>
      <c r="G5" t="s">
        <v>4280</v>
      </c>
    </row>
    <row r="6" spans="1:8" x14ac:dyDescent="0.25">
      <c r="B6" t="s">
        <v>4278</v>
      </c>
      <c r="C6" t="s">
        <v>3775</v>
      </c>
      <c r="D6" t="s">
        <v>41</v>
      </c>
      <c r="E6" t="s">
        <v>4281</v>
      </c>
      <c r="G6" t="s">
        <v>4282</v>
      </c>
    </row>
    <row r="7" spans="1:8" x14ac:dyDescent="0.25">
      <c r="B7" t="s">
        <v>4278</v>
      </c>
      <c r="C7" t="s">
        <v>3789</v>
      </c>
      <c r="D7" t="s">
        <v>41</v>
      </c>
      <c r="E7" t="s">
        <v>4283</v>
      </c>
      <c r="G7" t="s">
        <v>4284</v>
      </c>
    </row>
    <row r="8" spans="1:8" x14ac:dyDescent="0.25">
      <c r="B8" t="s">
        <v>4285</v>
      </c>
      <c r="C8" t="s">
        <v>3741</v>
      </c>
      <c r="D8" t="s">
        <v>41</v>
      </c>
      <c r="E8" t="s">
        <v>4286</v>
      </c>
      <c r="F8" t="s">
        <v>3457</v>
      </c>
    </row>
    <row r="9" spans="1:8" x14ac:dyDescent="0.25">
      <c r="B9" t="s">
        <v>4285</v>
      </c>
      <c r="C9" t="s">
        <v>3775</v>
      </c>
      <c r="D9" t="s">
        <v>41</v>
      </c>
      <c r="E9" t="s">
        <v>4287</v>
      </c>
    </row>
    <row r="10" spans="1:8" x14ac:dyDescent="0.25">
      <c r="B10" t="s">
        <v>4285</v>
      </c>
      <c r="C10" t="s">
        <v>3789</v>
      </c>
      <c r="D10" t="s">
        <v>41</v>
      </c>
      <c r="E10" t="s">
        <v>4288</v>
      </c>
    </row>
    <row r="11" spans="1:8" x14ac:dyDescent="0.25">
      <c r="B11" t="s">
        <v>4285</v>
      </c>
      <c r="C11" t="s">
        <v>3909</v>
      </c>
      <c r="D11" t="s">
        <v>41</v>
      </c>
      <c r="E11" t="s">
        <v>4289</v>
      </c>
      <c r="G11" t="s">
        <v>4290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3733</v>
      </c>
      <c r="D1" t="s">
        <v>3736</v>
      </c>
      <c r="E1" t="s">
        <v>3737</v>
      </c>
      <c r="F1" t="s">
        <v>4291</v>
      </c>
      <c r="G1" t="s">
        <v>4230</v>
      </c>
      <c r="H1" t="s">
        <v>4292</v>
      </c>
      <c r="I1" t="s">
        <v>4293</v>
      </c>
    </row>
    <row r="2" spans="1:9" x14ac:dyDescent="0.25">
      <c r="A2" t="s">
        <v>4294</v>
      </c>
      <c r="B2" t="s">
        <v>2619</v>
      </c>
      <c r="C2" t="s">
        <v>3741</v>
      </c>
      <c r="D2" t="s">
        <v>3750</v>
      </c>
      <c r="E2" t="s">
        <v>4295</v>
      </c>
      <c r="F2" t="s">
        <v>3464</v>
      </c>
      <c r="G2" t="s">
        <v>4296</v>
      </c>
      <c r="H2" t="s">
        <v>4297</v>
      </c>
      <c r="I2" t="s">
        <v>3674</v>
      </c>
    </row>
    <row r="3" spans="1:9" x14ac:dyDescent="0.25">
      <c r="A3" t="s">
        <v>4298</v>
      </c>
      <c r="B3" t="s">
        <v>2619</v>
      </c>
      <c r="C3" t="s">
        <v>3741</v>
      </c>
      <c r="D3" t="s">
        <v>3743</v>
      </c>
      <c r="E3" t="s">
        <v>4299</v>
      </c>
      <c r="F3" t="s">
        <v>3464</v>
      </c>
      <c r="G3" t="s">
        <v>4296</v>
      </c>
      <c r="I3" t="s">
        <v>4300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7551</v>
      </c>
      <c r="B1" t="s">
        <v>7552</v>
      </c>
      <c r="C1" t="s">
        <v>7570</v>
      </c>
      <c r="D1" t="s">
        <v>7484</v>
      </c>
      <c r="E1" t="s">
        <v>7485</v>
      </c>
      <c r="F1" t="s">
        <v>7538</v>
      </c>
      <c r="G1" t="s">
        <v>7578</v>
      </c>
      <c r="H1" t="s">
        <v>7486</v>
      </c>
      <c r="I1" t="s">
        <v>7487</v>
      </c>
      <c r="J1" t="s">
        <v>7539</v>
      </c>
      <c r="K1" t="s">
        <v>7579</v>
      </c>
      <c r="L1" t="s">
        <v>7488</v>
      </c>
      <c r="M1" t="s">
        <v>7489</v>
      </c>
      <c r="N1" t="s">
        <v>7541</v>
      </c>
      <c r="O1" t="s">
        <v>7580</v>
      </c>
      <c r="P1" t="s">
        <v>7738</v>
      </c>
      <c r="Q1" t="s">
        <v>7739</v>
      </c>
      <c r="R1" t="s">
        <v>7740</v>
      </c>
      <c r="S1" t="s">
        <v>7741</v>
      </c>
      <c r="U1" t="s">
        <v>7560</v>
      </c>
      <c r="V1" t="s">
        <v>7742</v>
      </c>
      <c r="W1" t="s">
        <v>7581</v>
      </c>
    </row>
    <row r="2" spans="1:23" x14ac:dyDescent="0.25">
      <c r="A2" t="s">
        <v>7524</v>
      </c>
      <c r="B2" t="s">
        <v>7596</v>
      </c>
      <c r="C2" t="s">
        <v>4941</v>
      </c>
      <c r="D2" t="s">
        <v>7584</v>
      </c>
      <c r="E2" t="s">
        <v>7716</v>
      </c>
      <c r="F2" t="s">
        <v>7715</v>
      </c>
      <c r="G2" t="s">
        <v>7562</v>
      </c>
      <c r="U2" t="s">
        <v>3442</v>
      </c>
      <c r="V2" t="s">
        <v>7562</v>
      </c>
    </row>
    <row r="3" spans="1:23" x14ac:dyDescent="0.25">
      <c r="A3" t="s">
        <v>7503</v>
      </c>
      <c r="B3" t="s">
        <v>7596</v>
      </c>
      <c r="C3" t="s">
        <v>4941</v>
      </c>
      <c r="D3" t="s">
        <v>3679</v>
      </c>
      <c r="E3" t="s">
        <v>7761</v>
      </c>
      <c r="F3" t="s">
        <v>7715</v>
      </c>
      <c r="G3" t="s">
        <v>7562</v>
      </c>
      <c r="U3" t="s">
        <v>7546</v>
      </c>
      <c r="V3" t="s">
        <v>7562</v>
      </c>
      <c r="W3" t="s">
        <v>7592</v>
      </c>
    </row>
    <row r="4" spans="1:23" x14ac:dyDescent="0.25">
      <c r="A4" t="s">
        <v>7508</v>
      </c>
      <c r="B4" t="s">
        <v>7596</v>
      </c>
      <c r="C4" t="s">
        <v>4941</v>
      </c>
      <c r="D4" t="s">
        <v>3447</v>
      </c>
      <c r="E4" t="s">
        <v>7546</v>
      </c>
      <c r="F4" t="s">
        <v>7715</v>
      </c>
      <c r="G4" t="s">
        <v>7562</v>
      </c>
      <c r="U4" t="s">
        <v>7561</v>
      </c>
      <c r="V4" t="s">
        <v>7562</v>
      </c>
      <c r="W4" t="s">
        <v>3519</v>
      </c>
    </row>
    <row r="5" spans="1:23" x14ac:dyDescent="0.25">
      <c r="A5" t="s">
        <v>7510</v>
      </c>
      <c r="B5" t="s">
        <v>7596</v>
      </c>
      <c r="C5" t="s">
        <v>4941</v>
      </c>
      <c r="D5" t="s">
        <v>3576</v>
      </c>
      <c r="E5" t="s">
        <v>3441</v>
      </c>
      <c r="F5" t="s">
        <v>7715</v>
      </c>
      <c r="G5" t="s">
        <v>7562</v>
      </c>
      <c r="U5" t="s">
        <v>7729</v>
      </c>
      <c r="V5" t="s">
        <v>7562</v>
      </c>
      <c r="W5" t="s">
        <v>3440</v>
      </c>
    </row>
    <row r="6" spans="1:23" x14ac:dyDescent="0.25">
      <c r="A6" t="s">
        <v>7514</v>
      </c>
      <c r="B6" t="s">
        <v>7596</v>
      </c>
      <c r="C6" t="s">
        <v>4941</v>
      </c>
      <c r="D6" t="s">
        <v>3440</v>
      </c>
      <c r="E6" t="s">
        <v>7545</v>
      </c>
      <c r="F6" t="s">
        <v>7715</v>
      </c>
      <c r="G6" t="s">
        <v>7562</v>
      </c>
      <c r="U6" t="s">
        <v>7728</v>
      </c>
      <c r="V6" t="s">
        <v>7563</v>
      </c>
      <c r="W6" t="s">
        <v>3447</v>
      </c>
    </row>
    <row r="7" spans="1:23" x14ac:dyDescent="0.25">
      <c r="A7" t="s">
        <v>7520</v>
      </c>
      <c r="B7" t="s">
        <v>7596</v>
      </c>
      <c r="C7" t="s">
        <v>4941</v>
      </c>
      <c r="D7" t="s">
        <v>5423</v>
      </c>
      <c r="E7" t="s">
        <v>7717</v>
      </c>
      <c r="F7" t="s">
        <v>7715</v>
      </c>
      <c r="G7" t="s">
        <v>7562</v>
      </c>
      <c r="U7" t="s">
        <v>7717</v>
      </c>
      <c r="V7" t="s">
        <v>7562</v>
      </c>
      <c r="W7" t="s">
        <v>7583</v>
      </c>
    </row>
    <row r="8" spans="1:23" x14ac:dyDescent="0.25">
      <c r="A8" t="s">
        <v>3520</v>
      </c>
      <c r="B8" t="s">
        <v>7596</v>
      </c>
      <c r="C8" t="s">
        <v>4941</v>
      </c>
      <c r="D8" t="s">
        <v>7593</v>
      </c>
      <c r="E8" t="s">
        <v>7719</v>
      </c>
      <c r="F8" t="s">
        <v>7547</v>
      </c>
      <c r="G8" t="s">
        <v>7562</v>
      </c>
      <c r="U8" t="s">
        <v>7624</v>
      </c>
      <c r="V8" t="s">
        <v>7562</v>
      </c>
      <c r="W8" t="s">
        <v>7593</v>
      </c>
    </row>
    <row r="9" spans="1:23" x14ac:dyDescent="0.25">
      <c r="A9" t="s">
        <v>7712</v>
      </c>
      <c r="B9" t="s">
        <v>7596</v>
      </c>
      <c r="C9" t="s">
        <v>4941</v>
      </c>
      <c r="D9" t="s">
        <v>3587</v>
      </c>
      <c r="E9" t="s">
        <v>7582</v>
      </c>
      <c r="F9" t="s">
        <v>7715</v>
      </c>
      <c r="G9" t="s">
        <v>7562</v>
      </c>
      <c r="U9" t="s">
        <v>4244</v>
      </c>
      <c r="V9" t="s">
        <v>7563</v>
      </c>
      <c r="W9" t="s">
        <v>3441</v>
      </c>
    </row>
    <row r="10" spans="1:23" x14ac:dyDescent="0.25">
      <c r="A10" t="s">
        <v>7498</v>
      </c>
      <c r="B10" t="s">
        <v>7596</v>
      </c>
      <c r="C10" t="s">
        <v>4941</v>
      </c>
      <c r="D10" t="s">
        <v>3679</v>
      </c>
      <c r="E10" t="s">
        <v>7720</v>
      </c>
      <c r="F10" t="s">
        <v>7715</v>
      </c>
      <c r="G10" t="s">
        <v>7562</v>
      </c>
      <c r="U10" t="s">
        <v>3443</v>
      </c>
      <c r="V10" t="s">
        <v>7562</v>
      </c>
    </row>
    <row r="11" spans="1:23" x14ac:dyDescent="0.25">
      <c r="A11" t="s">
        <v>7517</v>
      </c>
      <c r="B11" t="s">
        <v>7596</v>
      </c>
      <c r="C11" t="s">
        <v>4941</v>
      </c>
      <c r="D11" t="s">
        <v>3440</v>
      </c>
      <c r="E11" t="s">
        <v>7545</v>
      </c>
      <c r="F11" t="s">
        <v>7715</v>
      </c>
      <c r="G11" t="s">
        <v>7562</v>
      </c>
      <c r="U11" t="s">
        <v>7750</v>
      </c>
      <c r="V11" t="s">
        <v>7563</v>
      </c>
      <c r="W11" t="s">
        <v>7583</v>
      </c>
    </row>
    <row r="12" spans="1:23" x14ac:dyDescent="0.25">
      <c r="A12" t="s">
        <v>3676</v>
      </c>
      <c r="B12" t="s">
        <v>7596</v>
      </c>
      <c r="C12" t="s">
        <v>4941</v>
      </c>
      <c r="D12" t="s">
        <v>3679</v>
      </c>
      <c r="E12" t="s">
        <v>7721</v>
      </c>
      <c r="F12" t="s">
        <v>7715</v>
      </c>
      <c r="G12" t="s">
        <v>7562</v>
      </c>
      <c r="U12" t="s">
        <v>7625</v>
      </c>
      <c r="V12" t="s">
        <v>7562</v>
      </c>
      <c r="W12" t="s">
        <v>7584</v>
      </c>
    </row>
    <row r="13" spans="1:23" x14ac:dyDescent="0.25">
      <c r="A13" t="s">
        <v>7495</v>
      </c>
      <c r="B13" t="s">
        <v>7596</v>
      </c>
      <c r="C13" t="s">
        <v>4941</v>
      </c>
      <c r="D13" t="s">
        <v>7593</v>
      </c>
      <c r="E13" t="s">
        <v>7719</v>
      </c>
      <c r="F13" t="s">
        <v>7715</v>
      </c>
      <c r="G13" t="s">
        <v>7562</v>
      </c>
      <c r="U13" t="s">
        <v>7625</v>
      </c>
      <c r="V13" t="s">
        <v>7562</v>
      </c>
      <c r="W13" t="s">
        <v>3587</v>
      </c>
    </row>
    <row r="14" spans="1:23" x14ac:dyDescent="0.25">
      <c r="A14" t="s">
        <v>7496</v>
      </c>
      <c r="B14" t="s">
        <v>7596</v>
      </c>
      <c r="C14" t="s">
        <v>4941</v>
      </c>
      <c r="D14" t="s">
        <v>3440</v>
      </c>
      <c r="E14" t="s">
        <v>7545</v>
      </c>
      <c r="F14" t="s">
        <v>7715</v>
      </c>
      <c r="G14" t="s">
        <v>7562</v>
      </c>
      <c r="U14" t="s">
        <v>7724</v>
      </c>
      <c r="V14" t="s">
        <v>7563</v>
      </c>
    </row>
    <row r="15" spans="1:23" x14ac:dyDescent="0.25">
      <c r="A15" t="s">
        <v>7500</v>
      </c>
      <c r="B15" t="s">
        <v>7596</v>
      </c>
      <c r="C15" t="s">
        <v>4941</v>
      </c>
      <c r="D15" t="s">
        <v>7594</v>
      </c>
      <c r="E15" t="s">
        <v>7589</v>
      </c>
      <c r="F15" t="s">
        <v>7715</v>
      </c>
      <c r="G15" t="s">
        <v>7562</v>
      </c>
      <c r="U15" t="s">
        <v>7751</v>
      </c>
      <c r="V15" t="s">
        <v>7563</v>
      </c>
      <c r="W15" t="s">
        <v>3587</v>
      </c>
    </row>
    <row r="16" spans="1:23" x14ac:dyDescent="0.25">
      <c r="A16" t="s">
        <v>7441</v>
      </c>
      <c r="B16" t="s">
        <v>7540</v>
      </c>
      <c r="C16" t="s">
        <v>7752</v>
      </c>
      <c r="D16" t="s">
        <v>7730</v>
      </c>
      <c r="E16" t="s">
        <v>7574</v>
      </c>
      <c r="F16" t="s">
        <v>7557</v>
      </c>
      <c r="G16" t="s">
        <v>7562</v>
      </c>
      <c r="U16" t="s">
        <v>7573</v>
      </c>
      <c r="V16" t="s">
        <v>7563</v>
      </c>
      <c r="W16" t="s">
        <v>7548</v>
      </c>
    </row>
    <row r="17" spans="1:23" x14ac:dyDescent="0.25">
      <c r="A17" t="s">
        <v>7470</v>
      </c>
      <c r="B17" t="s">
        <v>7540</v>
      </c>
      <c r="C17" t="s">
        <v>7752</v>
      </c>
      <c r="D17" t="s">
        <v>7595</v>
      </c>
      <c r="E17" t="s">
        <v>7753</v>
      </c>
      <c r="F17" t="s">
        <v>7577</v>
      </c>
      <c r="G17" t="s">
        <v>7563</v>
      </c>
      <c r="U17" t="s">
        <v>7753</v>
      </c>
      <c r="V17" t="s">
        <v>7562</v>
      </c>
      <c r="W17" t="s">
        <v>4007</v>
      </c>
    </row>
    <row r="18" spans="1:23" x14ac:dyDescent="0.25">
      <c r="A18" t="s">
        <v>7431</v>
      </c>
      <c r="B18" t="s">
        <v>7540</v>
      </c>
      <c r="C18" t="s">
        <v>7752</v>
      </c>
      <c r="D18" t="s">
        <v>5522</v>
      </c>
      <c r="E18" t="s">
        <v>7756</v>
      </c>
      <c r="F18" t="s">
        <v>7762</v>
      </c>
      <c r="G18" t="s">
        <v>7562</v>
      </c>
      <c r="U18" t="s">
        <v>7565</v>
      </c>
      <c r="V18" t="s">
        <v>7562</v>
      </c>
      <c r="W18" t="s">
        <v>7550</v>
      </c>
    </row>
    <row r="19" spans="1:23" x14ac:dyDescent="0.25">
      <c r="A19" t="s">
        <v>7401</v>
      </c>
      <c r="B19" t="s">
        <v>7540</v>
      </c>
      <c r="C19" t="s">
        <v>7752</v>
      </c>
      <c r="D19" t="s">
        <v>5522</v>
      </c>
      <c r="E19" t="s">
        <v>7750</v>
      </c>
      <c r="F19" t="s">
        <v>7757</v>
      </c>
      <c r="G19" t="s">
        <v>7562</v>
      </c>
      <c r="U19" t="s">
        <v>7574</v>
      </c>
      <c r="V19" t="s">
        <v>7562</v>
      </c>
      <c r="W19" t="s">
        <v>5423</v>
      </c>
    </row>
    <row r="20" spans="1:23" x14ac:dyDescent="0.25">
      <c r="A20" t="s">
        <v>7396</v>
      </c>
      <c r="B20" t="s">
        <v>7540</v>
      </c>
      <c r="C20" t="s">
        <v>7752</v>
      </c>
      <c r="D20" t="s">
        <v>3587</v>
      </c>
      <c r="E20" t="s">
        <v>7585</v>
      </c>
      <c r="F20" t="s">
        <v>7763</v>
      </c>
      <c r="G20" t="s">
        <v>7563</v>
      </c>
      <c r="U20" t="s">
        <v>7576</v>
      </c>
      <c r="V20" t="s">
        <v>7562</v>
      </c>
      <c r="W20" t="s">
        <v>7627</v>
      </c>
    </row>
    <row r="21" spans="1:23" x14ac:dyDescent="0.25">
      <c r="A21" t="s">
        <v>7447</v>
      </c>
      <c r="B21" t="s">
        <v>7540</v>
      </c>
      <c r="C21" t="s">
        <v>7752</v>
      </c>
      <c r="D21" t="s">
        <v>7764</v>
      </c>
      <c r="E21" t="s">
        <v>7765</v>
      </c>
      <c r="F21" t="s">
        <v>7763</v>
      </c>
      <c r="G21" t="s">
        <v>7562</v>
      </c>
      <c r="U21" t="s">
        <v>3441</v>
      </c>
      <c r="V21" t="s">
        <v>7562</v>
      </c>
    </row>
    <row r="22" spans="1:23" x14ac:dyDescent="0.25">
      <c r="A22" t="s">
        <v>7693</v>
      </c>
      <c r="B22" t="s">
        <v>7540</v>
      </c>
      <c r="C22" t="s">
        <v>7752</v>
      </c>
      <c r="D22" t="s">
        <v>3440</v>
      </c>
      <c r="E22" t="s">
        <v>7491</v>
      </c>
      <c r="F22" t="s">
        <v>7763</v>
      </c>
      <c r="G22" t="s">
        <v>7563</v>
      </c>
      <c r="U22" t="s">
        <v>7629</v>
      </c>
      <c r="V22" t="s">
        <v>7562</v>
      </c>
    </row>
    <row r="23" spans="1:23" x14ac:dyDescent="0.25">
      <c r="A23" t="s">
        <v>7696</v>
      </c>
      <c r="B23" t="s">
        <v>7540</v>
      </c>
      <c r="C23" t="s">
        <v>7752</v>
      </c>
      <c r="D23" t="s">
        <v>7595</v>
      </c>
      <c r="E23" t="s">
        <v>7724</v>
      </c>
      <c r="F23" t="s">
        <v>7757</v>
      </c>
      <c r="G23" t="s">
        <v>7562</v>
      </c>
      <c r="H23" t="s">
        <v>3587</v>
      </c>
      <c r="I23" t="s">
        <v>7585</v>
      </c>
      <c r="J23" t="s">
        <v>7557</v>
      </c>
      <c r="K23" t="s">
        <v>7562</v>
      </c>
      <c r="L23" t="s">
        <v>3576</v>
      </c>
      <c r="M23" t="s">
        <v>3441</v>
      </c>
      <c r="N23" t="s">
        <v>7557</v>
      </c>
      <c r="O23" t="s">
        <v>7562</v>
      </c>
      <c r="P23" t="s">
        <v>7586</v>
      </c>
      <c r="Q23" t="s">
        <v>7766</v>
      </c>
      <c r="R23" t="s">
        <v>7757</v>
      </c>
      <c r="S23" t="s">
        <v>7562</v>
      </c>
      <c r="U23" t="s">
        <v>7599</v>
      </c>
      <c r="V23" t="s">
        <v>7563</v>
      </c>
    </row>
    <row r="24" spans="1:23" x14ac:dyDescent="0.25">
      <c r="A24" t="s">
        <v>5201</v>
      </c>
      <c r="B24" t="s">
        <v>7540</v>
      </c>
      <c r="C24" t="s">
        <v>7752</v>
      </c>
      <c r="D24" t="s">
        <v>7595</v>
      </c>
      <c r="E24" t="s">
        <v>7751</v>
      </c>
      <c r="F24" t="s">
        <v>7757</v>
      </c>
      <c r="G24" t="s">
        <v>7563</v>
      </c>
      <c r="U24" t="s">
        <v>7600</v>
      </c>
      <c r="V24" t="s">
        <v>7562</v>
      </c>
    </row>
    <row r="25" spans="1:23" x14ac:dyDescent="0.25">
      <c r="A25" t="s">
        <v>7387</v>
      </c>
      <c r="B25" t="s">
        <v>7540</v>
      </c>
      <c r="C25" t="s">
        <v>7752</v>
      </c>
      <c r="D25" t="s">
        <v>5522</v>
      </c>
      <c r="E25" t="s">
        <v>7729</v>
      </c>
      <c r="F25" t="s">
        <v>7762</v>
      </c>
      <c r="G25" t="s">
        <v>7563</v>
      </c>
      <c r="U25" t="s">
        <v>7545</v>
      </c>
      <c r="V25" t="s">
        <v>7562</v>
      </c>
    </row>
    <row r="26" spans="1:23" x14ac:dyDescent="0.25">
      <c r="A26" t="s">
        <v>1322</v>
      </c>
      <c r="B26" t="s">
        <v>7540</v>
      </c>
      <c r="C26" t="s">
        <v>7752</v>
      </c>
      <c r="D26" t="s">
        <v>5522</v>
      </c>
      <c r="E26" t="s">
        <v>7750</v>
      </c>
      <c r="F26" t="s">
        <v>7540</v>
      </c>
      <c r="G26" t="s">
        <v>7562</v>
      </c>
      <c r="I26" t="s">
        <v>7749</v>
      </c>
      <c r="U26" t="s">
        <v>7555</v>
      </c>
      <c r="V26" t="s">
        <v>7562</v>
      </c>
    </row>
    <row r="27" spans="1:23" x14ac:dyDescent="0.25">
      <c r="A27" t="s">
        <v>7409</v>
      </c>
      <c r="B27" t="s">
        <v>7540</v>
      </c>
      <c r="C27" t="s">
        <v>7752</v>
      </c>
      <c r="D27" t="s">
        <v>7586</v>
      </c>
      <c r="E27" t="s">
        <v>4244</v>
      </c>
      <c r="F27" t="s">
        <v>7763</v>
      </c>
      <c r="G27" t="s">
        <v>7562</v>
      </c>
      <c r="U27" t="s">
        <v>7716</v>
      </c>
      <c r="V27" t="s">
        <v>7562</v>
      </c>
    </row>
    <row r="28" spans="1:23" x14ac:dyDescent="0.25">
      <c r="A28" t="s">
        <v>7424</v>
      </c>
      <c r="B28" t="s">
        <v>7540</v>
      </c>
      <c r="C28" t="s">
        <v>7752</v>
      </c>
      <c r="D28" t="s">
        <v>3457</v>
      </c>
      <c r="U28" t="s">
        <v>3450</v>
      </c>
      <c r="V28" t="s">
        <v>7562</v>
      </c>
    </row>
    <row r="29" spans="1:23" x14ac:dyDescent="0.25">
      <c r="A29" t="s">
        <v>7422</v>
      </c>
      <c r="B29" t="s">
        <v>7540</v>
      </c>
      <c r="C29" t="s">
        <v>7752</v>
      </c>
      <c r="D29" t="s">
        <v>7595</v>
      </c>
      <c r="E29" t="s">
        <v>7724</v>
      </c>
      <c r="F29" t="s">
        <v>7757</v>
      </c>
      <c r="G29" t="s">
        <v>7562</v>
      </c>
      <c r="H29" t="s">
        <v>3587</v>
      </c>
      <c r="I29" t="s">
        <v>7585</v>
      </c>
      <c r="J29" t="s">
        <v>7557</v>
      </c>
      <c r="K29" t="s">
        <v>7562</v>
      </c>
      <c r="L29" t="s">
        <v>3576</v>
      </c>
      <c r="M29" t="s">
        <v>3441</v>
      </c>
      <c r="N29" t="s">
        <v>7557</v>
      </c>
      <c r="O29" t="s">
        <v>7562</v>
      </c>
      <c r="P29" t="s">
        <v>7586</v>
      </c>
      <c r="Q29" t="s">
        <v>7766</v>
      </c>
      <c r="R29" t="s">
        <v>7757</v>
      </c>
      <c r="S29" t="s">
        <v>7562</v>
      </c>
      <c r="U29" t="s">
        <v>7585</v>
      </c>
      <c r="V29" t="s">
        <v>7562</v>
      </c>
    </row>
    <row r="30" spans="1:23" x14ac:dyDescent="0.25">
      <c r="A30" t="s">
        <v>7405</v>
      </c>
      <c r="B30" t="s">
        <v>7540</v>
      </c>
      <c r="C30" t="s">
        <v>7752</v>
      </c>
      <c r="D30" t="s">
        <v>7595</v>
      </c>
      <c r="E30" t="s">
        <v>7753</v>
      </c>
      <c r="F30" t="s">
        <v>7762</v>
      </c>
      <c r="G30" t="s">
        <v>7562</v>
      </c>
      <c r="U30" t="s">
        <v>7582</v>
      </c>
      <c r="V30" t="s">
        <v>7562</v>
      </c>
    </row>
    <row r="31" spans="1:23" x14ac:dyDescent="0.25">
      <c r="A31" t="s">
        <v>7451</v>
      </c>
      <c r="B31" t="s">
        <v>7540</v>
      </c>
      <c r="C31" t="s">
        <v>7752</v>
      </c>
      <c r="D31" t="s">
        <v>5522</v>
      </c>
      <c r="E31" t="s">
        <v>7758</v>
      </c>
      <c r="F31" t="s">
        <v>7763</v>
      </c>
      <c r="G31" t="s">
        <v>7562</v>
      </c>
      <c r="U31" t="s">
        <v>5677</v>
      </c>
      <c r="V31" t="s">
        <v>7562</v>
      </c>
    </row>
    <row r="32" spans="1:23" x14ac:dyDescent="0.25">
      <c r="A32" t="s">
        <v>7397</v>
      </c>
      <c r="B32" t="s">
        <v>7540</v>
      </c>
      <c r="C32" t="s">
        <v>7752</v>
      </c>
      <c r="D32" t="s">
        <v>7595</v>
      </c>
      <c r="E32" t="s">
        <v>7759</v>
      </c>
      <c r="F32" t="s">
        <v>7540</v>
      </c>
      <c r="G32" t="s">
        <v>7563</v>
      </c>
      <c r="U32" t="s">
        <v>7491</v>
      </c>
      <c r="V32" t="s">
        <v>7562</v>
      </c>
    </row>
    <row r="33" spans="1:22" x14ac:dyDescent="0.25">
      <c r="A33" t="s">
        <v>7411</v>
      </c>
      <c r="B33" t="s">
        <v>7540</v>
      </c>
      <c r="C33" t="s">
        <v>7752</v>
      </c>
      <c r="D33" t="s">
        <v>7586</v>
      </c>
      <c r="E33" t="s">
        <v>4244</v>
      </c>
      <c r="F33" t="s">
        <v>7763</v>
      </c>
      <c r="G33" t="s">
        <v>7562</v>
      </c>
      <c r="U33" t="s">
        <v>7589</v>
      </c>
      <c r="V33" t="s">
        <v>7562</v>
      </c>
    </row>
    <row r="34" spans="1:22" x14ac:dyDescent="0.25">
      <c r="A34" t="s">
        <v>7393</v>
      </c>
      <c r="B34" t="s">
        <v>7540</v>
      </c>
      <c r="C34" t="s">
        <v>7752</v>
      </c>
      <c r="D34" t="s">
        <v>5522</v>
      </c>
      <c r="E34" t="s">
        <v>7756</v>
      </c>
      <c r="F34" t="s">
        <v>7757</v>
      </c>
      <c r="G34" t="s">
        <v>7562</v>
      </c>
      <c r="U34" t="s">
        <v>7549</v>
      </c>
      <c r="V34" t="s">
        <v>7562</v>
      </c>
    </row>
    <row r="35" spans="1:22" x14ac:dyDescent="0.25">
      <c r="A35" t="s">
        <v>7386</v>
      </c>
      <c r="B35" t="s">
        <v>7540</v>
      </c>
      <c r="C35" t="s">
        <v>7752</v>
      </c>
      <c r="D35" t="s">
        <v>7595</v>
      </c>
      <c r="E35" t="s">
        <v>7724</v>
      </c>
      <c r="F35" t="s">
        <v>7757</v>
      </c>
      <c r="G35" t="s">
        <v>7562</v>
      </c>
      <c r="H35" t="s">
        <v>3587</v>
      </c>
      <c r="I35" t="s">
        <v>7585</v>
      </c>
      <c r="J35" t="s">
        <v>7557</v>
      </c>
      <c r="K35" t="s">
        <v>7562</v>
      </c>
      <c r="L35" t="s">
        <v>3576</v>
      </c>
      <c r="M35" t="s">
        <v>3441</v>
      </c>
      <c r="N35" t="s">
        <v>7557</v>
      </c>
      <c r="O35" t="s">
        <v>7562</v>
      </c>
      <c r="P35" t="s">
        <v>7586</v>
      </c>
      <c r="Q35" t="s">
        <v>7766</v>
      </c>
      <c r="R35" t="s">
        <v>7757</v>
      </c>
      <c r="S35" t="s">
        <v>7562</v>
      </c>
      <c r="U35" t="s">
        <v>7556</v>
      </c>
      <c r="V35" t="s">
        <v>7562</v>
      </c>
    </row>
    <row r="36" spans="1:22" x14ac:dyDescent="0.25">
      <c r="A36" t="s">
        <v>7384</v>
      </c>
      <c r="B36" t="s">
        <v>7540</v>
      </c>
      <c r="C36" t="s">
        <v>7752</v>
      </c>
      <c r="D36" t="s">
        <v>7595</v>
      </c>
      <c r="E36" t="s">
        <v>7724</v>
      </c>
      <c r="F36" t="s">
        <v>7757</v>
      </c>
      <c r="G36" t="s">
        <v>7562</v>
      </c>
      <c r="H36" t="s">
        <v>3587</v>
      </c>
      <c r="I36" t="s">
        <v>7585</v>
      </c>
      <c r="J36" t="s">
        <v>7557</v>
      </c>
      <c r="K36" t="s">
        <v>7562</v>
      </c>
      <c r="L36" t="s">
        <v>3576</v>
      </c>
      <c r="M36" t="s">
        <v>3441</v>
      </c>
      <c r="N36" t="s">
        <v>7557</v>
      </c>
      <c r="O36" t="s">
        <v>7562</v>
      </c>
      <c r="P36" t="s">
        <v>7586</v>
      </c>
      <c r="Q36" t="s">
        <v>7766</v>
      </c>
      <c r="R36" t="s">
        <v>7757</v>
      </c>
      <c r="S36" t="s">
        <v>7562</v>
      </c>
      <c r="U36" t="s">
        <v>7609</v>
      </c>
      <c r="V36" t="s">
        <v>7562</v>
      </c>
    </row>
    <row r="37" spans="1:22" x14ac:dyDescent="0.25">
      <c r="A37" t="s">
        <v>7400</v>
      </c>
      <c r="B37" t="s">
        <v>7540</v>
      </c>
      <c r="C37" t="s">
        <v>7752</v>
      </c>
      <c r="D37" t="s">
        <v>7595</v>
      </c>
      <c r="E37" t="s">
        <v>7757</v>
      </c>
      <c r="F37" t="s">
        <v>7767</v>
      </c>
      <c r="G37" t="s">
        <v>7562</v>
      </c>
      <c r="U37" t="s">
        <v>7608</v>
      </c>
      <c r="V37" t="s">
        <v>7562</v>
      </c>
    </row>
    <row r="38" spans="1:22" x14ac:dyDescent="0.25">
      <c r="A38" t="s">
        <v>5448</v>
      </c>
      <c r="B38" t="s">
        <v>7540</v>
      </c>
      <c r="C38" t="s">
        <v>7752</v>
      </c>
      <c r="D38" t="s">
        <v>7595</v>
      </c>
      <c r="E38" t="s">
        <v>7760</v>
      </c>
      <c r="F38" t="s">
        <v>7762</v>
      </c>
      <c r="G38" t="s">
        <v>7562</v>
      </c>
      <c r="U38" t="s">
        <v>7731</v>
      </c>
      <c r="V38" t="s">
        <v>7562</v>
      </c>
    </row>
    <row r="39" spans="1:22" x14ac:dyDescent="0.25">
      <c r="A39" t="s">
        <v>5261</v>
      </c>
      <c r="B39" t="s">
        <v>7540</v>
      </c>
      <c r="C39" t="s">
        <v>7752</v>
      </c>
      <c r="D39" t="s">
        <v>5522</v>
      </c>
      <c r="E39" t="s">
        <v>7602</v>
      </c>
      <c r="F39" t="s">
        <v>7757</v>
      </c>
      <c r="G39" t="s">
        <v>7562</v>
      </c>
      <c r="U39" t="s">
        <v>3446</v>
      </c>
      <c r="V39" t="s">
        <v>7562</v>
      </c>
    </row>
    <row r="40" spans="1:22" x14ac:dyDescent="0.25">
      <c r="A40" t="s">
        <v>7449</v>
      </c>
      <c r="B40" t="s">
        <v>7540</v>
      </c>
      <c r="C40" t="s">
        <v>7752</v>
      </c>
      <c r="D40" t="s">
        <v>7595</v>
      </c>
      <c r="E40" t="s">
        <v>7751</v>
      </c>
      <c r="F40" t="s">
        <v>7757</v>
      </c>
      <c r="G40" t="s">
        <v>7563</v>
      </c>
      <c r="U40" t="s">
        <v>7719</v>
      </c>
      <c r="V40" t="s">
        <v>7562</v>
      </c>
    </row>
    <row r="41" spans="1:22" x14ac:dyDescent="0.25">
      <c r="A41" t="s">
        <v>5275</v>
      </c>
      <c r="B41" t="s">
        <v>7540</v>
      </c>
      <c r="C41" t="s">
        <v>7752</v>
      </c>
      <c r="D41" t="s">
        <v>7595</v>
      </c>
      <c r="E41" t="s">
        <v>7724</v>
      </c>
      <c r="F41" t="s">
        <v>7557</v>
      </c>
      <c r="G41" t="s">
        <v>7562</v>
      </c>
      <c r="H41" t="s">
        <v>3587</v>
      </c>
      <c r="I41" t="s">
        <v>7585</v>
      </c>
      <c r="J41" t="s">
        <v>7557</v>
      </c>
      <c r="K41" t="s">
        <v>7562</v>
      </c>
      <c r="L41" t="s">
        <v>3576</v>
      </c>
      <c r="M41" t="s">
        <v>3441</v>
      </c>
      <c r="N41" t="s">
        <v>7557</v>
      </c>
      <c r="O41" t="s">
        <v>7562</v>
      </c>
      <c r="P41" t="s">
        <v>7586</v>
      </c>
      <c r="Q41" t="s">
        <v>7766</v>
      </c>
      <c r="R41" t="s">
        <v>7557</v>
      </c>
      <c r="S41" t="s">
        <v>7562</v>
      </c>
      <c r="U41" t="s">
        <v>7748</v>
      </c>
      <c r="V41" t="s">
        <v>7563</v>
      </c>
    </row>
    <row r="42" spans="1:22" x14ac:dyDescent="0.25">
      <c r="A42" t="s">
        <v>7391</v>
      </c>
      <c r="B42" t="s">
        <v>7540</v>
      </c>
      <c r="C42" t="s">
        <v>7752</v>
      </c>
      <c r="D42" t="s">
        <v>7595</v>
      </c>
      <c r="E42" t="s">
        <v>7751</v>
      </c>
      <c r="F42" t="s">
        <v>7540</v>
      </c>
      <c r="G42" t="s">
        <v>7562</v>
      </c>
      <c r="U42" t="s">
        <v>7749</v>
      </c>
      <c r="V42" t="s">
        <v>7563</v>
      </c>
    </row>
    <row r="43" spans="1:22" x14ac:dyDescent="0.25">
      <c r="A43" t="s">
        <v>7399</v>
      </c>
      <c r="B43" t="s">
        <v>7540</v>
      </c>
      <c r="C43" t="s">
        <v>7752</v>
      </c>
      <c r="D43" t="s">
        <v>7584</v>
      </c>
      <c r="E43" t="s">
        <v>7555</v>
      </c>
      <c r="F43" t="s">
        <v>7763</v>
      </c>
      <c r="G43" t="s">
        <v>7563</v>
      </c>
      <c r="H43" t="s">
        <v>3587</v>
      </c>
      <c r="I43" t="s">
        <v>7585</v>
      </c>
      <c r="J43" t="s">
        <v>7763</v>
      </c>
      <c r="K43" t="s">
        <v>7563</v>
      </c>
      <c r="L43" t="s">
        <v>3576</v>
      </c>
      <c r="M43" t="s">
        <v>3441</v>
      </c>
      <c r="N43" t="s">
        <v>7763</v>
      </c>
      <c r="O43" t="s">
        <v>7563</v>
      </c>
      <c r="U43" t="s">
        <v>7623</v>
      </c>
      <c r="V43" t="s">
        <v>7562</v>
      </c>
    </row>
    <row r="44" spans="1:22" x14ac:dyDescent="0.25">
      <c r="A44" t="s">
        <v>7379</v>
      </c>
      <c r="B44" t="s">
        <v>7540</v>
      </c>
      <c r="C44" t="s">
        <v>7752</v>
      </c>
      <c r="D44" t="s">
        <v>7595</v>
      </c>
      <c r="E44" t="s">
        <v>7753</v>
      </c>
      <c r="F44" t="s">
        <v>7757</v>
      </c>
      <c r="G44" t="s">
        <v>7562</v>
      </c>
      <c r="U44" t="s">
        <v>7602</v>
      </c>
      <c r="V44" t="s">
        <v>7563</v>
      </c>
    </row>
    <row r="45" spans="1:22" x14ac:dyDescent="0.25">
      <c r="A45" t="s">
        <v>7429</v>
      </c>
      <c r="B45" t="s">
        <v>7540</v>
      </c>
      <c r="C45" t="s">
        <v>7752</v>
      </c>
      <c r="D45" t="s">
        <v>7595</v>
      </c>
      <c r="E45" t="s">
        <v>7724</v>
      </c>
      <c r="F45" t="s">
        <v>7557</v>
      </c>
      <c r="G45" t="s">
        <v>7562</v>
      </c>
      <c r="U45" t="s">
        <v>7601</v>
      </c>
      <c r="V45" t="s">
        <v>7562</v>
      </c>
    </row>
    <row r="46" spans="1:22" x14ac:dyDescent="0.25">
      <c r="A46" t="s">
        <v>159</v>
      </c>
      <c r="B46" t="s">
        <v>7588</v>
      </c>
      <c r="C46" t="s">
        <v>0</v>
      </c>
      <c r="D46" t="s">
        <v>7594</v>
      </c>
      <c r="E46" t="s">
        <v>7589</v>
      </c>
      <c r="F46" t="s">
        <v>7590</v>
      </c>
      <c r="G46" t="s">
        <v>7562</v>
      </c>
      <c r="U46" t="s">
        <v>7725</v>
      </c>
      <c r="V46" t="s">
        <v>7562</v>
      </c>
    </row>
    <row r="47" spans="1:22" x14ac:dyDescent="0.25">
      <c r="A47" t="s">
        <v>3500</v>
      </c>
      <c r="B47" t="s">
        <v>7553</v>
      </c>
      <c r="C47" t="s">
        <v>7490</v>
      </c>
      <c r="D47" t="s">
        <v>3440</v>
      </c>
      <c r="E47" t="s">
        <v>7491</v>
      </c>
      <c r="F47" t="s">
        <v>7727</v>
      </c>
      <c r="G47" t="s">
        <v>7562</v>
      </c>
      <c r="H47" t="s">
        <v>3440</v>
      </c>
      <c r="I47" t="s">
        <v>7545</v>
      </c>
      <c r="J47" t="s">
        <v>7727</v>
      </c>
      <c r="K47" t="s">
        <v>7562</v>
      </c>
      <c r="L47" t="s">
        <v>7595</v>
      </c>
      <c r="M47" t="s">
        <v>7573</v>
      </c>
      <c r="N47" t="s">
        <v>7540</v>
      </c>
      <c r="O47" t="s">
        <v>7562</v>
      </c>
      <c r="U47" t="s">
        <v>7720</v>
      </c>
      <c r="V47" t="s">
        <v>7562</v>
      </c>
    </row>
    <row r="48" spans="1:22" x14ac:dyDescent="0.25">
      <c r="A48" t="s">
        <v>3507</v>
      </c>
      <c r="B48" t="s">
        <v>7553</v>
      </c>
      <c r="C48" t="s">
        <v>7490</v>
      </c>
      <c r="D48" t="s">
        <v>7593</v>
      </c>
      <c r="E48" t="s">
        <v>7718</v>
      </c>
      <c r="F48" t="s">
        <v>7542</v>
      </c>
      <c r="G48" t="s">
        <v>7562</v>
      </c>
      <c r="U48" t="s">
        <v>7726</v>
      </c>
      <c r="V48" t="s">
        <v>7562</v>
      </c>
    </row>
    <row r="49" spans="1:22" x14ac:dyDescent="0.25">
      <c r="A49" t="s">
        <v>3512</v>
      </c>
      <c r="B49" t="s">
        <v>7553</v>
      </c>
      <c r="C49" t="s">
        <v>7490</v>
      </c>
      <c r="D49" t="s">
        <v>3519</v>
      </c>
      <c r="E49" t="s">
        <v>3442</v>
      </c>
      <c r="F49" t="s">
        <v>7727</v>
      </c>
      <c r="G49" t="s">
        <v>7562</v>
      </c>
      <c r="U49" t="s">
        <v>7721</v>
      </c>
      <c r="V49" t="s">
        <v>7562</v>
      </c>
    </row>
    <row r="50" spans="1:22" x14ac:dyDescent="0.25">
      <c r="A50" t="s">
        <v>3521</v>
      </c>
      <c r="B50" t="s">
        <v>7553</v>
      </c>
      <c r="C50" t="s">
        <v>7490</v>
      </c>
      <c r="D50" t="s">
        <v>5522</v>
      </c>
      <c r="E50" t="s">
        <v>7623</v>
      </c>
      <c r="F50" t="s">
        <v>3522</v>
      </c>
      <c r="G50" t="s">
        <v>7562</v>
      </c>
      <c r="H50" t="s">
        <v>7584</v>
      </c>
      <c r="I50" t="s">
        <v>7555</v>
      </c>
      <c r="J50" t="s">
        <v>7543</v>
      </c>
      <c r="K50" t="s">
        <v>7563</v>
      </c>
      <c r="U50" t="s">
        <v>7761</v>
      </c>
      <c r="V50" t="s">
        <v>7563</v>
      </c>
    </row>
    <row r="51" spans="1:22" x14ac:dyDescent="0.25">
      <c r="A51" t="s">
        <v>3527</v>
      </c>
      <c r="B51" t="s">
        <v>7568</v>
      </c>
      <c r="C51" t="s">
        <v>7490</v>
      </c>
      <c r="D51" t="s">
        <v>3440</v>
      </c>
      <c r="E51" t="s">
        <v>7491</v>
      </c>
      <c r="F51" t="s">
        <v>7727</v>
      </c>
      <c r="G51" t="s">
        <v>7562</v>
      </c>
      <c r="H51" t="s">
        <v>3440</v>
      </c>
      <c r="I51" t="s">
        <v>7545</v>
      </c>
      <c r="J51" t="s">
        <v>7727</v>
      </c>
      <c r="K51" t="s">
        <v>7562</v>
      </c>
      <c r="U51" t="s">
        <v>7718</v>
      </c>
      <c r="V51" t="s">
        <v>7562</v>
      </c>
    </row>
    <row r="52" spans="1:22" x14ac:dyDescent="0.25">
      <c r="A52" t="s">
        <v>3532</v>
      </c>
      <c r="B52" t="s">
        <v>7553</v>
      </c>
      <c r="C52" t="s">
        <v>7490</v>
      </c>
      <c r="D52" t="s">
        <v>3447</v>
      </c>
      <c r="E52" t="s">
        <v>7546</v>
      </c>
      <c r="F52" t="s">
        <v>7727</v>
      </c>
      <c r="G52" t="s">
        <v>7562</v>
      </c>
      <c r="H52" t="s">
        <v>3440</v>
      </c>
      <c r="I52" t="s">
        <v>7545</v>
      </c>
      <c r="J52" t="s">
        <v>7544</v>
      </c>
      <c r="K52" t="s">
        <v>7562</v>
      </c>
      <c r="U52" t="s">
        <v>3445</v>
      </c>
      <c r="V52" t="s">
        <v>7562</v>
      </c>
    </row>
    <row r="53" spans="1:22" x14ac:dyDescent="0.25">
      <c r="A53" t="s">
        <v>3538</v>
      </c>
      <c r="B53" t="s">
        <v>7553</v>
      </c>
      <c r="C53" t="s">
        <v>7490</v>
      </c>
      <c r="D53" t="s">
        <v>3447</v>
      </c>
      <c r="E53" t="s">
        <v>7546</v>
      </c>
      <c r="F53" t="s">
        <v>7727</v>
      </c>
      <c r="G53" t="s">
        <v>7562</v>
      </c>
      <c r="H53" t="s">
        <v>3447</v>
      </c>
      <c r="I53" t="s">
        <v>7561</v>
      </c>
      <c r="J53" t="s">
        <v>3522</v>
      </c>
      <c r="K53" t="s">
        <v>7562</v>
      </c>
      <c r="U53" t="s">
        <v>7621</v>
      </c>
      <c r="V53" t="s">
        <v>7562</v>
      </c>
    </row>
    <row r="54" spans="1:22" x14ac:dyDescent="0.25">
      <c r="A54" t="s">
        <v>3466</v>
      </c>
      <c r="B54" t="s">
        <v>3545</v>
      </c>
      <c r="C54" t="s">
        <v>7490</v>
      </c>
      <c r="D54" t="s">
        <v>3440</v>
      </c>
      <c r="E54" t="s">
        <v>7545</v>
      </c>
      <c r="F54" t="s">
        <v>7547</v>
      </c>
      <c r="G54" t="s">
        <v>7562</v>
      </c>
      <c r="U54" t="s">
        <v>7723</v>
      </c>
      <c r="V54" t="s">
        <v>7562</v>
      </c>
    </row>
    <row r="55" spans="1:22" x14ac:dyDescent="0.25">
      <c r="A55" t="s">
        <v>3549</v>
      </c>
      <c r="B55" t="s">
        <v>7553</v>
      </c>
      <c r="C55" t="s">
        <v>7490</v>
      </c>
      <c r="D55" t="s">
        <v>5522</v>
      </c>
      <c r="E55" t="s">
        <v>7623</v>
      </c>
      <c r="F55" t="s">
        <v>3522</v>
      </c>
      <c r="G55" t="s">
        <v>7562</v>
      </c>
      <c r="H55" t="s">
        <v>7548</v>
      </c>
      <c r="I55" t="s">
        <v>7549</v>
      </c>
      <c r="J55" t="s">
        <v>7727</v>
      </c>
      <c r="K55" t="s">
        <v>7562</v>
      </c>
      <c r="U55" t="s">
        <v>7752</v>
      </c>
      <c r="V55" t="s">
        <v>7563</v>
      </c>
    </row>
    <row r="56" spans="1:22" x14ac:dyDescent="0.25">
      <c r="A56" t="s">
        <v>3556</v>
      </c>
      <c r="B56" t="s">
        <v>7554</v>
      </c>
      <c r="C56" t="s">
        <v>7490</v>
      </c>
      <c r="D56" t="s">
        <v>7586</v>
      </c>
      <c r="E56" t="s">
        <v>4244</v>
      </c>
      <c r="F56" t="s">
        <v>7727</v>
      </c>
      <c r="G56" t="s">
        <v>7562</v>
      </c>
      <c r="H56" t="s">
        <v>7584</v>
      </c>
      <c r="I56" t="s">
        <v>7555</v>
      </c>
      <c r="J56" t="s">
        <v>7727</v>
      </c>
      <c r="K56" t="s">
        <v>7562</v>
      </c>
      <c r="U56" t="s">
        <v>7598</v>
      </c>
      <c r="V56" t="s">
        <v>7562</v>
      </c>
    </row>
    <row r="57" spans="1:22" x14ac:dyDescent="0.25">
      <c r="A57" t="s">
        <v>7360</v>
      </c>
      <c r="B57" t="s">
        <v>7553</v>
      </c>
      <c r="C57" t="s">
        <v>7490</v>
      </c>
      <c r="D57" t="s">
        <v>7550</v>
      </c>
      <c r="E57" t="s">
        <v>7556</v>
      </c>
      <c r="F57" t="s">
        <v>7727</v>
      </c>
      <c r="G57" t="s">
        <v>7562</v>
      </c>
      <c r="U57" t="s">
        <v>7756</v>
      </c>
      <c r="V57" t="s">
        <v>7563</v>
      </c>
    </row>
    <row r="58" spans="1:22" x14ac:dyDescent="0.25">
      <c r="A58" t="s">
        <v>3562</v>
      </c>
      <c r="B58" t="s">
        <v>7553</v>
      </c>
      <c r="C58" t="s">
        <v>7490</v>
      </c>
      <c r="D58" t="s">
        <v>3440</v>
      </c>
      <c r="E58" t="s">
        <v>7545</v>
      </c>
      <c r="F58" t="s">
        <v>7557</v>
      </c>
      <c r="G58" t="s">
        <v>7562</v>
      </c>
      <c r="U58" t="s">
        <v>7758</v>
      </c>
      <c r="V58" t="s">
        <v>7563</v>
      </c>
    </row>
    <row r="59" spans="1:22" x14ac:dyDescent="0.25">
      <c r="A59" t="s">
        <v>3568</v>
      </c>
      <c r="B59" t="s">
        <v>7553</v>
      </c>
      <c r="C59" t="s">
        <v>7490</v>
      </c>
      <c r="D59" t="s">
        <v>3519</v>
      </c>
      <c r="E59" t="s">
        <v>5677</v>
      </c>
      <c r="F59" t="s">
        <v>3522</v>
      </c>
      <c r="G59" t="s">
        <v>7562</v>
      </c>
      <c r="U59" t="s">
        <v>7759</v>
      </c>
      <c r="V59" t="s">
        <v>7562</v>
      </c>
    </row>
    <row r="60" spans="1:22" x14ac:dyDescent="0.25">
      <c r="A60" t="s">
        <v>3572</v>
      </c>
      <c r="B60" t="s">
        <v>7553</v>
      </c>
      <c r="C60" t="s">
        <v>7490</v>
      </c>
      <c r="D60" t="s">
        <v>7586</v>
      </c>
      <c r="E60" t="s">
        <v>3450</v>
      </c>
      <c r="F60" t="s">
        <v>7559</v>
      </c>
      <c r="G60" t="s">
        <v>7562</v>
      </c>
      <c r="U60" t="s">
        <v>7757</v>
      </c>
      <c r="V60" t="s">
        <v>7563</v>
      </c>
    </row>
    <row r="61" spans="1:22" x14ac:dyDescent="0.25">
      <c r="A61" t="s">
        <v>3577</v>
      </c>
      <c r="B61" t="s">
        <v>7553</v>
      </c>
      <c r="C61" t="s">
        <v>7490</v>
      </c>
      <c r="D61" t="s">
        <v>7595</v>
      </c>
      <c r="E61" t="s">
        <v>7565</v>
      </c>
      <c r="F61" t="s">
        <v>7564</v>
      </c>
      <c r="G61" t="s">
        <v>7562</v>
      </c>
      <c r="U61" t="s">
        <v>7760</v>
      </c>
      <c r="V61" t="s">
        <v>7563</v>
      </c>
    </row>
    <row r="62" spans="1:22" x14ac:dyDescent="0.25">
      <c r="A62" t="s">
        <v>3470</v>
      </c>
      <c r="B62" t="s">
        <v>7558</v>
      </c>
      <c r="C62" t="s">
        <v>7490</v>
      </c>
      <c r="D62" t="s">
        <v>3519</v>
      </c>
      <c r="E62" t="s">
        <v>3446</v>
      </c>
      <c r="F62" t="s">
        <v>7564</v>
      </c>
      <c r="G62" t="s">
        <v>7562</v>
      </c>
      <c r="U62" t="s">
        <v>7765</v>
      </c>
      <c r="V62" t="s">
        <v>7563</v>
      </c>
    </row>
    <row r="63" spans="1:22" x14ac:dyDescent="0.25">
      <c r="A63" t="s">
        <v>3583</v>
      </c>
      <c r="B63" t="s">
        <v>7553</v>
      </c>
      <c r="C63" t="s">
        <v>7490</v>
      </c>
      <c r="D63" t="s">
        <v>3587</v>
      </c>
      <c r="E63" t="s">
        <v>7582</v>
      </c>
      <c r="F63" t="s">
        <v>7566</v>
      </c>
      <c r="G63" t="s">
        <v>7562</v>
      </c>
      <c r="U63" t="s">
        <v>7766</v>
      </c>
      <c r="V63" t="s">
        <v>7563</v>
      </c>
    </row>
    <row r="64" spans="1:22" x14ac:dyDescent="0.25">
      <c r="A64" t="s">
        <v>3588</v>
      </c>
      <c r="B64" t="s">
        <v>7553</v>
      </c>
      <c r="C64" t="s">
        <v>7490</v>
      </c>
      <c r="D64" t="s">
        <v>3519</v>
      </c>
      <c r="E64" t="s">
        <v>5677</v>
      </c>
      <c r="F64" t="s">
        <v>3522</v>
      </c>
      <c r="G64" t="s">
        <v>7562</v>
      </c>
      <c r="H64" t="s">
        <v>7584</v>
      </c>
      <c r="I64" t="s">
        <v>7555</v>
      </c>
      <c r="J64" t="s">
        <v>7543</v>
      </c>
      <c r="K64" t="s">
        <v>7563</v>
      </c>
    </row>
    <row r="65" spans="1:11" x14ac:dyDescent="0.25">
      <c r="A65" t="s">
        <v>131</v>
      </c>
      <c r="B65" t="s">
        <v>7567</v>
      </c>
      <c r="C65" t="s">
        <v>7490</v>
      </c>
      <c r="D65" t="s">
        <v>3576</v>
      </c>
      <c r="E65" t="s">
        <v>3441</v>
      </c>
      <c r="F65" t="s">
        <v>7557</v>
      </c>
      <c r="G65" t="s">
        <v>7562</v>
      </c>
    </row>
    <row r="66" spans="1:11" x14ac:dyDescent="0.25">
      <c r="A66" t="s">
        <v>3596</v>
      </c>
      <c r="B66" t="s">
        <v>7553</v>
      </c>
      <c r="C66" t="s">
        <v>7490</v>
      </c>
      <c r="D66" t="s">
        <v>3440</v>
      </c>
      <c r="E66" t="s">
        <v>7491</v>
      </c>
      <c r="F66" t="s">
        <v>7727</v>
      </c>
      <c r="G66" t="s">
        <v>7562</v>
      </c>
    </row>
    <row r="67" spans="1:11" x14ac:dyDescent="0.25">
      <c r="A67" t="s">
        <v>3600</v>
      </c>
      <c r="B67" t="s">
        <v>7553</v>
      </c>
      <c r="C67" t="s">
        <v>7490</v>
      </c>
      <c r="D67" t="s">
        <v>3447</v>
      </c>
      <c r="E67" t="s">
        <v>7546</v>
      </c>
      <c r="F67" t="s">
        <v>7727</v>
      </c>
      <c r="G67" t="s">
        <v>7562</v>
      </c>
      <c r="H67" t="s">
        <v>7730</v>
      </c>
      <c r="I67" t="s">
        <v>7574</v>
      </c>
      <c r="J67" t="s">
        <v>7544</v>
      </c>
      <c r="K67" t="s">
        <v>7562</v>
      </c>
    </row>
    <row r="68" spans="1:11" x14ac:dyDescent="0.25">
      <c r="A68" t="s">
        <v>3604</v>
      </c>
      <c r="B68" t="s">
        <v>7568</v>
      </c>
      <c r="C68" t="s">
        <v>7490</v>
      </c>
      <c r="D68" t="s">
        <v>3440</v>
      </c>
      <c r="E68" t="s">
        <v>7545</v>
      </c>
      <c r="F68" t="s">
        <v>7727</v>
      </c>
      <c r="G68" t="s">
        <v>7563</v>
      </c>
      <c r="H68" t="s">
        <v>3576</v>
      </c>
      <c r="I68" t="s">
        <v>3441</v>
      </c>
      <c r="J68" t="s">
        <v>7564</v>
      </c>
      <c r="K68" t="s">
        <v>7562</v>
      </c>
    </row>
    <row r="69" spans="1:11" x14ac:dyDescent="0.25">
      <c r="A69" t="s">
        <v>3609</v>
      </c>
      <c r="B69" t="s">
        <v>7553</v>
      </c>
      <c r="C69" t="s">
        <v>7490</v>
      </c>
      <c r="D69" t="s">
        <v>3581</v>
      </c>
      <c r="E69" t="s">
        <v>7576</v>
      </c>
      <c r="F69" t="s">
        <v>7547</v>
      </c>
      <c r="G69" t="s">
        <v>7562</v>
      </c>
    </row>
    <row r="70" spans="1:11" x14ac:dyDescent="0.25">
      <c r="A70" t="s">
        <v>3612</v>
      </c>
      <c r="B70" t="s">
        <v>7554</v>
      </c>
      <c r="C70" t="s">
        <v>7490</v>
      </c>
      <c r="D70" t="s">
        <v>7584</v>
      </c>
      <c r="E70" t="s">
        <v>7555</v>
      </c>
      <c r="F70" t="s">
        <v>7597</v>
      </c>
      <c r="G70" t="s">
        <v>7562</v>
      </c>
    </row>
    <row r="71" spans="1:11" x14ac:dyDescent="0.25">
      <c r="A71" t="s">
        <v>3617</v>
      </c>
      <c r="B71" t="s">
        <v>7553</v>
      </c>
      <c r="C71" t="s">
        <v>7490</v>
      </c>
      <c r="D71" t="s">
        <v>3519</v>
      </c>
      <c r="E71" t="s">
        <v>5677</v>
      </c>
      <c r="F71" t="s">
        <v>3522</v>
      </c>
      <c r="G71" t="s">
        <v>7562</v>
      </c>
      <c r="H71" t="s">
        <v>7548</v>
      </c>
      <c r="I71" t="s">
        <v>7598</v>
      </c>
      <c r="J71" t="s">
        <v>3522</v>
      </c>
      <c r="K71" t="s">
        <v>7562</v>
      </c>
    </row>
    <row r="72" spans="1:11" x14ac:dyDescent="0.25">
      <c r="A72" t="s">
        <v>3622</v>
      </c>
      <c r="B72" t="s">
        <v>7553</v>
      </c>
      <c r="C72" t="s">
        <v>7490</v>
      </c>
      <c r="D72" t="s">
        <v>3519</v>
      </c>
      <c r="E72" t="s">
        <v>5677</v>
      </c>
      <c r="F72" t="s">
        <v>3522</v>
      </c>
      <c r="G72" t="s">
        <v>7562</v>
      </c>
      <c r="H72" t="s">
        <v>7584</v>
      </c>
      <c r="I72" t="s">
        <v>7555</v>
      </c>
      <c r="J72" t="s">
        <v>7543</v>
      </c>
      <c r="K72" t="s">
        <v>7563</v>
      </c>
    </row>
    <row r="73" spans="1:11" x14ac:dyDescent="0.25">
      <c r="A73" t="s">
        <v>3627</v>
      </c>
      <c r="B73" t="s">
        <v>7553</v>
      </c>
      <c r="C73" t="s">
        <v>7490</v>
      </c>
      <c r="D73" t="s">
        <v>3440</v>
      </c>
      <c r="E73" t="s">
        <v>7491</v>
      </c>
      <c r="F73" t="s">
        <v>7727</v>
      </c>
      <c r="G73" t="s">
        <v>7562</v>
      </c>
      <c r="H73" t="s">
        <v>3440</v>
      </c>
      <c r="I73" t="s">
        <v>7545</v>
      </c>
      <c r="J73" t="s">
        <v>7727</v>
      </c>
      <c r="K73" t="s">
        <v>7562</v>
      </c>
    </row>
    <row r="74" spans="1:11" x14ac:dyDescent="0.25">
      <c r="A74" t="s">
        <v>3630</v>
      </c>
      <c r="B74" t="s">
        <v>7553</v>
      </c>
      <c r="C74" t="s">
        <v>7490</v>
      </c>
      <c r="D74" t="s">
        <v>3440</v>
      </c>
      <c r="E74" t="s">
        <v>7491</v>
      </c>
      <c r="F74" t="s">
        <v>7727</v>
      </c>
      <c r="G74" t="s">
        <v>7562</v>
      </c>
      <c r="H74" t="s">
        <v>3440</v>
      </c>
      <c r="I74" t="s">
        <v>7545</v>
      </c>
      <c r="J74" t="s">
        <v>7727</v>
      </c>
      <c r="K74" t="s">
        <v>7562</v>
      </c>
    </row>
    <row r="75" spans="1:11" x14ac:dyDescent="0.25">
      <c r="A75" t="s">
        <v>3634</v>
      </c>
      <c r="B75" t="s">
        <v>7553</v>
      </c>
      <c r="C75" t="s">
        <v>7490</v>
      </c>
      <c r="D75" t="s">
        <v>3440</v>
      </c>
      <c r="E75" t="s">
        <v>7545</v>
      </c>
      <c r="F75" t="s">
        <v>7547</v>
      </c>
      <c r="G75" t="s">
        <v>7562</v>
      </c>
    </row>
    <row r="76" spans="1:11" x14ac:dyDescent="0.25">
      <c r="A76" t="s">
        <v>3639</v>
      </c>
      <c r="B76" t="s">
        <v>7553</v>
      </c>
      <c r="C76" t="s">
        <v>7490</v>
      </c>
      <c r="D76" t="s">
        <v>3581</v>
      </c>
      <c r="E76" t="s">
        <v>7599</v>
      </c>
      <c r="F76" t="s">
        <v>7727</v>
      </c>
      <c r="G76" t="s">
        <v>7562</v>
      </c>
      <c r="H76" t="s">
        <v>3581</v>
      </c>
      <c r="I76" t="s">
        <v>7600</v>
      </c>
      <c r="J76" t="s">
        <v>7727</v>
      </c>
      <c r="K76" t="s">
        <v>7562</v>
      </c>
    </row>
    <row r="77" spans="1:11" x14ac:dyDescent="0.25">
      <c r="A77" t="s">
        <v>3644</v>
      </c>
      <c r="B77" t="s">
        <v>7553</v>
      </c>
      <c r="C77" t="s">
        <v>7490</v>
      </c>
      <c r="D77" t="s">
        <v>7548</v>
      </c>
      <c r="E77" t="s">
        <v>7549</v>
      </c>
      <c r="F77" t="s">
        <v>7564</v>
      </c>
      <c r="G77" t="s">
        <v>7562</v>
      </c>
    </row>
    <row r="78" spans="1:11" x14ac:dyDescent="0.25">
      <c r="A78" t="s">
        <v>3649</v>
      </c>
      <c r="B78" t="s">
        <v>7553</v>
      </c>
      <c r="C78" t="s">
        <v>7490</v>
      </c>
      <c r="D78" t="s">
        <v>7548</v>
      </c>
      <c r="E78" t="s">
        <v>7549</v>
      </c>
      <c r="F78" t="s">
        <v>7727</v>
      </c>
      <c r="G78" t="s">
        <v>7562</v>
      </c>
    </row>
    <row r="79" spans="1:11" x14ac:dyDescent="0.25">
      <c r="A79" t="s">
        <v>3654</v>
      </c>
      <c r="B79" t="s">
        <v>7553</v>
      </c>
      <c r="C79" t="s">
        <v>7490</v>
      </c>
      <c r="D79" t="s">
        <v>5522</v>
      </c>
      <c r="E79" t="s">
        <v>7625</v>
      </c>
      <c r="F79" t="s">
        <v>3522</v>
      </c>
      <c r="G79" t="s">
        <v>7562</v>
      </c>
    </row>
    <row r="80" spans="1:11" x14ac:dyDescent="0.25">
      <c r="A80" t="s">
        <v>4744</v>
      </c>
      <c r="B80" t="s">
        <v>7553</v>
      </c>
      <c r="C80" t="s">
        <v>7490</v>
      </c>
      <c r="D80" t="s">
        <v>3576</v>
      </c>
      <c r="E80" t="s">
        <v>3441</v>
      </c>
      <c r="F80" t="s">
        <v>7727</v>
      </c>
      <c r="G80" t="s">
        <v>7562</v>
      </c>
    </row>
    <row r="81" spans="1:15" x14ac:dyDescent="0.25">
      <c r="A81" t="s">
        <v>3660</v>
      </c>
      <c r="B81" t="s">
        <v>7554</v>
      </c>
      <c r="C81" t="s">
        <v>7490</v>
      </c>
      <c r="D81" t="s">
        <v>5522</v>
      </c>
      <c r="E81" t="s">
        <v>7602</v>
      </c>
      <c r="F81" t="s">
        <v>3522</v>
      </c>
      <c r="G81" t="s">
        <v>7562</v>
      </c>
      <c r="H81" t="s">
        <v>3581</v>
      </c>
      <c r="I81" t="s">
        <v>7600</v>
      </c>
      <c r="J81" t="s">
        <v>7727</v>
      </c>
      <c r="K81" t="s">
        <v>7562</v>
      </c>
    </row>
    <row r="82" spans="1:15" x14ac:dyDescent="0.25">
      <c r="A82" t="s">
        <v>3664</v>
      </c>
      <c r="B82" t="s">
        <v>7553</v>
      </c>
      <c r="C82" t="s">
        <v>7490</v>
      </c>
      <c r="D82" t="s">
        <v>3576</v>
      </c>
      <c r="E82" t="s">
        <v>3441</v>
      </c>
      <c r="F82" t="s">
        <v>7603</v>
      </c>
      <c r="G82" t="s">
        <v>7562</v>
      </c>
    </row>
    <row r="83" spans="1:15" x14ac:dyDescent="0.25">
      <c r="A83" t="s">
        <v>3480</v>
      </c>
      <c r="B83" t="s">
        <v>7604</v>
      </c>
      <c r="C83" t="s">
        <v>7490</v>
      </c>
      <c r="D83" t="s">
        <v>3440</v>
      </c>
      <c r="E83" t="s">
        <v>7545</v>
      </c>
      <c r="F83" t="s">
        <v>7547</v>
      </c>
      <c r="G83" t="s">
        <v>7562</v>
      </c>
    </row>
    <row r="84" spans="1:15" x14ac:dyDescent="0.25">
      <c r="A84" t="s">
        <v>3670</v>
      </c>
      <c r="B84" t="s">
        <v>7553</v>
      </c>
      <c r="C84" t="s">
        <v>7490</v>
      </c>
      <c r="D84" t="s">
        <v>7730</v>
      </c>
      <c r="E84" t="s">
        <v>7574</v>
      </c>
      <c r="F84" t="s">
        <v>7564</v>
      </c>
      <c r="G84" t="s">
        <v>7562</v>
      </c>
    </row>
    <row r="85" spans="1:15" x14ac:dyDescent="0.25">
      <c r="A85" t="s">
        <v>7362</v>
      </c>
      <c r="B85" t="s">
        <v>7553</v>
      </c>
      <c r="C85" t="s">
        <v>7490</v>
      </c>
      <c r="D85" t="s">
        <v>5522</v>
      </c>
      <c r="E85" t="s">
        <v>7601</v>
      </c>
      <c r="F85" t="s">
        <v>7605</v>
      </c>
      <c r="G85" t="s">
        <v>7562</v>
      </c>
    </row>
    <row r="86" spans="1:15" x14ac:dyDescent="0.25">
      <c r="A86" t="s">
        <v>7371</v>
      </c>
      <c r="B86" t="s">
        <v>7553</v>
      </c>
      <c r="C86" t="s">
        <v>7490</v>
      </c>
      <c r="D86" t="s">
        <v>7593</v>
      </c>
      <c r="E86" t="s">
        <v>7718</v>
      </c>
      <c r="F86" t="s">
        <v>7606</v>
      </c>
      <c r="G86" t="s">
        <v>7562</v>
      </c>
    </row>
    <row r="87" spans="1:15" x14ac:dyDescent="0.25">
      <c r="A87" t="s">
        <v>3680</v>
      </c>
      <c r="B87" t="s">
        <v>7554</v>
      </c>
      <c r="C87" t="s">
        <v>7490</v>
      </c>
      <c r="D87" t="s">
        <v>7607</v>
      </c>
      <c r="E87" t="s">
        <v>7608</v>
      </c>
      <c r="F87" t="s">
        <v>3522</v>
      </c>
      <c r="G87" t="s">
        <v>7563</v>
      </c>
      <c r="H87" t="s">
        <v>3581</v>
      </c>
      <c r="I87" t="s">
        <v>7600</v>
      </c>
      <c r="J87" t="s">
        <v>7727</v>
      </c>
      <c r="K87" t="s">
        <v>7562</v>
      </c>
    </row>
    <row r="88" spans="1:15" x14ac:dyDescent="0.25">
      <c r="A88" t="s">
        <v>3684</v>
      </c>
      <c r="B88" t="s">
        <v>7554</v>
      </c>
      <c r="C88" t="s">
        <v>7490</v>
      </c>
      <c r="D88" t="s">
        <v>7550</v>
      </c>
      <c r="E88" t="s">
        <v>7609</v>
      </c>
      <c r="F88" t="s">
        <v>3522</v>
      </c>
      <c r="G88" t="s">
        <v>7562</v>
      </c>
    </row>
    <row r="89" spans="1:15" x14ac:dyDescent="0.25">
      <c r="A89" t="s">
        <v>3689</v>
      </c>
      <c r="B89" t="s">
        <v>7553</v>
      </c>
      <c r="C89" t="s">
        <v>7490</v>
      </c>
      <c r="D89" t="s">
        <v>3519</v>
      </c>
      <c r="E89" t="s">
        <v>3445</v>
      </c>
      <c r="F89" t="s">
        <v>7610</v>
      </c>
      <c r="G89" t="s">
        <v>7562</v>
      </c>
    </row>
    <row r="90" spans="1:15" x14ac:dyDescent="0.25">
      <c r="A90" t="s">
        <v>3693</v>
      </c>
      <c r="B90" t="s">
        <v>7553</v>
      </c>
      <c r="C90" t="s">
        <v>7490</v>
      </c>
      <c r="D90" t="s">
        <v>7730</v>
      </c>
      <c r="E90" t="s">
        <v>7574</v>
      </c>
      <c r="F90" t="s">
        <v>7564</v>
      </c>
      <c r="G90" t="s">
        <v>7562</v>
      </c>
    </row>
    <row r="91" spans="1:15" x14ac:dyDescent="0.25">
      <c r="A91" t="s">
        <v>3698</v>
      </c>
      <c r="B91" t="s">
        <v>7553</v>
      </c>
      <c r="C91" t="s">
        <v>7490</v>
      </c>
      <c r="D91" t="s">
        <v>3447</v>
      </c>
      <c r="E91" t="s">
        <v>7546</v>
      </c>
      <c r="F91" t="s">
        <v>7727</v>
      </c>
      <c r="G91" t="s">
        <v>7562</v>
      </c>
      <c r="H91" t="s">
        <v>7730</v>
      </c>
      <c r="I91" t="s">
        <v>7621</v>
      </c>
      <c r="J91" t="s">
        <v>7544</v>
      </c>
      <c r="K91" t="s">
        <v>7562</v>
      </c>
    </row>
    <row r="92" spans="1:15" x14ac:dyDescent="0.25">
      <c r="A92" t="s">
        <v>3701</v>
      </c>
      <c r="B92" t="s">
        <v>7553</v>
      </c>
      <c r="C92" t="s">
        <v>7490</v>
      </c>
      <c r="D92" t="s">
        <v>3440</v>
      </c>
      <c r="E92" t="s">
        <v>7491</v>
      </c>
      <c r="F92" t="s">
        <v>7727</v>
      </c>
      <c r="G92" t="s">
        <v>7562</v>
      </c>
      <c r="H92" t="s">
        <v>3440</v>
      </c>
      <c r="I92" t="s">
        <v>7545</v>
      </c>
      <c r="J92" t="s">
        <v>7727</v>
      </c>
      <c r="K92" t="s">
        <v>7562</v>
      </c>
      <c r="L92" t="s">
        <v>3519</v>
      </c>
      <c r="M92" t="s">
        <v>3442</v>
      </c>
      <c r="N92" t="s">
        <v>7727</v>
      </c>
      <c r="O92" t="s">
        <v>7562</v>
      </c>
    </row>
    <row r="93" spans="1:15" x14ac:dyDescent="0.25">
      <c r="A93" t="s">
        <v>3706</v>
      </c>
      <c r="B93" t="s">
        <v>7553</v>
      </c>
      <c r="C93" t="s">
        <v>7490</v>
      </c>
      <c r="D93" t="s">
        <v>3519</v>
      </c>
      <c r="E93" t="s">
        <v>3442</v>
      </c>
      <c r="F93" t="s">
        <v>7727</v>
      </c>
      <c r="G93" t="s">
        <v>7562</v>
      </c>
      <c r="H93" t="s">
        <v>5522</v>
      </c>
      <c r="I93" t="s">
        <v>7623</v>
      </c>
      <c r="J93" t="s">
        <v>3522</v>
      </c>
      <c r="K93" t="s">
        <v>7562</v>
      </c>
    </row>
    <row r="94" spans="1:15" x14ac:dyDescent="0.25">
      <c r="A94" t="s">
        <v>3711</v>
      </c>
      <c r="B94" t="s">
        <v>7553</v>
      </c>
      <c r="C94" t="s">
        <v>7490</v>
      </c>
      <c r="D94" t="s">
        <v>7553</v>
      </c>
      <c r="E94" t="s">
        <v>7624</v>
      </c>
      <c r="F94" t="s">
        <v>3522</v>
      </c>
      <c r="G94" t="s">
        <v>7562</v>
      </c>
    </row>
    <row r="95" spans="1:15" x14ac:dyDescent="0.25">
      <c r="A95" t="s">
        <v>3715</v>
      </c>
      <c r="B95" t="s">
        <v>7553</v>
      </c>
      <c r="C95" t="s">
        <v>7490</v>
      </c>
      <c r="D95" t="s">
        <v>7584</v>
      </c>
      <c r="E95" t="s">
        <v>7555</v>
      </c>
      <c r="F95" t="s">
        <v>7588</v>
      </c>
      <c r="G95" t="s">
        <v>7562</v>
      </c>
    </row>
    <row r="96" spans="1:15" x14ac:dyDescent="0.25">
      <c r="A96" t="s">
        <v>3720</v>
      </c>
      <c r="B96" t="s">
        <v>7553</v>
      </c>
      <c r="C96" t="s">
        <v>7490</v>
      </c>
      <c r="D96" t="s">
        <v>5522</v>
      </c>
      <c r="E96" t="s">
        <v>7601</v>
      </c>
      <c r="F96" t="s">
        <v>3522</v>
      </c>
      <c r="G96" t="s">
        <v>7562</v>
      </c>
    </row>
    <row r="97" spans="1:15" x14ac:dyDescent="0.25">
      <c r="A97" t="s">
        <v>7365</v>
      </c>
      <c r="B97" t="s">
        <v>7553</v>
      </c>
      <c r="C97" t="s">
        <v>7490</v>
      </c>
      <c r="D97" t="s">
        <v>7550</v>
      </c>
      <c r="E97" t="s">
        <v>7556</v>
      </c>
      <c r="F97" t="s">
        <v>7588</v>
      </c>
      <c r="G97" t="s">
        <v>7562</v>
      </c>
    </row>
    <row r="98" spans="1:15" x14ac:dyDescent="0.25">
      <c r="A98" t="s">
        <v>3728</v>
      </c>
      <c r="B98" t="s">
        <v>7553</v>
      </c>
      <c r="C98" t="s">
        <v>7490</v>
      </c>
      <c r="D98" t="s">
        <v>3576</v>
      </c>
      <c r="E98" t="s">
        <v>3441</v>
      </c>
      <c r="F98" t="s">
        <v>7564</v>
      </c>
      <c r="G98" t="s">
        <v>7562</v>
      </c>
    </row>
    <row r="99" spans="1:15" x14ac:dyDescent="0.25">
      <c r="A99" t="s">
        <v>4232</v>
      </c>
      <c r="B99" t="s">
        <v>7755</v>
      </c>
      <c r="C99" t="s">
        <v>7572</v>
      </c>
      <c r="D99" t="s">
        <v>3576</v>
      </c>
      <c r="E99" t="s">
        <v>3441</v>
      </c>
      <c r="F99" t="s">
        <v>7591</v>
      </c>
      <c r="G99" t="s">
        <v>7562</v>
      </c>
      <c r="H99" t="s">
        <v>3440</v>
      </c>
      <c r="I99" t="s">
        <v>7545</v>
      </c>
      <c r="J99" t="s">
        <v>7587</v>
      </c>
      <c r="K99" t="s">
        <v>7563</v>
      </c>
      <c r="L99" t="s">
        <v>3440</v>
      </c>
      <c r="M99" t="s">
        <v>7545</v>
      </c>
      <c r="N99" t="s">
        <v>7544</v>
      </c>
      <c r="O99" t="s">
        <v>7562</v>
      </c>
    </row>
    <row r="100" spans="1:15" x14ac:dyDescent="0.25">
      <c r="A100" t="s">
        <v>4239</v>
      </c>
      <c r="B100" t="s">
        <v>7754</v>
      </c>
      <c r="C100" t="s">
        <v>7572</v>
      </c>
      <c r="D100" t="s">
        <v>3576</v>
      </c>
      <c r="E100" t="s">
        <v>3441</v>
      </c>
      <c r="F100" t="s">
        <v>7587</v>
      </c>
      <c r="G100" t="s">
        <v>7563</v>
      </c>
      <c r="H100" t="s">
        <v>3576</v>
      </c>
      <c r="I100" t="s">
        <v>3441</v>
      </c>
      <c r="J100" t="s">
        <v>7544</v>
      </c>
      <c r="K100" t="s">
        <v>7562</v>
      </c>
    </row>
    <row r="101" spans="1:15" x14ac:dyDescent="0.25">
      <c r="A101" t="s">
        <v>4129</v>
      </c>
      <c r="B101" t="s">
        <v>7596</v>
      </c>
      <c r="C101" t="s">
        <v>7537</v>
      </c>
      <c r="D101" t="s">
        <v>7626</v>
      </c>
      <c r="E101" t="s">
        <v>7731</v>
      </c>
      <c r="F101" t="s">
        <v>7732</v>
      </c>
      <c r="G101" t="s">
        <v>7562</v>
      </c>
    </row>
    <row r="102" spans="1:15" x14ac:dyDescent="0.25">
      <c r="A102" t="s">
        <v>4021</v>
      </c>
      <c r="B102" t="s">
        <v>7596</v>
      </c>
      <c r="C102" t="s">
        <v>7537</v>
      </c>
      <c r="D102" t="s">
        <v>7586</v>
      </c>
      <c r="E102" t="s">
        <v>4244</v>
      </c>
      <c r="F102" t="s">
        <v>7732</v>
      </c>
      <c r="G102" t="s">
        <v>7562</v>
      </c>
      <c r="H102" t="s">
        <v>3587</v>
      </c>
      <c r="I102" t="s">
        <v>7723</v>
      </c>
      <c r="J102" t="s">
        <v>7732</v>
      </c>
      <c r="K102" t="s">
        <v>7563</v>
      </c>
    </row>
    <row r="103" spans="1:15" x14ac:dyDescent="0.25">
      <c r="A103" t="s">
        <v>4140</v>
      </c>
      <c r="B103" t="s">
        <v>7596</v>
      </c>
      <c r="C103" t="s">
        <v>7537</v>
      </c>
      <c r="D103" t="s">
        <v>3440</v>
      </c>
      <c r="E103" t="s">
        <v>7545</v>
      </c>
      <c r="F103" t="s">
        <v>7732</v>
      </c>
      <c r="G103" t="s">
        <v>7563</v>
      </c>
    </row>
    <row r="104" spans="1:15" x14ac:dyDescent="0.25">
      <c r="A104" t="s">
        <v>4151</v>
      </c>
      <c r="B104" t="s">
        <v>7596</v>
      </c>
      <c r="C104" t="s">
        <v>7537</v>
      </c>
      <c r="D104" t="s">
        <v>7593</v>
      </c>
      <c r="E104" t="s">
        <v>7719</v>
      </c>
      <c r="F104" t="s">
        <v>7732</v>
      </c>
      <c r="G104" t="s">
        <v>7562</v>
      </c>
    </row>
    <row r="105" spans="1:15" x14ac:dyDescent="0.25">
      <c r="A105" t="s">
        <v>4146</v>
      </c>
      <c r="B105" t="s">
        <v>7596</v>
      </c>
      <c r="C105" t="s">
        <v>7537</v>
      </c>
      <c r="D105" t="s">
        <v>3440</v>
      </c>
      <c r="E105" t="s">
        <v>7545</v>
      </c>
      <c r="F105" t="s">
        <v>7732</v>
      </c>
      <c r="G105" t="s">
        <v>7562</v>
      </c>
    </row>
    <row r="106" spans="1:15" x14ac:dyDescent="0.25">
      <c r="A106" t="s">
        <v>4135</v>
      </c>
      <c r="B106" t="s">
        <v>7596</v>
      </c>
      <c r="C106" t="s">
        <v>7537</v>
      </c>
      <c r="D106" t="s">
        <v>3440</v>
      </c>
      <c r="E106" t="s">
        <v>7491</v>
      </c>
      <c r="F106" t="s">
        <v>7732</v>
      </c>
      <c r="G106" t="s">
        <v>7563</v>
      </c>
    </row>
    <row r="107" spans="1:15" x14ac:dyDescent="0.25">
      <c r="A107" t="s">
        <v>4132</v>
      </c>
      <c r="B107" t="s">
        <v>7596</v>
      </c>
      <c r="C107" t="s">
        <v>7537</v>
      </c>
      <c r="D107" t="s">
        <v>3440</v>
      </c>
      <c r="E107" t="s">
        <v>7491</v>
      </c>
      <c r="F107" t="s">
        <v>7732</v>
      </c>
      <c r="G107" t="s">
        <v>7562</v>
      </c>
    </row>
    <row r="108" spans="1:15" x14ac:dyDescent="0.25">
      <c r="A108" t="s">
        <v>4121</v>
      </c>
      <c r="B108" t="s">
        <v>7596</v>
      </c>
      <c r="C108" t="s">
        <v>7537</v>
      </c>
      <c r="D108" t="s">
        <v>3519</v>
      </c>
      <c r="E108" t="s">
        <v>5677</v>
      </c>
      <c r="F108" t="s">
        <v>7732</v>
      </c>
      <c r="G108" t="s">
        <v>7563</v>
      </c>
    </row>
    <row r="109" spans="1:15" x14ac:dyDescent="0.25">
      <c r="A109" t="s">
        <v>4117</v>
      </c>
      <c r="B109" t="s">
        <v>7596</v>
      </c>
      <c r="C109" t="s">
        <v>7537</v>
      </c>
      <c r="D109" t="s">
        <v>3519</v>
      </c>
      <c r="E109" t="s">
        <v>5677</v>
      </c>
      <c r="F109" t="s">
        <v>7732</v>
      </c>
      <c r="G109" t="s">
        <v>7562</v>
      </c>
    </row>
    <row r="110" spans="1:15" x14ac:dyDescent="0.25">
      <c r="A110" t="s">
        <v>4126</v>
      </c>
      <c r="B110" t="s">
        <v>7596</v>
      </c>
      <c r="C110" t="s">
        <v>7537</v>
      </c>
      <c r="D110" t="s">
        <v>3679</v>
      </c>
      <c r="E110" t="s">
        <v>7726</v>
      </c>
      <c r="F110" t="s">
        <v>7732</v>
      </c>
      <c r="G110" t="s">
        <v>7562</v>
      </c>
    </row>
    <row r="111" spans="1:15" x14ac:dyDescent="0.25">
      <c r="A111" t="s">
        <v>4162</v>
      </c>
      <c r="B111" t="s">
        <v>7596</v>
      </c>
      <c r="C111" t="s">
        <v>7736</v>
      </c>
      <c r="D111" t="s">
        <v>7593</v>
      </c>
      <c r="E111" t="s">
        <v>7719</v>
      </c>
      <c r="F111" t="s">
        <v>7605</v>
      </c>
      <c r="G111" t="s">
        <v>7562</v>
      </c>
      <c r="H111" t="s">
        <v>7595</v>
      </c>
      <c r="I111" t="s">
        <v>7748</v>
      </c>
      <c r="J111" t="s">
        <v>7747</v>
      </c>
      <c r="K111" t="s">
        <v>7562</v>
      </c>
    </row>
    <row r="112" spans="1:15" x14ac:dyDescent="0.25">
      <c r="A112" t="s">
        <v>4182</v>
      </c>
      <c r="B112" t="s">
        <v>7596</v>
      </c>
      <c r="C112" t="s">
        <v>7736</v>
      </c>
      <c r="D112" t="s">
        <v>5522</v>
      </c>
      <c r="E112" t="s">
        <v>7625</v>
      </c>
      <c r="F112" t="s">
        <v>7605</v>
      </c>
      <c r="G112" t="s">
        <v>7562</v>
      </c>
      <c r="H112" t="s">
        <v>5522</v>
      </c>
      <c r="I112" t="s">
        <v>7750</v>
      </c>
      <c r="J112" t="s">
        <v>7747</v>
      </c>
      <c r="K112" t="s">
        <v>7562</v>
      </c>
    </row>
    <row r="113" spans="1:19" x14ac:dyDescent="0.25">
      <c r="A113" t="s">
        <v>4194</v>
      </c>
      <c r="B113" t="s">
        <v>7596</v>
      </c>
      <c r="C113" t="s">
        <v>7736</v>
      </c>
      <c r="D113" t="s">
        <v>3440</v>
      </c>
      <c r="E113" t="s">
        <v>7545</v>
      </c>
      <c r="F113" t="s">
        <v>7605</v>
      </c>
      <c r="G113" t="s">
        <v>7563</v>
      </c>
      <c r="H113" t="s">
        <v>7595</v>
      </c>
      <c r="I113" t="s">
        <v>7751</v>
      </c>
      <c r="J113" t="s">
        <v>7747</v>
      </c>
      <c r="K113" t="s">
        <v>7563</v>
      </c>
    </row>
    <row r="114" spans="1:19" x14ac:dyDescent="0.25">
      <c r="A114" t="s">
        <v>4160</v>
      </c>
      <c r="B114" t="s">
        <v>7596</v>
      </c>
      <c r="C114" t="s">
        <v>7736</v>
      </c>
      <c r="D114" t="s">
        <v>5522</v>
      </c>
      <c r="E114" t="s">
        <v>7728</v>
      </c>
      <c r="F114" t="s">
        <v>7605</v>
      </c>
      <c r="G114" t="s">
        <v>7562</v>
      </c>
      <c r="H114" t="s">
        <v>5522</v>
      </c>
      <c r="I114" t="s">
        <v>7729</v>
      </c>
      <c r="J114" t="s">
        <v>7747</v>
      </c>
      <c r="K114" t="s">
        <v>7562</v>
      </c>
      <c r="L114" t="s">
        <v>7730</v>
      </c>
      <c r="M114" t="s">
        <v>7574</v>
      </c>
      <c r="N114" t="s">
        <v>7747</v>
      </c>
      <c r="O114" t="s">
        <v>7562</v>
      </c>
    </row>
    <row r="115" spans="1:19" x14ac:dyDescent="0.25">
      <c r="A115" t="s">
        <v>4172</v>
      </c>
      <c r="B115" t="s">
        <v>7596</v>
      </c>
      <c r="C115" t="s">
        <v>7736</v>
      </c>
      <c r="D115" t="s">
        <v>5522</v>
      </c>
      <c r="E115" t="s">
        <v>7601</v>
      </c>
      <c r="F115" t="s">
        <v>7605</v>
      </c>
      <c r="G115" t="s">
        <v>7562</v>
      </c>
      <c r="H115" t="s">
        <v>5522</v>
      </c>
      <c r="I115" t="s">
        <v>7602</v>
      </c>
      <c r="J115" t="s">
        <v>7747</v>
      </c>
      <c r="K115" t="s">
        <v>7562</v>
      </c>
    </row>
    <row r="116" spans="1:19" x14ac:dyDescent="0.25">
      <c r="A116" t="s">
        <v>4178</v>
      </c>
      <c r="B116" t="s">
        <v>7596</v>
      </c>
      <c r="C116" t="s">
        <v>7736</v>
      </c>
      <c r="D116" t="s">
        <v>3440</v>
      </c>
      <c r="E116" t="s">
        <v>7491</v>
      </c>
      <c r="F116" t="s">
        <v>7605</v>
      </c>
      <c r="G116" t="s">
        <v>7562</v>
      </c>
      <c r="H116" t="s">
        <v>7595</v>
      </c>
      <c r="I116" t="s">
        <v>7573</v>
      </c>
      <c r="J116" t="s">
        <v>7747</v>
      </c>
      <c r="K116" t="s">
        <v>7562</v>
      </c>
    </row>
    <row r="117" spans="1:19" x14ac:dyDescent="0.25">
      <c r="A117" t="s">
        <v>4200</v>
      </c>
      <c r="B117" t="s">
        <v>7596</v>
      </c>
      <c r="C117" t="s">
        <v>7736</v>
      </c>
      <c r="D117" t="s">
        <v>5522</v>
      </c>
      <c r="E117" t="s">
        <v>7601</v>
      </c>
      <c r="F117" t="s">
        <v>7605</v>
      </c>
      <c r="G117" t="s">
        <v>7562</v>
      </c>
      <c r="H117" t="s">
        <v>5522</v>
      </c>
      <c r="I117" t="s">
        <v>7625</v>
      </c>
      <c r="J117" t="s">
        <v>7605</v>
      </c>
      <c r="K117" t="s">
        <v>7562</v>
      </c>
      <c r="L117" t="s">
        <v>5522</v>
      </c>
      <c r="M117" t="s">
        <v>7602</v>
      </c>
      <c r="N117" t="s">
        <v>7747</v>
      </c>
      <c r="O117" t="s">
        <v>7562</v>
      </c>
      <c r="P117" t="s">
        <v>5522</v>
      </c>
      <c r="Q117" t="s">
        <v>7750</v>
      </c>
      <c r="R117" t="s">
        <v>7747</v>
      </c>
      <c r="S117" t="s">
        <v>7562</v>
      </c>
    </row>
    <row r="118" spans="1:19" x14ac:dyDescent="0.25">
      <c r="A118" t="s">
        <v>4215</v>
      </c>
      <c r="B118" t="s">
        <v>7596</v>
      </c>
      <c r="C118" t="s">
        <v>7736</v>
      </c>
      <c r="D118" t="s">
        <v>3440</v>
      </c>
      <c r="E118" t="s">
        <v>7545</v>
      </c>
      <c r="F118" t="s">
        <v>7605</v>
      </c>
      <c r="G118" t="s">
        <v>7562</v>
      </c>
      <c r="H118" t="s">
        <v>7595</v>
      </c>
      <c r="I118" t="s">
        <v>7751</v>
      </c>
      <c r="J118" t="s">
        <v>7747</v>
      </c>
      <c r="K118" t="s">
        <v>7562</v>
      </c>
    </row>
    <row r="119" spans="1:19" x14ac:dyDescent="0.25">
      <c r="A119" t="s">
        <v>4220</v>
      </c>
      <c r="B119" t="s">
        <v>7596</v>
      </c>
      <c r="C119" t="s">
        <v>7736</v>
      </c>
      <c r="D119" t="s">
        <v>5522</v>
      </c>
      <c r="E119" t="s">
        <v>7623</v>
      </c>
      <c r="F119" t="s">
        <v>7605</v>
      </c>
      <c r="G119" t="s">
        <v>7562</v>
      </c>
      <c r="H119" t="s">
        <v>5522</v>
      </c>
      <c r="I119" t="s">
        <v>7749</v>
      </c>
      <c r="J119" t="s">
        <v>7747</v>
      </c>
      <c r="K119" t="s">
        <v>7562</v>
      </c>
    </row>
    <row r="120" spans="1:19" x14ac:dyDescent="0.25">
      <c r="A120" t="s">
        <v>4206</v>
      </c>
      <c r="B120" t="s">
        <v>7596</v>
      </c>
      <c r="C120" t="s">
        <v>7736</v>
      </c>
      <c r="D120" t="s">
        <v>3440</v>
      </c>
      <c r="E120" t="s">
        <v>7545</v>
      </c>
      <c r="F120" t="s">
        <v>7605</v>
      </c>
      <c r="G120" t="s">
        <v>7562</v>
      </c>
      <c r="H120" t="s">
        <v>7595</v>
      </c>
      <c r="I120" t="s">
        <v>7751</v>
      </c>
      <c r="J120" t="s">
        <v>7747</v>
      </c>
      <c r="K120" t="s">
        <v>7562</v>
      </c>
    </row>
    <row r="121" spans="1:19" x14ac:dyDescent="0.25">
      <c r="A121" t="s">
        <v>4211</v>
      </c>
      <c r="B121" t="s">
        <v>7596</v>
      </c>
      <c r="C121" t="s">
        <v>7736</v>
      </c>
      <c r="D121" t="s">
        <v>7586</v>
      </c>
      <c r="E121" t="s">
        <v>3450</v>
      </c>
      <c r="F121" t="s">
        <v>7605</v>
      </c>
      <c r="G121" t="s">
        <v>7562</v>
      </c>
    </row>
    <row r="122" spans="1:19" x14ac:dyDescent="0.25">
      <c r="A122" t="s">
        <v>4225</v>
      </c>
      <c r="B122" t="s">
        <v>7596</v>
      </c>
      <c r="C122" t="s">
        <v>7736</v>
      </c>
      <c r="D122" t="s">
        <v>3440</v>
      </c>
      <c r="E122" t="s">
        <v>7545</v>
      </c>
      <c r="F122" t="s">
        <v>7605</v>
      </c>
      <c r="G122" t="s">
        <v>7563</v>
      </c>
      <c r="H122" t="s">
        <v>7595</v>
      </c>
      <c r="I122" t="s">
        <v>7751</v>
      </c>
      <c r="J122" t="s">
        <v>7747</v>
      </c>
      <c r="K122" t="s">
        <v>7563</v>
      </c>
    </row>
    <row r="123" spans="1:19" x14ac:dyDescent="0.25">
      <c r="A123" t="s">
        <v>4228</v>
      </c>
      <c r="B123" t="s">
        <v>7596</v>
      </c>
      <c r="C123" t="s">
        <v>7736</v>
      </c>
      <c r="D123" t="s">
        <v>3457</v>
      </c>
    </row>
    <row r="124" spans="1:19" x14ac:dyDescent="0.25">
      <c r="A124" t="s">
        <v>4166</v>
      </c>
      <c r="B124" t="s">
        <v>7596</v>
      </c>
      <c r="C124" t="s">
        <v>7736</v>
      </c>
      <c r="D124" t="s">
        <v>5522</v>
      </c>
      <c r="E124" t="s">
        <v>7625</v>
      </c>
      <c r="F124" t="s">
        <v>7605</v>
      </c>
      <c r="G124" t="s">
        <v>7562</v>
      </c>
      <c r="H124" t="s">
        <v>5522</v>
      </c>
      <c r="I124" t="s">
        <v>7750</v>
      </c>
      <c r="J124" t="s">
        <v>7747</v>
      </c>
      <c r="K124" t="s">
        <v>7562</v>
      </c>
    </row>
    <row r="125" spans="1:19" x14ac:dyDescent="0.25">
      <c r="A125" t="s">
        <v>4188</v>
      </c>
      <c r="B125" t="s">
        <v>7596</v>
      </c>
      <c r="C125" t="s">
        <v>7736</v>
      </c>
      <c r="D125" t="s">
        <v>5522</v>
      </c>
      <c r="E125" t="s">
        <v>7601</v>
      </c>
      <c r="F125" t="s">
        <v>7605</v>
      </c>
      <c r="G125" t="s">
        <v>7562</v>
      </c>
      <c r="H125" t="s">
        <v>5522</v>
      </c>
      <c r="I125" t="s">
        <v>7602</v>
      </c>
      <c r="J125" t="s">
        <v>7747</v>
      </c>
      <c r="K125" t="s">
        <v>7562</v>
      </c>
    </row>
    <row r="126" spans="1:19" x14ac:dyDescent="0.25">
      <c r="A126" t="s">
        <v>3447</v>
      </c>
      <c r="B126" t="s">
        <v>7622</v>
      </c>
      <c r="C126" t="s">
        <v>7592</v>
      </c>
      <c r="D126" t="s">
        <v>7595</v>
      </c>
      <c r="E126" t="s">
        <v>7751</v>
      </c>
      <c r="F126" t="s">
        <v>7544</v>
      </c>
      <c r="G126" t="s">
        <v>7563</v>
      </c>
    </row>
    <row r="127" spans="1:19" x14ac:dyDescent="0.25">
      <c r="A127" t="s">
        <v>4012</v>
      </c>
      <c r="B127" t="s">
        <v>7596</v>
      </c>
      <c r="C127" t="s">
        <v>7735</v>
      </c>
      <c r="D127" t="s">
        <v>5522</v>
      </c>
      <c r="E127" t="s">
        <v>7602</v>
      </c>
      <c r="F127" t="s">
        <v>7722</v>
      </c>
      <c r="G127" t="s">
        <v>7562</v>
      </c>
    </row>
    <row r="128" spans="1:19" x14ac:dyDescent="0.25">
      <c r="A128" t="s">
        <v>4018</v>
      </c>
      <c r="B128" t="s">
        <v>7596</v>
      </c>
      <c r="C128" t="s">
        <v>7735</v>
      </c>
      <c r="D128" t="s">
        <v>3587</v>
      </c>
      <c r="E128" t="s">
        <v>7723</v>
      </c>
      <c r="F128" t="s">
        <v>7722</v>
      </c>
      <c r="G128" t="s">
        <v>7563</v>
      </c>
    </row>
    <row r="129" spans="1:15" x14ac:dyDescent="0.25">
      <c r="A129" t="s">
        <v>4024</v>
      </c>
      <c r="B129" t="s">
        <v>7596</v>
      </c>
      <c r="C129" t="s">
        <v>7735</v>
      </c>
      <c r="D129" t="s">
        <v>7595</v>
      </c>
      <c r="E129" t="s">
        <v>7724</v>
      </c>
      <c r="F129" t="s">
        <v>7722</v>
      </c>
      <c r="G129" t="s">
        <v>7562</v>
      </c>
    </row>
    <row r="130" spans="1:15" x14ac:dyDescent="0.25">
      <c r="A130" t="s">
        <v>4047</v>
      </c>
      <c r="B130" t="s">
        <v>7596</v>
      </c>
      <c r="C130" t="s">
        <v>7735</v>
      </c>
      <c r="D130" t="s">
        <v>5522</v>
      </c>
      <c r="E130" t="s">
        <v>7728</v>
      </c>
      <c r="F130" t="s">
        <v>7722</v>
      </c>
      <c r="G130" t="s">
        <v>7562</v>
      </c>
      <c r="H130" t="s">
        <v>5522</v>
      </c>
      <c r="I130" t="s">
        <v>7729</v>
      </c>
      <c r="J130" t="s">
        <v>7722</v>
      </c>
      <c r="K130" t="s">
        <v>7562</v>
      </c>
      <c r="L130" t="s">
        <v>7730</v>
      </c>
      <c r="M130" t="s">
        <v>7574</v>
      </c>
      <c r="N130" t="s">
        <v>7722</v>
      </c>
      <c r="O130" t="s">
        <v>7562</v>
      </c>
    </row>
    <row r="131" spans="1:15" x14ac:dyDescent="0.25">
      <c r="A131" t="s">
        <v>4029</v>
      </c>
      <c r="B131" t="s">
        <v>7596</v>
      </c>
      <c r="C131" t="s">
        <v>7735</v>
      </c>
      <c r="D131" t="s">
        <v>3587</v>
      </c>
      <c r="E131" t="s">
        <v>7723</v>
      </c>
      <c r="F131" t="s">
        <v>7722</v>
      </c>
      <c r="G131" t="s">
        <v>7562</v>
      </c>
    </row>
    <row r="132" spans="1:15" x14ac:dyDescent="0.25">
      <c r="A132" t="s">
        <v>4052</v>
      </c>
      <c r="B132" t="s">
        <v>7596</v>
      </c>
      <c r="C132" t="s">
        <v>7735</v>
      </c>
      <c r="D132" t="s">
        <v>7586</v>
      </c>
      <c r="E132" t="s">
        <v>4244</v>
      </c>
      <c r="F132" t="s">
        <v>7722</v>
      </c>
      <c r="G132" t="s">
        <v>7563</v>
      </c>
    </row>
    <row r="133" spans="1:15" x14ac:dyDescent="0.25">
      <c r="A133" t="s">
        <v>4036</v>
      </c>
      <c r="B133" t="s">
        <v>7596</v>
      </c>
      <c r="C133" t="s">
        <v>7735</v>
      </c>
      <c r="D133" t="s">
        <v>5522</v>
      </c>
      <c r="E133" t="s">
        <v>7725</v>
      </c>
      <c r="F133" t="s">
        <v>7722</v>
      </c>
      <c r="G133" t="s">
        <v>7562</v>
      </c>
    </row>
    <row r="134" spans="1:15" x14ac:dyDescent="0.25">
      <c r="A134" t="s">
        <v>4040</v>
      </c>
      <c r="B134" t="s">
        <v>7596</v>
      </c>
      <c r="C134" t="s">
        <v>7735</v>
      </c>
      <c r="D134" t="s">
        <v>3679</v>
      </c>
      <c r="E134" t="s">
        <v>7726</v>
      </c>
      <c r="F134" t="s">
        <v>7722</v>
      </c>
      <c r="G134" t="s">
        <v>7562</v>
      </c>
    </row>
    <row r="135" spans="1:15" x14ac:dyDescent="0.25">
      <c r="A135" t="s">
        <v>4264</v>
      </c>
      <c r="B135" t="s">
        <v>7571</v>
      </c>
      <c r="C135" t="s">
        <v>7575</v>
      </c>
      <c r="D135" t="s">
        <v>7595</v>
      </c>
      <c r="E135" t="s">
        <v>7751</v>
      </c>
      <c r="F135" t="s">
        <v>7577</v>
      </c>
      <c r="G135" t="s">
        <v>7563</v>
      </c>
    </row>
    <row r="136" spans="1:15" x14ac:dyDescent="0.25">
      <c r="A136" t="s">
        <v>7660</v>
      </c>
      <c r="B136" t="s">
        <v>7596</v>
      </c>
      <c r="C136" t="s">
        <v>7737</v>
      </c>
      <c r="D136" t="s">
        <v>7595</v>
      </c>
      <c r="E136" t="s">
        <v>7752</v>
      </c>
      <c r="F136" t="s">
        <v>7628</v>
      </c>
      <c r="G136" t="s">
        <v>7563</v>
      </c>
    </row>
    <row r="137" spans="1:15" x14ac:dyDescent="0.25">
      <c r="A137" t="s">
        <v>7635</v>
      </c>
      <c r="B137" t="s">
        <v>7596</v>
      </c>
      <c r="C137" t="s">
        <v>7737</v>
      </c>
      <c r="D137" t="s">
        <v>7595</v>
      </c>
      <c r="E137" t="s">
        <v>7724</v>
      </c>
      <c r="F137" t="s">
        <v>7628</v>
      </c>
      <c r="G137" t="s">
        <v>7562</v>
      </c>
    </row>
    <row r="138" spans="1:15" x14ac:dyDescent="0.25">
      <c r="A138" t="s">
        <v>7662</v>
      </c>
      <c r="B138" t="s">
        <v>7596</v>
      </c>
      <c r="C138" t="s">
        <v>7737</v>
      </c>
      <c r="D138" t="s">
        <v>7595</v>
      </c>
      <c r="E138" t="s">
        <v>7751</v>
      </c>
      <c r="F138" t="s">
        <v>7628</v>
      </c>
      <c r="G138" t="s">
        <v>7563</v>
      </c>
    </row>
    <row r="139" spans="1:15" x14ac:dyDescent="0.25">
      <c r="A139" t="s">
        <v>7633</v>
      </c>
      <c r="B139" t="s">
        <v>7596</v>
      </c>
      <c r="C139" t="s">
        <v>7737</v>
      </c>
      <c r="D139" t="s">
        <v>5522</v>
      </c>
      <c r="E139" t="s">
        <v>7729</v>
      </c>
      <c r="F139" t="s">
        <v>7628</v>
      </c>
      <c r="G139" t="s">
        <v>7562</v>
      </c>
      <c r="H139" t="s">
        <v>7730</v>
      </c>
      <c r="I139" t="s">
        <v>7574</v>
      </c>
      <c r="J139" t="s">
        <v>7628</v>
      </c>
      <c r="K139" t="s">
        <v>7562</v>
      </c>
    </row>
    <row r="140" spans="1:15" x14ac:dyDescent="0.25">
      <c r="A140" t="s">
        <v>7658</v>
      </c>
      <c r="B140" t="s">
        <v>7596</v>
      </c>
      <c r="C140" t="s">
        <v>7737</v>
      </c>
      <c r="D140" t="s">
        <v>5522</v>
      </c>
      <c r="E140" t="s">
        <v>7749</v>
      </c>
      <c r="F140" t="s">
        <v>7628</v>
      </c>
      <c r="G140" t="s">
        <v>7562</v>
      </c>
    </row>
    <row r="141" spans="1:15" x14ac:dyDescent="0.25">
      <c r="A141" t="s">
        <v>7657</v>
      </c>
      <c r="B141" t="s">
        <v>7596</v>
      </c>
      <c r="C141" t="s">
        <v>7737</v>
      </c>
      <c r="D141" t="s">
        <v>7595</v>
      </c>
      <c r="E141" t="s">
        <v>7759</v>
      </c>
      <c r="F141" t="s">
        <v>7628</v>
      </c>
      <c r="G141" t="s">
        <v>7563</v>
      </c>
    </row>
    <row r="142" spans="1:15" x14ac:dyDescent="0.25">
      <c r="A142" t="s">
        <v>7659</v>
      </c>
      <c r="B142" t="s">
        <v>7596</v>
      </c>
      <c r="C142" t="s">
        <v>7737</v>
      </c>
      <c r="D142" t="s">
        <v>7595</v>
      </c>
      <c r="E142" t="s">
        <v>7751</v>
      </c>
      <c r="F142" t="s">
        <v>7628</v>
      </c>
      <c r="G142" t="s">
        <v>7563</v>
      </c>
    </row>
    <row r="143" spans="1:15" x14ac:dyDescent="0.25">
      <c r="A143" t="s">
        <v>7630</v>
      </c>
      <c r="B143" t="s">
        <v>7596</v>
      </c>
      <c r="C143" t="s">
        <v>7737</v>
      </c>
      <c r="D143" t="s">
        <v>3457</v>
      </c>
    </row>
    <row r="144" spans="1:15" x14ac:dyDescent="0.25">
      <c r="A144" t="s">
        <v>7672</v>
      </c>
      <c r="B144" t="s">
        <v>7596</v>
      </c>
      <c r="C144" t="s">
        <v>7737</v>
      </c>
      <c r="D144" t="s">
        <v>7595</v>
      </c>
      <c r="E144" t="s">
        <v>7724</v>
      </c>
      <c r="F144" t="s">
        <v>7628</v>
      </c>
      <c r="G144" t="s">
        <v>7562</v>
      </c>
    </row>
    <row r="145" spans="1:11" x14ac:dyDescent="0.25">
      <c r="A145" t="s">
        <v>7661</v>
      </c>
      <c r="B145" t="s">
        <v>7596</v>
      </c>
      <c r="C145" t="s">
        <v>7737</v>
      </c>
      <c r="D145" t="s">
        <v>7595</v>
      </c>
      <c r="E145" t="s">
        <v>7565</v>
      </c>
      <c r="F145" t="s">
        <v>7628</v>
      </c>
      <c r="G145" t="s">
        <v>7562</v>
      </c>
    </row>
    <row r="146" spans="1:11" x14ac:dyDescent="0.25">
      <c r="A146" t="s">
        <v>7663</v>
      </c>
      <c r="B146" t="s">
        <v>7596</v>
      </c>
      <c r="C146" t="s">
        <v>7737</v>
      </c>
      <c r="D146" t="s">
        <v>7595</v>
      </c>
      <c r="E146" t="s">
        <v>7753</v>
      </c>
      <c r="F146" t="s">
        <v>7628</v>
      </c>
      <c r="G146" t="s">
        <v>7562</v>
      </c>
    </row>
    <row r="147" spans="1:11" x14ac:dyDescent="0.25">
      <c r="A147" t="s">
        <v>3723</v>
      </c>
      <c r="B147" t="s">
        <v>7596</v>
      </c>
      <c r="C147" t="s">
        <v>7737</v>
      </c>
      <c r="D147" t="s">
        <v>7584</v>
      </c>
      <c r="E147" t="s">
        <v>7629</v>
      </c>
      <c r="F147" t="s">
        <v>7628</v>
      </c>
      <c r="G147" t="s">
        <v>7562</v>
      </c>
    </row>
    <row r="148" spans="1:11" x14ac:dyDescent="0.25">
      <c r="A148" t="s">
        <v>7768</v>
      </c>
      <c r="B148" t="s">
        <v>7540</v>
      </c>
      <c r="C148" t="s">
        <v>7592</v>
      </c>
      <c r="D148" t="s">
        <v>3440</v>
      </c>
      <c r="E148" t="s">
        <v>7545</v>
      </c>
      <c r="F148" t="s">
        <v>7763</v>
      </c>
      <c r="G148" t="s">
        <v>7563</v>
      </c>
      <c r="H148" t="s">
        <v>7593</v>
      </c>
      <c r="I148" t="s">
        <v>7719</v>
      </c>
      <c r="J148" t="s">
        <v>7763</v>
      </c>
      <c r="K148" t="s">
        <v>7563</v>
      </c>
    </row>
    <row r="149" spans="1:11" x14ac:dyDescent="0.25">
      <c r="A149" t="s">
        <v>7769</v>
      </c>
      <c r="B149" t="s">
        <v>7770</v>
      </c>
      <c r="C149" t="s">
        <v>7592</v>
      </c>
      <c r="D149" t="s">
        <v>3440</v>
      </c>
      <c r="E149" t="s">
        <v>7545</v>
      </c>
      <c r="F149" t="s">
        <v>7771</v>
      </c>
      <c r="G149" t="s">
        <v>7562</v>
      </c>
    </row>
    <row r="150" spans="1:11" x14ac:dyDescent="0.25">
      <c r="A150" t="s">
        <v>7772</v>
      </c>
      <c r="B150" t="s">
        <v>7606</v>
      </c>
      <c r="C150" t="s">
        <v>7592</v>
      </c>
      <c r="D150" t="s">
        <v>7595</v>
      </c>
      <c r="E150" t="s">
        <v>7757</v>
      </c>
      <c r="F150" t="s">
        <v>7606</v>
      </c>
      <c r="G150" t="s">
        <v>7562</v>
      </c>
    </row>
    <row r="151" spans="1:11" x14ac:dyDescent="0.25">
      <c r="A151" t="s">
        <v>4260</v>
      </c>
      <c r="B151" t="s">
        <v>7773</v>
      </c>
      <c r="C151" t="s">
        <v>7569</v>
      </c>
      <c r="D151" t="s">
        <v>5522</v>
      </c>
      <c r="E151" t="s">
        <v>7729</v>
      </c>
      <c r="F151" t="s">
        <v>7774</v>
      </c>
      <c r="G151" t="s">
        <v>7562</v>
      </c>
    </row>
    <row r="152" spans="1:11" x14ac:dyDescent="0.25">
      <c r="A152" t="s">
        <v>7611</v>
      </c>
      <c r="B152" t="s">
        <v>7775</v>
      </c>
      <c r="C152" t="s">
        <v>7569</v>
      </c>
      <c r="D152" t="s">
        <v>5522</v>
      </c>
      <c r="E152" t="s">
        <v>7725</v>
      </c>
      <c r="F152" t="s">
        <v>7774</v>
      </c>
      <c r="G152" t="s">
        <v>7562</v>
      </c>
    </row>
    <row r="153" spans="1:11" x14ac:dyDescent="0.25">
      <c r="A153" t="s">
        <v>7776</v>
      </c>
      <c r="B153" t="s">
        <v>7540</v>
      </c>
      <c r="C153" t="s">
        <v>7592</v>
      </c>
      <c r="D153" t="s">
        <v>7586</v>
      </c>
      <c r="E153" t="s">
        <v>7766</v>
      </c>
      <c r="F153" t="s">
        <v>7540</v>
      </c>
      <c r="G153" t="s">
        <v>7562</v>
      </c>
      <c r="H153" t="s">
        <v>7595</v>
      </c>
      <c r="I153" t="s">
        <v>7751</v>
      </c>
      <c r="J153" t="s">
        <v>7588</v>
      </c>
      <c r="K153" t="s">
        <v>7563</v>
      </c>
    </row>
    <row r="154" spans="1:11" x14ac:dyDescent="0.25">
      <c r="A154" t="s">
        <v>7824</v>
      </c>
    </row>
    <row r="155" spans="1:11" x14ac:dyDescent="0.25">
      <c r="A155" t="s">
        <v>7826</v>
      </c>
    </row>
    <row r="156" spans="1:11" x14ac:dyDescent="0.25">
      <c r="A156" t="s">
        <v>7838</v>
      </c>
    </row>
    <row r="157" spans="1:11" x14ac:dyDescent="0.25">
      <c r="A157" t="s">
        <v>7840</v>
      </c>
    </row>
    <row r="158" spans="1:11" x14ac:dyDescent="0.25">
      <c r="A158" t="s">
        <v>7843</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3733</v>
      </c>
      <c r="C1" t="s">
        <v>1</v>
      </c>
      <c r="D1" t="s">
        <v>167</v>
      </c>
      <c r="E1" t="s">
        <v>3495</v>
      </c>
    </row>
    <row r="2" spans="1:5" ht="15" customHeight="1" x14ac:dyDescent="0.25">
      <c r="A2" t="s">
        <v>4361</v>
      </c>
      <c r="B2" t="s">
        <v>4362</v>
      </c>
      <c r="C2" t="s">
        <v>1046</v>
      </c>
      <c r="D2" t="s">
        <v>4363</v>
      </c>
      <c r="E2" t="s">
        <v>4364</v>
      </c>
    </row>
    <row r="3" spans="1:5" ht="15" customHeight="1" x14ac:dyDescent="0.25">
      <c r="A3" t="s">
        <v>4365</v>
      </c>
      <c r="B3" t="s">
        <v>4366</v>
      </c>
      <c r="C3" t="s">
        <v>1046</v>
      </c>
      <c r="D3" t="s">
        <v>4367</v>
      </c>
      <c r="E3" t="s">
        <v>4364</v>
      </c>
    </row>
    <row r="4" spans="1:5" ht="15" customHeight="1" x14ac:dyDescent="0.25">
      <c r="A4" t="s">
        <v>4368</v>
      </c>
      <c r="B4" t="s">
        <v>4366</v>
      </c>
      <c r="C4" t="s">
        <v>1046</v>
      </c>
      <c r="D4" t="s">
        <v>4369</v>
      </c>
      <c r="E4" t="s">
        <v>4364</v>
      </c>
    </row>
    <row r="5" spans="1:5" ht="15" customHeight="1" x14ac:dyDescent="0.25">
      <c r="A5" t="s">
        <v>4370</v>
      </c>
      <c r="B5" t="s">
        <v>4371</v>
      </c>
      <c r="C5" t="s">
        <v>1046</v>
      </c>
      <c r="D5" t="s">
        <v>4372</v>
      </c>
      <c r="E5" t="s">
        <v>4364</v>
      </c>
    </row>
    <row r="6" spans="1:5" ht="15" customHeight="1" x14ac:dyDescent="0.25">
      <c r="A6" t="s">
        <v>4373</v>
      </c>
      <c r="B6" t="s">
        <v>4371</v>
      </c>
      <c r="C6" t="s">
        <v>1046</v>
      </c>
      <c r="D6" t="s">
        <v>4374</v>
      </c>
      <c r="E6" t="s">
        <v>4364</v>
      </c>
    </row>
    <row r="7" spans="1:5" ht="15" customHeight="1" x14ac:dyDescent="0.25">
      <c r="A7" t="s">
        <v>4375</v>
      </c>
      <c r="B7" t="s">
        <v>4362</v>
      </c>
      <c r="C7" t="s">
        <v>160</v>
      </c>
      <c r="D7" t="s">
        <v>4363</v>
      </c>
      <c r="E7" t="s">
        <v>4376</v>
      </c>
    </row>
    <row r="8" spans="1:5" ht="15" customHeight="1" x14ac:dyDescent="0.25">
      <c r="A8" t="s">
        <v>4294</v>
      </c>
      <c r="B8" t="s">
        <v>4362</v>
      </c>
      <c r="C8" t="s">
        <v>160</v>
      </c>
      <c r="D8" t="s">
        <v>4377</v>
      </c>
      <c r="E8" t="s">
        <v>4376</v>
      </c>
    </row>
    <row r="9" spans="1:5" ht="15" customHeight="1" x14ac:dyDescent="0.25">
      <c r="A9" t="s">
        <v>4298</v>
      </c>
      <c r="B9" t="s">
        <v>4362</v>
      </c>
      <c r="C9" t="s">
        <v>160</v>
      </c>
      <c r="D9" t="s">
        <v>4378</v>
      </c>
      <c r="E9" t="s">
        <v>4376</v>
      </c>
    </row>
    <row r="10" spans="1:5" ht="15" customHeight="1" x14ac:dyDescent="0.25">
      <c r="A10" t="s">
        <v>4379</v>
      </c>
      <c r="B10" t="s">
        <v>4366</v>
      </c>
      <c r="C10" t="s">
        <v>160</v>
      </c>
      <c r="D10" t="s">
        <v>4367</v>
      </c>
      <c r="E10" t="s">
        <v>4376</v>
      </c>
    </row>
    <row r="11" spans="1:5" ht="15" customHeight="1" x14ac:dyDescent="0.25">
      <c r="A11" t="s">
        <v>4380</v>
      </c>
      <c r="B11" t="s">
        <v>4366</v>
      </c>
      <c r="C11" t="s">
        <v>160</v>
      </c>
      <c r="D11" t="s">
        <v>4381</v>
      </c>
      <c r="E11" t="s">
        <v>4376</v>
      </c>
    </row>
    <row r="12" spans="1:5" ht="15" customHeight="1" x14ac:dyDescent="0.25">
      <c r="A12" t="s">
        <v>4382</v>
      </c>
      <c r="B12" t="s">
        <v>4366</v>
      </c>
      <c r="C12" t="s">
        <v>160</v>
      </c>
      <c r="D12" t="s">
        <v>4374</v>
      </c>
      <c r="E12" t="s">
        <v>4376</v>
      </c>
    </row>
    <row r="13" spans="1:5" ht="15" customHeight="1" x14ac:dyDescent="0.25">
      <c r="A13" t="s">
        <v>4383</v>
      </c>
      <c r="B13" t="s">
        <v>4371</v>
      </c>
      <c r="C13" t="s">
        <v>160</v>
      </c>
      <c r="D13" t="s">
        <v>4384</v>
      </c>
      <c r="E13" t="s">
        <v>4376</v>
      </c>
    </row>
    <row r="14" spans="1:5" ht="15" customHeight="1" x14ac:dyDescent="0.25">
      <c r="A14" t="s">
        <v>4385</v>
      </c>
      <c r="B14" t="s">
        <v>4371</v>
      </c>
      <c r="C14" t="s">
        <v>160</v>
      </c>
      <c r="D14" t="s">
        <v>4386</v>
      </c>
      <c r="E14" t="s">
        <v>4376</v>
      </c>
    </row>
    <row r="15" spans="1:5" ht="15" customHeight="1" x14ac:dyDescent="0.25">
      <c r="A15" t="s">
        <v>4387</v>
      </c>
      <c r="B15" t="s">
        <v>4371</v>
      </c>
      <c r="C15" t="s">
        <v>160</v>
      </c>
      <c r="D15" t="s">
        <v>4388</v>
      </c>
      <c r="E15" t="s">
        <v>4376</v>
      </c>
    </row>
    <row r="16" spans="1:5" ht="15" customHeight="1" x14ac:dyDescent="0.25">
      <c r="A16" t="s">
        <v>4389</v>
      </c>
      <c r="B16" t="s">
        <v>4362</v>
      </c>
      <c r="C16" t="s">
        <v>1294</v>
      </c>
      <c r="D16" t="s">
        <v>4374</v>
      </c>
      <c r="E16" t="s">
        <v>4390</v>
      </c>
    </row>
    <row r="17" spans="1:5" ht="15" customHeight="1" x14ac:dyDescent="0.25">
      <c r="A17" t="s">
        <v>4391</v>
      </c>
      <c r="B17" t="s">
        <v>4362</v>
      </c>
      <c r="C17" t="s">
        <v>1294</v>
      </c>
      <c r="D17" t="s">
        <v>4377</v>
      </c>
      <c r="E17" t="s">
        <v>4390</v>
      </c>
    </row>
    <row r="18" spans="1:5" ht="15" customHeight="1" x14ac:dyDescent="0.25">
      <c r="A18" t="s">
        <v>4392</v>
      </c>
      <c r="B18" t="s">
        <v>4366</v>
      </c>
      <c r="C18" t="s">
        <v>1294</v>
      </c>
      <c r="D18" t="s">
        <v>4381</v>
      </c>
      <c r="E18" t="s">
        <v>4390</v>
      </c>
    </row>
    <row r="19" spans="1:5" ht="15" customHeight="1" x14ac:dyDescent="0.25">
      <c r="A19" t="s">
        <v>4388</v>
      </c>
      <c r="B19" t="s">
        <v>4366</v>
      </c>
      <c r="C19" t="s">
        <v>1294</v>
      </c>
      <c r="D19" t="s">
        <v>4388</v>
      </c>
      <c r="E19" t="s">
        <v>4390</v>
      </c>
    </row>
    <row r="20" spans="1:5" ht="15" customHeight="1" x14ac:dyDescent="0.25">
      <c r="A20" t="s">
        <v>4393</v>
      </c>
      <c r="B20" t="s">
        <v>4371</v>
      </c>
      <c r="C20" t="s">
        <v>1294</v>
      </c>
      <c r="D20" t="s">
        <v>4363</v>
      </c>
      <c r="E20" t="s">
        <v>4390</v>
      </c>
    </row>
    <row r="21" spans="1:5" ht="15" customHeight="1" x14ac:dyDescent="0.25">
      <c r="A21" t="s">
        <v>4394</v>
      </c>
      <c r="B21" t="s">
        <v>4362</v>
      </c>
      <c r="C21" t="s">
        <v>2136</v>
      </c>
      <c r="D21" t="s">
        <v>4395</v>
      </c>
      <c r="E21" t="s">
        <v>4396</v>
      </c>
    </row>
    <row r="22" spans="1:5" ht="15" customHeight="1" x14ac:dyDescent="0.25">
      <c r="A22" t="s">
        <v>4397</v>
      </c>
      <c r="B22" t="s">
        <v>4362</v>
      </c>
      <c r="C22" t="s">
        <v>2136</v>
      </c>
      <c r="D22" t="s">
        <v>4398</v>
      </c>
      <c r="E22" t="s">
        <v>4396</v>
      </c>
    </row>
    <row r="23" spans="1:5" ht="15" customHeight="1" x14ac:dyDescent="0.25">
      <c r="A23" t="s">
        <v>4399</v>
      </c>
      <c r="B23" t="s">
        <v>4362</v>
      </c>
      <c r="C23" t="s">
        <v>2136</v>
      </c>
      <c r="D23" t="s">
        <v>4369</v>
      </c>
      <c r="E23" t="s">
        <v>4396</v>
      </c>
    </row>
    <row r="24" spans="1:5" ht="15" customHeight="1" x14ac:dyDescent="0.25">
      <c r="A24" t="s">
        <v>4400</v>
      </c>
      <c r="B24" t="s">
        <v>4362</v>
      </c>
      <c r="C24" t="s">
        <v>2136</v>
      </c>
      <c r="D24" t="s">
        <v>4401</v>
      </c>
      <c r="E24" t="s">
        <v>4396</v>
      </c>
    </row>
    <row r="25" spans="1:5" ht="15" customHeight="1" x14ac:dyDescent="0.25">
      <c r="A25" t="s">
        <v>4402</v>
      </c>
      <c r="B25" t="s">
        <v>4366</v>
      </c>
      <c r="C25" t="s">
        <v>2136</v>
      </c>
      <c r="D25" t="s">
        <v>4369</v>
      </c>
      <c r="E25" t="s">
        <v>4396</v>
      </c>
    </row>
    <row r="26" spans="1:5" ht="15" customHeight="1" x14ac:dyDescent="0.25">
      <c r="A26" t="s">
        <v>4403</v>
      </c>
      <c r="B26" t="s">
        <v>4366</v>
      </c>
      <c r="C26" t="s">
        <v>2136</v>
      </c>
      <c r="D26" t="s">
        <v>4377</v>
      </c>
      <c r="E26" t="s">
        <v>4396</v>
      </c>
    </row>
    <row r="27" spans="1:5" ht="15" customHeight="1" x14ac:dyDescent="0.25">
      <c r="A27" t="s">
        <v>4404</v>
      </c>
      <c r="B27" t="s">
        <v>4366</v>
      </c>
      <c r="C27" t="s">
        <v>2136</v>
      </c>
      <c r="D27" t="s">
        <v>4395</v>
      </c>
      <c r="E27" t="s">
        <v>4396</v>
      </c>
    </row>
    <row r="28" spans="1:5" ht="15" customHeight="1" x14ac:dyDescent="0.25">
      <c r="A28" t="s">
        <v>4405</v>
      </c>
      <c r="B28" t="s">
        <v>4366</v>
      </c>
      <c r="C28" t="s">
        <v>2136</v>
      </c>
      <c r="D28" t="s">
        <v>4406</v>
      </c>
      <c r="E28" t="s">
        <v>4396</v>
      </c>
    </row>
    <row r="29" spans="1:5" ht="15" customHeight="1" x14ac:dyDescent="0.25">
      <c r="A29" t="s">
        <v>4407</v>
      </c>
      <c r="B29" t="s">
        <v>4371</v>
      </c>
      <c r="C29" t="s">
        <v>2136</v>
      </c>
      <c r="D29" t="s">
        <v>4408</v>
      </c>
      <c r="E29" t="s">
        <v>4396</v>
      </c>
    </row>
    <row r="30" spans="1:5" ht="15" customHeight="1" x14ac:dyDescent="0.25">
      <c r="A30" t="s">
        <v>4409</v>
      </c>
      <c r="B30" t="s">
        <v>4371</v>
      </c>
      <c r="C30" t="s">
        <v>2136</v>
      </c>
      <c r="D30" t="s">
        <v>4410</v>
      </c>
      <c r="E30" t="s">
        <v>4396</v>
      </c>
    </row>
    <row r="31" spans="1:5" ht="15" customHeight="1" x14ac:dyDescent="0.25">
      <c r="A31" t="s">
        <v>4411</v>
      </c>
      <c r="B31" t="s">
        <v>4362</v>
      </c>
      <c r="C31" t="s">
        <v>553</v>
      </c>
      <c r="D31" t="s">
        <v>4401</v>
      </c>
      <c r="E31" t="s">
        <v>4412</v>
      </c>
    </row>
    <row r="32" spans="1:5" ht="15" customHeight="1" x14ac:dyDescent="0.25">
      <c r="A32" t="s">
        <v>4413</v>
      </c>
      <c r="B32" t="s">
        <v>4371</v>
      </c>
      <c r="C32" t="s">
        <v>553</v>
      </c>
      <c r="D32" t="s">
        <v>4401</v>
      </c>
      <c r="E32" t="s">
        <v>4412</v>
      </c>
    </row>
    <row r="33" spans="1:5" ht="15" customHeight="1" x14ac:dyDescent="0.25">
      <c r="A33" t="s">
        <v>4414</v>
      </c>
      <c r="B33" t="s">
        <v>4366</v>
      </c>
      <c r="C33" t="s">
        <v>553</v>
      </c>
      <c r="D33" t="s">
        <v>4367</v>
      </c>
      <c r="E33" t="s">
        <v>4412</v>
      </c>
    </row>
    <row r="34" spans="1:5" ht="15" customHeight="1" x14ac:dyDescent="0.25">
      <c r="A34" t="s">
        <v>4415</v>
      </c>
      <c r="B34" t="s">
        <v>4371</v>
      </c>
      <c r="C34" t="s">
        <v>553</v>
      </c>
      <c r="D34" t="s">
        <v>4410</v>
      </c>
      <c r="E34" t="s">
        <v>4412</v>
      </c>
    </row>
    <row r="35" spans="1:5" ht="15" customHeight="1" x14ac:dyDescent="0.25">
      <c r="A35" t="s">
        <v>4416</v>
      </c>
      <c r="B35" t="s">
        <v>4366</v>
      </c>
      <c r="C35" t="s">
        <v>553</v>
      </c>
      <c r="D35" t="s">
        <v>4395</v>
      </c>
      <c r="E35" t="s">
        <v>4412</v>
      </c>
    </row>
    <row r="36" spans="1:5" ht="15" customHeight="1" x14ac:dyDescent="0.25">
      <c r="A36" t="s">
        <v>4417</v>
      </c>
      <c r="B36" t="s">
        <v>4362</v>
      </c>
      <c r="C36" t="s">
        <v>553</v>
      </c>
      <c r="D36" t="s">
        <v>4367</v>
      </c>
      <c r="E36" t="s">
        <v>4412</v>
      </c>
    </row>
    <row r="37" spans="1:5" ht="15" customHeight="1" x14ac:dyDescent="0.25">
      <c r="A37" t="s">
        <v>4418</v>
      </c>
      <c r="B37" t="s">
        <v>4362</v>
      </c>
      <c r="C37" t="s">
        <v>501</v>
      </c>
      <c r="D37" t="s">
        <v>4398</v>
      </c>
      <c r="E37" t="s">
        <v>4419</v>
      </c>
    </row>
    <row r="38" spans="1:5" ht="15" customHeight="1" x14ac:dyDescent="0.25">
      <c r="A38" t="s">
        <v>4420</v>
      </c>
      <c r="B38" t="s">
        <v>4366</v>
      </c>
      <c r="C38" t="s">
        <v>501</v>
      </c>
      <c r="D38" t="s">
        <v>4381</v>
      </c>
      <c r="E38" t="s">
        <v>4419</v>
      </c>
    </row>
    <row r="39" spans="1:5" ht="15" customHeight="1" x14ac:dyDescent="0.25">
      <c r="A39" t="s">
        <v>4421</v>
      </c>
      <c r="B39" t="s">
        <v>4371</v>
      </c>
      <c r="C39" t="s">
        <v>501</v>
      </c>
      <c r="D39" t="s">
        <v>4388</v>
      </c>
      <c r="E39" t="s">
        <v>4419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3494</v>
      </c>
      <c r="C1" t="s">
        <v>167</v>
      </c>
      <c r="D1" t="s">
        <v>3452</v>
      </c>
      <c r="E1" t="s">
        <v>3495</v>
      </c>
      <c r="F1" t="s">
        <v>3496</v>
      </c>
      <c r="G1" t="s">
        <v>3497</v>
      </c>
      <c r="H1" t="s">
        <v>171</v>
      </c>
      <c r="I1" t="s">
        <v>4</v>
      </c>
      <c r="J1" t="s">
        <v>3499</v>
      </c>
    </row>
    <row r="2" spans="1:10" ht="15" customHeight="1" x14ac:dyDescent="0.25">
      <c r="A2" t="s">
        <v>3500</v>
      </c>
      <c r="B2" t="s">
        <v>3501</v>
      </c>
      <c r="C2" t="s">
        <v>3502</v>
      </c>
      <c r="D2" t="s">
        <v>4422</v>
      </c>
      <c r="E2" t="s">
        <v>4423</v>
      </c>
      <c r="F2" t="s">
        <v>497</v>
      </c>
      <c r="G2" t="s">
        <v>3505</v>
      </c>
      <c r="H2" t="s">
        <v>3506</v>
      </c>
      <c r="I2" t="s">
        <v>3457</v>
      </c>
      <c r="J2" t="s">
        <v>3440</v>
      </c>
    </row>
    <row r="3" spans="1:10" ht="15" customHeight="1" x14ac:dyDescent="0.25">
      <c r="A3" t="s">
        <v>3507</v>
      </c>
      <c r="B3" t="s">
        <v>41</v>
      </c>
      <c r="C3" t="s">
        <v>3508</v>
      </c>
      <c r="D3" t="s">
        <v>4424</v>
      </c>
      <c r="E3" t="s">
        <v>4425</v>
      </c>
      <c r="F3" t="s">
        <v>90</v>
      </c>
      <c r="G3" t="s">
        <v>3510</v>
      </c>
      <c r="H3" t="s">
        <v>3507</v>
      </c>
      <c r="I3" t="s">
        <v>3457</v>
      </c>
      <c r="J3" t="s">
        <v>3511</v>
      </c>
    </row>
    <row r="4" spans="1:10" ht="15" customHeight="1" x14ac:dyDescent="0.25">
      <c r="A4" t="s">
        <v>4426</v>
      </c>
      <c r="B4" t="s">
        <v>3513</v>
      </c>
      <c r="C4" t="s">
        <v>4427</v>
      </c>
      <c r="D4" t="s">
        <v>4428</v>
      </c>
      <c r="E4" t="s">
        <v>4429</v>
      </c>
      <c r="F4" t="s">
        <v>1649</v>
      </c>
      <c r="G4" t="s">
        <v>4430</v>
      </c>
      <c r="H4" t="s">
        <v>4431</v>
      </c>
      <c r="I4" t="s">
        <v>3457</v>
      </c>
      <c r="J4" t="s">
        <v>3511</v>
      </c>
    </row>
    <row r="5" spans="1:10" ht="15" customHeight="1" x14ac:dyDescent="0.25">
      <c r="A5" t="s">
        <v>4432</v>
      </c>
      <c r="B5" t="s">
        <v>41</v>
      </c>
      <c r="C5" t="s">
        <v>3522</v>
      </c>
      <c r="D5" t="s">
        <v>4433</v>
      </c>
      <c r="E5" t="s">
        <v>4434</v>
      </c>
      <c r="F5" t="s">
        <v>1046</v>
      </c>
      <c r="G5" t="s">
        <v>4435</v>
      </c>
      <c r="H5" t="s">
        <v>4436</v>
      </c>
      <c r="I5" t="s">
        <v>3457</v>
      </c>
      <c r="J5" t="s">
        <v>3519</v>
      </c>
    </row>
    <row r="6" spans="1:10" ht="15" customHeight="1" x14ac:dyDescent="0.25">
      <c r="A6" t="s">
        <v>4437</v>
      </c>
      <c r="B6" t="s">
        <v>3513</v>
      </c>
      <c r="C6" t="s">
        <v>4427</v>
      </c>
      <c r="D6" t="s">
        <v>4438</v>
      </c>
      <c r="E6" t="s">
        <v>4439</v>
      </c>
      <c r="F6" t="s">
        <v>1046</v>
      </c>
      <c r="G6" t="s">
        <v>4440</v>
      </c>
      <c r="H6" t="s">
        <v>4437</v>
      </c>
      <c r="I6" t="s">
        <v>3457</v>
      </c>
      <c r="J6" t="s">
        <v>4441</v>
      </c>
    </row>
    <row r="7" spans="1:10" ht="15" customHeight="1" x14ac:dyDescent="0.25">
      <c r="A7" t="s">
        <v>4442</v>
      </c>
      <c r="B7" t="s">
        <v>3513</v>
      </c>
      <c r="C7" t="s">
        <v>3508</v>
      </c>
      <c r="D7" t="s">
        <v>4443</v>
      </c>
      <c r="E7" t="s">
        <v>4444</v>
      </c>
      <c r="F7" t="s">
        <v>1649</v>
      </c>
      <c r="G7" t="s">
        <v>4445</v>
      </c>
      <c r="H7" t="s">
        <v>4446</v>
      </c>
      <c r="I7" t="s">
        <v>3457</v>
      </c>
      <c r="J7" t="s">
        <v>3511</v>
      </c>
    </row>
    <row r="8" spans="1:10" ht="15" customHeight="1" x14ac:dyDescent="0.25">
      <c r="A8" t="s">
        <v>4447</v>
      </c>
      <c r="B8" t="s">
        <v>3501</v>
      </c>
      <c r="C8" t="s">
        <v>4448</v>
      </c>
      <c r="D8" t="s">
        <v>4449</v>
      </c>
      <c r="E8" t="s">
        <v>4450</v>
      </c>
      <c r="F8" t="s">
        <v>1621</v>
      </c>
      <c r="G8" t="s">
        <v>4451</v>
      </c>
      <c r="H8" t="s">
        <v>4452</v>
      </c>
      <c r="I8" t="s">
        <v>3457</v>
      </c>
      <c r="J8" t="s">
        <v>3519</v>
      </c>
    </row>
    <row r="9" spans="1:10" ht="15" customHeight="1" x14ac:dyDescent="0.25">
      <c r="A9" t="s">
        <v>4453</v>
      </c>
      <c r="B9" t="s">
        <v>3501</v>
      </c>
      <c r="C9" t="s">
        <v>3508</v>
      </c>
      <c r="D9" t="s">
        <v>4454</v>
      </c>
      <c r="E9" t="s">
        <v>4455</v>
      </c>
      <c r="F9" t="s">
        <v>1649</v>
      </c>
      <c r="G9" t="s">
        <v>4456</v>
      </c>
      <c r="H9" t="s">
        <v>4457</v>
      </c>
      <c r="I9" t="s">
        <v>3457</v>
      </c>
      <c r="J9" t="s">
        <v>4458</v>
      </c>
    </row>
    <row r="10" spans="1:10" ht="15" customHeight="1" x14ac:dyDescent="0.25">
      <c r="A10" t="s">
        <v>4459</v>
      </c>
      <c r="B10" t="s">
        <v>3501</v>
      </c>
      <c r="C10" t="s">
        <v>3508</v>
      </c>
      <c r="D10" t="s">
        <v>4460</v>
      </c>
      <c r="E10" t="s">
        <v>4461</v>
      </c>
      <c r="F10" t="s">
        <v>90</v>
      </c>
      <c r="G10" t="s">
        <v>4462</v>
      </c>
      <c r="H10" t="s">
        <v>4463</v>
      </c>
      <c r="I10" t="s">
        <v>3457</v>
      </c>
      <c r="J10" t="s">
        <v>3440</v>
      </c>
    </row>
    <row r="11" spans="1:10" ht="15" customHeight="1" x14ac:dyDescent="0.25">
      <c r="A11" t="s">
        <v>4464</v>
      </c>
      <c r="B11" t="s">
        <v>41</v>
      </c>
      <c r="C11" t="s">
        <v>4427</v>
      </c>
      <c r="D11" t="s">
        <v>4465</v>
      </c>
      <c r="E11" t="s">
        <v>4466</v>
      </c>
      <c r="F11" t="s">
        <v>1104</v>
      </c>
      <c r="G11" t="s">
        <v>3881</v>
      </c>
      <c r="H11" t="s">
        <v>4467</v>
      </c>
      <c r="I11" t="s">
        <v>3457</v>
      </c>
      <c r="J11" t="s">
        <v>4441</v>
      </c>
    </row>
    <row r="12" spans="1:10" ht="15" customHeight="1" x14ac:dyDescent="0.25">
      <c r="A12" t="s">
        <v>4468</v>
      </c>
      <c r="B12" t="s">
        <v>3501</v>
      </c>
      <c r="C12" t="s">
        <v>4427</v>
      </c>
      <c r="D12" t="s">
        <v>4469</v>
      </c>
      <c r="E12" t="s">
        <v>4470</v>
      </c>
      <c r="F12" t="s">
        <v>1621</v>
      </c>
      <c r="H12" t="s">
        <v>4471</v>
      </c>
      <c r="I12" t="s">
        <v>3457</v>
      </c>
      <c r="J12" t="s">
        <v>4472</v>
      </c>
    </row>
    <row r="13" spans="1:10" ht="15" customHeight="1" x14ac:dyDescent="0.25">
      <c r="A13" t="s">
        <v>4473</v>
      </c>
      <c r="B13" t="s">
        <v>41</v>
      </c>
      <c r="C13" t="s">
        <v>3508</v>
      </c>
      <c r="D13" t="s">
        <v>4474</v>
      </c>
      <c r="E13" t="s">
        <v>4475</v>
      </c>
      <c r="F13" t="s">
        <v>90</v>
      </c>
      <c r="G13" t="s">
        <v>3530</v>
      </c>
      <c r="H13" t="s">
        <v>4476</v>
      </c>
      <c r="I13" t="s">
        <v>3457</v>
      </c>
      <c r="J13" t="s">
        <v>3440</v>
      </c>
    </row>
    <row r="14" spans="1:10" ht="15" customHeight="1" x14ac:dyDescent="0.25">
      <c r="A14" t="s">
        <v>4477</v>
      </c>
      <c r="B14" t="s">
        <v>41</v>
      </c>
      <c r="C14" t="s">
        <v>3539</v>
      </c>
      <c r="D14" t="s">
        <v>4478</v>
      </c>
      <c r="E14" t="s">
        <v>4479</v>
      </c>
      <c r="F14" t="s">
        <v>497</v>
      </c>
      <c r="G14" t="s">
        <v>4480</v>
      </c>
      <c r="H14" t="s">
        <v>4481</v>
      </c>
      <c r="I14" t="s">
        <v>3457</v>
      </c>
      <c r="J14" t="s">
        <v>3519</v>
      </c>
    </row>
    <row r="15" spans="1:10" ht="15" customHeight="1" x14ac:dyDescent="0.25">
      <c r="A15" t="s">
        <v>4482</v>
      </c>
      <c r="B15" t="s">
        <v>3457</v>
      </c>
      <c r="C15" t="s">
        <v>4483</v>
      </c>
      <c r="D15" t="s">
        <v>4484</v>
      </c>
      <c r="F15" t="s">
        <v>1294</v>
      </c>
      <c r="H15" t="s">
        <v>4485</v>
      </c>
      <c r="I15" t="s">
        <v>3457</v>
      </c>
      <c r="J15" t="s">
        <v>4483</v>
      </c>
    </row>
    <row r="16" spans="1:10" ht="15" customHeight="1" x14ac:dyDescent="0.25">
      <c r="A16" t="s">
        <v>4486</v>
      </c>
      <c r="B16" t="s">
        <v>3457</v>
      </c>
      <c r="C16" t="s">
        <v>4483</v>
      </c>
      <c r="D16" t="s">
        <v>4487</v>
      </c>
      <c r="F16" t="s">
        <v>1294</v>
      </c>
      <c r="H16" t="s">
        <v>4488</v>
      </c>
      <c r="I16" t="s">
        <v>3457</v>
      </c>
      <c r="J16" t="s">
        <v>4483</v>
      </c>
    </row>
    <row r="17" spans="1:10" ht="15" customHeight="1" x14ac:dyDescent="0.25">
      <c r="A17" t="s">
        <v>4489</v>
      </c>
      <c r="B17" t="s">
        <v>3457</v>
      </c>
      <c r="C17" t="s">
        <v>4483</v>
      </c>
      <c r="D17" t="s">
        <v>4490</v>
      </c>
      <c r="F17" t="s">
        <v>1294</v>
      </c>
      <c r="H17" t="s">
        <v>4491</v>
      </c>
      <c r="I17" t="s">
        <v>3457</v>
      </c>
      <c r="J17" t="s">
        <v>4483</v>
      </c>
    </row>
    <row r="18" spans="1:10" ht="15" customHeight="1" x14ac:dyDescent="0.25">
      <c r="A18" t="s">
        <v>4492</v>
      </c>
      <c r="B18" t="s">
        <v>3457</v>
      </c>
      <c r="C18" t="s">
        <v>4483</v>
      </c>
      <c r="D18" t="s">
        <v>4493</v>
      </c>
      <c r="F18" t="s">
        <v>1294</v>
      </c>
      <c r="H18" t="s">
        <v>4494</v>
      </c>
      <c r="I18" t="s">
        <v>3457</v>
      </c>
      <c r="J18" t="s">
        <v>4483</v>
      </c>
    </row>
    <row r="19" spans="1:10" ht="15" customHeight="1" x14ac:dyDescent="0.25">
      <c r="A19" t="s">
        <v>4495</v>
      </c>
      <c r="B19" t="s">
        <v>3457</v>
      </c>
      <c r="C19" t="s">
        <v>4483</v>
      </c>
      <c r="D19" t="s">
        <v>4496</v>
      </c>
      <c r="F19" t="s">
        <v>1294</v>
      </c>
      <c r="H19" t="s">
        <v>4497</v>
      </c>
      <c r="I19" t="s">
        <v>3457</v>
      </c>
      <c r="J19" t="s">
        <v>4483</v>
      </c>
    </row>
    <row r="20" spans="1:10" ht="15" customHeight="1" x14ac:dyDescent="0.25">
      <c r="A20" t="s">
        <v>4498</v>
      </c>
      <c r="B20" t="s">
        <v>3457</v>
      </c>
      <c r="C20" t="s">
        <v>4483</v>
      </c>
      <c r="D20" t="s">
        <v>4499</v>
      </c>
      <c r="F20" t="s">
        <v>1294</v>
      </c>
      <c r="H20" t="s">
        <v>4500</v>
      </c>
      <c r="I20" t="s">
        <v>3457</v>
      </c>
      <c r="J20" t="s">
        <v>4483</v>
      </c>
    </row>
    <row r="21" spans="1:10" ht="15" customHeight="1" x14ac:dyDescent="0.25">
      <c r="A21" t="s">
        <v>4501</v>
      </c>
      <c r="B21" t="s">
        <v>3513</v>
      </c>
      <c r="C21" t="s">
        <v>3522</v>
      </c>
      <c r="D21" t="s">
        <v>4502</v>
      </c>
      <c r="E21" t="s">
        <v>4503</v>
      </c>
      <c r="F21" t="s">
        <v>497</v>
      </c>
      <c r="G21" t="s">
        <v>3625</v>
      </c>
      <c r="H21" t="s">
        <v>4504</v>
      </c>
      <c r="I21" t="s">
        <v>3457</v>
      </c>
      <c r="J21" t="s">
        <v>4505</v>
      </c>
    </row>
    <row r="22" spans="1:10" ht="15" customHeight="1" x14ac:dyDescent="0.25">
      <c r="A22" t="s">
        <v>4506</v>
      </c>
      <c r="B22" t="s">
        <v>41</v>
      </c>
      <c r="C22" t="s">
        <v>4507</v>
      </c>
      <c r="D22" t="s">
        <v>4508</v>
      </c>
      <c r="E22" t="s">
        <v>4509</v>
      </c>
      <c r="F22" t="s">
        <v>1649</v>
      </c>
      <c r="G22" t="s">
        <v>4510</v>
      </c>
      <c r="H22" t="s">
        <v>4511</v>
      </c>
      <c r="I22" t="s">
        <v>3457</v>
      </c>
      <c r="J22" t="s">
        <v>3519</v>
      </c>
    </row>
    <row r="23" spans="1:10" ht="15" customHeight="1" x14ac:dyDescent="0.25">
      <c r="A23" t="s">
        <v>4512</v>
      </c>
      <c r="B23" t="s">
        <v>3501</v>
      </c>
      <c r="C23" t="s">
        <v>3508</v>
      </c>
      <c r="D23" t="s">
        <v>4513</v>
      </c>
      <c r="E23" t="s">
        <v>4514</v>
      </c>
      <c r="F23" t="s">
        <v>1649</v>
      </c>
      <c r="H23" t="s">
        <v>4515</v>
      </c>
      <c r="I23" t="s">
        <v>3457</v>
      </c>
      <c r="J23" t="s">
        <v>4458</v>
      </c>
    </row>
    <row r="24" spans="1:10" ht="15" customHeight="1" x14ac:dyDescent="0.25">
      <c r="A24" t="s">
        <v>4516</v>
      </c>
      <c r="B24" t="s">
        <v>3501</v>
      </c>
      <c r="C24" t="s">
        <v>3508</v>
      </c>
      <c r="D24" t="s">
        <v>4517</v>
      </c>
      <c r="E24" t="s">
        <v>4518</v>
      </c>
      <c r="F24" t="s">
        <v>1649</v>
      </c>
      <c r="G24" t="s">
        <v>4519</v>
      </c>
      <c r="H24" t="s">
        <v>4520</v>
      </c>
      <c r="I24" t="s">
        <v>3457</v>
      </c>
      <c r="J24" t="s">
        <v>3511</v>
      </c>
    </row>
    <row r="25" spans="1:10" ht="15" customHeight="1" x14ac:dyDescent="0.25">
      <c r="A25" t="s">
        <v>4521</v>
      </c>
      <c r="B25" t="s">
        <v>3513</v>
      </c>
      <c r="C25" t="s">
        <v>3508</v>
      </c>
      <c r="D25" t="s">
        <v>4522</v>
      </c>
      <c r="E25" t="s">
        <v>4523</v>
      </c>
      <c r="F25" t="s">
        <v>90</v>
      </c>
      <c r="G25" t="s">
        <v>4524</v>
      </c>
      <c r="H25" t="s">
        <v>4525</v>
      </c>
      <c r="I25" t="s">
        <v>3457</v>
      </c>
      <c r="J25" t="s">
        <v>4458</v>
      </c>
    </row>
    <row r="26" spans="1:10" ht="15" customHeight="1" x14ac:dyDescent="0.25">
      <c r="A26" t="s">
        <v>3466</v>
      </c>
      <c r="B26" t="s">
        <v>3545</v>
      </c>
      <c r="C26" t="s">
        <v>3508</v>
      </c>
      <c r="D26" t="s">
        <v>4526</v>
      </c>
      <c r="E26" t="s">
        <v>4527</v>
      </c>
      <c r="F26" t="s">
        <v>90</v>
      </c>
      <c r="H26" t="s">
        <v>3548</v>
      </c>
      <c r="I26" t="s">
        <v>3457</v>
      </c>
      <c r="J26" t="s">
        <v>3440</v>
      </c>
    </row>
    <row r="27" spans="1:10" ht="15" customHeight="1" x14ac:dyDescent="0.25">
      <c r="A27" t="s">
        <v>4528</v>
      </c>
      <c r="B27" t="s">
        <v>3501</v>
      </c>
      <c r="C27" t="s">
        <v>3522</v>
      </c>
      <c r="D27" t="s">
        <v>4529</v>
      </c>
      <c r="E27" t="s">
        <v>4530</v>
      </c>
      <c r="F27" t="s">
        <v>90</v>
      </c>
      <c r="G27" t="s">
        <v>3575</v>
      </c>
      <c r="H27" t="s">
        <v>4531</v>
      </c>
      <c r="I27" t="s">
        <v>3457</v>
      </c>
      <c r="J27" t="s">
        <v>4532</v>
      </c>
    </row>
    <row r="28" spans="1:10" ht="15" customHeight="1" x14ac:dyDescent="0.25">
      <c r="A28" t="s">
        <v>4533</v>
      </c>
      <c r="B28" t="s">
        <v>3513</v>
      </c>
      <c r="C28" t="s">
        <v>3522</v>
      </c>
      <c r="D28" t="s">
        <v>4534</v>
      </c>
      <c r="E28" t="s">
        <v>4535</v>
      </c>
      <c r="F28" t="s">
        <v>497</v>
      </c>
      <c r="H28" t="s">
        <v>4533</v>
      </c>
      <c r="I28" t="s">
        <v>3457</v>
      </c>
      <c r="J28" t="s">
        <v>3519</v>
      </c>
    </row>
    <row r="29" spans="1:10" ht="15" customHeight="1" x14ac:dyDescent="0.25">
      <c r="A29" t="s">
        <v>4536</v>
      </c>
      <c r="B29" t="s">
        <v>3501</v>
      </c>
      <c r="C29" t="s">
        <v>3508</v>
      </c>
      <c r="D29" t="s">
        <v>4537</v>
      </c>
      <c r="E29" t="s">
        <v>4538</v>
      </c>
      <c r="F29" t="s">
        <v>90</v>
      </c>
      <c r="G29" t="s">
        <v>3510</v>
      </c>
      <c r="H29" t="s">
        <v>4539</v>
      </c>
      <c r="I29" t="s">
        <v>3457</v>
      </c>
      <c r="J29" t="s">
        <v>3511</v>
      </c>
    </row>
    <row r="30" spans="1:10" ht="15" customHeight="1" x14ac:dyDescent="0.25">
      <c r="A30" t="s">
        <v>3562</v>
      </c>
      <c r="B30" t="s">
        <v>3513</v>
      </c>
      <c r="C30" t="s">
        <v>3508</v>
      </c>
      <c r="D30" t="s">
        <v>4540</v>
      </c>
      <c r="E30" t="s">
        <v>4541</v>
      </c>
      <c r="F30" t="s">
        <v>160</v>
      </c>
      <c r="H30" t="s">
        <v>3567</v>
      </c>
      <c r="I30" t="s">
        <v>3457</v>
      </c>
      <c r="J30" t="s">
        <v>3440</v>
      </c>
    </row>
    <row r="31" spans="1:10" ht="15" customHeight="1" x14ac:dyDescent="0.25">
      <c r="A31" t="s">
        <v>3568</v>
      </c>
      <c r="B31" t="s">
        <v>41</v>
      </c>
      <c r="C31" t="s">
        <v>4507</v>
      </c>
      <c r="D31" t="s">
        <v>4542</v>
      </c>
      <c r="E31" t="s">
        <v>4543</v>
      </c>
      <c r="F31" t="s">
        <v>1649</v>
      </c>
      <c r="G31" t="s">
        <v>4510</v>
      </c>
      <c r="H31" t="s">
        <v>3568</v>
      </c>
      <c r="I31" t="s">
        <v>3457</v>
      </c>
      <c r="J31" t="s">
        <v>3519</v>
      </c>
    </row>
    <row r="32" spans="1:10" ht="15" customHeight="1" x14ac:dyDescent="0.25">
      <c r="A32" t="s">
        <v>4544</v>
      </c>
      <c r="B32" t="s">
        <v>3513</v>
      </c>
      <c r="C32" t="s">
        <v>3508</v>
      </c>
      <c r="D32" t="s">
        <v>4545</v>
      </c>
      <c r="E32" t="s">
        <v>4546</v>
      </c>
      <c r="F32" t="s">
        <v>1322</v>
      </c>
      <c r="G32" t="s">
        <v>4547</v>
      </c>
      <c r="H32" t="s">
        <v>4548</v>
      </c>
      <c r="I32" t="s">
        <v>3457</v>
      </c>
      <c r="J32" t="s">
        <v>4549</v>
      </c>
    </row>
    <row r="33" spans="1:10" ht="15" customHeight="1" x14ac:dyDescent="0.25">
      <c r="A33" t="s">
        <v>4550</v>
      </c>
      <c r="B33" t="s">
        <v>3501</v>
      </c>
      <c r="C33" t="s">
        <v>3522</v>
      </c>
      <c r="D33" t="s">
        <v>4551</v>
      </c>
      <c r="E33" t="s">
        <v>4552</v>
      </c>
      <c r="F33" t="s">
        <v>160</v>
      </c>
      <c r="G33" t="s">
        <v>4553</v>
      </c>
      <c r="H33" t="s">
        <v>4554</v>
      </c>
      <c r="I33" t="s">
        <v>3457</v>
      </c>
      <c r="J33" t="s">
        <v>3519</v>
      </c>
    </row>
    <row r="34" spans="1:10" ht="15" customHeight="1" x14ac:dyDescent="0.25">
      <c r="A34" t="s">
        <v>3572</v>
      </c>
      <c r="B34" t="s">
        <v>3513</v>
      </c>
      <c r="C34" t="s">
        <v>3508</v>
      </c>
      <c r="D34" t="s">
        <v>3573</v>
      </c>
      <c r="E34" t="s">
        <v>4555</v>
      </c>
      <c r="F34" t="s">
        <v>2804</v>
      </c>
      <c r="G34" t="s">
        <v>3575</v>
      </c>
      <c r="H34" t="s">
        <v>3572</v>
      </c>
      <c r="I34" t="s">
        <v>3457</v>
      </c>
      <c r="J34" t="s">
        <v>3576</v>
      </c>
    </row>
    <row r="35" spans="1:10" ht="15" customHeight="1" x14ac:dyDescent="0.25">
      <c r="A35" t="s">
        <v>3470</v>
      </c>
      <c r="B35" t="s">
        <v>3513</v>
      </c>
      <c r="C35" t="s">
        <v>4556</v>
      </c>
      <c r="D35" t="s">
        <v>4557</v>
      </c>
      <c r="E35" t="s">
        <v>4558</v>
      </c>
      <c r="F35" t="s">
        <v>160</v>
      </c>
      <c r="G35" t="s">
        <v>315</v>
      </c>
      <c r="H35" t="s">
        <v>3470</v>
      </c>
      <c r="I35" t="s">
        <v>3457</v>
      </c>
      <c r="J35" t="s">
        <v>3519</v>
      </c>
    </row>
    <row r="36" spans="1:10" ht="15" customHeight="1" x14ac:dyDescent="0.25">
      <c r="A36" t="s">
        <v>4559</v>
      </c>
      <c r="B36" t="s">
        <v>3513</v>
      </c>
      <c r="C36" t="s">
        <v>3508</v>
      </c>
      <c r="D36" t="s">
        <v>4560</v>
      </c>
      <c r="E36" t="s">
        <v>4561</v>
      </c>
      <c r="F36" t="s">
        <v>90</v>
      </c>
      <c r="G36" t="s">
        <v>4562</v>
      </c>
      <c r="H36" t="s">
        <v>4563</v>
      </c>
      <c r="I36" t="s">
        <v>3457</v>
      </c>
      <c r="J36" t="s">
        <v>4564</v>
      </c>
    </row>
    <row r="37" spans="1:10" ht="15" customHeight="1" x14ac:dyDescent="0.25">
      <c r="A37" t="s">
        <v>4565</v>
      </c>
      <c r="B37" t="s">
        <v>3501</v>
      </c>
      <c r="C37" t="s">
        <v>4566</v>
      </c>
      <c r="D37" t="s">
        <v>4567</v>
      </c>
      <c r="E37" t="s">
        <v>4568</v>
      </c>
      <c r="F37" t="s">
        <v>160</v>
      </c>
      <c r="G37" t="s">
        <v>4569</v>
      </c>
      <c r="H37" t="s">
        <v>4570</v>
      </c>
      <c r="I37" t="s">
        <v>3457</v>
      </c>
      <c r="J37" t="s">
        <v>4458</v>
      </c>
    </row>
    <row r="38" spans="1:10" ht="15" customHeight="1" x14ac:dyDescent="0.25">
      <c r="A38" t="s">
        <v>4571</v>
      </c>
      <c r="B38" t="s">
        <v>3513</v>
      </c>
      <c r="C38" t="s">
        <v>3578</v>
      </c>
      <c r="D38" t="s">
        <v>4572</v>
      </c>
      <c r="F38" t="s">
        <v>160</v>
      </c>
      <c r="G38" t="s">
        <v>4573</v>
      </c>
      <c r="H38" t="s">
        <v>4574</v>
      </c>
      <c r="I38" t="s">
        <v>3457</v>
      </c>
      <c r="J38" t="s">
        <v>3449</v>
      </c>
    </row>
    <row r="39" spans="1:10" ht="15" customHeight="1" x14ac:dyDescent="0.25">
      <c r="A39" t="s">
        <v>4575</v>
      </c>
      <c r="B39" t="s">
        <v>3513</v>
      </c>
      <c r="C39" t="s">
        <v>3508</v>
      </c>
      <c r="D39" t="s">
        <v>4576</v>
      </c>
      <c r="E39" t="s">
        <v>4577</v>
      </c>
      <c r="F39" t="s">
        <v>1129</v>
      </c>
      <c r="G39" t="s">
        <v>4578</v>
      </c>
      <c r="H39" t="s">
        <v>4579</v>
      </c>
      <c r="I39" t="s">
        <v>3457</v>
      </c>
      <c r="J39" t="s">
        <v>4580</v>
      </c>
    </row>
    <row r="40" spans="1:10" ht="15" customHeight="1" x14ac:dyDescent="0.25">
      <c r="A40" t="s">
        <v>4581</v>
      </c>
      <c r="B40" t="s">
        <v>3513</v>
      </c>
      <c r="C40" t="s">
        <v>4427</v>
      </c>
      <c r="D40" t="s">
        <v>4582</v>
      </c>
      <c r="E40" t="s">
        <v>4583</v>
      </c>
      <c r="F40" t="s">
        <v>1621</v>
      </c>
      <c r="H40" t="s">
        <v>4581</v>
      </c>
      <c r="I40" t="s">
        <v>3457</v>
      </c>
      <c r="J40" t="s">
        <v>4458</v>
      </c>
    </row>
    <row r="41" spans="1:10" ht="15" customHeight="1" x14ac:dyDescent="0.25">
      <c r="A41" t="s">
        <v>4584</v>
      </c>
      <c r="B41" t="s">
        <v>41</v>
      </c>
      <c r="C41" t="s">
        <v>4507</v>
      </c>
      <c r="D41" t="s">
        <v>4585</v>
      </c>
      <c r="E41" t="s">
        <v>4586</v>
      </c>
      <c r="F41" t="s">
        <v>1649</v>
      </c>
      <c r="G41" t="s">
        <v>4510</v>
      </c>
      <c r="H41" t="s">
        <v>4587</v>
      </c>
      <c r="I41" t="s">
        <v>3457</v>
      </c>
      <c r="J41" t="s">
        <v>3519</v>
      </c>
    </row>
    <row r="42" spans="1:10" ht="15" customHeight="1" x14ac:dyDescent="0.25">
      <c r="A42" t="s">
        <v>4588</v>
      </c>
      <c r="B42" t="s">
        <v>3501</v>
      </c>
      <c r="C42" t="s">
        <v>3508</v>
      </c>
      <c r="D42" t="s">
        <v>4589</v>
      </c>
      <c r="E42" t="s">
        <v>4590</v>
      </c>
      <c r="F42" t="s">
        <v>2804</v>
      </c>
      <c r="G42" t="s">
        <v>4451</v>
      </c>
      <c r="H42" t="s">
        <v>4588</v>
      </c>
      <c r="I42" t="s">
        <v>3457</v>
      </c>
      <c r="J42" t="s">
        <v>4458</v>
      </c>
    </row>
    <row r="43" spans="1:10" ht="15" customHeight="1" x14ac:dyDescent="0.25">
      <c r="A43" t="s">
        <v>4591</v>
      </c>
      <c r="B43" t="s">
        <v>3501</v>
      </c>
      <c r="C43" t="s">
        <v>3508</v>
      </c>
      <c r="D43" t="s">
        <v>4592</v>
      </c>
      <c r="E43" t="s">
        <v>4593</v>
      </c>
      <c r="F43" t="s">
        <v>90</v>
      </c>
      <c r="G43" t="s">
        <v>4594</v>
      </c>
      <c r="H43" t="s">
        <v>4595</v>
      </c>
      <c r="I43" t="s">
        <v>3457</v>
      </c>
      <c r="J43" t="s">
        <v>4596</v>
      </c>
    </row>
    <row r="44" spans="1:10" ht="15" customHeight="1" x14ac:dyDescent="0.25">
      <c r="A44" t="s">
        <v>4597</v>
      </c>
      <c r="B44" t="s">
        <v>3501</v>
      </c>
      <c r="C44" t="s">
        <v>3508</v>
      </c>
      <c r="D44" t="s">
        <v>4598</v>
      </c>
      <c r="E44" t="s">
        <v>4599</v>
      </c>
      <c r="F44" t="s">
        <v>1649</v>
      </c>
      <c r="G44" t="s">
        <v>4600</v>
      </c>
      <c r="H44" t="s">
        <v>4601</v>
      </c>
      <c r="I44" t="s">
        <v>3457</v>
      </c>
      <c r="J44" t="s">
        <v>4458</v>
      </c>
    </row>
    <row r="45" spans="1:10" ht="15" customHeight="1" x14ac:dyDescent="0.25">
      <c r="A45" t="s">
        <v>4602</v>
      </c>
      <c r="B45" t="s">
        <v>3513</v>
      </c>
      <c r="C45" t="s">
        <v>3508</v>
      </c>
      <c r="D45" t="s">
        <v>4603</v>
      </c>
      <c r="E45" t="s">
        <v>4604</v>
      </c>
      <c r="F45" t="s">
        <v>2804</v>
      </c>
      <c r="G45" t="s">
        <v>4605</v>
      </c>
      <c r="H45" t="s">
        <v>4606</v>
      </c>
      <c r="I45" t="s">
        <v>3457</v>
      </c>
      <c r="J45" t="s">
        <v>3519</v>
      </c>
    </row>
    <row r="46" spans="1:10" ht="15" customHeight="1" x14ac:dyDescent="0.25">
      <c r="A46" t="s">
        <v>4607</v>
      </c>
      <c r="B46" t="s">
        <v>41</v>
      </c>
      <c r="C46" t="s">
        <v>3522</v>
      </c>
      <c r="D46" t="s">
        <v>4608</v>
      </c>
      <c r="E46" t="s">
        <v>4609</v>
      </c>
      <c r="F46" t="s">
        <v>2136</v>
      </c>
      <c r="G46" t="s">
        <v>4610</v>
      </c>
      <c r="H46" t="s">
        <v>4611</v>
      </c>
      <c r="I46" t="s">
        <v>3457</v>
      </c>
      <c r="J46" t="s">
        <v>3519</v>
      </c>
    </row>
    <row r="47" spans="1:10" ht="15" customHeight="1" x14ac:dyDescent="0.25">
      <c r="A47" t="s">
        <v>4612</v>
      </c>
      <c r="B47" t="s">
        <v>3513</v>
      </c>
      <c r="C47" t="s">
        <v>3508</v>
      </c>
      <c r="D47" t="s">
        <v>4613</v>
      </c>
      <c r="E47" t="s">
        <v>4614</v>
      </c>
      <c r="F47" t="s">
        <v>90</v>
      </c>
      <c r="G47" t="s">
        <v>4615</v>
      </c>
      <c r="H47" t="s">
        <v>4616</v>
      </c>
      <c r="I47" t="s">
        <v>3457</v>
      </c>
      <c r="J47" t="s">
        <v>3576</v>
      </c>
    </row>
    <row r="48" spans="1:10" ht="15" customHeight="1" x14ac:dyDescent="0.25">
      <c r="A48" t="s">
        <v>4617</v>
      </c>
      <c r="B48" t="s">
        <v>3513</v>
      </c>
      <c r="C48" t="s">
        <v>3508</v>
      </c>
      <c r="D48" t="s">
        <v>4618</v>
      </c>
      <c r="E48" t="s">
        <v>4619</v>
      </c>
      <c r="F48" t="s">
        <v>2506</v>
      </c>
      <c r="G48" t="s">
        <v>4620</v>
      </c>
      <c r="H48" t="s">
        <v>4617</v>
      </c>
      <c r="I48" t="s">
        <v>3457</v>
      </c>
      <c r="J48" t="s">
        <v>3511</v>
      </c>
    </row>
    <row r="49" spans="1:10" ht="15" customHeight="1" x14ac:dyDescent="0.25">
      <c r="A49" t="s">
        <v>4621</v>
      </c>
      <c r="B49" t="s">
        <v>3501</v>
      </c>
      <c r="C49" t="s">
        <v>3508</v>
      </c>
      <c r="D49" t="s">
        <v>4622</v>
      </c>
      <c r="E49" t="s">
        <v>4623</v>
      </c>
      <c r="F49" t="s">
        <v>90</v>
      </c>
      <c r="G49" t="s">
        <v>264</v>
      </c>
      <c r="H49" t="s">
        <v>4621</v>
      </c>
      <c r="I49" t="s">
        <v>3457</v>
      </c>
      <c r="J49" t="s">
        <v>3511</v>
      </c>
    </row>
    <row r="50" spans="1:10" ht="15" customHeight="1" x14ac:dyDescent="0.25">
      <c r="A50" t="s">
        <v>4624</v>
      </c>
      <c r="B50" t="s">
        <v>41</v>
      </c>
      <c r="C50" t="s">
        <v>3522</v>
      </c>
      <c r="D50" t="s">
        <v>4625</v>
      </c>
      <c r="E50" t="s">
        <v>4626</v>
      </c>
      <c r="F50" t="s">
        <v>160</v>
      </c>
      <c r="G50" t="s">
        <v>4627</v>
      </c>
      <c r="H50" t="s">
        <v>4628</v>
      </c>
      <c r="I50" t="s">
        <v>3457</v>
      </c>
      <c r="J50" t="s">
        <v>3519</v>
      </c>
    </row>
    <row r="51" spans="1:10" ht="15" customHeight="1" x14ac:dyDescent="0.25">
      <c r="A51" t="s">
        <v>4629</v>
      </c>
      <c r="B51" t="s">
        <v>3501</v>
      </c>
      <c r="C51" t="s">
        <v>3508</v>
      </c>
      <c r="D51" t="s">
        <v>4630</v>
      </c>
      <c r="E51" t="s">
        <v>4631</v>
      </c>
      <c r="F51" t="s">
        <v>1129</v>
      </c>
      <c r="G51" t="s">
        <v>4632</v>
      </c>
      <c r="H51" t="s">
        <v>4633</v>
      </c>
      <c r="I51" t="s">
        <v>3457</v>
      </c>
      <c r="J51" t="s">
        <v>4634</v>
      </c>
    </row>
    <row r="52" spans="1:10" ht="15" customHeight="1" x14ac:dyDescent="0.25">
      <c r="A52" t="s">
        <v>4635</v>
      </c>
      <c r="B52" t="s">
        <v>3513</v>
      </c>
      <c r="C52" t="s">
        <v>3508</v>
      </c>
      <c r="D52" t="s">
        <v>4636</v>
      </c>
      <c r="E52" t="s">
        <v>4637</v>
      </c>
      <c r="F52" t="s">
        <v>90</v>
      </c>
      <c r="H52" t="s">
        <v>4638</v>
      </c>
      <c r="I52" t="s">
        <v>3457</v>
      </c>
      <c r="J52" t="s">
        <v>4639</v>
      </c>
    </row>
    <row r="53" spans="1:10" ht="15" customHeight="1" x14ac:dyDescent="0.25">
      <c r="A53" t="s">
        <v>4640</v>
      </c>
      <c r="B53" t="s">
        <v>3501</v>
      </c>
      <c r="C53" t="s">
        <v>3522</v>
      </c>
      <c r="D53" t="s">
        <v>4641</v>
      </c>
      <c r="E53" t="s">
        <v>4642</v>
      </c>
      <c r="F53" t="s">
        <v>497</v>
      </c>
      <c r="G53" t="s">
        <v>4643</v>
      </c>
      <c r="H53" t="s">
        <v>4640</v>
      </c>
      <c r="I53" t="s">
        <v>3457</v>
      </c>
      <c r="J53" t="s">
        <v>3519</v>
      </c>
    </row>
    <row r="54" spans="1:10" ht="15" customHeight="1" x14ac:dyDescent="0.25">
      <c r="A54" t="s">
        <v>4644</v>
      </c>
      <c r="B54" t="s">
        <v>41</v>
      </c>
      <c r="C54" t="s">
        <v>4566</v>
      </c>
      <c r="D54" t="s">
        <v>4645</v>
      </c>
      <c r="E54" t="s">
        <v>4646</v>
      </c>
      <c r="F54" t="s">
        <v>90</v>
      </c>
      <c r="G54" t="s">
        <v>4647</v>
      </c>
      <c r="H54" t="s">
        <v>4648</v>
      </c>
      <c r="I54" t="s">
        <v>3457</v>
      </c>
      <c r="J54" t="s">
        <v>4532</v>
      </c>
    </row>
    <row r="55" spans="1:10" ht="15" customHeight="1" x14ac:dyDescent="0.25">
      <c r="A55" t="s">
        <v>4649</v>
      </c>
      <c r="B55" t="s">
        <v>3513</v>
      </c>
      <c r="C55" t="s">
        <v>3508</v>
      </c>
      <c r="D55" t="s">
        <v>4650</v>
      </c>
      <c r="E55" t="s">
        <v>4651</v>
      </c>
      <c r="F55" t="s">
        <v>160</v>
      </c>
      <c r="G55" t="s">
        <v>4652</v>
      </c>
      <c r="H55" t="s">
        <v>4653</v>
      </c>
      <c r="I55" t="s">
        <v>3457</v>
      </c>
      <c r="J55" t="s">
        <v>3576</v>
      </c>
    </row>
    <row r="56" spans="1:10" ht="15" customHeight="1" x14ac:dyDescent="0.25">
      <c r="A56" t="s">
        <v>3596</v>
      </c>
      <c r="B56" t="s">
        <v>41</v>
      </c>
      <c r="C56" t="s">
        <v>3514</v>
      </c>
      <c r="D56" t="s">
        <v>4654</v>
      </c>
      <c r="E56" t="s">
        <v>4655</v>
      </c>
      <c r="F56" t="s">
        <v>2804</v>
      </c>
      <c r="G56" t="s">
        <v>3598</v>
      </c>
      <c r="H56" t="s">
        <v>3599</v>
      </c>
      <c r="I56" t="s">
        <v>3457</v>
      </c>
      <c r="J56" t="s">
        <v>3440</v>
      </c>
    </row>
    <row r="57" spans="1:10" ht="15" customHeight="1" x14ac:dyDescent="0.25">
      <c r="A57" t="s">
        <v>4656</v>
      </c>
      <c r="B57" t="s">
        <v>3724</v>
      </c>
      <c r="C57" t="s">
        <v>3508</v>
      </c>
      <c r="D57" t="s">
        <v>4657</v>
      </c>
      <c r="E57" t="s">
        <v>4658</v>
      </c>
      <c r="F57" t="s">
        <v>160</v>
      </c>
      <c r="G57" t="s">
        <v>4659</v>
      </c>
      <c r="H57" t="s">
        <v>4660</v>
      </c>
      <c r="I57" t="s">
        <v>3457</v>
      </c>
      <c r="J57" t="s">
        <v>3511</v>
      </c>
    </row>
    <row r="58" spans="1:10" ht="15" customHeight="1" x14ac:dyDescent="0.25">
      <c r="A58" t="s">
        <v>4661</v>
      </c>
      <c r="B58" t="s">
        <v>3513</v>
      </c>
      <c r="C58" t="s">
        <v>3508</v>
      </c>
      <c r="D58" t="s">
        <v>4662</v>
      </c>
      <c r="E58" t="s">
        <v>4663</v>
      </c>
      <c r="F58" t="s">
        <v>90</v>
      </c>
      <c r="G58" t="s">
        <v>3510</v>
      </c>
      <c r="H58" t="s">
        <v>4664</v>
      </c>
      <c r="I58" t="s">
        <v>3457</v>
      </c>
      <c r="J58" t="s">
        <v>3511</v>
      </c>
    </row>
    <row r="59" spans="1:10" ht="15" customHeight="1" x14ac:dyDescent="0.25">
      <c r="A59" t="s">
        <v>4665</v>
      </c>
      <c r="B59" t="s">
        <v>3501</v>
      </c>
      <c r="C59" t="s">
        <v>3508</v>
      </c>
      <c r="D59" t="s">
        <v>4666</v>
      </c>
      <c r="E59" t="s">
        <v>4667</v>
      </c>
      <c r="F59" t="s">
        <v>90</v>
      </c>
      <c r="G59" t="s">
        <v>264</v>
      </c>
      <c r="H59" t="s">
        <v>4668</v>
      </c>
      <c r="I59" t="s">
        <v>3457</v>
      </c>
      <c r="J59" t="s">
        <v>4532</v>
      </c>
    </row>
    <row r="60" spans="1:10" ht="15" customHeight="1" x14ac:dyDescent="0.25">
      <c r="A60" t="s">
        <v>4669</v>
      </c>
      <c r="B60" t="s">
        <v>3501</v>
      </c>
      <c r="C60" t="s">
        <v>3508</v>
      </c>
      <c r="D60" t="s">
        <v>4670</v>
      </c>
      <c r="E60" t="s">
        <v>4671</v>
      </c>
      <c r="F60" t="s">
        <v>1649</v>
      </c>
      <c r="G60" t="s">
        <v>4672</v>
      </c>
      <c r="H60" t="s">
        <v>4673</v>
      </c>
      <c r="I60" t="s">
        <v>3457</v>
      </c>
      <c r="J60" t="s">
        <v>4472</v>
      </c>
    </row>
    <row r="61" spans="1:10" ht="15" customHeight="1" x14ac:dyDescent="0.25">
      <c r="A61" t="s">
        <v>4674</v>
      </c>
      <c r="B61" t="s">
        <v>41</v>
      </c>
      <c r="C61" t="s">
        <v>4448</v>
      </c>
      <c r="D61" t="s">
        <v>4675</v>
      </c>
      <c r="E61" t="s">
        <v>4676</v>
      </c>
      <c r="F61" t="s">
        <v>497</v>
      </c>
      <c r="G61" t="s">
        <v>264</v>
      </c>
      <c r="H61" t="s">
        <v>4674</v>
      </c>
      <c r="I61" t="s">
        <v>3457</v>
      </c>
      <c r="J61" t="s">
        <v>3440</v>
      </c>
    </row>
    <row r="62" spans="1:10" ht="15" customHeight="1" x14ac:dyDescent="0.25">
      <c r="A62" t="s">
        <v>4677</v>
      </c>
      <c r="B62" t="s">
        <v>3501</v>
      </c>
      <c r="C62" t="s">
        <v>3508</v>
      </c>
      <c r="D62" t="s">
        <v>4678</v>
      </c>
      <c r="E62" t="s">
        <v>4679</v>
      </c>
      <c r="F62" t="s">
        <v>160</v>
      </c>
      <c r="H62" t="s">
        <v>4680</v>
      </c>
      <c r="I62" t="s">
        <v>3457</v>
      </c>
      <c r="J62" t="s">
        <v>4681</v>
      </c>
    </row>
    <row r="63" spans="1:10" ht="15" customHeight="1" x14ac:dyDescent="0.25">
      <c r="A63" t="s">
        <v>4682</v>
      </c>
      <c r="B63" t="s">
        <v>3501</v>
      </c>
      <c r="C63" t="s">
        <v>3508</v>
      </c>
      <c r="D63" t="s">
        <v>4683</v>
      </c>
      <c r="E63" t="s">
        <v>4684</v>
      </c>
      <c r="F63" t="s">
        <v>1649</v>
      </c>
      <c r="G63" t="s">
        <v>4685</v>
      </c>
      <c r="H63" t="s">
        <v>4686</v>
      </c>
      <c r="I63" t="s">
        <v>3457</v>
      </c>
      <c r="J63" t="s">
        <v>4472</v>
      </c>
    </row>
    <row r="64" spans="1:10" ht="15" customHeight="1" x14ac:dyDescent="0.25">
      <c r="A64" t="s">
        <v>4687</v>
      </c>
      <c r="B64" t="s">
        <v>3513</v>
      </c>
      <c r="C64" t="s">
        <v>3522</v>
      </c>
      <c r="D64" t="s">
        <v>4688</v>
      </c>
      <c r="E64" t="s">
        <v>4689</v>
      </c>
      <c r="F64" t="s">
        <v>2136</v>
      </c>
      <c r="G64" t="s">
        <v>4690</v>
      </c>
      <c r="H64" t="s">
        <v>4691</v>
      </c>
      <c r="I64" t="s">
        <v>3457</v>
      </c>
      <c r="J64" t="s">
        <v>3440</v>
      </c>
    </row>
    <row r="65" spans="1:10" ht="15" customHeight="1" x14ac:dyDescent="0.25">
      <c r="A65" t="s">
        <v>4692</v>
      </c>
      <c r="B65" t="s">
        <v>41</v>
      </c>
      <c r="C65" t="s">
        <v>4427</v>
      </c>
      <c r="D65" t="s">
        <v>4693</v>
      </c>
      <c r="E65" t="s">
        <v>4694</v>
      </c>
      <c r="F65" t="s">
        <v>1046</v>
      </c>
      <c r="G65" t="s">
        <v>3881</v>
      </c>
      <c r="H65" t="s">
        <v>4695</v>
      </c>
      <c r="I65" t="s">
        <v>3457</v>
      </c>
      <c r="J65" t="s">
        <v>4458</v>
      </c>
    </row>
    <row r="66" spans="1:10" ht="15" customHeight="1" x14ac:dyDescent="0.25">
      <c r="A66" t="s">
        <v>4696</v>
      </c>
      <c r="B66" t="s">
        <v>3513</v>
      </c>
      <c r="C66" t="s">
        <v>4448</v>
      </c>
      <c r="D66" t="s">
        <v>4697</v>
      </c>
      <c r="E66" t="s">
        <v>4698</v>
      </c>
      <c r="F66" t="s">
        <v>501</v>
      </c>
      <c r="G66" t="s">
        <v>4699</v>
      </c>
      <c r="H66" t="s">
        <v>4700</v>
      </c>
      <c r="I66" t="s">
        <v>3457</v>
      </c>
      <c r="J66" t="s">
        <v>4458</v>
      </c>
    </row>
    <row r="67" spans="1:10" ht="15" customHeight="1" x14ac:dyDescent="0.25">
      <c r="A67" t="s">
        <v>4701</v>
      </c>
      <c r="B67" t="s">
        <v>41</v>
      </c>
      <c r="C67" t="s">
        <v>4427</v>
      </c>
      <c r="D67" t="s">
        <v>4702</v>
      </c>
      <c r="E67" t="s">
        <v>4703</v>
      </c>
      <c r="F67" t="s">
        <v>1046</v>
      </c>
      <c r="G67" t="s">
        <v>3881</v>
      </c>
      <c r="H67" t="s">
        <v>4704</v>
      </c>
      <c r="I67" t="s">
        <v>3457</v>
      </c>
      <c r="J67" t="s">
        <v>4458</v>
      </c>
    </row>
    <row r="68" spans="1:10" ht="15" customHeight="1" x14ac:dyDescent="0.25">
      <c r="A68" t="s">
        <v>4705</v>
      </c>
      <c r="B68" t="s">
        <v>41</v>
      </c>
      <c r="C68" t="s">
        <v>3522</v>
      </c>
      <c r="D68" t="s">
        <v>4119</v>
      </c>
      <c r="E68" t="s">
        <v>4706</v>
      </c>
      <c r="F68" t="s">
        <v>160</v>
      </c>
      <c r="H68" t="s">
        <v>4707</v>
      </c>
      <c r="I68" t="s">
        <v>3457</v>
      </c>
      <c r="J68" t="s">
        <v>3519</v>
      </c>
    </row>
    <row r="69" spans="1:10" ht="15" customHeight="1" x14ac:dyDescent="0.25">
      <c r="A69" t="s">
        <v>3627</v>
      </c>
      <c r="B69" t="s">
        <v>41</v>
      </c>
      <c r="C69" t="s">
        <v>3514</v>
      </c>
      <c r="D69" t="s">
        <v>4708</v>
      </c>
      <c r="E69" t="s">
        <v>4709</v>
      </c>
      <c r="F69" t="s">
        <v>160</v>
      </c>
      <c r="G69" t="s">
        <v>264</v>
      </c>
      <c r="H69" t="s">
        <v>3627</v>
      </c>
      <c r="I69" t="s">
        <v>3457</v>
      </c>
      <c r="J69" t="s">
        <v>3440</v>
      </c>
    </row>
    <row r="70" spans="1:10" ht="15" customHeight="1" x14ac:dyDescent="0.25">
      <c r="A70" t="s">
        <v>3630</v>
      </c>
      <c r="B70" t="s">
        <v>3501</v>
      </c>
      <c r="C70" t="s">
        <v>3514</v>
      </c>
      <c r="D70" t="s">
        <v>4710</v>
      </c>
      <c r="E70" t="s">
        <v>4711</v>
      </c>
      <c r="F70" t="s">
        <v>90</v>
      </c>
      <c r="G70" t="s">
        <v>3633</v>
      </c>
      <c r="H70" t="s">
        <v>3630</v>
      </c>
      <c r="I70" t="s">
        <v>3457</v>
      </c>
      <c r="J70" t="s">
        <v>3440</v>
      </c>
    </row>
    <row r="71" spans="1:10" ht="15" customHeight="1" x14ac:dyDescent="0.25">
      <c r="A71" t="s">
        <v>3634</v>
      </c>
      <c r="B71" t="s">
        <v>3513</v>
      </c>
      <c r="C71" t="s">
        <v>3508</v>
      </c>
      <c r="D71" t="s">
        <v>4712</v>
      </c>
      <c r="E71" t="s">
        <v>4713</v>
      </c>
      <c r="F71" t="s">
        <v>90</v>
      </c>
      <c r="G71" t="s">
        <v>3637</v>
      </c>
      <c r="H71" t="s">
        <v>3638</v>
      </c>
      <c r="I71" t="s">
        <v>3457</v>
      </c>
      <c r="J71" t="s">
        <v>3440</v>
      </c>
    </row>
    <row r="72" spans="1:10" ht="15" customHeight="1" x14ac:dyDescent="0.25">
      <c r="A72" t="s">
        <v>4714</v>
      </c>
      <c r="B72" t="s">
        <v>3513</v>
      </c>
      <c r="C72" t="s">
        <v>3508</v>
      </c>
      <c r="D72" t="s">
        <v>4715</v>
      </c>
      <c r="E72" t="s">
        <v>4716</v>
      </c>
      <c r="F72" t="s">
        <v>90</v>
      </c>
      <c r="H72" t="s">
        <v>4717</v>
      </c>
      <c r="I72" t="s">
        <v>3457</v>
      </c>
      <c r="J72" t="s">
        <v>4458</v>
      </c>
    </row>
    <row r="73" spans="1:10" ht="15" customHeight="1" x14ac:dyDescent="0.25">
      <c r="A73" t="s">
        <v>4718</v>
      </c>
      <c r="B73" t="s">
        <v>3513</v>
      </c>
      <c r="C73" t="s">
        <v>3508</v>
      </c>
      <c r="D73" t="s">
        <v>4719</v>
      </c>
      <c r="E73" t="s">
        <v>4720</v>
      </c>
      <c r="F73" t="s">
        <v>1649</v>
      </c>
      <c r="G73" t="s">
        <v>4721</v>
      </c>
      <c r="H73" t="s">
        <v>4722</v>
      </c>
      <c r="I73" t="s">
        <v>3457</v>
      </c>
      <c r="J73" t="s">
        <v>3511</v>
      </c>
    </row>
    <row r="74" spans="1:10" ht="15" customHeight="1" x14ac:dyDescent="0.25">
      <c r="A74" t="s">
        <v>4723</v>
      </c>
      <c r="B74" t="s">
        <v>3513</v>
      </c>
      <c r="C74" t="s">
        <v>3508</v>
      </c>
      <c r="D74" t="s">
        <v>4724</v>
      </c>
      <c r="E74" t="s">
        <v>4725</v>
      </c>
      <c r="F74" t="s">
        <v>90</v>
      </c>
      <c r="G74" t="s">
        <v>4615</v>
      </c>
      <c r="H74" t="s">
        <v>4726</v>
      </c>
      <c r="I74" t="s">
        <v>3457</v>
      </c>
      <c r="J74" t="s">
        <v>3576</v>
      </c>
    </row>
    <row r="75" spans="1:10" ht="15" customHeight="1" x14ac:dyDescent="0.25">
      <c r="A75" t="s">
        <v>4727</v>
      </c>
      <c r="B75" t="s">
        <v>3513</v>
      </c>
      <c r="C75" t="s">
        <v>3522</v>
      </c>
      <c r="D75" t="s">
        <v>4728</v>
      </c>
      <c r="E75" t="s">
        <v>4729</v>
      </c>
      <c r="F75" t="s">
        <v>160</v>
      </c>
      <c r="H75" t="s">
        <v>4730</v>
      </c>
      <c r="I75" t="s">
        <v>3457</v>
      </c>
      <c r="J75" t="s">
        <v>3519</v>
      </c>
    </row>
    <row r="76" spans="1:10" ht="15" customHeight="1" x14ac:dyDescent="0.25">
      <c r="A76" t="s">
        <v>4731</v>
      </c>
      <c r="B76" t="s">
        <v>3501</v>
      </c>
      <c r="C76" t="s">
        <v>3508</v>
      </c>
      <c r="D76" t="s">
        <v>4732</v>
      </c>
      <c r="E76" t="s">
        <v>4733</v>
      </c>
      <c r="F76" t="s">
        <v>90</v>
      </c>
      <c r="G76" t="s">
        <v>4734</v>
      </c>
      <c r="H76" t="s">
        <v>4735</v>
      </c>
      <c r="I76" t="s">
        <v>3457</v>
      </c>
      <c r="J76" t="s">
        <v>4736</v>
      </c>
    </row>
    <row r="77" spans="1:10" ht="15" customHeight="1" x14ac:dyDescent="0.25">
      <c r="A77" t="s">
        <v>4737</v>
      </c>
      <c r="B77" t="s">
        <v>41</v>
      </c>
      <c r="C77" t="s">
        <v>4566</v>
      </c>
      <c r="D77" t="s">
        <v>4738</v>
      </c>
      <c r="E77" t="s">
        <v>4739</v>
      </c>
      <c r="F77" t="s">
        <v>90</v>
      </c>
      <c r="G77" t="s">
        <v>4740</v>
      </c>
      <c r="H77" t="s">
        <v>4737</v>
      </c>
      <c r="I77" t="s">
        <v>3457</v>
      </c>
      <c r="J77" t="s">
        <v>4741</v>
      </c>
    </row>
    <row r="78" spans="1:10" ht="15" customHeight="1" x14ac:dyDescent="0.25">
      <c r="A78" t="s">
        <v>3654</v>
      </c>
      <c r="B78" t="s">
        <v>41</v>
      </c>
      <c r="C78" t="s">
        <v>3522</v>
      </c>
      <c r="D78" t="s">
        <v>4742</v>
      </c>
      <c r="E78" t="s">
        <v>4743</v>
      </c>
      <c r="F78" t="s">
        <v>90</v>
      </c>
      <c r="G78" t="s">
        <v>3658</v>
      </c>
      <c r="H78" t="s">
        <v>3659</v>
      </c>
      <c r="I78" t="s">
        <v>3457</v>
      </c>
      <c r="J78" t="s">
        <v>3519</v>
      </c>
    </row>
    <row r="79" spans="1:10" ht="15" customHeight="1" x14ac:dyDescent="0.25">
      <c r="A79" t="s">
        <v>4744</v>
      </c>
      <c r="B79" t="s">
        <v>3501</v>
      </c>
      <c r="C79" t="s">
        <v>3514</v>
      </c>
      <c r="D79" t="s">
        <v>4745</v>
      </c>
      <c r="E79" t="s">
        <v>4746</v>
      </c>
      <c r="F79" t="s">
        <v>90</v>
      </c>
      <c r="G79" t="s">
        <v>4652</v>
      </c>
      <c r="H79" t="s">
        <v>4747</v>
      </c>
      <c r="I79" t="s">
        <v>3457</v>
      </c>
      <c r="J79" t="s">
        <v>3576</v>
      </c>
    </row>
    <row r="80" spans="1:10" ht="15" customHeight="1" x14ac:dyDescent="0.25">
      <c r="A80" t="s">
        <v>4748</v>
      </c>
      <c r="B80" t="s">
        <v>3513</v>
      </c>
      <c r="C80" t="s">
        <v>4566</v>
      </c>
      <c r="D80" t="s">
        <v>4749</v>
      </c>
      <c r="E80" t="s">
        <v>4750</v>
      </c>
      <c r="F80" t="s">
        <v>90</v>
      </c>
      <c r="G80" t="s">
        <v>4751</v>
      </c>
      <c r="H80" t="s">
        <v>4752</v>
      </c>
      <c r="I80" t="s">
        <v>3457</v>
      </c>
      <c r="J80" t="s">
        <v>3511</v>
      </c>
    </row>
    <row r="81" spans="1:10" ht="15" customHeight="1" x14ac:dyDescent="0.25">
      <c r="A81" t="s">
        <v>4753</v>
      </c>
      <c r="B81" t="s">
        <v>3501</v>
      </c>
      <c r="C81" t="s">
        <v>3539</v>
      </c>
      <c r="D81" t="s">
        <v>4754</v>
      </c>
      <c r="E81" t="s">
        <v>4755</v>
      </c>
      <c r="F81" t="s">
        <v>497</v>
      </c>
      <c r="H81" t="s">
        <v>4753</v>
      </c>
      <c r="I81" t="s">
        <v>3457</v>
      </c>
      <c r="J81" t="s">
        <v>3705</v>
      </c>
    </row>
    <row r="82" spans="1:10" ht="15" customHeight="1" x14ac:dyDescent="0.25">
      <c r="A82" t="s">
        <v>4756</v>
      </c>
      <c r="B82" t="s">
        <v>3501</v>
      </c>
      <c r="C82" t="s">
        <v>4448</v>
      </c>
      <c r="D82" t="s">
        <v>4757</v>
      </c>
      <c r="E82" t="s">
        <v>4758</v>
      </c>
      <c r="F82" t="s">
        <v>1649</v>
      </c>
      <c r="G82" t="s">
        <v>4759</v>
      </c>
      <c r="H82" t="s">
        <v>4760</v>
      </c>
      <c r="I82" t="s">
        <v>3457</v>
      </c>
      <c r="J82" t="s">
        <v>3519</v>
      </c>
    </row>
    <row r="83" spans="1:10" ht="15" customHeight="1" x14ac:dyDescent="0.25">
      <c r="A83" t="s">
        <v>4761</v>
      </c>
      <c r="B83" t="s">
        <v>41</v>
      </c>
      <c r="C83" t="s">
        <v>4566</v>
      </c>
      <c r="D83" t="s">
        <v>4762</v>
      </c>
      <c r="E83" t="s">
        <v>4763</v>
      </c>
      <c r="F83" t="s">
        <v>90</v>
      </c>
      <c r="H83" t="s">
        <v>4764</v>
      </c>
      <c r="I83" t="s">
        <v>3457</v>
      </c>
      <c r="J83" t="s">
        <v>4458</v>
      </c>
    </row>
    <row r="84" spans="1:10" ht="15" customHeight="1" x14ac:dyDescent="0.25">
      <c r="A84" t="s">
        <v>4765</v>
      </c>
      <c r="B84" t="s">
        <v>41</v>
      </c>
      <c r="C84" t="s">
        <v>4507</v>
      </c>
      <c r="D84" t="s">
        <v>4766</v>
      </c>
      <c r="E84" t="s">
        <v>4767</v>
      </c>
      <c r="F84" t="s">
        <v>1649</v>
      </c>
      <c r="G84" t="s">
        <v>4510</v>
      </c>
      <c r="H84" t="s">
        <v>4765</v>
      </c>
      <c r="I84" t="s">
        <v>3457</v>
      </c>
      <c r="J84" t="s">
        <v>3511</v>
      </c>
    </row>
    <row r="85" spans="1:10" ht="15" customHeight="1" x14ac:dyDescent="0.25">
      <c r="A85" t="s">
        <v>4768</v>
      </c>
      <c r="B85" t="s">
        <v>41</v>
      </c>
      <c r="C85" t="s">
        <v>3508</v>
      </c>
      <c r="D85" t="s">
        <v>4769</v>
      </c>
      <c r="E85" t="s">
        <v>4770</v>
      </c>
      <c r="F85" t="s">
        <v>1322</v>
      </c>
      <c r="H85" t="s">
        <v>4771</v>
      </c>
      <c r="I85" t="s">
        <v>3457</v>
      </c>
      <c r="J85" t="s">
        <v>4772</v>
      </c>
    </row>
    <row r="86" spans="1:10" ht="15" customHeight="1" x14ac:dyDescent="0.25">
      <c r="A86" t="s">
        <v>4773</v>
      </c>
      <c r="B86" t="s">
        <v>3501</v>
      </c>
      <c r="C86" t="s">
        <v>3522</v>
      </c>
      <c r="D86" t="s">
        <v>4774</v>
      </c>
      <c r="E86" t="s">
        <v>4775</v>
      </c>
      <c r="F86" t="s">
        <v>90</v>
      </c>
      <c r="G86" t="s">
        <v>3658</v>
      </c>
      <c r="H86" t="s">
        <v>3663</v>
      </c>
      <c r="I86" t="s">
        <v>3457</v>
      </c>
      <c r="J86" t="s">
        <v>4532</v>
      </c>
    </row>
    <row r="87" spans="1:10" ht="15" customHeight="1" x14ac:dyDescent="0.25">
      <c r="A87" t="s">
        <v>4776</v>
      </c>
      <c r="B87" t="s">
        <v>3501</v>
      </c>
      <c r="C87" t="s">
        <v>3508</v>
      </c>
      <c r="D87" t="s">
        <v>4777</v>
      </c>
      <c r="E87" t="s">
        <v>4778</v>
      </c>
      <c r="F87" t="s">
        <v>1649</v>
      </c>
      <c r="G87" t="s">
        <v>4779</v>
      </c>
      <c r="H87" t="s">
        <v>4780</v>
      </c>
      <c r="I87" t="s">
        <v>3457</v>
      </c>
      <c r="J87" t="s">
        <v>3511</v>
      </c>
    </row>
    <row r="88" spans="1:10" ht="15" customHeight="1" x14ac:dyDescent="0.25">
      <c r="A88" t="s">
        <v>4781</v>
      </c>
      <c r="B88" t="s">
        <v>3501</v>
      </c>
      <c r="C88" t="s">
        <v>3508</v>
      </c>
      <c r="D88" s="3" t="s">
        <v>4782</v>
      </c>
      <c r="E88" s="3" t="s">
        <v>4783</v>
      </c>
      <c r="F88" t="s">
        <v>1649</v>
      </c>
      <c r="G88" t="s">
        <v>4784</v>
      </c>
      <c r="H88" t="s">
        <v>4785</v>
      </c>
      <c r="I88" t="s">
        <v>3457</v>
      </c>
      <c r="J88" t="s">
        <v>3511</v>
      </c>
    </row>
    <row r="89" spans="1:10" ht="15" customHeight="1" x14ac:dyDescent="0.25">
      <c r="A89" t="s">
        <v>4786</v>
      </c>
      <c r="B89" t="s">
        <v>41</v>
      </c>
      <c r="C89" t="s">
        <v>3522</v>
      </c>
      <c r="D89" t="s">
        <v>4787</v>
      </c>
      <c r="E89" t="s">
        <v>4788</v>
      </c>
      <c r="F89" t="s">
        <v>497</v>
      </c>
      <c r="G89" t="s">
        <v>3625</v>
      </c>
      <c r="H89" t="s">
        <v>4789</v>
      </c>
      <c r="I89" t="s">
        <v>3457</v>
      </c>
      <c r="J89" t="s">
        <v>3519</v>
      </c>
    </row>
    <row r="90" spans="1:10" ht="15" customHeight="1" x14ac:dyDescent="0.25">
      <c r="A90" t="s">
        <v>3480</v>
      </c>
      <c r="B90" t="s">
        <v>41</v>
      </c>
      <c r="C90" t="s">
        <v>3508</v>
      </c>
      <c r="D90" t="s">
        <v>4790</v>
      </c>
      <c r="E90" t="s">
        <v>4791</v>
      </c>
      <c r="F90" t="s">
        <v>2804</v>
      </c>
      <c r="G90" t="s">
        <v>3598</v>
      </c>
      <c r="H90" t="s">
        <v>3480</v>
      </c>
      <c r="I90" t="s">
        <v>3457</v>
      </c>
      <c r="J90" t="s">
        <v>3440</v>
      </c>
    </row>
    <row r="91" spans="1:10" ht="15" customHeight="1" x14ac:dyDescent="0.25">
      <c r="A91" t="s">
        <v>4792</v>
      </c>
      <c r="B91" t="s">
        <v>3501</v>
      </c>
      <c r="C91" t="s">
        <v>3508</v>
      </c>
      <c r="D91" t="s">
        <v>4793</v>
      </c>
      <c r="E91" t="s">
        <v>4794</v>
      </c>
      <c r="F91" t="s">
        <v>1649</v>
      </c>
      <c r="G91" t="s">
        <v>4462</v>
      </c>
      <c r="H91" t="s">
        <v>4795</v>
      </c>
      <c r="I91" t="s">
        <v>3457</v>
      </c>
      <c r="J91" t="s">
        <v>4458</v>
      </c>
    </row>
    <row r="92" spans="1:10" ht="15" customHeight="1" x14ac:dyDescent="0.25">
      <c r="A92" t="s">
        <v>4796</v>
      </c>
      <c r="B92" t="s">
        <v>3501</v>
      </c>
      <c r="C92" t="s">
        <v>3508</v>
      </c>
      <c r="D92" t="s">
        <v>4797</v>
      </c>
      <c r="E92" t="s">
        <v>4798</v>
      </c>
      <c r="F92" t="s">
        <v>553</v>
      </c>
      <c r="G92" t="s">
        <v>3525</v>
      </c>
      <c r="H92" t="s">
        <v>4799</v>
      </c>
      <c r="I92" t="s">
        <v>3457</v>
      </c>
      <c r="J92" t="s">
        <v>3440</v>
      </c>
    </row>
    <row r="93" spans="1:10" ht="15" customHeight="1" x14ac:dyDescent="0.25">
      <c r="A93" t="s">
        <v>3676</v>
      </c>
      <c r="B93" t="s">
        <v>3513</v>
      </c>
      <c r="C93" t="s">
        <v>4507</v>
      </c>
      <c r="D93" t="s">
        <v>4800</v>
      </c>
      <c r="F93" t="s">
        <v>353</v>
      </c>
      <c r="H93" t="s">
        <v>3678</v>
      </c>
      <c r="I93" t="s">
        <v>3457</v>
      </c>
      <c r="J93" t="s">
        <v>3679</v>
      </c>
    </row>
    <row r="94" spans="1:10" ht="15" customHeight="1" x14ac:dyDescent="0.25">
      <c r="A94" t="s">
        <v>4801</v>
      </c>
      <c r="B94" t="s">
        <v>3545</v>
      </c>
      <c r="C94" t="s">
        <v>3508</v>
      </c>
      <c r="D94" t="s">
        <v>4802</v>
      </c>
      <c r="E94" t="s">
        <v>4803</v>
      </c>
      <c r="F94" t="s">
        <v>90</v>
      </c>
      <c r="G94" t="s">
        <v>4804</v>
      </c>
      <c r="H94" t="s">
        <v>4805</v>
      </c>
      <c r="I94" t="s">
        <v>3457</v>
      </c>
      <c r="J94" t="s">
        <v>4806</v>
      </c>
    </row>
    <row r="95" spans="1:10" ht="15" customHeight="1" x14ac:dyDescent="0.25">
      <c r="A95" t="s">
        <v>4807</v>
      </c>
      <c r="B95" t="s">
        <v>3501</v>
      </c>
      <c r="C95" t="s">
        <v>4448</v>
      </c>
      <c r="D95" t="s">
        <v>4808</v>
      </c>
      <c r="E95" t="s">
        <v>4809</v>
      </c>
      <c r="F95" t="s">
        <v>160</v>
      </c>
      <c r="G95" t="s">
        <v>3658</v>
      </c>
      <c r="H95" t="s">
        <v>4810</v>
      </c>
      <c r="I95" t="s">
        <v>3457</v>
      </c>
      <c r="J95" t="s">
        <v>3519</v>
      </c>
    </row>
    <row r="96" spans="1:10" ht="15" customHeight="1" x14ac:dyDescent="0.25">
      <c r="A96" t="s">
        <v>4811</v>
      </c>
      <c r="B96" t="s">
        <v>41</v>
      </c>
      <c r="C96" t="s">
        <v>4507</v>
      </c>
      <c r="D96" t="s">
        <v>4812</v>
      </c>
      <c r="E96" t="s">
        <v>4813</v>
      </c>
      <c r="F96" t="s">
        <v>1649</v>
      </c>
      <c r="G96" t="s">
        <v>4510</v>
      </c>
      <c r="H96" t="s">
        <v>4814</v>
      </c>
      <c r="I96" t="s">
        <v>3457</v>
      </c>
      <c r="J96" t="s">
        <v>3519</v>
      </c>
    </row>
    <row r="97" spans="1:10" ht="15" customHeight="1" x14ac:dyDescent="0.25">
      <c r="A97" t="s">
        <v>4815</v>
      </c>
      <c r="B97" t="s">
        <v>3513</v>
      </c>
      <c r="C97" t="s">
        <v>4427</v>
      </c>
      <c r="D97" t="s">
        <v>4816</v>
      </c>
      <c r="E97" t="s">
        <v>4817</v>
      </c>
      <c r="F97" t="s">
        <v>1649</v>
      </c>
      <c r="H97" t="s">
        <v>4818</v>
      </c>
      <c r="I97" t="s">
        <v>3457</v>
      </c>
      <c r="J97" t="s">
        <v>4458</v>
      </c>
    </row>
    <row r="98" spans="1:10" ht="15" customHeight="1" x14ac:dyDescent="0.25">
      <c r="A98" t="s">
        <v>4819</v>
      </c>
      <c r="B98" t="s">
        <v>3724</v>
      </c>
      <c r="C98" t="s">
        <v>3508</v>
      </c>
      <c r="D98" t="s">
        <v>4820</v>
      </c>
      <c r="E98" t="s">
        <v>4821</v>
      </c>
      <c r="F98" t="s">
        <v>160</v>
      </c>
      <c r="G98" t="s">
        <v>4659</v>
      </c>
      <c r="H98" t="s">
        <v>4822</v>
      </c>
      <c r="I98" t="s">
        <v>3457</v>
      </c>
      <c r="J98" t="s">
        <v>3576</v>
      </c>
    </row>
    <row r="99" spans="1:10" ht="15" customHeight="1" x14ac:dyDescent="0.25">
      <c r="A99" t="s">
        <v>4823</v>
      </c>
      <c r="B99" t="s">
        <v>3501</v>
      </c>
      <c r="C99" t="s">
        <v>3508</v>
      </c>
      <c r="D99" t="s">
        <v>4824</v>
      </c>
      <c r="E99" t="s">
        <v>4825</v>
      </c>
      <c r="F99" t="s">
        <v>1322</v>
      </c>
      <c r="G99" t="s">
        <v>4605</v>
      </c>
      <c r="H99" t="s">
        <v>4826</v>
      </c>
      <c r="I99" t="s">
        <v>3457</v>
      </c>
      <c r="J99" t="s">
        <v>4827</v>
      </c>
    </row>
    <row r="100" spans="1:10" ht="15" customHeight="1" x14ac:dyDescent="0.25">
      <c r="A100" t="s">
        <v>4828</v>
      </c>
      <c r="B100" t="s">
        <v>3513</v>
      </c>
      <c r="C100" t="s">
        <v>4566</v>
      </c>
      <c r="D100" t="s">
        <v>4829</v>
      </c>
      <c r="E100" t="s">
        <v>4830</v>
      </c>
      <c r="F100" t="s">
        <v>90</v>
      </c>
      <c r="G100" t="s">
        <v>4740</v>
      </c>
      <c r="H100" t="s">
        <v>4828</v>
      </c>
      <c r="I100" t="s">
        <v>3457</v>
      </c>
      <c r="J100" t="s">
        <v>4458</v>
      </c>
    </row>
    <row r="101" spans="1:10" ht="15" customHeight="1" x14ac:dyDescent="0.25">
      <c r="A101" t="s">
        <v>3689</v>
      </c>
      <c r="B101" t="s">
        <v>3513</v>
      </c>
      <c r="C101" t="s">
        <v>3508</v>
      </c>
      <c r="D101" t="s">
        <v>4831</v>
      </c>
      <c r="E101" t="s">
        <v>4832</v>
      </c>
      <c r="F101" t="s">
        <v>497</v>
      </c>
      <c r="G101" t="s">
        <v>3692</v>
      </c>
      <c r="H101" t="s">
        <v>3689</v>
      </c>
      <c r="I101" t="s">
        <v>3457</v>
      </c>
      <c r="J101" t="s">
        <v>3519</v>
      </c>
    </row>
    <row r="102" spans="1:10" ht="15" customHeight="1" x14ac:dyDescent="0.25">
      <c r="A102" t="s">
        <v>4833</v>
      </c>
      <c r="B102" t="s">
        <v>41</v>
      </c>
      <c r="C102" t="s">
        <v>4507</v>
      </c>
      <c r="D102" t="s">
        <v>4834</v>
      </c>
      <c r="E102" t="s">
        <v>4835</v>
      </c>
      <c r="F102" t="s">
        <v>1649</v>
      </c>
      <c r="G102" t="s">
        <v>4510</v>
      </c>
      <c r="H102" t="s">
        <v>4833</v>
      </c>
      <c r="I102" t="s">
        <v>3457</v>
      </c>
      <c r="J102" t="s">
        <v>3519</v>
      </c>
    </row>
    <row r="103" spans="1:10" ht="15" customHeight="1" x14ac:dyDescent="0.25">
      <c r="A103" t="s">
        <v>4836</v>
      </c>
      <c r="B103" t="s">
        <v>3501</v>
      </c>
      <c r="C103" t="s">
        <v>3522</v>
      </c>
      <c r="D103" t="s">
        <v>4837</v>
      </c>
      <c r="E103" t="s">
        <v>4838</v>
      </c>
      <c r="F103" t="s">
        <v>553</v>
      </c>
      <c r="G103" t="s">
        <v>3525</v>
      </c>
      <c r="H103" t="s">
        <v>4839</v>
      </c>
      <c r="I103" t="s">
        <v>3457</v>
      </c>
      <c r="J103" t="s">
        <v>3519</v>
      </c>
    </row>
    <row r="104" spans="1:10" ht="15" customHeight="1" x14ac:dyDescent="0.25">
      <c r="A104" t="s">
        <v>4840</v>
      </c>
      <c r="B104" t="s">
        <v>41</v>
      </c>
      <c r="C104" t="s">
        <v>3508</v>
      </c>
      <c r="D104" t="s">
        <v>4841</v>
      </c>
      <c r="E104" t="s">
        <v>4842</v>
      </c>
      <c r="F104" t="s">
        <v>1322</v>
      </c>
      <c r="H104" t="s">
        <v>4843</v>
      </c>
      <c r="I104" t="s">
        <v>3457</v>
      </c>
      <c r="J104" t="s">
        <v>4844</v>
      </c>
    </row>
    <row r="105" spans="1:10" ht="15" customHeight="1" x14ac:dyDescent="0.25">
      <c r="A105" t="s">
        <v>4845</v>
      </c>
      <c r="B105" t="s">
        <v>3513</v>
      </c>
      <c r="C105" t="s">
        <v>4507</v>
      </c>
      <c r="D105" t="s">
        <v>4846</v>
      </c>
      <c r="F105" t="s">
        <v>1649</v>
      </c>
      <c r="G105" t="s">
        <v>4847</v>
      </c>
      <c r="H105" t="s">
        <v>4848</v>
      </c>
      <c r="I105" t="s">
        <v>3457</v>
      </c>
      <c r="J105" t="s">
        <v>3440</v>
      </c>
    </row>
    <row r="106" spans="1:10" ht="15" customHeight="1" x14ac:dyDescent="0.25">
      <c r="A106" t="s">
        <v>4849</v>
      </c>
      <c r="B106" t="s">
        <v>3501</v>
      </c>
      <c r="C106" t="s">
        <v>3508</v>
      </c>
      <c r="D106" t="s">
        <v>4850</v>
      </c>
      <c r="E106" t="s">
        <v>4851</v>
      </c>
      <c r="F106" t="s">
        <v>90</v>
      </c>
      <c r="G106" t="s">
        <v>3658</v>
      </c>
      <c r="H106" t="s">
        <v>4852</v>
      </c>
      <c r="I106" t="s">
        <v>3457</v>
      </c>
      <c r="J106" t="s">
        <v>3511</v>
      </c>
    </row>
    <row r="107" spans="1:10" ht="15" customHeight="1" x14ac:dyDescent="0.25">
      <c r="A107" t="s">
        <v>4853</v>
      </c>
      <c r="B107" t="s">
        <v>41</v>
      </c>
      <c r="C107" t="s">
        <v>3508</v>
      </c>
      <c r="D107" t="s">
        <v>4854</v>
      </c>
      <c r="E107" t="s">
        <v>4855</v>
      </c>
      <c r="F107" t="s">
        <v>90</v>
      </c>
      <c r="G107" t="s">
        <v>3687</v>
      </c>
      <c r="H107" t="s">
        <v>4856</v>
      </c>
      <c r="I107" t="s">
        <v>3457</v>
      </c>
      <c r="J107" t="s">
        <v>4458</v>
      </c>
    </row>
    <row r="108" spans="1:10" ht="15" customHeight="1" x14ac:dyDescent="0.25">
      <c r="A108" t="s">
        <v>4857</v>
      </c>
      <c r="B108" t="s">
        <v>3513</v>
      </c>
      <c r="C108" t="s">
        <v>3508</v>
      </c>
      <c r="D108" t="s">
        <v>4858</v>
      </c>
      <c r="E108" t="s">
        <v>4859</v>
      </c>
      <c r="F108" t="s">
        <v>501</v>
      </c>
      <c r="G108" t="s">
        <v>4643</v>
      </c>
      <c r="H108" t="s">
        <v>4860</v>
      </c>
      <c r="I108" t="s">
        <v>3457</v>
      </c>
      <c r="J108" t="s">
        <v>3511</v>
      </c>
    </row>
    <row r="109" spans="1:10" ht="15" customHeight="1" x14ac:dyDescent="0.25">
      <c r="A109" t="s">
        <v>4861</v>
      </c>
      <c r="B109" t="s">
        <v>41</v>
      </c>
      <c r="C109" t="s">
        <v>3522</v>
      </c>
      <c r="D109" t="s">
        <v>4862</v>
      </c>
      <c r="E109" t="s">
        <v>4863</v>
      </c>
      <c r="F109" t="s">
        <v>1046</v>
      </c>
      <c r="G109" t="s">
        <v>4864</v>
      </c>
      <c r="H109" t="s">
        <v>4861</v>
      </c>
      <c r="I109" t="s">
        <v>3457</v>
      </c>
      <c r="J109" t="s">
        <v>3519</v>
      </c>
    </row>
    <row r="110" spans="1:10" ht="15" customHeight="1" x14ac:dyDescent="0.25">
      <c r="A110" t="s">
        <v>4865</v>
      </c>
      <c r="B110" t="s">
        <v>3513</v>
      </c>
      <c r="C110" t="s">
        <v>4556</v>
      </c>
      <c r="D110" t="s">
        <v>4866</v>
      </c>
      <c r="F110" t="s">
        <v>160</v>
      </c>
      <c r="G110" t="s">
        <v>4867</v>
      </c>
      <c r="H110" t="s">
        <v>4868</v>
      </c>
      <c r="I110" t="s">
        <v>3457</v>
      </c>
      <c r="J110" t="s">
        <v>4458</v>
      </c>
    </row>
    <row r="111" spans="1:10" ht="15" customHeight="1" x14ac:dyDescent="0.25">
      <c r="A111" t="s">
        <v>4869</v>
      </c>
      <c r="B111" t="s">
        <v>41</v>
      </c>
      <c r="C111" t="s">
        <v>3671</v>
      </c>
      <c r="D111" t="s">
        <v>4870</v>
      </c>
      <c r="F111" t="s">
        <v>160</v>
      </c>
      <c r="G111" t="s">
        <v>4871</v>
      </c>
      <c r="H111" t="s">
        <v>4872</v>
      </c>
      <c r="I111" t="s">
        <v>3457</v>
      </c>
      <c r="J111" t="s">
        <v>3679</v>
      </c>
    </row>
    <row r="112" spans="1:10" ht="15" customHeight="1" x14ac:dyDescent="0.25">
      <c r="A112" t="s">
        <v>4873</v>
      </c>
      <c r="B112" t="s">
        <v>3501</v>
      </c>
      <c r="C112" t="s">
        <v>3508</v>
      </c>
      <c r="D112" t="s">
        <v>4874</v>
      </c>
      <c r="E112" t="s">
        <v>4875</v>
      </c>
      <c r="F112" t="s">
        <v>90</v>
      </c>
      <c r="H112" t="s">
        <v>4876</v>
      </c>
      <c r="I112" t="s">
        <v>3457</v>
      </c>
      <c r="J112" t="s">
        <v>3511</v>
      </c>
    </row>
    <row r="113" spans="1:10" ht="15" customHeight="1" x14ac:dyDescent="0.25">
      <c r="A113" t="s">
        <v>4877</v>
      </c>
      <c r="B113" t="s">
        <v>3513</v>
      </c>
      <c r="C113" t="s">
        <v>3508</v>
      </c>
      <c r="D113" t="s">
        <v>4878</v>
      </c>
      <c r="E113" t="s">
        <v>4879</v>
      </c>
      <c r="F113" t="s">
        <v>90</v>
      </c>
      <c r="G113" t="s">
        <v>4615</v>
      </c>
      <c r="H113" t="s">
        <v>4880</v>
      </c>
      <c r="I113" t="s">
        <v>3457</v>
      </c>
      <c r="J113" t="s">
        <v>3576</v>
      </c>
    </row>
    <row r="114" spans="1:10" ht="15" customHeight="1" x14ac:dyDescent="0.25">
      <c r="A114" t="s">
        <v>4881</v>
      </c>
      <c r="B114" t="s">
        <v>41</v>
      </c>
      <c r="C114" t="s">
        <v>3508</v>
      </c>
      <c r="D114" t="s">
        <v>4882</v>
      </c>
      <c r="E114" t="s">
        <v>4883</v>
      </c>
      <c r="F114" t="s">
        <v>90</v>
      </c>
      <c r="G114" t="s">
        <v>4884</v>
      </c>
      <c r="H114" t="s">
        <v>4885</v>
      </c>
      <c r="I114" t="s">
        <v>3457</v>
      </c>
      <c r="J114" t="s">
        <v>3440</v>
      </c>
    </row>
    <row r="115" spans="1:10" ht="15" customHeight="1" x14ac:dyDescent="0.25">
      <c r="A115" t="s">
        <v>4886</v>
      </c>
      <c r="B115" t="s">
        <v>3501</v>
      </c>
      <c r="C115" t="s">
        <v>3508</v>
      </c>
      <c r="D115" t="s">
        <v>4887</v>
      </c>
      <c r="E115" t="s">
        <v>4888</v>
      </c>
      <c r="F115" t="s">
        <v>90</v>
      </c>
      <c r="G115" t="s">
        <v>4620</v>
      </c>
      <c r="H115" t="s">
        <v>4886</v>
      </c>
      <c r="I115" t="s">
        <v>3457</v>
      </c>
      <c r="J115" t="s">
        <v>3511</v>
      </c>
    </row>
    <row r="116" spans="1:10" ht="15" customHeight="1" x14ac:dyDescent="0.25">
      <c r="A116" t="s">
        <v>3715</v>
      </c>
      <c r="B116" t="s">
        <v>3513</v>
      </c>
      <c r="C116" t="s">
        <v>3508</v>
      </c>
      <c r="D116" t="s">
        <v>3716</v>
      </c>
      <c r="F116" t="s">
        <v>553</v>
      </c>
      <c r="G116" t="s">
        <v>3718</v>
      </c>
      <c r="H116" t="s">
        <v>3719</v>
      </c>
      <c r="I116" t="s">
        <v>3457</v>
      </c>
      <c r="J116" t="s">
        <v>3576</v>
      </c>
    </row>
    <row r="117" spans="1:10" ht="15" customHeight="1" x14ac:dyDescent="0.25">
      <c r="A117" t="s">
        <v>4889</v>
      </c>
      <c r="B117" t="s">
        <v>41</v>
      </c>
      <c r="C117" t="s">
        <v>4507</v>
      </c>
      <c r="D117" t="s">
        <v>4890</v>
      </c>
      <c r="E117" t="s">
        <v>4891</v>
      </c>
      <c r="F117" t="s">
        <v>1649</v>
      </c>
      <c r="G117" t="s">
        <v>4510</v>
      </c>
      <c r="H117" t="s">
        <v>4889</v>
      </c>
      <c r="I117" t="s">
        <v>3457</v>
      </c>
      <c r="J117" t="s">
        <v>3519</v>
      </c>
    </row>
    <row r="118" spans="1:10" ht="15" customHeight="1" x14ac:dyDescent="0.25">
      <c r="A118" t="s">
        <v>3720</v>
      </c>
      <c r="B118" t="s">
        <v>41</v>
      </c>
      <c r="C118" t="s">
        <v>3522</v>
      </c>
      <c r="D118" t="s">
        <v>4892</v>
      </c>
      <c r="E118" t="s">
        <v>4893</v>
      </c>
      <c r="F118" t="s">
        <v>90</v>
      </c>
      <c r="H118" t="s">
        <v>3720</v>
      </c>
      <c r="I118" t="s">
        <v>3457</v>
      </c>
      <c r="J118" t="s">
        <v>3519</v>
      </c>
    </row>
    <row r="119" spans="1:10" ht="15" customHeight="1" x14ac:dyDescent="0.25">
      <c r="A119" t="s">
        <v>4894</v>
      </c>
      <c r="B119" t="s">
        <v>3501</v>
      </c>
      <c r="C119" t="s">
        <v>3578</v>
      </c>
      <c r="D119" t="s">
        <v>4895</v>
      </c>
      <c r="F119" t="s">
        <v>160</v>
      </c>
      <c r="H119" t="s">
        <v>4896</v>
      </c>
      <c r="I119" t="s">
        <v>3457</v>
      </c>
      <c r="J119" t="s">
        <v>3679</v>
      </c>
    </row>
    <row r="120" spans="1:10" ht="15" customHeight="1" x14ac:dyDescent="0.25">
      <c r="A120" t="s">
        <v>4897</v>
      </c>
      <c r="B120" t="s">
        <v>3501</v>
      </c>
      <c r="C120" t="s">
        <v>3508</v>
      </c>
      <c r="D120" t="s">
        <v>4898</v>
      </c>
      <c r="E120" t="s">
        <v>4899</v>
      </c>
      <c r="F120" t="s">
        <v>1129</v>
      </c>
      <c r="G120" t="s">
        <v>4900</v>
      </c>
      <c r="H120" t="s">
        <v>4901</v>
      </c>
      <c r="I120" t="s">
        <v>3457</v>
      </c>
      <c r="J120" t="s">
        <v>4564</v>
      </c>
    </row>
    <row r="121" spans="1:10" ht="15" customHeight="1" x14ac:dyDescent="0.25">
      <c r="A121" t="s">
        <v>3723</v>
      </c>
      <c r="B121" t="s">
        <v>3724</v>
      </c>
      <c r="C121" t="s">
        <v>4902</v>
      </c>
      <c r="D121" t="s">
        <v>4903</v>
      </c>
      <c r="F121" t="s">
        <v>1795</v>
      </c>
      <c r="G121" t="s">
        <v>3726</v>
      </c>
      <c r="H121" t="s">
        <v>3727</v>
      </c>
      <c r="I121" t="s">
        <v>3457</v>
      </c>
      <c r="J121" t="s">
        <v>3576</v>
      </c>
    </row>
    <row r="122" spans="1:10" ht="15" customHeight="1" x14ac:dyDescent="0.25">
      <c r="A122" t="s">
        <v>4904</v>
      </c>
      <c r="B122" t="s">
        <v>41</v>
      </c>
      <c r="C122" t="s">
        <v>3514</v>
      </c>
      <c r="D122" t="s">
        <v>4905</v>
      </c>
      <c r="E122" t="s">
        <v>4906</v>
      </c>
      <c r="F122" t="s">
        <v>90</v>
      </c>
      <c r="H122" t="s">
        <v>4907</v>
      </c>
      <c r="I122" t="s">
        <v>3457</v>
      </c>
      <c r="J122" t="s">
        <v>3511</v>
      </c>
    </row>
    <row r="123" spans="1:10" ht="15" customHeight="1" x14ac:dyDescent="0.25">
      <c r="A123" t="s">
        <v>4908</v>
      </c>
      <c r="B123" t="s">
        <v>3513</v>
      </c>
      <c r="C123" t="s">
        <v>3522</v>
      </c>
      <c r="D123" t="s">
        <v>4909</v>
      </c>
      <c r="E123" t="s">
        <v>4910</v>
      </c>
      <c r="F123" t="s">
        <v>497</v>
      </c>
      <c r="G123" t="s">
        <v>264</v>
      </c>
      <c r="H123" t="s">
        <v>4908</v>
      </c>
      <c r="I123" t="s">
        <v>3457</v>
      </c>
      <c r="J123" t="s">
        <v>3519</v>
      </c>
    </row>
    <row r="124" spans="1:10" ht="15" customHeight="1" x14ac:dyDescent="0.25">
      <c r="A124" t="s">
        <v>4911</v>
      </c>
      <c r="B124" t="s">
        <v>41</v>
      </c>
      <c r="C124" t="s">
        <v>3514</v>
      </c>
      <c r="D124" t="s">
        <v>4912</v>
      </c>
      <c r="E124" t="s">
        <v>4913</v>
      </c>
      <c r="F124" t="s">
        <v>90</v>
      </c>
      <c r="G124" t="s">
        <v>3658</v>
      </c>
      <c r="H124" t="s">
        <v>4911</v>
      </c>
      <c r="I124" t="s">
        <v>3457</v>
      </c>
      <c r="J124" t="s">
        <v>4458</v>
      </c>
    </row>
    <row r="125" spans="1:10" ht="15" customHeight="1" x14ac:dyDescent="0.25">
      <c r="A125" t="s">
        <v>4914</v>
      </c>
      <c r="B125" t="s">
        <v>3501</v>
      </c>
      <c r="C125" t="s">
        <v>4915</v>
      </c>
      <c r="D125" t="s">
        <v>4916</v>
      </c>
      <c r="E125" t="s">
        <v>4917</v>
      </c>
      <c r="F125" t="s">
        <v>90</v>
      </c>
      <c r="G125" t="s">
        <v>4435</v>
      </c>
      <c r="H125" t="s">
        <v>4918</v>
      </c>
      <c r="I125" t="s">
        <v>3457</v>
      </c>
      <c r="J125" t="s">
        <v>3679</v>
      </c>
    </row>
    <row r="126" spans="1:10" ht="15" customHeight="1" x14ac:dyDescent="0.25">
      <c r="A126" t="s">
        <v>4919</v>
      </c>
      <c r="B126" t="s">
        <v>3513</v>
      </c>
      <c r="C126" t="s">
        <v>3522</v>
      </c>
      <c r="D126" t="s">
        <v>4920</v>
      </c>
      <c r="E126" t="s">
        <v>4921</v>
      </c>
      <c r="F126" t="s">
        <v>497</v>
      </c>
      <c r="G126" t="s">
        <v>3718</v>
      </c>
      <c r="H126" t="s">
        <v>4919</v>
      </c>
      <c r="I126" t="s">
        <v>3457</v>
      </c>
      <c r="J126" t="s">
        <v>3519</v>
      </c>
    </row>
    <row r="127" spans="1:10" ht="15" customHeight="1" x14ac:dyDescent="0.25">
      <c r="A127" t="s">
        <v>3728</v>
      </c>
      <c r="B127" t="s">
        <v>41</v>
      </c>
      <c r="C127" t="s">
        <v>3671</v>
      </c>
      <c r="D127" t="s">
        <v>4922</v>
      </c>
      <c r="E127" t="s">
        <v>4923</v>
      </c>
      <c r="F127" t="s">
        <v>160</v>
      </c>
      <c r="G127" t="s">
        <v>4924</v>
      </c>
      <c r="H127" t="s">
        <v>3732</v>
      </c>
      <c r="I127" t="s">
        <v>3457</v>
      </c>
      <c r="J127" t="s">
        <v>3576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4925</v>
      </c>
      <c r="B1" t="s">
        <v>1</v>
      </c>
      <c r="C1" t="s">
        <v>167</v>
      </c>
      <c r="D1" t="s">
        <v>3733</v>
      </c>
      <c r="E1" t="s">
        <v>4926</v>
      </c>
      <c r="F1" t="s">
        <v>6</v>
      </c>
      <c r="G1" t="s">
        <v>4927</v>
      </c>
      <c r="H1" t="s">
        <v>4928</v>
      </c>
      <c r="I1" t="s">
        <v>4929</v>
      </c>
      <c r="J1" t="s">
        <v>4259</v>
      </c>
      <c r="K1" t="s">
        <v>4930</v>
      </c>
      <c r="L1" t="s">
        <v>4</v>
      </c>
      <c r="M1" t="s">
        <v>170</v>
      </c>
    </row>
    <row r="2" spans="1:13" ht="15" customHeight="1" x14ac:dyDescent="0.25">
      <c r="A2" t="s">
        <v>4931</v>
      </c>
      <c r="B2" t="s">
        <v>1649</v>
      </c>
      <c r="C2" t="s">
        <v>222</v>
      </c>
      <c r="D2" t="s">
        <v>39</v>
      </c>
      <c r="E2">
        <v>0</v>
      </c>
      <c r="F2" t="s">
        <v>41</v>
      </c>
      <c r="G2" t="s">
        <v>4932</v>
      </c>
      <c r="H2" t="s">
        <v>4933</v>
      </c>
      <c r="I2" t="s">
        <v>3996</v>
      </c>
      <c r="J2" t="s">
        <v>4934</v>
      </c>
      <c r="K2" t="s">
        <v>3457</v>
      </c>
      <c r="L2" t="s">
        <v>4296</v>
      </c>
      <c r="M2" t="s">
        <v>4935</v>
      </c>
    </row>
    <row r="3" spans="1:13" ht="15" customHeight="1" x14ac:dyDescent="0.25">
      <c r="A3" t="s">
        <v>4936</v>
      </c>
      <c r="B3" t="s">
        <v>1649</v>
      </c>
      <c r="C3" t="s">
        <v>222</v>
      </c>
      <c r="D3" t="s">
        <v>39</v>
      </c>
      <c r="E3">
        <v>0</v>
      </c>
      <c r="F3" t="s">
        <v>41</v>
      </c>
      <c r="G3" t="s">
        <v>4937</v>
      </c>
      <c r="H3" t="s">
        <v>4938</v>
      </c>
      <c r="I3" t="s">
        <v>3996</v>
      </c>
      <c r="J3" t="s">
        <v>4939</v>
      </c>
      <c r="K3" t="s">
        <v>3457</v>
      </c>
      <c r="L3" t="s">
        <v>4296</v>
      </c>
      <c r="M3" t="s">
        <v>264</v>
      </c>
    </row>
    <row r="4" spans="1:13" ht="15" customHeight="1" x14ac:dyDescent="0.25">
      <c r="A4" t="s">
        <v>4940</v>
      </c>
      <c r="B4" t="s">
        <v>90</v>
      </c>
      <c r="C4" t="s">
        <v>182</v>
      </c>
      <c r="D4" t="s">
        <v>39</v>
      </c>
      <c r="E4">
        <v>0</v>
      </c>
      <c r="F4" t="s">
        <v>3513</v>
      </c>
      <c r="G4" t="s">
        <v>4941</v>
      </c>
      <c r="H4" t="s">
        <v>4941</v>
      </c>
      <c r="I4" t="s">
        <v>3996</v>
      </c>
      <c r="J4" t="s">
        <v>4942</v>
      </c>
      <c r="K4">
        <v>1</v>
      </c>
      <c r="L4" t="s">
        <v>4296</v>
      </c>
    </row>
    <row r="5" spans="1:13" ht="15" customHeight="1" x14ac:dyDescent="0.25">
      <c r="A5" t="s">
        <v>4943</v>
      </c>
      <c r="B5" t="s">
        <v>90</v>
      </c>
      <c r="C5" t="s">
        <v>182</v>
      </c>
      <c r="D5" t="s">
        <v>4944</v>
      </c>
      <c r="E5">
        <v>0</v>
      </c>
      <c r="F5" t="s">
        <v>41</v>
      </c>
      <c r="G5" t="s">
        <v>3457</v>
      </c>
      <c r="H5" t="s">
        <v>4945</v>
      </c>
      <c r="I5" t="s">
        <v>3996</v>
      </c>
      <c r="J5" t="s">
        <v>4946</v>
      </c>
      <c r="K5" t="s">
        <v>3457</v>
      </c>
      <c r="L5" t="s">
        <v>4296</v>
      </c>
      <c r="M5" t="s">
        <v>4947</v>
      </c>
    </row>
    <row r="9" spans="1:13" ht="15" customHeight="1" x14ac:dyDescent="0.25">
      <c r="A9" t="s">
        <v>4948</v>
      </c>
      <c r="B9" t="s">
        <v>4949</v>
      </c>
      <c r="C9" t="s">
        <v>4950</v>
      </c>
      <c r="F9" t="s">
        <v>4951</v>
      </c>
      <c r="G9" t="s">
        <v>4952</v>
      </c>
      <c r="J9" t="s">
        <v>3457</v>
      </c>
    </row>
    <row r="10" spans="1:13" ht="15" customHeight="1" x14ac:dyDescent="0.25">
      <c r="A10" t="s">
        <v>4953</v>
      </c>
      <c r="B10" t="s">
        <v>4954</v>
      </c>
      <c r="C10" t="s">
        <v>4955</v>
      </c>
      <c r="F10" t="s">
        <v>4956</v>
      </c>
      <c r="G10" t="s">
        <v>4957</v>
      </c>
      <c r="J10" t="s">
        <v>4958</v>
      </c>
    </row>
    <row r="11" spans="1:13" ht="15" customHeight="1" x14ac:dyDescent="0.25">
      <c r="A11" t="s">
        <v>4959</v>
      </c>
      <c r="B11" t="s">
        <v>4960</v>
      </c>
      <c r="C11" t="s">
        <v>4961</v>
      </c>
      <c r="F11" t="s">
        <v>4962</v>
      </c>
      <c r="J11" t="s">
        <v>3457</v>
      </c>
    </row>
    <row r="12" spans="1:13" ht="15" customHeight="1" x14ac:dyDescent="0.25">
      <c r="A12" t="s">
        <v>4963</v>
      </c>
      <c r="B12" t="s">
        <v>4964</v>
      </c>
      <c r="C12" t="s">
        <v>4965</v>
      </c>
      <c r="F12" t="s">
        <v>4966</v>
      </c>
    </row>
    <row r="13" spans="1:13" ht="15" customHeight="1" x14ac:dyDescent="0.25">
      <c r="A13" t="s">
        <v>4967</v>
      </c>
      <c r="B13" t="s">
        <v>4968</v>
      </c>
      <c r="C13" t="s">
        <v>4969</v>
      </c>
      <c r="F13" t="s">
        <v>4970</v>
      </c>
      <c r="G13" t="s">
        <v>4971</v>
      </c>
      <c r="I13" t="s">
        <v>4229</v>
      </c>
    </row>
    <row r="14" spans="1:13" ht="15" customHeight="1" x14ac:dyDescent="0.25">
      <c r="A14" t="s">
        <v>4972</v>
      </c>
      <c r="B14" t="s">
        <v>4973</v>
      </c>
      <c r="C14" t="s">
        <v>4974</v>
      </c>
      <c r="F14" t="s">
        <v>4975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3452</v>
      </c>
      <c r="E1" t="s">
        <v>3495</v>
      </c>
      <c r="F1" t="s">
        <v>4976</v>
      </c>
      <c r="G1" t="s">
        <v>3496</v>
      </c>
      <c r="H1" t="s">
        <v>4977</v>
      </c>
      <c r="I1" t="s">
        <v>4978</v>
      </c>
      <c r="J1" t="s">
        <v>4259</v>
      </c>
      <c r="K1" t="s">
        <v>170</v>
      </c>
    </row>
    <row r="2" spans="1:11" ht="15" customHeight="1" x14ac:dyDescent="0.25">
      <c r="A2" t="s">
        <v>4967</v>
      </c>
      <c r="B2" t="s">
        <v>4979</v>
      </c>
      <c r="C2" t="s">
        <v>3513</v>
      </c>
      <c r="D2" t="s">
        <v>4980</v>
      </c>
      <c r="E2" t="s">
        <v>4981</v>
      </c>
      <c r="F2" t="s">
        <v>4982</v>
      </c>
      <c r="G2" t="s">
        <v>160</v>
      </c>
      <c r="H2" t="s">
        <v>4983</v>
      </c>
      <c r="I2" t="s">
        <v>4984</v>
      </c>
      <c r="J2" t="s">
        <v>4985</v>
      </c>
    </row>
    <row r="3" spans="1:11" ht="15" customHeight="1" x14ac:dyDescent="0.25">
      <c r="A3" t="s">
        <v>4986</v>
      </c>
      <c r="B3" t="s">
        <v>4987</v>
      </c>
      <c r="C3" t="s">
        <v>41</v>
      </c>
      <c r="D3" t="s">
        <v>4988</v>
      </c>
      <c r="E3" t="s">
        <v>4989</v>
      </c>
      <c r="F3" t="s">
        <v>4990</v>
      </c>
      <c r="G3" t="s">
        <v>1649</v>
      </c>
      <c r="J3" t="s">
        <v>4991</v>
      </c>
    </row>
    <row r="4" spans="1:11" ht="15" customHeight="1" x14ac:dyDescent="0.25">
      <c r="A4" t="s">
        <v>4992</v>
      </c>
      <c r="B4" t="s">
        <v>4987</v>
      </c>
      <c r="C4" t="s">
        <v>41</v>
      </c>
      <c r="D4" t="s">
        <v>4993</v>
      </c>
      <c r="E4" t="s">
        <v>4994</v>
      </c>
      <c r="F4" t="s">
        <v>4995</v>
      </c>
      <c r="G4" t="s">
        <v>1046</v>
      </c>
      <c r="J4" t="s">
        <v>4996</v>
      </c>
    </row>
    <row r="5" spans="1:11" ht="15" customHeight="1" x14ac:dyDescent="0.25">
      <c r="A5" t="s">
        <v>4997</v>
      </c>
      <c r="B5" t="s">
        <v>3679</v>
      </c>
      <c r="C5" t="s">
        <v>41</v>
      </c>
      <c r="D5" t="s">
        <v>4998</v>
      </c>
      <c r="E5" t="s">
        <v>4999</v>
      </c>
      <c r="F5" t="s">
        <v>3457</v>
      </c>
      <c r="G5" t="s">
        <v>2132</v>
      </c>
      <c r="J5" t="s">
        <v>5000</v>
      </c>
    </row>
    <row r="6" spans="1:11" ht="15" customHeight="1" x14ac:dyDescent="0.25">
      <c r="A6" t="s">
        <v>5001</v>
      </c>
      <c r="B6" t="s">
        <v>3679</v>
      </c>
      <c r="C6" t="s">
        <v>3501</v>
      </c>
      <c r="D6" t="s">
        <v>5002</v>
      </c>
      <c r="E6" t="s">
        <v>5003</v>
      </c>
      <c r="F6" t="s">
        <v>3457</v>
      </c>
      <c r="G6" t="s">
        <v>2132</v>
      </c>
      <c r="J6" t="s">
        <v>5004</v>
      </c>
    </row>
    <row r="7" spans="1:11" ht="15" customHeight="1" x14ac:dyDescent="0.25">
      <c r="A7" t="s">
        <v>5005</v>
      </c>
      <c r="B7" t="s">
        <v>5006</v>
      </c>
      <c r="C7" t="s">
        <v>41</v>
      </c>
      <c r="D7" t="s">
        <v>5007</v>
      </c>
      <c r="E7" t="s">
        <v>5008</v>
      </c>
      <c r="F7" t="s">
        <v>3457</v>
      </c>
      <c r="G7" t="s">
        <v>759</v>
      </c>
      <c r="J7" t="s">
        <v>5009</v>
      </c>
    </row>
    <row r="8" spans="1:11" ht="15" customHeight="1" x14ac:dyDescent="0.25">
      <c r="A8" t="s">
        <v>5010</v>
      </c>
      <c r="B8" t="s">
        <v>4979</v>
      </c>
      <c r="C8" t="s">
        <v>3501</v>
      </c>
      <c r="D8" t="s">
        <v>5011</v>
      </c>
      <c r="E8" t="s">
        <v>5012</v>
      </c>
      <c r="F8" t="s">
        <v>3457</v>
      </c>
      <c r="G8" t="s">
        <v>160</v>
      </c>
      <c r="H8" t="s">
        <v>5013</v>
      </c>
      <c r="I8" t="s">
        <v>5014</v>
      </c>
      <c r="J8" t="s">
        <v>5015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3733</v>
      </c>
      <c r="D1" t="s">
        <v>5016</v>
      </c>
      <c r="E1" t="s">
        <v>5017</v>
      </c>
      <c r="F1" t="s">
        <v>5018</v>
      </c>
      <c r="G1" t="s">
        <v>3738</v>
      </c>
      <c r="H1" t="s">
        <v>1</v>
      </c>
      <c r="I1" t="s">
        <v>5019</v>
      </c>
      <c r="J1" t="s">
        <v>5020</v>
      </c>
      <c r="K1" t="s">
        <v>171</v>
      </c>
      <c r="L1" t="s">
        <v>5021</v>
      </c>
      <c r="M1" t="s">
        <v>3739</v>
      </c>
    </row>
    <row r="2" spans="1:13" ht="27.75" customHeight="1" x14ac:dyDescent="0.25">
      <c r="A2" t="s">
        <v>3801</v>
      </c>
      <c r="B2" t="s">
        <v>5022</v>
      </c>
      <c r="C2" t="s">
        <v>4362</v>
      </c>
      <c r="D2">
        <v>2</v>
      </c>
      <c r="E2">
        <v>48</v>
      </c>
      <c r="F2">
        <v>54</v>
      </c>
      <c r="G2" t="s">
        <v>3457</v>
      </c>
      <c r="H2" t="s">
        <v>90</v>
      </c>
      <c r="I2" t="s">
        <v>4395</v>
      </c>
      <c r="J2" s="3" t="s">
        <v>5023</v>
      </c>
      <c r="K2" t="s">
        <v>3801</v>
      </c>
      <c r="L2" t="s">
        <v>3457</v>
      </c>
    </row>
    <row r="3" spans="1:13" ht="41.25" customHeight="1" x14ac:dyDescent="0.25">
      <c r="A3" t="s">
        <v>3830</v>
      </c>
      <c r="B3" t="s">
        <v>5022</v>
      </c>
      <c r="C3" t="s">
        <v>4366</v>
      </c>
      <c r="D3">
        <v>6</v>
      </c>
      <c r="E3">
        <v>114</v>
      </c>
      <c r="F3">
        <v>120</v>
      </c>
      <c r="G3" t="s">
        <v>3457</v>
      </c>
      <c r="H3" t="s">
        <v>90</v>
      </c>
      <c r="I3" t="s">
        <v>4395</v>
      </c>
      <c r="J3" s="3" t="s">
        <v>5024</v>
      </c>
      <c r="K3" t="s">
        <v>3830</v>
      </c>
      <c r="L3" t="s">
        <v>3457</v>
      </c>
    </row>
    <row r="4" spans="1:13" ht="15" customHeight="1" x14ac:dyDescent="0.25">
      <c r="A4" t="s">
        <v>3836</v>
      </c>
      <c r="B4" t="s">
        <v>5022</v>
      </c>
      <c r="C4" t="s">
        <v>5025</v>
      </c>
      <c r="D4">
        <v>9</v>
      </c>
      <c r="E4">
        <v>999</v>
      </c>
      <c r="F4">
        <v>999</v>
      </c>
      <c r="G4" t="s">
        <v>5026</v>
      </c>
      <c r="H4" t="s">
        <v>90</v>
      </c>
      <c r="I4" t="s">
        <v>4395</v>
      </c>
      <c r="J4" t="s">
        <v>5027</v>
      </c>
      <c r="K4" t="s">
        <v>3836</v>
      </c>
      <c r="L4" t="s">
        <v>3457</v>
      </c>
    </row>
    <row r="5" spans="1:13" ht="54.75" customHeight="1" x14ac:dyDescent="0.25">
      <c r="A5" t="s">
        <v>5028</v>
      </c>
      <c r="B5" t="s">
        <v>5022</v>
      </c>
      <c r="C5" t="s">
        <v>4362</v>
      </c>
      <c r="D5">
        <v>3</v>
      </c>
      <c r="E5">
        <v>40</v>
      </c>
      <c r="F5">
        <v>44</v>
      </c>
      <c r="G5" t="s">
        <v>3457</v>
      </c>
      <c r="H5" t="s">
        <v>90</v>
      </c>
      <c r="I5" t="s">
        <v>4395</v>
      </c>
      <c r="J5" s="3" t="s">
        <v>5029</v>
      </c>
      <c r="K5" t="s">
        <v>5030</v>
      </c>
      <c r="L5" t="s">
        <v>3457</v>
      </c>
    </row>
    <row r="6" spans="1:13" ht="27.75" customHeight="1" x14ac:dyDescent="0.25">
      <c r="A6" t="s">
        <v>5031</v>
      </c>
      <c r="B6" t="s">
        <v>5022</v>
      </c>
      <c r="C6" t="s">
        <v>4362</v>
      </c>
      <c r="D6">
        <v>1</v>
      </c>
      <c r="E6">
        <v>10</v>
      </c>
      <c r="F6">
        <v>15</v>
      </c>
      <c r="G6" t="s">
        <v>5032</v>
      </c>
      <c r="H6" t="s">
        <v>90</v>
      </c>
      <c r="I6" t="s">
        <v>4395</v>
      </c>
      <c r="J6" s="3" t="s">
        <v>5033</v>
      </c>
      <c r="K6" t="s">
        <v>5034</v>
      </c>
      <c r="L6" t="s">
        <v>3457</v>
      </c>
      <c r="M6" t="s">
        <v>4632</v>
      </c>
    </row>
    <row r="7" spans="1:13" ht="27.75" customHeight="1" x14ac:dyDescent="0.25">
      <c r="A7" t="s">
        <v>5035</v>
      </c>
      <c r="B7" t="s">
        <v>5022</v>
      </c>
      <c r="C7" t="s">
        <v>4362</v>
      </c>
      <c r="D7">
        <v>1</v>
      </c>
      <c r="E7">
        <v>11</v>
      </c>
      <c r="F7">
        <v>17</v>
      </c>
      <c r="G7" t="s">
        <v>5032</v>
      </c>
      <c r="H7" t="s">
        <v>90</v>
      </c>
      <c r="I7" t="s">
        <v>4395</v>
      </c>
      <c r="J7" s="3" t="s">
        <v>5036</v>
      </c>
      <c r="K7" t="s">
        <v>5037</v>
      </c>
      <c r="L7" t="s">
        <v>3457</v>
      </c>
      <c r="M7" t="s">
        <v>4632</v>
      </c>
    </row>
    <row r="8" spans="1:13" ht="41.25" customHeight="1" x14ac:dyDescent="0.25">
      <c r="A8" t="s">
        <v>5038</v>
      </c>
      <c r="B8" t="s">
        <v>5022</v>
      </c>
      <c r="C8" t="s">
        <v>4362</v>
      </c>
      <c r="D8">
        <v>4</v>
      </c>
      <c r="E8">
        <v>65</v>
      </c>
      <c r="F8">
        <v>69</v>
      </c>
      <c r="G8" t="s">
        <v>5039</v>
      </c>
      <c r="H8" t="s">
        <v>90</v>
      </c>
      <c r="I8" t="s">
        <v>4395</v>
      </c>
      <c r="J8" s="3" t="s">
        <v>5040</v>
      </c>
      <c r="K8" t="s">
        <v>5041</v>
      </c>
      <c r="L8" t="s">
        <v>3457</v>
      </c>
      <c r="M8" t="s">
        <v>3826</v>
      </c>
    </row>
    <row r="9" spans="1:13" ht="41.25" customHeight="1" x14ac:dyDescent="0.25">
      <c r="A9" t="s">
        <v>5042</v>
      </c>
      <c r="B9" t="s">
        <v>5022</v>
      </c>
      <c r="C9" t="s">
        <v>4362</v>
      </c>
      <c r="D9">
        <v>2</v>
      </c>
      <c r="E9">
        <v>28</v>
      </c>
      <c r="F9">
        <v>32</v>
      </c>
      <c r="G9" t="s">
        <v>3457</v>
      </c>
      <c r="H9" t="s">
        <v>90</v>
      </c>
      <c r="I9" t="s">
        <v>4395</v>
      </c>
      <c r="J9" s="3" t="s">
        <v>5043</v>
      </c>
      <c r="K9" t="s">
        <v>5044</v>
      </c>
      <c r="L9" t="s">
        <v>3457</v>
      </c>
      <c r="M9" t="s">
        <v>3826</v>
      </c>
    </row>
    <row r="10" spans="1:13" ht="27.75" customHeight="1" x14ac:dyDescent="0.25">
      <c r="A10" t="s">
        <v>5045</v>
      </c>
      <c r="B10" t="s">
        <v>5022</v>
      </c>
      <c r="C10" t="s">
        <v>4362</v>
      </c>
      <c r="D10">
        <v>1</v>
      </c>
      <c r="E10">
        <v>8</v>
      </c>
      <c r="F10">
        <v>12</v>
      </c>
      <c r="G10" t="s">
        <v>3457</v>
      </c>
      <c r="H10" t="s">
        <v>90</v>
      </c>
      <c r="I10" t="s">
        <v>4395</v>
      </c>
      <c r="J10" s="3" t="s">
        <v>5046</v>
      </c>
      <c r="K10" t="s">
        <v>5047</v>
      </c>
      <c r="L10" t="s">
        <v>3457</v>
      </c>
      <c r="M10" t="s">
        <v>3826</v>
      </c>
    </row>
    <row r="11" spans="1:13" ht="27.75" customHeight="1" x14ac:dyDescent="0.25">
      <c r="A11" t="s">
        <v>3823</v>
      </c>
      <c r="B11" t="s">
        <v>5022</v>
      </c>
      <c r="C11" t="s">
        <v>4362</v>
      </c>
      <c r="D11">
        <v>4</v>
      </c>
      <c r="E11">
        <v>64</v>
      </c>
      <c r="F11">
        <v>70</v>
      </c>
      <c r="G11" t="s">
        <v>5048</v>
      </c>
      <c r="H11" t="s">
        <v>90</v>
      </c>
      <c r="I11" t="s">
        <v>4395</v>
      </c>
      <c r="J11" s="3" t="s">
        <v>5049</v>
      </c>
      <c r="K11" t="s">
        <v>3825</v>
      </c>
      <c r="L11" t="s">
        <v>3457</v>
      </c>
      <c r="M11" t="s">
        <v>3826</v>
      </c>
    </row>
    <row r="12" spans="1:13" ht="27.75" customHeight="1" x14ac:dyDescent="0.25">
      <c r="A12" t="s">
        <v>5050</v>
      </c>
      <c r="B12" t="s">
        <v>5022</v>
      </c>
      <c r="C12" t="s">
        <v>4362</v>
      </c>
      <c r="D12">
        <v>2</v>
      </c>
      <c r="E12">
        <v>28</v>
      </c>
      <c r="F12">
        <v>32</v>
      </c>
      <c r="G12" t="s">
        <v>3457</v>
      </c>
      <c r="H12" t="s">
        <v>90</v>
      </c>
      <c r="I12" t="s">
        <v>4395</v>
      </c>
      <c r="J12" s="3" t="s">
        <v>5051</v>
      </c>
      <c r="K12" t="s">
        <v>5052</v>
      </c>
      <c r="L12" t="s">
        <v>3457</v>
      </c>
      <c r="M12" t="s">
        <v>3826</v>
      </c>
    </row>
    <row r="13" spans="1:13" ht="15" customHeight="1" x14ac:dyDescent="0.25">
      <c r="A13" t="s">
        <v>5053</v>
      </c>
      <c r="B13" t="s">
        <v>5022</v>
      </c>
      <c r="C13" t="s">
        <v>4362</v>
      </c>
      <c r="D13">
        <v>1</v>
      </c>
      <c r="E13">
        <v>10</v>
      </c>
      <c r="F13">
        <v>14</v>
      </c>
      <c r="G13" t="s">
        <v>3457</v>
      </c>
      <c r="H13" t="s">
        <v>90</v>
      </c>
      <c r="I13" t="s">
        <v>4395</v>
      </c>
      <c r="J13" t="s">
        <v>5054</v>
      </c>
      <c r="K13" t="s">
        <v>5055</v>
      </c>
      <c r="L13" t="s">
        <v>3457</v>
      </c>
      <c r="M13" t="s">
        <v>3826</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5056</v>
      </c>
      <c r="C1" t="s">
        <v>3733</v>
      </c>
      <c r="D1" t="s">
        <v>5016</v>
      </c>
      <c r="E1" t="s">
        <v>1</v>
      </c>
      <c r="F1" t="s">
        <v>5017</v>
      </c>
      <c r="G1" t="s">
        <v>5018</v>
      </c>
      <c r="H1" t="s">
        <v>3986</v>
      </c>
      <c r="I1" t="s">
        <v>3734</v>
      </c>
      <c r="J1" t="s">
        <v>5057</v>
      </c>
      <c r="K1" t="s">
        <v>5058</v>
      </c>
      <c r="L1" t="s">
        <v>5059</v>
      </c>
      <c r="M1" t="s">
        <v>5060</v>
      </c>
      <c r="N1" t="s">
        <v>5061</v>
      </c>
      <c r="O1" t="s">
        <v>5062</v>
      </c>
      <c r="P1" t="s">
        <v>5063</v>
      </c>
      <c r="Q1" t="s">
        <v>5064</v>
      </c>
      <c r="R1" t="s">
        <v>5065</v>
      </c>
      <c r="S1" t="s">
        <v>3738</v>
      </c>
      <c r="T1" t="s">
        <v>3739</v>
      </c>
    </row>
    <row r="2" spans="1:20" ht="15" customHeight="1" x14ac:dyDescent="0.25">
      <c r="A2" t="s">
        <v>3746</v>
      </c>
      <c r="B2" t="s">
        <v>5066</v>
      </c>
      <c r="C2" t="s">
        <v>4362</v>
      </c>
      <c r="D2">
        <v>1</v>
      </c>
      <c r="E2" t="s">
        <v>497</v>
      </c>
      <c r="F2">
        <v>10</v>
      </c>
      <c r="G2">
        <v>15</v>
      </c>
      <c r="H2">
        <v>80</v>
      </c>
      <c r="I2">
        <v>1</v>
      </c>
      <c r="J2" t="s">
        <v>5067</v>
      </c>
      <c r="K2">
        <v>0</v>
      </c>
      <c r="L2" t="s">
        <v>5068</v>
      </c>
      <c r="M2" t="s">
        <v>5069</v>
      </c>
      <c r="N2" t="s">
        <v>3996</v>
      </c>
      <c r="O2" t="s">
        <v>5070</v>
      </c>
      <c r="R2" t="s">
        <v>5071</v>
      </c>
      <c r="T2" t="s">
        <v>3505</v>
      </c>
    </row>
    <row r="3" spans="1:20" ht="15" customHeight="1" x14ac:dyDescent="0.25">
      <c r="A3" t="s">
        <v>5072</v>
      </c>
      <c r="B3" t="s">
        <v>5073</v>
      </c>
      <c r="C3" t="s">
        <v>4362</v>
      </c>
      <c r="D3">
        <v>2</v>
      </c>
      <c r="E3" t="s">
        <v>160</v>
      </c>
      <c r="F3">
        <v>16</v>
      </c>
      <c r="G3">
        <v>20</v>
      </c>
      <c r="H3">
        <v>90</v>
      </c>
      <c r="I3">
        <v>1</v>
      </c>
      <c r="J3" t="s">
        <v>5067</v>
      </c>
      <c r="K3">
        <v>0</v>
      </c>
      <c r="L3" t="s">
        <v>5074</v>
      </c>
      <c r="M3" t="s">
        <v>5075</v>
      </c>
      <c r="N3" t="s">
        <v>3996</v>
      </c>
      <c r="Q3" t="s">
        <v>5076</v>
      </c>
      <c r="R3" t="s">
        <v>5077</v>
      </c>
      <c r="S3" t="s">
        <v>5078</v>
      </c>
    </row>
    <row r="4" spans="1:20" ht="15" customHeight="1" x14ac:dyDescent="0.25">
      <c r="A4" t="s">
        <v>5079</v>
      </c>
      <c r="B4" t="s">
        <v>5080</v>
      </c>
      <c r="C4" t="s">
        <v>4362</v>
      </c>
      <c r="D4">
        <v>0</v>
      </c>
      <c r="E4" t="s">
        <v>160</v>
      </c>
      <c r="F4">
        <v>16</v>
      </c>
      <c r="G4">
        <v>20</v>
      </c>
      <c r="H4">
        <v>60</v>
      </c>
      <c r="I4">
        <v>1</v>
      </c>
      <c r="J4" t="s">
        <v>5081</v>
      </c>
      <c r="K4">
        <v>0</v>
      </c>
      <c r="L4" t="s">
        <v>5082</v>
      </c>
      <c r="M4" t="s">
        <v>5083</v>
      </c>
      <c r="N4" t="s">
        <v>3996</v>
      </c>
      <c r="Q4" t="s">
        <v>5084</v>
      </c>
      <c r="R4" t="s">
        <v>5085</v>
      </c>
    </row>
    <row r="5" spans="1:20" ht="15" customHeight="1" x14ac:dyDescent="0.25">
      <c r="A5" t="s">
        <v>5086</v>
      </c>
      <c r="B5" t="s">
        <v>5087</v>
      </c>
      <c r="C5" t="s">
        <v>4362</v>
      </c>
      <c r="D5">
        <v>2</v>
      </c>
      <c r="E5" t="s">
        <v>160</v>
      </c>
      <c r="F5">
        <v>16</v>
      </c>
      <c r="G5">
        <v>20</v>
      </c>
      <c r="H5">
        <v>0</v>
      </c>
      <c r="I5">
        <v>1</v>
      </c>
      <c r="J5" t="s">
        <v>5088</v>
      </c>
      <c r="K5">
        <v>0</v>
      </c>
      <c r="L5" t="s">
        <v>5089</v>
      </c>
      <c r="M5" t="s">
        <v>5090</v>
      </c>
      <c r="N5" t="s">
        <v>3996</v>
      </c>
      <c r="R5" t="s">
        <v>5091</v>
      </c>
    </row>
    <row r="6" spans="1:20" ht="15" customHeight="1" x14ac:dyDescent="0.25">
      <c r="A6" t="s">
        <v>5081</v>
      </c>
      <c r="B6" t="s">
        <v>5092</v>
      </c>
      <c r="C6" t="s">
        <v>4362</v>
      </c>
      <c r="D6">
        <v>0</v>
      </c>
      <c r="E6" t="s">
        <v>160</v>
      </c>
      <c r="F6">
        <v>16</v>
      </c>
      <c r="G6">
        <v>20</v>
      </c>
      <c r="H6">
        <v>70</v>
      </c>
      <c r="I6">
        <v>1</v>
      </c>
      <c r="J6" t="s">
        <v>5081</v>
      </c>
      <c r="K6">
        <v>0</v>
      </c>
      <c r="L6" t="s">
        <v>5074</v>
      </c>
      <c r="M6" t="s">
        <v>5093</v>
      </c>
      <c r="N6" t="s">
        <v>3996</v>
      </c>
      <c r="Q6" t="s">
        <v>5094</v>
      </c>
      <c r="R6" t="s">
        <v>5095</v>
      </c>
    </row>
    <row r="7" spans="1:20" ht="15" customHeight="1" x14ac:dyDescent="0.25">
      <c r="A7" t="s">
        <v>5096</v>
      </c>
      <c r="B7" t="s">
        <v>5097</v>
      </c>
      <c r="C7" t="s">
        <v>4362</v>
      </c>
      <c r="D7">
        <v>2</v>
      </c>
      <c r="E7" t="s">
        <v>497</v>
      </c>
      <c r="F7">
        <v>12</v>
      </c>
      <c r="G7">
        <v>16</v>
      </c>
      <c r="H7">
        <v>70</v>
      </c>
      <c r="I7">
        <v>1</v>
      </c>
      <c r="J7" t="s">
        <v>5098</v>
      </c>
      <c r="K7">
        <v>6</v>
      </c>
      <c r="L7" t="s">
        <v>5099</v>
      </c>
      <c r="M7" t="s">
        <v>5100</v>
      </c>
      <c r="N7" t="s">
        <v>3996</v>
      </c>
      <c r="O7" t="s">
        <v>5070</v>
      </c>
      <c r="P7" t="s">
        <v>5101</v>
      </c>
      <c r="R7" t="s">
        <v>5071</v>
      </c>
      <c r="T7" t="s">
        <v>3505</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5006</v>
      </c>
      <c r="D1" t="s">
        <v>5102</v>
      </c>
      <c r="E1" t="s">
        <v>3495</v>
      </c>
    </row>
    <row r="2" spans="1:5" ht="15" customHeight="1" x14ac:dyDescent="0.25">
      <c r="A2" t="s">
        <v>5103</v>
      </c>
      <c r="B2" t="s">
        <v>3831</v>
      </c>
      <c r="C2" t="s">
        <v>5104</v>
      </c>
      <c r="D2" t="s">
        <v>3449</v>
      </c>
    </row>
    <row r="3" spans="1:5" ht="15" customHeight="1" x14ac:dyDescent="0.25">
      <c r="A3" t="s">
        <v>5105</v>
      </c>
      <c r="B3" t="s">
        <v>3831</v>
      </c>
      <c r="C3" t="s">
        <v>5106</v>
      </c>
      <c r="D3" t="s">
        <v>3449</v>
      </c>
    </row>
    <row r="4" spans="1:5" ht="15" customHeight="1" x14ac:dyDescent="0.25">
      <c r="A4" t="s">
        <v>5107</v>
      </c>
      <c r="B4" t="s">
        <v>3831</v>
      </c>
      <c r="C4" t="s">
        <v>3928</v>
      </c>
      <c r="D4" t="s">
        <v>5108</v>
      </c>
    </row>
    <row r="5" spans="1:5" ht="15" customHeight="1" x14ac:dyDescent="0.25">
      <c r="A5" t="s">
        <v>5109</v>
      </c>
      <c r="B5" t="s">
        <v>3831</v>
      </c>
      <c r="C5" t="s">
        <v>5110</v>
      </c>
      <c r="D5" t="s">
        <v>3449</v>
      </c>
    </row>
    <row r="6" spans="1:5" ht="15" customHeight="1" x14ac:dyDescent="0.25">
      <c r="A6" t="s">
        <v>5111</v>
      </c>
      <c r="B6" t="s">
        <v>3831</v>
      </c>
      <c r="C6" t="s">
        <v>5112</v>
      </c>
      <c r="D6" t="s">
        <v>3449</v>
      </c>
    </row>
    <row r="7" spans="1:5" ht="15" customHeight="1" x14ac:dyDescent="0.25">
      <c r="A7" t="s">
        <v>5113</v>
      </c>
      <c r="B7" t="s">
        <v>3831</v>
      </c>
      <c r="C7" t="s">
        <v>5114</v>
      </c>
      <c r="D7" t="s">
        <v>5115</v>
      </c>
    </row>
    <row r="8" spans="1:5" ht="15" customHeight="1" x14ac:dyDescent="0.25">
      <c r="A8" t="s">
        <v>5116</v>
      </c>
      <c r="B8" t="s">
        <v>3831</v>
      </c>
      <c r="C8" t="s">
        <v>5117</v>
      </c>
      <c r="D8" t="s">
        <v>5118</v>
      </c>
    </row>
    <row r="9" spans="1:5" ht="15" customHeight="1" x14ac:dyDescent="0.25">
      <c r="A9" t="s">
        <v>5119</v>
      </c>
      <c r="B9" t="s">
        <v>5120</v>
      </c>
      <c r="C9" t="s">
        <v>5121</v>
      </c>
      <c r="D9" t="s">
        <v>3457</v>
      </c>
      <c r="E9" t="s">
        <v>5122</v>
      </c>
    </row>
    <row r="10" spans="1:5" ht="15" customHeight="1" x14ac:dyDescent="0.25">
      <c r="A10" t="s">
        <v>5123</v>
      </c>
      <c r="B10" t="s">
        <v>5120</v>
      </c>
      <c r="C10" t="s">
        <v>5124</v>
      </c>
      <c r="D10" t="s">
        <v>3457</v>
      </c>
      <c r="E10" t="s">
        <v>5125</v>
      </c>
    </row>
    <row r="11" spans="1:5" ht="15" customHeight="1" x14ac:dyDescent="0.25">
      <c r="A11" t="s">
        <v>5126</v>
      </c>
      <c r="B11" t="s">
        <v>5120</v>
      </c>
      <c r="C11" t="s">
        <v>5127</v>
      </c>
      <c r="D11" t="s">
        <v>3457</v>
      </c>
      <c r="E11" t="s">
        <v>5128</v>
      </c>
    </row>
    <row r="12" spans="1:5" ht="15" customHeight="1" x14ac:dyDescent="0.25">
      <c r="A12" t="s">
        <v>5129</v>
      </c>
      <c r="B12" t="s">
        <v>3831</v>
      </c>
      <c r="C12" t="s">
        <v>5130</v>
      </c>
      <c r="D12" t="s">
        <v>5131</v>
      </c>
    </row>
    <row r="13" spans="1:5" ht="15" customHeight="1" x14ac:dyDescent="0.25">
      <c r="A13" t="s">
        <v>5132</v>
      </c>
      <c r="B13" t="s">
        <v>3831</v>
      </c>
      <c r="C13" t="s">
        <v>5133</v>
      </c>
      <c r="D13" t="s">
        <v>3449</v>
      </c>
    </row>
    <row r="14" spans="1:5" ht="15" customHeight="1" x14ac:dyDescent="0.25">
      <c r="A14" t="s">
        <v>5134</v>
      </c>
      <c r="B14" t="s">
        <v>3831</v>
      </c>
      <c r="C14" t="s">
        <v>5135</v>
      </c>
      <c r="D14" t="s">
        <v>4252</v>
      </c>
    </row>
    <row r="15" spans="1:5" ht="15" customHeight="1" x14ac:dyDescent="0.25">
      <c r="A15" t="s">
        <v>5136</v>
      </c>
      <c r="B15" t="s">
        <v>3831</v>
      </c>
      <c r="C15" t="s">
        <v>5137</v>
      </c>
      <c r="D15" t="s">
        <v>3449</v>
      </c>
    </row>
    <row r="16" spans="1:5" ht="15" customHeight="1" x14ac:dyDescent="0.25">
      <c r="A16" t="s">
        <v>5138</v>
      </c>
      <c r="B16" t="s">
        <v>5120</v>
      </c>
      <c r="C16" t="s">
        <v>5139</v>
      </c>
      <c r="D16" t="s">
        <v>3457</v>
      </c>
      <c r="E16" t="s">
        <v>5140</v>
      </c>
    </row>
    <row r="17" spans="1:4" ht="15" customHeight="1" x14ac:dyDescent="0.25">
      <c r="A17" t="s">
        <v>5141</v>
      </c>
      <c r="B17" t="s">
        <v>3831</v>
      </c>
      <c r="C17" t="s">
        <v>5142</v>
      </c>
      <c r="D17" t="s">
        <v>5143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3452</v>
      </c>
      <c r="C1" t="s">
        <v>167</v>
      </c>
      <c r="D1" t="s">
        <v>3980</v>
      </c>
      <c r="E1" t="s">
        <v>5144</v>
      </c>
      <c r="F1" t="s">
        <v>4258</v>
      </c>
      <c r="G1" t="s">
        <v>5145</v>
      </c>
      <c r="H1" t="s">
        <v>4008</v>
      </c>
      <c r="I1" t="s">
        <v>171</v>
      </c>
      <c r="J1" t="s">
        <v>6</v>
      </c>
      <c r="K1" t="s">
        <v>5146</v>
      </c>
    </row>
    <row r="2" spans="1:11" ht="15" customHeight="1" x14ac:dyDescent="0.25">
      <c r="A2" t="s">
        <v>5147</v>
      </c>
      <c r="B2" t="s">
        <v>5148</v>
      </c>
      <c r="C2" t="s">
        <v>3982</v>
      </c>
      <c r="D2" t="s">
        <v>187</v>
      </c>
      <c r="E2" t="s">
        <v>3457</v>
      </c>
      <c r="F2" t="s">
        <v>4296</v>
      </c>
      <c r="G2" t="s">
        <v>39</v>
      </c>
      <c r="H2" t="s">
        <v>4030</v>
      </c>
      <c r="I2" t="s">
        <v>5147</v>
      </c>
      <c r="J2" t="s">
        <v>3513</v>
      </c>
      <c r="K2" t="s">
        <v>3457</v>
      </c>
    </row>
    <row r="3" spans="1:11" ht="15" customHeight="1" x14ac:dyDescent="0.25">
      <c r="A3" t="s">
        <v>3520</v>
      </c>
      <c r="B3" t="s">
        <v>5149</v>
      </c>
      <c r="C3" t="s">
        <v>3738</v>
      </c>
      <c r="D3" t="s">
        <v>3996</v>
      </c>
      <c r="E3" t="s">
        <v>3457</v>
      </c>
      <c r="F3" t="s">
        <v>4296</v>
      </c>
      <c r="G3" t="s">
        <v>39</v>
      </c>
      <c r="H3" t="s">
        <v>4030</v>
      </c>
      <c r="I3" t="s">
        <v>3520</v>
      </c>
      <c r="J3" t="s">
        <v>3501</v>
      </c>
      <c r="K3" t="s">
        <v>3457</v>
      </c>
    </row>
    <row r="4" spans="1:11" ht="15" customHeight="1" x14ac:dyDescent="0.25">
      <c r="A4" t="s">
        <v>5150</v>
      </c>
      <c r="B4" t="s">
        <v>5151</v>
      </c>
      <c r="C4" t="s">
        <v>3991</v>
      </c>
      <c r="D4" t="s">
        <v>187</v>
      </c>
      <c r="E4" t="s">
        <v>3457</v>
      </c>
      <c r="F4" t="s">
        <v>5152</v>
      </c>
      <c r="G4" t="s">
        <v>39</v>
      </c>
      <c r="H4" t="s">
        <v>4013</v>
      </c>
      <c r="I4" t="s">
        <v>5150</v>
      </c>
      <c r="J4" t="s">
        <v>3513</v>
      </c>
      <c r="K4" t="s">
        <v>3457</v>
      </c>
    </row>
    <row r="5" spans="1:11" ht="15" customHeight="1" x14ac:dyDescent="0.25">
      <c r="A5" t="s">
        <v>5153</v>
      </c>
      <c r="B5" t="s">
        <v>5154</v>
      </c>
      <c r="C5" t="s">
        <v>3982</v>
      </c>
      <c r="D5" t="s">
        <v>187</v>
      </c>
      <c r="E5" t="s">
        <v>3457</v>
      </c>
      <c r="F5" t="s">
        <v>4296</v>
      </c>
      <c r="G5" t="s">
        <v>39</v>
      </c>
      <c r="H5" t="s">
        <v>4030</v>
      </c>
      <c r="I5" t="s">
        <v>5155</v>
      </c>
      <c r="J5" t="s">
        <v>3501</v>
      </c>
      <c r="K5" t="s">
        <v>3457</v>
      </c>
    </row>
    <row r="6" spans="1:11" ht="15" customHeight="1" x14ac:dyDescent="0.25">
      <c r="A6" t="s">
        <v>5156</v>
      </c>
      <c r="B6" t="s">
        <v>5157</v>
      </c>
      <c r="C6" t="s">
        <v>3991</v>
      </c>
      <c r="D6" t="s">
        <v>187</v>
      </c>
      <c r="E6" t="s">
        <v>3457</v>
      </c>
      <c r="F6" t="s">
        <v>5158</v>
      </c>
      <c r="G6" t="s">
        <v>39</v>
      </c>
      <c r="H6" t="s">
        <v>4013</v>
      </c>
      <c r="I6" t="s">
        <v>5156</v>
      </c>
      <c r="J6" t="s">
        <v>41</v>
      </c>
      <c r="K6" t="s">
        <v>3457</v>
      </c>
    </row>
    <row r="7" spans="1:11" ht="15" customHeight="1" x14ac:dyDescent="0.25">
      <c r="A7" t="s">
        <v>5159</v>
      </c>
      <c r="B7" t="s">
        <v>5160</v>
      </c>
      <c r="C7" t="s">
        <v>3982</v>
      </c>
      <c r="D7" t="s">
        <v>187</v>
      </c>
      <c r="E7" t="s">
        <v>3457</v>
      </c>
      <c r="F7" t="s">
        <v>5158</v>
      </c>
      <c r="G7" t="s">
        <v>39</v>
      </c>
      <c r="H7" t="s">
        <v>4030</v>
      </c>
      <c r="I7" t="s">
        <v>5159</v>
      </c>
      <c r="J7" t="s">
        <v>3501</v>
      </c>
      <c r="K7" t="s">
        <v>3457</v>
      </c>
    </row>
    <row r="8" spans="1:11" ht="15" customHeight="1" x14ac:dyDescent="0.25">
      <c r="A8" t="s">
        <v>5161</v>
      </c>
      <c r="B8" t="s">
        <v>5162</v>
      </c>
      <c r="C8" t="s">
        <v>3982</v>
      </c>
      <c r="D8" t="s">
        <v>187</v>
      </c>
      <c r="E8" t="s">
        <v>3457</v>
      </c>
      <c r="F8" t="s">
        <v>4296</v>
      </c>
      <c r="G8" t="s">
        <v>39</v>
      </c>
      <c r="H8" t="s">
        <v>4030</v>
      </c>
      <c r="I8" t="s">
        <v>5161</v>
      </c>
      <c r="J8" t="s">
        <v>41</v>
      </c>
      <c r="K8" t="s">
        <v>3457</v>
      </c>
    </row>
    <row r="9" spans="1:11" ht="15" customHeight="1" x14ac:dyDescent="0.25">
      <c r="A9" t="s">
        <v>5163</v>
      </c>
      <c r="B9" t="s">
        <v>5164</v>
      </c>
      <c r="C9" t="s">
        <v>3991</v>
      </c>
      <c r="D9" t="s">
        <v>187</v>
      </c>
      <c r="E9" t="s">
        <v>3457</v>
      </c>
      <c r="F9" t="s">
        <v>4296</v>
      </c>
      <c r="G9" t="s">
        <v>39</v>
      </c>
      <c r="H9" t="s">
        <v>4013</v>
      </c>
      <c r="I9" t="s">
        <v>5163</v>
      </c>
      <c r="J9" t="s">
        <v>41</v>
      </c>
      <c r="K9" t="s">
        <v>3457</v>
      </c>
    </row>
    <row r="10" spans="1:11" ht="15" customHeight="1" x14ac:dyDescent="0.25">
      <c r="A10" t="s">
        <v>5165</v>
      </c>
      <c r="B10" t="s">
        <v>5166</v>
      </c>
      <c r="C10" t="s">
        <v>3982</v>
      </c>
      <c r="D10" t="s">
        <v>187</v>
      </c>
      <c r="E10" t="s">
        <v>3457</v>
      </c>
      <c r="F10" t="s">
        <v>5167</v>
      </c>
      <c r="G10" t="s">
        <v>39</v>
      </c>
      <c r="H10" t="s">
        <v>4030</v>
      </c>
      <c r="I10" t="s">
        <v>5165</v>
      </c>
      <c r="J10" t="s">
        <v>3501</v>
      </c>
      <c r="K10" t="s">
        <v>3457</v>
      </c>
    </row>
    <row r="11" spans="1:11" ht="15" customHeight="1" x14ac:dyDescent="0.25">
      <c r="A11" t="s">
        <v>4001</v>
      </c>
      <c r="B11" t="s">
        <v>5168</v>
      </c>
      <c r="C11" t="s">
        <v>3991</v>
      </c>
      <c r="D11" t="s">
        <v>187</v>
      </c>
      <c r="E11" t="s">
        <v>3457</v>
      </c>
      <c r="F11" t="s">
        <v>5158</v>
      </c>
      <c r="G11" t="s">
        <v>39</v>
      </c>
      <c r="H11" t="s">
        <v>4013</v>
      </c>
      <c r="I11" t="s">
        <v>4001</v>
      </c>
      <c r="J11" t="s">
        <v>41</v>
      </c>
      <c r="K11" t="s">
        <v>3457</v>
      </c>
    </row>
    <row r="12" spans="1:11" ht="15" customHeight="1" x14ac:dyDescent="0.25">
      <c r="A12" t="s">
        <v>5169</v>
      </c>
      <c r="B12" t="s">
        <v>5170</v>
      </c>
      <c r="C12" t="s">
        <v>3982</v>
      </c>
      <c r="D12" t="s">
        <v>187</v>
      </c>
      <c r="E12" t="s">
        <v>3457</v>
      </c>
      <c r="F12" t="s">
        <v>5171</v>
      </c>
      <c r="G12" t="s">
        <v>5172</v>
      </c>
      <c r="H12" t="s">
        <v>4030</v>
      </c>
      <c r="I12" t="s">
        <v>5169</v>
      </c>
      <c r="J12" t="s">
        <v>3501</v>
      </c>
      <c r="K12" t="s">
        <v>3457</v>
      </c>
    </row>
    <row r="13" spans="1:11" ht="15" customHeight="1" x14ac:dyDescent="0.25">
      <c r="A13" t="s">
        <v>5173</v>
      </c>
      <c r="B13" t="s">
        <v>5174</v>
      </c>
      <c r="C13" t="s">
        <v>3991</v>
      </c>
      <c r="D13" t="s">
        <v>187</v>
      </c>
      <c r="E13" t="s">
        <v>3457</v>
      </c>
      <c r="F13" t="s">
        <v>5171</v>
      </c>
      <c r="G13" t="s">
        <v>5175</v>
      </c>
      <c r="H13" t="s">
        <v>4013</v>
      </c>
      <c r="I13" t="s">
        <v>5173</v>
      </c>
      <c r="J13" t="s">
        <v>3457</v>
      </c>
      <c r="K13" t="s">
        <v>3457</v>
      </c>
    </row>
    <row r="14" spans="1:11" ht="15" customHeight="1" x14ac:dyDescent="0.25">
      <c r="A14" t="s">
        <v>5176</v>
      </c>
      <c r="B14" t="s">
        <v>5177</v>
      </c>
      <c r="C14" t="s">
        <v>3991</v>
      </c>
      <c r="D14" t="s">
        <v>187</v>
      </c>
      <c r="E14" t="s">
        <v>3457</v>
      </c>
      <c r="F14" t="s">
        <v>5158</v>
      </c>
      <c r="G14" t="s">
        <v>5172</v>
      </c>
      <c r="H14" t="s">
        <v>4013</v>
      </c>
      <c r="I14" t="s">
        <v>5176</v>
      </c>
      <c r="J14" t="s">
        <v>3457</v>
      </c>
      <c r="K14" t="s">
        <v>3457</v>
      </c>
    </row>
    <row r="15" spans="1:11" ht="15" customHeight="1" x14ac:dyDescent="0.25">
      <c r="A15" t="s">
        <v>5178</v>
      </c>
      <c r="B15" t="s">
        <v>5179</v>
      </c>
      <c r="C15" t="s">
        <v>3991</v>
      </c>
      <c r="D15" t="s">
        <v>187</v>
      </c>
      <c r="E15" t="s">
        <v>3457</v>
      </c>
      <c r="F15" t="s">
        <v>4296</v>
      </c>
      <c r="G15" t="s">
        <v>5175</v>
      </c>
      <c r="H15" t="s">
        <v>4013</v>
      </c>
      <c r="I15" t="s">
        <v>5180</v>
      </c>
      <c r="J15" t="s">
        <v>3457</v>
      </c>
      <c r="K15" t="s">
        <v>3457</v>
      </c>
    </row>
    <row r="16" spans="1:11" ht="15" customHeight="1" x14ac:dyDescent="0.25">
      <c r="A16" t="s">
        <v>5181</v>
      </c>
      <c r="B16" t="s">
        <v>5182</v>
      </c>
      <c r="C16" t="s">
        <v>3738</v>
      </c>
      <c r="D16" t="s">
        <v>3996</v>
      </c>
      <c r="E16" t="s">
        <v>3457</v>
      </c>
      <c r="F16" t="s">
        <v>4296</v>
      </c>
      <c r="G16" t="s">
        <v>39</v>
      </c>
      <c r="H16" t="s">
        <v>4030</v>
      </c>
      <c r="I16" t="s">
        <v>5183</v>
      </c>
      <c r="J16" t="s">
        <v>3457</v>
      </c>
      <c r="K16" t="s">
        <v>3457</v>
      </c>
    </row>
    <row r="17" spans="1:11" ht="15" customHeight="1" x14ac:dyDescent="0.25">
      <c r="A17" t="s">
        <v>3511</v>
      </c>
      <c r="B17" t="s">
        <v>5184</v>
      </c>
      <c r="C17" t="s">
        <v>3982</v>
      </c>
      <c r="D17" t="s">
        <v>187</v>
      </c>
      <c r="E17" t="s">
        <v>3457</v>
      </c>
      <c r="F17" t="s">
        <v>4296</v>
      </c>
      <c r="G17" t="s">
        <v>39</v>
      </c>
      <c r="H17" t="s">
        <v>4030</v>
      </c>
      <c r="I17" t="s">
        <v>3511</v>
      </c>
      <c r="J17" t="s">
        <v>3513</v>
      </c>
      <c r="K17" t="s">
        <v>3457</v>
      </c>
    </row>
    <row r="18" spans="1:11" ht="15" customHeight="1" x14ac:dyDescent="0.25">
      <c r="A18" t="s">
        <v>5185</v>
      </c>
      <c r="B18" t="s">
        <v>5186</v>
      </c>
      <c r="C18" t="s">
        <v>3982</v>
      </c>
      <c r="D18" t="s">
        <v>187</v>
      </c>
      <c r="E18" t="s">
        <v>3457</v>
      </c>
      <c r="F18" t="s">
        <v>5187</v>
      </c>
      <c r="G18" t="s">
        <v>39</v>
      </c>
      <c r="H18" t="s">
        <v>4030</v>
      </c>
      <c r="I18" t="s">
        <v>5185</v>
      </c>
      <c r="J18" t="s">
        <v>3501</v>
      </c>
      <c r="K18" t="s">
        <v>3457</v>
      </c>
    </row>
    <row r="19" spans="1:11" ht="15" customHeight="1" x14ac:dyDescent="0.25">
      <c r="A19" t="s">
        <v>5188</v>
      </c>
      <c r="B19" t="s">
        <v>5189</v>
      </c>
      <c r="C19" t="s">
        <v>3991</v>
      </c>
      <c r="D19" t="s">
        <v>187</v>
      </c>
      <c r="E19" t="s">
        <v>3457</v>
      </c>
      <c r="F19" t="s">
        <v>4296</v>
      </c>
      <c r="G19" t="s">
        <v>39</v>
      </c>
      <c r="H19" t="s">
        <v>4013</v>
      </c>
      <c r="I19" t="s">
        <v>5188</v>
      </c>
      <c r="J19" t="s">
        <v>3513</v>
      </c>
      <c r="K19" t="s">
        <v>3457</v>
      </c>
    </row>
    <row r="20" spans="1:11" ht="15" customHeight="1" x14ac:dyDescent="0.25">
      <c r="A20" t="s">
        <v>5190</v>
      </c>
      <c r="B20" t="s">
        <v>5191</v>
      </c>
      <c r="C20" t="s">
        <v>3982</v>
      </c>
      <c r="D20" t="s">
        <v>187</v>
      </c>
      <c r="E20" t="s">
        <v>3457</v>
      </c>
      <c r="F20" t="s">
        <v>5158</v>
      </c>
      <c r="G20" t="s">
        <v>5172</v>
      </c>
      <c r="H20" t="s">
        <v>4030</v>
      </c>
      <c r="I20" t="s">
        <v>5192</v>
      </c>
      <c r="J20" t="s">
        <v>3501</v>
      </c>
      <c r="K20" t="s">
        <v>3457</v>
      </c>
    </row>
    <row r="21" spans="1:11" ht="15" customHeight="1" x14ac:dyDescent="0.25">
      <c r="A21" t="s">
        <v>5193</v>
      </c>
      <c r="B21" t="s">
        <v>5194</v>
      </c>
      <c r="C21" t="s">
        <v>3991</v>
      </c>
      <c r="D21" t="s">
        <v>187</v>
      </c>
      <c r="E21" t="s">
        <v>3457</v>
      </c>
      <c r="F21" t="s">
        <v>5158</v>
      </c>
      <c r="G21" t="s">
        <v>39</v>
      </c>
      <c r="H21" t="s">
        <v>4013</v>
      </c>
      <c r="I21" t="s">
        <v>5193</v>
      </c>
      <c r="J21" t="s">
        <v>3501</v>
      </c>
      <c r="K21" t="s">
        <v>3457</v>
      </c>
    </row>
    <row r="22" spans="1:11" ht="15" customHeight="1" x14ac:dyDescent="0.25">
      <c r="A22" t="s">
        <v>5195</v>
      </c>
      <c r="B22" t="s">
        <v>5196</v>
      </c>
      <c r="C22" t="s">
        <v>3738</v>
      </c>
      <c r="D22" t="s">
        <v>187</v>
      </c>
      <c r="E22" t="s">
        <v>3457</v>
      </c>
      <c r="F22" t="s">
        <v>4296</v>
      </c>
      <c r="G22" t="s">
        <v>5172</v>
      </c>
      <c r="H22" t="s">
        <v>4030</v>
      </c>
      <c r="I22" t="s">
        <v>5195</v>
      </c>
      <c r="J22" t="s">
        <v>3457</v>
      </c>
      <c r="K22" t="s">
        <v>3457</v>
      </c>
    </row>
    <row r="23" spans="1:11" ht="15" customHeight="1" x14ac:dyDescent="0.25">
      <c r="A23" t="s">
        <v>5197</v>
      </c>
      <c r="B23" t="s">
        <v>5198</v>
      </c>
      <c r="C23" t="s">
        <v>3738</v>
      </c>
      <c r="D23" t="s">
        <v>187</v>
      </c>
      <c r="E23" t="s">
        <v>3457</v>
      </c>
      <c r="F23" t="s">
        <v>4296</v>
      </c>
      <c r="G23" t="s">
        <v>5172</v>
      </c>
      <c r="H23" t="s">
        <v>4030</v>
      </c>
      <c r="I23" t="s">
        <v>5197</v>
      </c>
      <c r="J23" t="s">
        <v>3457</v>
      </c>
      <c r="K23" t="s">
        <v>3457</v>
      </c>
    </row>
    <row r="24" spans="1:11" ht="15" customHeight="1" x14ac:dyDescent="0.25">
      <c r="A24" t="s">
        <v>5199</v>
      </c>
      <c r="B24" t="s">
        <v>5200</v>
      </c>
      <c r="C24" t="s">
        <v>3991</v>
      </c>
      <c r="D24" t="s">
        <v>187</v>
      </c>
      <c r="E24" t="s">
        <v>3457</v>
      </c>
      <c r="F24" t="s">
        <v>5158</v>
      </c>
      <c r="G24" t="s">
        <v>39</v>
      </c>
      <c r="H24" t="s">
        <v>4013</v>
      </c>
      <c r="I24" t="s">
        <v>5201</v>
      </c>
      <c r="J24" t="s">
        <v>3457</v>
      </c>
      <c r="K24" t="s">
        <v>3457</v>
      </c>
    </row>
    <row r="25" spans="1:11" ht="15" customHeight="1" x14ac:dyDescent="0.25">
      <c r="A25" t="s">
        <v>5202</v>
      </c>
      <c r="B25" t="s">
        <v>5203</v>
      </c>
      <c r="C25" t="s">
        <v>3991</v>
      </c>
      <c r="D25" t="s">
        <v>187</v>
      </c>
      <c r="E25" t="s">
        <v>3457</v>
      </c>
      <c r="F25" t="s">
        <v>5204</v>
      </c>
      <c r="G25" t="s">
        <v>5172</v>
      </c>
      <c r="H25" t="s">
        <v>4013</v>
      </c>
      <c r="I25" t="s">
        <v>5202</v>
      </c>
      <c r="J25" t="s">
        <v>3513</v>
      </c>
      <c r="K25" t="s">
        <v>3457</v>
      </c>
    </row>
    <row r="26" spans="1:11" ht="15" customHeight="1" x14ac:dyDescent="0.25">
      <c r="A26" t="s">
        <v>5205</v>
      </c>
      <c r="B26" t="s">
        <v>5206</v>
      </c>
      <c r="C26" t="s">
        <v>3738</v>
      </c>
      <c r="D26" t="s">
        <v>187</v>
      </c>
      <c r="E26" t="s">
        <v>3457</v>
      </c>
      <c r="F26" t="s">
        <v>4296</v>
      </c>
      <c r="G26" t="s">
        <v>5172</v>
      </c>
      <c r="H26" t="s">
        <v>4030</v>
      </c>
      <c r="I26" t="s">
        <v>5207</v>
      </c>
      <c r="J26" t="s">
        <v>3457</v>
      </c>
      <c r="K26" t="s">
        <v>3457</v>
      </c>
    </row>
    <row r="27" spans="1:11" ht="15" customHeight="1" x14ac:dyDescent="0.25">
      <c r="A27" t="s">
        <v>5208</v>
      </c>
      <c r="B27" t="s">
        <v>5209</v>
      </c>
      <c r="C27" t="s">
        <v>3738</v>
      </c>
      <c r="D27" t="s">
        <v>187</v>
      </c>
      <c r="E27" t="s">
        <v>3457</v>
      </c>
      <c r="F27" t="s">
        <v>4296</v>
      </c>
      <c r="G27" t="s">
        <v>5172</v>
      </c>
      <c r="H27" t="s">
        <v>4030</v>
      </c>
      <c r="I27" t="s">
        <v>5210</v>
      </c>
      <c r="J27" t="s">
        <v>3457</v>
      </c>
      <c r="K27" t="s">
        <v>3457</v>
      </c>
    </row>
    <row r="28" spans="1:11" ht="15" customHeight="1" x14ac:dyDescent="0.25">
      <c r="A28" t="s">
        <v>5211</v>
      </c>
      <c r="B28" t="s">
        <v>5212</v>
      </c>
      <c r="C28" t="s">
        <v>3982</v>
      </c>
      <c r="D28" t="s">
        <v>187</v>
      </c>
      <c r="E28" t="s">
        <v>3457</v>
      </c>
      <c r="F28" t="s">
        <v>5171</v>
      </c>
      <c r="G28" t="s">
        <v>39</v>
      </c>
      <c r="H28" t="s">
        <v>4030</v>
      </c>
      <c r="I28" t="s">
        <v>5213</v>
      </c>
      <c r="J28" t="s">
        <v>3513</v>
      </c>
      <c r="K28" t="s">
        <v>3457</v>
      </c>
    </row>
    <row r="29" spans="1:11" ht="15" customHeight="1" x14ac:dyDescent="0.25">
      <c r="A29" t="s">
        <v>5214</v>
      </c>
      <c r="B29" t="s">
        <v>5215</v>
      </c>
      <c r="C29" t="s">
        <v>3738</v>
      </c>
      <c r="D29" t="s">
        <v>3996</v>
      </c>
      <c r="E29" t="s">
        <v>3457</v>
      </c>
      <c r="F29" t="s">
        <v>5216</v>
      </c>
      <c r="G29" t="s">
        <v>5175</v>
      </c>
      <c r="H29" t="s">
        <v>4013</v>
      </c>
      <c r="I29" t="s">
        <v>5214</v>
      </c>
      <c r="J29" t="s">
        <v>3457</v>
      </c>
      <c r="K29" t="s">
        <v>3457</v>
      </c>
    </row>
    <row r="30" spans="1:11" ht="15" customHeight="1" x14ac:dyDescent="0.25">
      <c r="A30" t="s">
        <v>5217</v>
      </c>
      <c r="B30" t="s">
        <v>5218</v>
      </c>
      <c r="C30" t="s">
        <v>3738</v>
      </c>
      <c r="D30" t="s">
        <v>3996</v>
      </c>
      <c r="E30" t="s">
        <v>3457</v>
      </c>
      <c r="F30" t="s">
        <v>4296</v>
      </c>
      <c r="G30" t="s">
        <v>5175</v>
      </c>
      <c r="H30" t="s">
        <v>4041</v>
      </c>
      <c r="I30" t="s">
        <v>5217</v>
      </c>
      <c r="J30" t="s">
        <v>3457</v>
      </c>
      <c r="K30" t="s">
        <v>3457</v>
      </c>
    </row>
    <row r="31" spans="1:11" ht="15" customHeight="1" x14ac:dyDescent="0.25">
      <c r="A31" t="s">
        <v>5219</v>
      </c>
      <c r="B31" t="s">
        <v>5220</v>
      </c>
      <c r="C31" t="s">
        <v>3991</v>
      </c>
      <c r="D31" t="s">
        <v>187</v>
      </c>
      <c r="E31" t="s">
        <v>3457</v>
      </c>
      <c r="F31" t="s">
        <v>5158</v>
      </c>
      <c r="G31" t="s">
        <v>5172</v>
      </c>
      <c r="H31" t="s">
        <v>4013</v>
      </c>
      <c r="I31" t="s">
        <v>5219</v>
      </c>
      <c r="J31" t="s">
        <v>41</v>
      </c>
      <c r="K31" t="s">
        <v>3457</v>
      </c>
    </row>
    <row r="32" spans="1:11" ht="15" customHeight="1" x14ac:dyDescent="0.25">
      <c r="A32" t="s">
        <v>5221</v>
      </c>
      <c r="B32" t="s">
        <v>5222</v>
      </c>
      <c r="C32" t="s">
        <v>3982</v>
      </c>
      <c r="D32" t="s">
        <v>187</v>
      </c>
      <c r="E32" t="s">
        <v>3457</v>
      </c>
      <c r="F32" t="s">
        <v>5158</v>
      </c>
      <c r="G32" t="s">
        <v>39</v>
      </c>
      <c r="H32" t="s">
        <v>4030</v>
      </c>
      <c r="I32" t="s">
        <v>5221</v>
      </c>
      <c r="J32" t="s">
        <v>3501</v>
      </c>
      <c r="K32" t="s">
        <v>3457</v>
      </c>
    </row>
    <row r="33" spans="1:11" ht="15" customHeight="1" x14ac:dyDescent="0.25">
      <c r="A33" t="s">
        <v>5223</v>
      </c>
      <c r="B33" t="s">
        <v>5224</v>
      </c>
      <c r="C33" t="s">
        <v>3991</v>
      </c>
      <c r="D33" t="s">
        <v>187</v>
      </c>
      <c r="E33" t="s">
        <v>3457</v>
      </c>
      <c r="F33" t="s">
        <v>4296</v>
      </c>
      <c r="G33" t="s">
        <v>39</v>
      </c>
      <c r="H33" t="s">
        <v>4013</v>
      </c>
      <c r="I33" t="s">
        <v>5223</v>
      </c>
      <c r="J33" t="s">
        <v>3513</v>
      </c>
      <c r="K33" t="s">
        <v>3457</v>
      </c>
    </row>
    <row r="34" spans="1:11" ht="15" customHeight="1" x14ac:dyDescent="0.25">
      <c r="A34" t="s">
        <v>5225</v>
      </c>
      <c r="B34" t="s">
        <v>5226</v>
      </c>
      <c r="C34" t="s">
        <v>3738</v>
      </c>
      <c r="D34" t="s">
        <v>3996</v>
      </c>
      <c r="E34" t="s">
        <v>3457</v>
      </c>
      <c r="F34" t="s">
        <v>4296</v>
      </c>
      <c r="G34" t="s">
        <v>5175</v>
      </c>
      <c r="H34" t="s">
        <v>4030</v>
      </c>
      <c r="I34" t="s">
        <v>5227</v>
      </c>
      <c r="J34" t="s">
        <v>3457</v>
      </c>
      <c r="K34" t="s">
        <v>3457</v>
      </c>
    </row>
    <row r="35" spans="1:11" ht="15" customHeight="1" x14ac:dyDescent="0.25">
      <c r="A35" t="s">
        <v>5228</v>
      </c>
      <c r="B35" t="s">
        <v>5229</v>
      </c>
      <c r="C35" t="s">
        <v>3982</v>
      </c>
      <c r="D35" t="s">
        <v>5230</v>
      </c>
      <c r="E35" t="s">
        <v>3457</v>
      </c>
      <c r="F35" t="s">
        <v>5231</v>
      </c>
      <c r="G35" t="s">
        <v>5172</v>
      </c>
      <c r="H35" t="s">
        <v>4030</v>
      </c>
      <c r="I35" t="s">
        <v>5232</v>
      </c>
      <c r="J35" t="s">
        <v>41</v>
      </c>
      <c r="K35" t="s">
        <v>3457</v>
      </c>
    </row>
    <row r="36" spans="1:11" ht="15" customHeight="1" x14ac:dyDescent="0.25">
      <c r="A36" t="s">
        <v>5233</v>
      </c>
      <c r="B36" t="s">
        <v>5234</v>
      </c>
      <c r="C36" t="s">
        <v>3982</v>
      </c>
      <c r="D36" t="s">
        <v>5230</v>
      </c>
      <c r="E36" t="s">
        <v>3457</v>
      </c>
      <c r="F36" t="s">
        <v>5231</v>
      </c>
      <c r="G36" t="s">
        <v>5172</v>
      </c>
      <c r="H36" t="s">
        <v>4030</v>
      </c>
      <c r="I36" t="s">
        <v>5235</v>
      </c>
      <c r="J36" t="s">
        <v>3501</v>
      </c>
      <c r="K36" t="s">
        <v>3457</v>
      </c>
    </row>
    <row r="37" spans="1:11" ht="15" customHeight="1" x14ac:dyDescent="0.25">
      <c r="A37" t="s">
        <v>5236</v>
      </c>
      <c r="B37" t="s">
        <v>5237</v>
      </c>
      <c r="C37" t="s">
        <v>3982</v>
      </c>
      <c r="D37" t="s">
        <v>5230</v>
      </c>
      <c r="E37" t="s">
        <v>3457</v>
      </c>
      <c r="F37" t="s">
        <v>5231</v>
      </c>
      <c r="G37" t="s">
        <v>5172</v>
      </c>
      <c r="H37" t="s">
        <v>4030</v>
      </c>
      <c r="I37" t="s">
        <v>5238</v>
      </c>
      <c r="J37" t="s">
        <v>3501</v>
      </c>
      <c r="K37" t="s">
        <v>3457</v>
      </c>
    </row>
    <row r="38" spans="1:11" ht="15" customHeight="1" x14ac:dyDescent="0.25">
      <c r="A38" t="s">
        <v>5239</v>
      </c>
      <c r="B38" t="s">
        <v>5240</v>
      </c>
      <c r="C38" t="s">
        <v>3991</v>
      </c>
      <c r="D38" t="s">
        <v>3996</v>
      </c>
      <c r="E38" t="s">
        <v>3457</v>
      </c>
      <c r="F38" t="s">
        <v>5158</v>
      </c>
      <c r="G38" t="s">
        <v>5172</v>
      </c>
      <c r="H38" t="s">
        <v>4013</v>
      </c>
      <c r="I38" t="s">
        <v>5241</v>
      </c>
      <c r="J38" t="s">
        <v>3457</v>
      </c>
      <c r="K38" t="s">
        <v>3457</v>
      </c>
    </row>
    <row r="39" spans="1:11" ht="15" customHeight="1" x14ac:dyDescent="0.25">
      <c r="A39" t="s">
        <v>5242</v>
      </c>
      <c r="B39" t="s">
        <v>5243</v>
      </c>
      <c r="C39" t="s">
        <v>3991</v>
      </c>
      <c r="D39" t="s">
        <v>187</v>
      </c>
      <c r="E39" t="s">
        <v>3457</v>
      </c>
      <c r="F39" t="s">
        <v>5158</v>
      </c>
      <c r="G39" t="s">
        <v>39</v>
      </c>
      <c r="H39" t="s">
        <v>4013</v>
      </c>
      <c r="I39" t="s">
        <v>5242</v>
      </c>
      <c r="J39" t="s">
        <v>3457</v>
      </c>
      <c r="K39" t="s">
        <v>3457</v>
      </c>
    </row>
    <row r="40" spans="1:11" ht="15" customHeight="1" x14ac:dyDescent="0.25">
      <c r="A40" t="s">
        <v>5244</v>
      </c>
      <c r="B40" t="s">
        <v>5245</v>
      </c>
      <c r="C40" t="s">
        <v>3982</v>
      </c>
      <c r="D40" t="s">
        <v>187</v>
      </c>
      <c r="E40" t="s">
        <v>3457</v>
      </c>
      <c r="F40" t="s">
        <v>4296</v>
      </c>
      <c r="G40" t="s">
        <v>39</v>
      </c>
      <c r="H40" t="s">
        <v>4030</v>
      </c>
      <c r="I40" t="s">
        <v>5244</v>
      </c>
      <c r="J40" t="s">
        <v>3501</v>
      </c>
      <c r="K40" t="s">
        <v>3457</v>
      </c>
    </row>
    <row r="41" spans="1:11" ht="15" customHeight="1" x14ac:dyDescent="0.25">
      <c r="A41" t="s">
        <v>5246</v>
      </c>
      <c r="B41" t="s">
        <v>5247</v>
      </c>
      <c r="C41" t="s">
        <v>3738</v>
      </c>
      <c r="D41" t="s">
        <v>3996</v>
      </c>
      <c r="E41" t="s">
        <v>3457</v>
      </c>
      <c r="F41" t="s">
        <v>4296</v>
      </c>
      <c r="G41" t="s">
        <v>5175</v>
      </c>
      <c r="H41" t="s">
        <v>4041</v>
      </c>
      <c r="I41" t="s">
        <v>5248</v>
      </c>
      <c r="J41" t="s">
        <v>3457</v>
      </c>
      <c r="K41" t="s">
        <v>3457</v>
      </c>
    </row>
    <row r="42" spans="1:11" ht="15" customHeight="1" x14ac:dyDescent="0.25">
      <c r="A42" t="s">
        <v>5249</v>
      </c>
      <c r="B42" t="s">
        <v>5250</v>
      </c>
      <c r="C42" t="s">
        <v>3982</v>
      </c>
      <c r="D42" t="s">
        <v>187</v>
      </c>
      <c r="E42" t="s">
        <v>3457</v>
      </c>
      <c r="F42" t="s">
        <v>5251</v>
      </c>
      <c r="G42" t="s">
        <v>39</v>
      </c>
      <c r="H42" t="s">
        <v>4030</v>
      </c>
      <c r="I42" t="s">
        <v>5252</v>
      </c>
      <c r="J42" t="s">
        <v>3513</v>
      </c>
      <c r="K42" t="s">
        <v>3457</v>
      </c>
    </row>
    <row r="43" spans="1:11" ht="15" customHeight="1" x14ac:dyDescent="0.25">
      <c r="A43" t="s">
        <v>5253</v>
      </c>
      <c r="B43" t="s">
        <v>5254</v>
      </c>
      <c r="C43" t="s">
        <v>3991</v>
      </c>
      <c r="D43" t="s">
        <v>187</v>
      </c>
      <c r="E43" t="s">
        <v>3457</v>
      </c>
      <c r="F43" t="s">
        <v>5255</v>
      </c>
      <c r="G43" t="s">
        <v>39</v>
      </c>
      <c r="H43" t="s">
        <v>4013</v>
      </c>
      <c r="I43" t="s">
        <v>5253</v>
      </c>
      <c r="J43" t="s">
        <v>41</v>
      </c>
      <c r="K43" t="s">
        <v>3457</v>
      </c>
    </row>
    <row r="44" spans="1:11" ht="15" customHeight="1" x14ac:dyDescent="0.25">
      <c r="A44" t="s">
        <v>4596</v>
      </c>
      <c r="B44" t="s">
        <v>5256</v>
      </c>
      <c r="C44" t="s">
        <v>3982</v>
      </c>
      <c r="D44" t="s">
        <v>187</v>
      </c>
      <c r="E44" t="s">
        <v>3457</v>
      </c>
      <c r="F44" t="s">
        <v>4296</v>
      </c>
      <c r="G44" t="s">
        <v>39</v>
      </c>
      <c r="H44" t="s">
        <v>4030</v>
      </c>
      <c r="I44" t="s">
        <v>4596</v>
      </c>
      <c r="J44" t="s">
        <v>3513</v>
      </c>
      <c r="K44" t="s">
        <v>3457</v>
      </c>
    </row>
    <row r="45" spans="1:11" ht="15" customHeight="1" x14ac:dyDescent="0.25">
      <c r="A45" t="s">
        <v>5257</v>
      </c>
      <c r="B45" t="s">
        <v>5258</v>
      </c>
      <c r="C45" t="s">
        <v>3982</v>
      </c>
      <c r="D45" t="s">
        <v>187</v>
      </c>
      <c r="E45" t="s">
        <v>3457</v>
      </c>
      <c r="F45" t="s">
        <v>5158</v>
      </c>
      <c r="G45" t="s">
        <v>39</v>
      </c>
      <c r="H45" t="s">
        <v>4030</v>
      </c>
      <c r="I45" t="s">
        <v>5257</v>
      </c>
      <c r="J45" t="s">
        <v>3513</v>
      </c>
      <c r="K45" t="s">
        <v>3457</v>
      </c>
    </row>
    <row r="46" spans="1:11" ht="15" customHeight="1" x14ac:dyDescent="0.25">
      <c r="A46" t="s">
        <v>5259</v>
      </c>
      <c r="B46" t="s">
        <v>5260</v>
      </c>
      <c r="C46" t="s">
        <v>3738</v>
      </c>
      <c r="D46" t="s">
        <v>3996</v>
      </c>
      <c r="E46" t="s">
        <v>3457</v>
      </c>
      <c r="F46" t="s">
        <v>4296</v>
      </c>
      <c r="G46" t="s">
        <v>5175</v>
      </c>
      <c r="H46" t="s">
        <v>4041</v>
      </c>
      <c r="I46" t="s">
        <v>5259</v>
      </c>
      <c r="J46" t="s">
        <v>3457</v>
      </c>
      <c r="K46" t="s">
        <v>3457</v>
      </c>
    </row>
    <row r="47" spans="1:11" ht="15" customHeight="1" x14ac:dyDescent="0.25">
      <c r="A47" t="s">
        <v>5261</v>
      </c>
      <c r="B47" t="s">
        <v>5262</v>
      </c>
      <c r="C47" t="s">
        <v>3982</v>
      </c>
      <c r="D47" t="s">
        <v>187</v>
      </c>
      <c r="E47" t="s">
        <v>3457</v>
      </c>
      <c r="F47" t="s">
        <v>4296</v>
      </c>
      <c r="G47" t="s">
        <v>39</v>
      </c>
      <c r="H47" t="s">
        <v>4030</v>
      </c>
      <c r="I47" t="s">
        <v>5261</v>
      </c>
      <c r="J47" t="s">
        <v>3501</v>
      </c>
      <c r="K47" t="s">
        <v>3457</v>
      </c>
    </row>
    <row r="48" spans="1:11" ht="15" customHeight="1" x14ac:dyDescent="0.25">
      <c r="A48" t="s">
        <v>5263</v>
      </c>
      <c r="B48" t="s">
        <v>5264</v>
      </c>
      <c r="C48" t="s">
        <v>3991</v>
      </c>
      <c r="D48" t="s">
        <v>187</v>
      </c>
      <c r="E48" t="s">
        <v>3457</v>
      </c>
      <c r="F48" t="s">
        <v>5265</v>
      </c>
      <c r="G48" t="s">
        <v>39</v>
      </c>
      <c r="H48" t="s">
        <v>4013</v>
      </c>
      <c r="I48" t="s">
        <v>5263</v>
      </c>
      <c r="J48" t="s">
        <v>3457</v>
      </c>
      <c r="K48" t="s">
        <v>3457</v>
      </c>
    </row>
    <row r="49" spans="1:11" ht="15" customHeight="1" x14ac:dyDescent="0.25">
      <c r="A49" t="s">
        <v>5266</v>
      </c>
      <c r="B49" t="s">
        <v>5267</v>
      </c>
      <c r="C49" t="s">
        <v>3738</v>
      </c>
      <c r="D49" t="s">
        <v>3996</v>
      </c>
      <c r="E49" t="s">
        <v>3457</v>
      </c>
      <c r="F49" t="s">
        <v>4296</v>
      </c>
      <c r="G49" t="s">
        <v>5175</v>
      </c>
      <c r="H49" t="s">
        <v>4041</v>
      </c>
      <c r="I49" t="s">
        <v>5266</v>
      </c>
      <c r="J49" t="s">
        <v>3457</v>
      </c>
      <c r="K49" t="s">
        <v>3457</v>
      </c>
    </row>
    <row r="50" spans="1:11" ht="15" customHeight="1" x14ac:dyDescent="0.25">
      <c r="A50" t="s">
        <v>5268</v>
      </c>
      <c r="B50" t="s">
        <v>5269</v>
      </c>
      <c r="C50" t="s">
        <v>3982</v>
      </c>
      <c r="D50" t="s">
        <v>187</v>
      </c>
      <c r="E50" t="s">
        <v>3457</v>
      </c>
      <c r="F50" t="s">
        <v>5231</v>
      </c>
      <c r="G50" t="s">
        <v>39</v>
      </c>
      <c r="H50" t="s">
        <v>4030</v>
      </c>
      <c r="I50" t="s">
        <v>5268</v>
      </c>
      <c r="J50" t="s">
        <v>3457</v>
      </c>
      <c r="K50" t="s">
        <v>3457</v>
      </c>
    </row>
    <row r="51" spans="1:11" ht="15" customHeight="1" x14ac:dyDescent="0.25">
      <c r="A51" t="s">
        <v>5270</v>
      </c>
      <c r="B51" t="s">
        <v>5271</v>
      </c>
      <c r="C51" t="s">
        <v>3991</v>
      </c>
      <c r="D51" t="s">
        <v>3996</v>
      </c>
      <c r="E51" t="s">
        <v>3457</v>
      </c>
      <c r="F51" t="s">
        <v>4296</v>
      </c>
      <c r="G51" t="s">
        <v>39</v>
      </c>
      <c r="H51" t="s">
        <v>4013</v>
      </c>
      <c r="I51" t="s">
        <v>5270</v>
      </c>
      <c r="J51" t="s">
        <v>3457</v>
      </c>
      <c r="K51" t="s">
        <v>3457</v>
      </c>
    </row>
    <row r="52" spans="1:11" ht="15" customHeight="1" x14ac:dyDescent="0.25">
      <c r="A52" t="s">
        <v>5272</v>
      </c>
      <c r="B52" t="s">
        <v>5273</v>
      </c>
      <c r="C52" t="s">
        <v>3991</v>
      </c>
      <c r="D52" t="s">
        <v>3996</v>
      </c>
      <c r="E52" t="s">
        <v>3457</v>
      </c>
      <c r="F52" t="s">
        <v>4296</v>
      </c>
      <c r="G52" t="s">
        <v>39</v>
      </c>
      <c r="H52" t="s">
        <v>4013</v>
      </c>
      <c r="I52" t="s">
        <v>5274</v>
      </c>
      <c r="J52" t="s">
        <v>3501</v>
      </c>
      <c r="K52" t="s">
        <v>3457</v>
      </c>
    </row>
    <row r="53" spans="1:11" ht="15" customHeight="1" x14ac:dyDescent="0.25">
      <c r="A53" t="s">
        <v>5275</v>
      </c>
      <c r="B53" t="s">
        <v>5276</v>
      </c>
      <c r="C53" t="s">
        <v>3738</v>
      </c>
      <c r="D53" t="s">
        <v>3996</v>
      </c>
      <c r="E53" t="s">
        <v>3457</v>
      </c>
      <c r="F53" t="s">
        <v>4296</v>
      </c>
      <c r="G53" t="s">
        <v>5175</v>
      </c>
      <c r="H53" t="s">
        <v>4030</v>
      </c>
      <c r="I53" t="s">
        <v>5275</v>
      </c>
      <c r="J53" t="s">
        <v>3457</v>
      </c>
      <c r="K53" t="s">
        <v>3457</v>
      </c>
    </row>
    <row r="54" spans="1:11" ht="15" customHeight="1" x14ac:dyDescent="0.25">
      <c r="A54" t="s">
        <v>5277</v>
      </c>
      <c r="B54" t="s">
        <v>5278</v>
      </c>
      <c r="C54" t="s">
        <v>3738</v>
      </c>
      <c r="D54" t="s">
        <v>3996</v>
      </c>
      <c r="E54" t="s">
        <v>3457</v>
      </c>
      <c r="F54" t="s">
        <v>4296</v>
      </c>
      <c r="G54" t="s">
        <v>5175</v>
      </c>
      <c r="H54" t="s">
        <v>4013</v>
      </c>
      <c r="I54" t="s">
        <v>5279</v>
      </c>
      <c r="J54" t="s">
        <v>3457</v>
      </c>
      <c r="K54" t="s">
        <v>3457</v>
      </c>
    </row>
    <row r="55" spans="1:11" ht="15" customHeight="1" x14ac:dyDescent="0.25">
      <c r="A55" t="s">
        <v>5279</v>
      </c>
      <c r="B55" t="s">
        <v>5280</v>
      </c>
      <c r="C55" t="s">
        <v>3991</v>
      </c>
      <c r="D55" t="s">
        <v>3996</v>
      </c>
      <c r="E55">
        <v>1</v>
      </c>
      <c r="F55" t="s">
        <v>5158</v>
      </c>
      <c r="G55" t="s">
        <v>5175</v>
      </c>
      <c r="H55" t="s">
        <v>4013</v>
      </c>
      <c r="I55" t="s">
        <v>5279</v>
      </c>
      <c r="J55" t="s">
        <v>3457</v>
      </c>
      <c r="K55" t="s">
        <v>3457</v>
      </c>
    </row>
    <row r="56" spans="1:11" ht="15" customHeight="1" x14ac:dyDescent="0.25">
      <c r="A56" t="s">
        <v>5281</v>
      </c>
      <c r="B56" t="s">
        <v>5282</v>
      </c>
      <c r="C56" t="s">
        <v>3982</v>
      </c>
      <c r="D56" t="s">
        <v>187</v>
      </c>
      <c r="E56" t="s">
        <v>3457</v>
      </c>
      <c r="F56" t="s">
        <v>4296</v>
      </c>
      <c r="G56" t="s">
        <v>39</v>
      </c>
      <c r="H56" t="s">
        <v>4030</v>
      </c>
      <c r="I56" t="s">
        <v>5281</v>
      </c>
      <c r="J56" t="s">
        <v>3513</v>
      </c>
      <c r="K56" t="s">
        <v>3457</v>
      </c>
    </row>
    <row r="57" spans="1:11" ht="15" customHeight="1" x14ac:dyDescent="0.25">
      <c r="A57" t="s">
        <v>5283</v>
      </c>
      <c r="B57" t="s">
        <v>5284</v>
      </c>
      <c r="C57" t="s">
        <v>5285</v>
      </c>
      <c r="D57" t="s">
        <v>3996</v>
      </c>
      <c r="E57" t="s">
        <v>3457</v>
      </c>
      <c r="F57" t="s">
        <v>4296</v>
      </c>
      <c r="G57" t="s">
        <v>5175</v>
      </c>
      <c r="H57" t="s">
        <v>4041</v>
      </c>
      <c r="I57" t="s">
        <v>5283</v>
      </c>
      <c r="J57" t="s">
        <v>3457</v>
      </c>
      <c r="K57" t="s">
        <v>3457</v>
      </c>
    </row>
    <row r="58" spans="1:11" ht="15" customHeight="1" x14ac:dyDescent="0.25">
      <c r="A58" t="s">
        <v>5286</v>
      </c>
      <c r="B58" t="s">
        <v>5287</v>
      </c>
      <c r="C58" t="s">
        <v>3991</v>
      </c>
      <c r="D58" t="s">
        <v>187</v>
      </c>
      <c r="E58" t="s">
        <v>3457</v>
      </c>
      <c r="F58" t="s">
        <v>5158</v>
      </c>
      <c r="G58" t="s">
        <v>39</v>
      </c>
      <c r="H58" t="s">
        <v>4013</v>
      </c>
      <c r="I58" t="s">
        <v>5286</v>
      </c>
      <c r="J58" t="s">
        <v>41</v>
      </c>
      <c r="K58" t="s">
        <v>3457</v>
      </c>
    </row>
    <row r="59" spans="1:11" ht="15" customHeight="1" x14ac:dyDescent="0.25">
      <c r="A59" t="s">
        <v>5288</v>
      </c>
      <c r="B59" t="s">
        <v>5289</v>
      </c>
      <c r="C59" t="s">
        <v>3991</v>
      </c>
      <c r="D59" t="s">
        <v>187</v>
      </c>
      <c r="E59" t="s">
        <v>3457</v>
      </c>
      <c r="F59" t="s">
        <v>5158</v>
      </c>
      <c r="G59" t="s">
        <v>39</v>
      </c>
      <c r="H59" t="s">
        <v>4013</v>
      </c>
      <c r="I59" t="s">
        <v>5288</v>
      </c>
      <c r="J59" t="s">
        <v>41</v>
      </c>
      <c r="K59" t="s">
        <v>3457</v>
      </c>
    </row>
    <row r="60" spans="1:11" ht="15" customHeight="1" x14ac:dyDescent="0.25">
      <c r="A60" t="s">
        <v>5290</v>
      </c>
      <c r="B60" t="s">
        <v>5291</v>
      </c>
      <c r="C60" t="s">
        <v>3738</v>
      </c>
      <c r="D60" t="s">
        <v>187</v>
      </c>
      <c r="E60" t="s">
        <v>3457</v>
      </c>
      <c r="F60" t="s">
        <v>5171</v>
      </c>
      <c r="G60" t="s">
        <v>5172</v>
      </c>
      <c r="H60" t="s">
        <v>4030</v>
      </c>
      <c r="I60" t="s">
        <v>5292</v>
      </c>
      <c r="J60" t="s">
        <v>3457</v>
      </c>
      <c r="K60" t="s">
        <v>3457</v>
      </c>
    </row>
    <row r="61" spans="1:11" ht="15" customHeight="1" x14ac:dyDescent="0.25">
      <c r="A61" t="s">
        <v>5293</v>
      </c>
      <c r="B61" t="s">
        <v>5294</v>
      </c>
      <c r="C61" t="s">
        <v>3738</v>
      </c>
      <c r="D61" t="s">
        <v>187</v>
      </c>
      <c r="E61" t="s">
        <v>3457</v>
      </c>
      <c r="F61" t="s">
        <v>5158</v>
      </c>
      <c r="G61" t="s">
        <v>39</v>
      </c>
      <c r="H61" t="s">
        <v>4041</v>
      </c>
      <c r="I61" t="s">
        <v>5293</v>
      </c>
      <c r="J61" t="s">
        <v>3457</v>
      </c>
      <c r="K61" t="s">
        <v>3457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3452</v>
      </c>
      <c r="C1" t="s">
        <v>3495</v>
      </c>
      <c r="D1" t="s">
        <v>167</v>
      </c>
      <c r="E1" t="s">
        <v>3980</v>
      </c>
      <c r="F1" t="s">
        <v>5144</v>
      </c>
      <c r="G1" t="s">
        <v>4258</v>
      </c>
      <c r="H1" t="s">
        <v>5145</v>
      </c>
      <c r="I1" t="s">
        <v>4008</v>
      </c>
      <c r="J1" t="s">
        <v>5295</v>
      </c>
      <c r="K1" t="s">
        <v>6</v>
      </c>
      <c r="L1" t="s">
        <v>5296</v>
      </c>
      <c r="M1" t="s">
        <v>5297</v>
      </c>
    </row>
    <row r="2" spans="1:13" ht="15" customHeight="1" x14ac:dyDescent="0.25">
      <c r="A2" t="s">
        <v>5147</v>
      </c>
      <c r="B2" t="s">
        <v>5148</v>
      </c>
      <c r="C2" t="s">
        <v>5298</v>
      </c>
      <c r="D2" t="s">
        <v>3982</v>
      </c>
      <c r="E2" t="s">
        <v>187</v>
      </c>
      <c r="F2" t="s">
        <v>3457</v>
      </c>
      <c r="G2" t="s">
        <v>4296</v>
      </c>
      <c r="H2" t="s">
        <v>39</v>
      </c>
      <c r="I2" t="s">
        <v>4030</v>
      </c>
      <c r="J2" t="s">
        <v>5147</v>
      </c>
      <c r="K2" t="s">
        <v>3513</v>
      </c>
      <c r="L2" t="s">
        <v>187</v>
      </c>
      <c r="M2" t="s">
        <v>3457</v>
      </c>
    </row>
    <row r="3" spans="1:13" ht="15" customHeight="1" x14ac:dyDescent="0.25">
      <c r="A3" t="s">
        <v>5150</v>
      </c>
      <c r="B3" t="s">
        <v>5299</v>
      </c>
      <c r="C3" t="s">
        <v>5300</v>
      </c>
      <c r="D3" t="s">
        <v>3991</v>
      </c>
      <c r="E3" t="s">
        <v>187</v>
      </c>
      <c r="F3" t="s">
        <v>3457</v>
      </c>
      <c r="G3" t="s">
        <v>5301</v>
      </c>
      <c r="H3" t="s">
        <v>39</v>
      </c>
      <c r="I3" t="s">
        <v>4013</v>
      </c>
      <c r="J3" t="s">
        <v>5150</v>
      </c>
      <c r="K3" t="s">
        <v>3513</v>
      </c>
      <c r="L3" t="s">
        <v>3996</v>
      </c>
      <c r="M3" t="s">
        <v>5302</v>
      </c>
    </row>
    <row r="4" spans="1:13" ht="15" customHeight="1" x14ac:dyDescent="0.25">
      <c r="A4" t="s">
        <v>5153</v>
      </c>
      <c r="B4" t="s">
        <v>5303</v>
      </c>
      <c r="C4" t="s">
        <v>5304</v>
      </c>
      <c r="D4" t="s">
        <v>3982</v>
      </c>
      <c r="E4" t="s">
        <v>187</v>
      </c>
      <c r="F4" t="s">
        <v>3457</v>
      </c>
      <c r="G4" t="s">
        <v>4296</v>
      </c>
      <c r="H4" t="s">
        <v>39</v>
      </c>
      <c r="I4" t="s">
        <v>4030</v>
      </c>
      <c r="J4" t="s">
        <v>5155</v>
      </c>
      <c r="K4" t="s">
        <v>3501</v>
      </c>
      <c r="L4" t="s">
        <v>187</v>
      </c>
      <c r="M4" t="s">
        <v>3457</v>
      </c>
    </row>
    <row r="5" spans="1:13" ht="15" customHeight="1" x14ac:dyDescent="0.25">
      <c r="A5" s="4" t="s">
        <v>5156</v>
      </c>
      <c r="B5" s="4" t="s">
        <v>5305</v>
      </c>
      <c r="C5" s="4" t="s">
        <v>5306</v>
      </c>
      <c r="D5" s="4" t="s">
        <v>3991</v>
      </c>
      <c r="E5" s="4" t="s">
        <v>187</v>
      </c>
      <c r="F5" s="4" t="s">
        <v>3457</v>
      </c>
      <c r="G5" s="4" t="s">
        <v>5158</v>
      </c>
      <c r="H5" s="4" t="s">
        <v>39</v>
      </c>
      <c r="I5" s="4" t="s">
        <v>4013</v>
      </c>
      <c r="J5" s="4" t="s">
        <v>5156</v>
      </c>
      <c r="K5" s="4" t="s">
        <v>41</v>
      </c>
      <c r="L5" t="s">
        <v>187</v>
      </c>
      <c r="M5" t="s">
        <v>3457</v>
      </c>
    </row>
    <row r="6" spans="1:13" ht="15" customHeight="1" x14ac:dyDescent="0.25">
      <c r="A6" t="s">
        <v>5163</v>
      </c>
      <c r="B6" t="s">
        <v>5307</v>
      </c>
      <c r="C6" t="s">
        <v>5308</v>
      </c>
      <c r="D6" t="s">
        <v>3991</v>
      </c>
      <c r="E6" t="s">
        <v>187</v>
      </c>
      <c r="F6" t="s">
        <v>3457</v>
      </c>
      <c r="G6" t="s">
        <v>4296</v>
      </c>
      <c r="H6" t="s">
        <v>39</v>
      </c>
      <c r="I6" t="s">
        <v>4013</v>
      </c>
      <c r="J6" t="s">
        <v>5163</v>
      </c>
      <c r="K6" t="s">
        <v>41</v>
      </c>
      <c r="L6" t="s">
        <v>187</v>
      </c>
      <c r="M6" t="s">
        <v>3457</v>
      </c>
    </row>
    <row r="7" spans="1:13" ht="15" customHeight="1" x14ac:dyDescent="0.25">
      <c r="A7" s="5" t="s">
        <v>5165</v>
      </c>
      <c r="B7" s="6" t="s">
        <v>5166</v>
      </c>
      <c r="C7" s="6" t="s">
        <v>5309</v>
      </c>
      <c r="D7" s="6" t="s">
        <v>3982</v>
      </c>
      <c r="E7" s="6" t="s">
        <v>187</v>
      </c>
      <c r="F7" s="6" t="s">
        <v>3457</v>
      </c>
      <c r="G7" s="7" t="s">
        <v>5187</v>
      </c>
      <c r="H7" s="6" t="s">
        <v>39</v>
      </c>
      <c r="I7" s="6" t="s">
        <v>4030</v>
      </c>
      <c r="J7" s="6" t="s">
        <v>5165</v>
      </c>
      <c r="K7" s="6" t="s">
        <v>3501</v>
      </c>
      <c r="L7" t="s">
        <v>187</v>
      </c>
      <c r="M7" t="s">
        <v>3457</v>
      </c>
    </row>
    <row r="8" spans="1:13" ht="15" customHeight="1" x14ac:dyDescent="0.25">
      <c r="A8" t="s">
        <v>4001</v>
      </c>
      <c r="B8" t="s">
        <v>5168</v>
      </c>
      <c r="C8" t="s">
        <v>5310</v>
      </c>
      <c r="D8" t="s">
        <v>3991</v>
      </c>
      <c r="E8" t="s">
        <v>187</v>
      </c>
      <c r="F8" t="s">
        <v>3457</v>
      </c>
      <c r="G8" t="s">
        <v>5158</v>
      </c>
      <c r="H8" t="s">
        <v>39</v>
      </c>
      <c r="I8" t="s">
        <v>4013</v>
      </c>
      <c r="J8" t="s">
        <v>4001</v>
      </c>
      <c r="K8" t="s">
        <v>41</v>
      </c>
      <c r="L8" t="s">
        <v>187</v>
      </c>
      <c r="M8" t="s">
        <v>3457</v>
      </c>
    </row>
    <row r="9" spans="1:13" ht="15" customHeight="1" x14ac:dyDescent="0.25">
      <c r="A9" t="s">
        <v>5176</v>
      </c>
      <c r="B9" s="8" t="s">
        <v>5311</v>
      </c>
      <c r="C9" s="8" t="s">
        <v>5312</v>
      </c>
      <c r="D9" t="s">
        <v>3991</v>
      </c>
      <c r="E9" t="s">
        <v>187</v>
      </c>
      <c r="F9" t="s">
        <v>3457</v>
      </c>
      <c r="G9" t="s">
        <v>5158</v>
      </c>
      <c r="H9" t="s">
        <v>5172</v>
      </c>
      <c r="I9" t="s">
        <v>4013</v>
      </c>
      <c r="J9" t="s">
        <v>5176</v>
      </c>
      <c r="K9" t="s">
        <v>3457</v>
      </c>
      <c r="L9" t="s">
        <v>187</v>
      </c>
      <c r="M9" t="s">
        <v>3457</v>
      </c>
    </row>
    <row r="10" spans="1:13" ht="15" customHeight="1" x14ac:dyDescent="0.25">
      <c r="A10" t="s">
        <v>5313</v>
      </c>
      <c r="B10" t="s">
        <v>5314</v>
      </c>
      <c r="C10" t="s">
        <v>5315</v>
      </c>
      <c r="D10" t="s">
        <v>3982</v>
      </c>
      <c r="E10" t="s">
        <v>187</v>
      </c>
      <c r="F10" t="s">
        <v>3457</v>
      </c>
      <c r="G10" t="s">
        <v>4296</v>
      </c>
      <c r="H10" t="s">
        <v>39</v>
      </c>
      <c r="I10" t="s">
        <v>4030</v>
      </c>
      <c r="J10" t="s">
        <v>5316</v>
      </c>
      <c r="K10" t="s">
        <v>41</v>
      </c>
      <c r="L10" t="s">
        <v>187</v>
      </c>
      <c r="M10" t="s">
        <v>3457</v>
      </c>
    </row>
    <row r="11" spans="1:13" ht="15" customHeight="1" x14ac:dyDescent="0.25">
      <c r="A11" t="s">
        <v>5181</v>
      </c>
      <c r="B11" s="8" t="s">
        <v>5317</v>
      </c>
      <c r="C11" s="8" t="s">
        <v>5318</v>
      </c>
      <c r="D11" t="s">
        <v>3738</v>
      </c>
      <c r="E11" t="s">
        <v>3996</v>
      </c>
      <c r="F11" t="s">
        <v>3457</v>
      </c>
      <c r="G11" t="s">
        <v>4296</v>
      </c>
      <c r="H11" t="s">
        <v>39</v>
      </c>
      <c r="I11" t="s">
        <v>4030</v>
      </c>
      <c r="J11" t="s">
        <v>5183</v>
      </c>
      <c r="K11" t="s">
        <v>3457</v>
      </c>
      <c r="L11" t="s">
        <v>187</v>
      </c>
      <c r="M11" t="s">
        <v>3457</v>
      </c>
    </row>
    <row r="12" spans="1:13" ht="15" customHeight="1" x14ac:dyDescent="0.25">
      <c r="A12" t="s">
        <v>3511</v>
      </c>
      <c r="B12" t="s">
        <v>5184</v>
      </c>
      <c r="C12" t="s">
        <v>5319</v>
      </c>
      <c r="D12" t="s">
        <v>3982</v>
      </c>
      <c r="E12" t="s">
        <v>187</v>
      </c>
      <c r="F12" t="s">
        <v>3457</v>
      </c>
      <c r="G12" t="s">
        <v>4296</v>
      </c>
      <c r="H12" t="s">
        <v>39</v>
      </c>
      <c r="I12" t="s">
        <v>4030</v>
      </c>
      <c r="J12" t="s">
        <v>3511</v>
      </c>
      <c r="K12" t="s">
        <v>3513</v>
      </c>
      <c r="L12" t="s">
        <v>187</v>
      </c>
      <c r="M12" t="s">
        <v>3457</v>
      </c>
    </row>
    <row r="13" spans="1:13" ht="15" customHeight="1" x14ac:dyDescent="0.25">
      <c r="A13" t="s">
        <v>5185</v>
      </c>
      <c r="B13" t="s">
        <v>5186</v>
      </c>
      <c r="C13" t="s">
        <v>5309</v>
      </c>
      <c r="D13" t="s">
        <v>3982</v>
      </c>
      <c r="E13" t="s">
        <v>187</v>
      </c>
      <c r="F13" t="s">
        <v>3457</v>
      </c>
      <c r="G13" t="s">
        <v>5167</v>
      </c>
      <c r="H13" t="s">
        <v>39</v>
      </c>
      <c r="I13" t="s">
        <v>4030</v>
      </c>
      <c r="J13" t="s">
        <v>5185</v>
      </c>
      <c r="K13" t="s">
        <v>3501</v>
      </c>
      <c r="L13" t="s">
        <v>187</v>
      </c>
      <c r="M13" t="s">
        <v>3457</v>
      </c>
    </row>
    <row r="14" spans="1:13" ht="15" customHeight="1" x14ac:dyDescent="0.25">
      <c r="A14" t="s">
        <v>5201</v>
      </c>
      <c r="B14" s="8" t="s">
        <v>5200</v>
      </c>
      <c r="C14" s="8" t="s">
        <v>5320</v>
      </c>
      <c r="D14" t="s">
        <v>3991</v>
      </c>
      <c r="E14" t="s">
        <v>187</v>
      </c>
      <c r="F14" t="s">
        <v>3457</v>
      </c>
      <c r="G14" t="s">
        <v>5158</v>
      </c>
      <c r="H14" t="s">
        <v>39</v>
      </c>
      <c r="I14" t="s">
        <v>4013</v>
      </c>
      <c r="J14" t="s">
        <v>5201</v>
      </c>
      <c r="K14" t="s">
        <v>3457</v>
      </c>
      <c r="L14" t="s">
        <v>187</v>
      </c>
      <c r="M14" t="s">
        <v>3457</v>
      </c>
    </row>
    <row r="15" spans="1:13" ht="15" customHeight="1" x14ac:dyDescent="0.25">
      <c r="A15" t="s">
        <v>5202</v>
      </c>
      <c r="B15" t="s">
        <v>5203</v>
      </c>
      <c r="C15" t="s">
        <v>3457</v>
      </c>
      <c r="D15" t="s">
        <v>3991</v>
      </c>
      <c r="E15" t="s">
        <v>187</v>
      </c>
      <c r="F15" t="s">
        <v>3457</v>
      </c>
      <c r="G15" t="s">
        <v>5204</v>
      </c>
      <c r="H15" t="s">
        <v>5172</v>
      </c>
      <c r="I15" t="s">
        <v>4013</v>
      </c>
      <c r="J15" t="s">
        <v>5202</v>
      </c>
      <c r="K15" t="s">
        <v>3513</v>
      </c>
      <c r="L15" t="s">
        <v>3996</v>
      </c>
      <c r="M15" t="s">
        <v>5321</v>
      </c>
    </row>
    <row r="16" spans="1:13" ht="15" customHeight="1" x14ac:dyDescent="0.25">
      <c r="A16" t="s">
        <v>5219</v>
      </c>
      <c r="B16" t="s">
        <v>5220</v>
      </c>
      <c r="C16" t="s">
        <v>5322</v>
      </c>
      <c r="D16" t="s">
        <v>3991</v>
      </c>
      <c r="E16" t="s">
        <v>187</v>
      </c>
      <c r="F16" t="s">
        <v>3457</v>
      </c>
      <c r="G16" t="s">
        <v>5158</v>
      </c>
      <c r="H16" t="s">
        <v>39</v>
      </c>
      <c r="I16" t="s">
        <v>4013</v>
      </c>
      <c r="J16" t="s">
        <v>5219</v>
      </c>
      <c r="K16" t="s">
        <v>41</v>
      </c>
      <c r="L16" t="s">
        <v>187</v>
      </c>
      <c r="M16" t="s">
        <v>3457</v>
      </c>
    </row>
    <row r="17" spans="1:13" ht="15" customHeight="1" x14ac:dyDescent="0.25">
      <c r="A17" t="s">
        <v>5244</v>
      </c>
      <c r="B17" t="s">
        <v>5245</v>
      </c>
      <c r="C17" t="s">
        <v>5323</v>
      </c>
      <c r="D17" t="s">
        <v>3982</v>
      </c>
      <c r="E17" t="s">
        <v>187</v>
      </c>
      <c r="F17" t="s">
        <v>3457</v>
      </c>
      <c r="G17" t="s">
        <v>4296</v>
      </c>
      <c r="H17" t="s">
        <v>39</v>
      </c>
      <c r="I17" t="s">
        <v>4030</v>
      </c>
      <c r="J17" t="s">
        <v>5244</v>
      </c>
      <c r="K17" t="s">
        <v>3501</v>
      </c>
      <c r="L17" t="s">
        <v>187</v>
      </c>
      <c r="M17" t="s">
        <v>3457</v>
      </c>
    </row>
    <row r="18" spans="1:13" ht="15" customHeight="1" x14ac:dyDescent="0.25">
      <c r="A18" t="s">
        <v>5249</v>
      </c>
      <c r="B18" t="s">
        <v>5250</v>
      </c>
      <c r="C18" t="s">
        <v>5324</v>
      </c>
      <c r="D18" t="s">
        <v>3982</v>
      </c>
      <c r="E18" t="s">
        <v>187</v>
      </c>
      <c r="F18" t="s">
        <v>3457</v>
      </c>
      <c r="G18" s="2" t="s">
        <v>5251</v>
      </c>
      <c r="H18" t="s">
        <v>39</v>
      </c>
      <c r="I18" t="s">
        <v>4030</v>
      </c>
      <c r="J18" t="s">
        <v>5252</v>
      </c>
      <c r="K18" t="s">
        <v>3513</v>
      </c>
      <c r="L18" t="s">
        <v>3457</v>
      </c>
      <c r="M18" t="s">
        <v>3457</v>
      </c>
    </row>
    <row r="19" spans="1:13" ht="15" customHeight="1" x14ac:dyDescent="0.25">
      <c r="A19" t="s">
        <v>5253</v>
      </c>
      <c r="B19" t="s">
        <v>5254</v>
      </c>
      <c r="C19" t="s">
        <v>5325</v>
      </c>
      <c r="D19" t="s">
        <v>3991</v>
      </c>
      <c r="E19" t="s">
        <v>187</v>
      </c>
      <c r="F19" t="s">
        <v>3457</v>
      </c>
      <c r="G19" t="s">
        <v>5255</v>
      </c>
      <c r="H19" t="s">
        <v>39</v>
      </c>
      <c r="I19" t="s">
        <v>4013</v>
      </c>
      <c r="J19" t="s">
        <v>5253</v>
      </c>
      <c r="K19" t="s">
        <v>41</v>
      </c>
      <c r="L19" t="s">
        <v>187</v>
      </c>
      <c r="M19" t="s">
        <v>3457</v>
      </c>
    </row>
    <row r="20" spans="1:13" ht="15" customHeight="1" x14ac:dyDescent="0.25">
      <c r="A20" t="s">
        <v>4596</v>
      </c>
      <c r="B20" t="s">
        <v>5256</v>
      </c>
      <c r="C20" t="s">
        <v>5326</v>
      </c>
      <c r="D20" t="s">
        <v>3982</v>
      </c>
      <c r="E20" t="s">
        <v>187</v>
      </c>
      <c r="F20" t="s">
        <v>3457</v>
      </c>
      <c r="G20" t="s">
        <v>4296</v>
      </c>
      <c r="H20" t="s">
        <v>39</v>
      </c>
      <c r="I20" t="s">
        <v>4030</v>
      </c>
      <c r="J20" t="s">
        <v>4596</v>
      </c>
      <c r="K20" t="s">
        <v>3513</v>
      </c>
      <c r="L20" t="s">
        <v>187</v>
      </c>
      <c r="M20" t="s">
        <v>3457</v>
      </c>
    </row>
    <row r="21" spans="1:13" ht="15" customHeight="1" x14ac:dyDescent="0.25">
      <c r="A21" t="s">
        <v>5257</v>
      </c>
      <c r="B21" t="s">
        <v>5258</v>
      </c>
      <c r="C21" t="s">
        <v>5327</v>
      </c>
      <c r="D21" t="s">
        <v>3982</v>
      </c>
      <c r="E21" t="s">
        <v>187</v>
      </c>
      <c r="F21" t="s">
        <v>3457</v>
      </c>
      <c r="G21" t="s">
        <v>5158</v>
      </c>
      <c r="H21" t="s">
        <v>39</v>
      </c>
      <c r="I21" t="s">
        <v>4030</v>
      </c>
      <c r="J21" t="s">
        <v>5257</v>
      </c>
      <c r="K21" t="s">
        <v>3513</v>
      </c>
      <c r="L21" t="s">
        <v>187</v>
      </c>
      <c r="M21" t="s">
        <v>3457</v>
      </c>
    </row>
    <row r="22" spans="1:13" ht="15" customHeight="1" x14ac:dyDescent="0.25">
      <c r="A22" t="s">
        <v>5261</v>
      </c>
      <c r="B22" s="8" t="s">
        <v>5262</v>
      </c>
      <c r="C22" s="8" t="s">
        <v>5328</v>
      </c>
      <c r="D22" t="s">
        <v>3982</v>
      </c>
      <c r="E22" t="s">
        <v>187</v>
      </c>
      <c r="F22" t="s">
        <v>3457</v>
      </c>
      <c r="G22" t="s">
        <v>4296</v>
      </c>
      <c r="H22" t="s">
        <v>39</v>
      </c>
      <c r="I22" t="s">
        <v>4030</v>
      </c>
      <c r="J22" t="s">
        <v>5261</v>
      </c>
      <c r="K22" t="s">
        <v>3501</v>
      </c>
      <c r="L22" t="s">
        <v>187</v>
      </c>
      <c r="M22" t="s">
        <v>3457</v>
      </c>
    </row>
    <row r="23" spans="1:13" ht="15" customHeight="1" x14ac:dyDescent="0.25">
      <c r="A23" t="s">
        <v>5268</v>
      </c>
      <c r="B23" s="8" t="s">
        <v>5329</v>
      </c>
      <c r="C23" s="8" t="s">
        <v>5330</v>
      </c>
      <c r="D23" t="s">
        <v>3982</v>
      </c>
      <c r="E23" t="s">
        <v>187</v>
      </c>
      <c r="F23" t="s">
        <v>3457</v>
      </c>
      <c r="G23" t="s">
        <v>5231</v>
      </c>
      <c r="H23" t="s">
        <v>39</v>
      </c>
      <c r="I23" t="s">
        <v>4030</v>
      </c>
      <c r="J23" t="s">
        <v>5268</v>
      </c>
      <c r="K23" t="s">
        <v>3457</v>
      </c>
      <c r="L23" t="s">
        <v>187</v>
      </c>
      <c r="M23" t="s">
        <v>3457</v>
      </c>
    </row>
    <row r="24" spans="1:13" ht="15" customHeight="1" x14ac:dyDescent="0.25">
      <c r="A24" t="s">
        <v>5270</v>
      </c>
      <c r="B24" s="8" t="s">
        <v>5331</v>
      </c>
      <c r="C24" s="8" t="s">
        <v>5332</v>
      </c>
      <c r="D24" t="s">
        <v>3991</v>
      </c>
      <c r="E24" t="s">
        <v>3996</v>
      </c>
      <c r="F24" t="s">
        <v>3457</v>
      </c>
      <c r="G24" t="s">
        <v>4296</v>
      </c>
      <c r="H24" t="s">
        <v>39</v>
      </c>
      <c r="I24" t="s">
        <v>4013</v>
      </c>
      <c r="J24" t="s">
        <v>5270</v>
      </c>
      <c r="K24" t="s">
        <v>3457</v>
      </c>
      <c r="L24" t="s">
        <v>187</v>
      </c>
      <c r="M24" t="s">
        <v>3457</v>
      </c>
    </row>
    <row r="25" spans="1:13" ht="15" customHeight="1" x14ac:dyDescent="0.25">
      <c r="A25" t="s">
        <v>5272</v>
      </c>
      <c r="B25" t="s">
        <v>5273</v>
      </c>
      <c r="C25" t="s">
        <v>5333</v>
      </c>
      <c r="D25" t="s">
        <v>3991</v>
      </c>
      <c r="E25" t="s">
        <v>3996</v>
      </c>
      <c r="F25" t="s">
        <v>3457</v>
      </c>
      <c r="G25" t="s">
        <v>4296</v>
      </c>
      <c r="H25" t="s">
        <v>39</v>
      </c>
      <c r="I25" t="s">
        <v>4013</v>
      </c>
      <c r="J25" t="s">
        <v>5274</v>
      </c>
      <c r="K25" t="s">
        <v>3501</v>
      </c>
      <c r="L25" t="s">
        <v>187</v>
      </c>
      <c r="M25" t="s">
        <v>3457</v>
      </c>
    </row>
    <row r="26" spans="1:13" ht="15" customHeight="1" x14ac:dyDescent="0.25">
      <c r="A26" t="s">
        <v>5275</v>
      </c>
      <c r="B26" s="8" t="s">
        <v>5334</v>
      </c>
      <c r="C26" s="8" t="s">
        <v>5335</v>
      </c>
      <c r="D26" t="s">
        <v>3738</v>
      </c>
      <c r="E26" t="s">
        <v>3996</v>
      </c>
      <c r="F26" t="s">
        <v>3457</v>
      </c>
      <c r="G26" t="s">
        <v>4296</v>
      </c>
      <c r="H26" t="s">
        <v>5175</v>
      </c>
      <c r="I26" t="s">
        <v>4030</v>
      </c>
      <c r="J26" t="s">
        <v>5275</v>
      </c>
      <c r="K26" t="s">
        <v>3457</v>
      </c>
      <c r="L26" t="s">
        <v>187</v>
      </c>
      <c r="M26" t="s">
        <v>3457</v>
      </c>
    </row>
    <row r="27" spans="1:13" ht="15" customHeight="1" x14ac:dyDescent="0.25">
      <c r="A27" t="s">
        <v>5281</v>
      </c>
      <c r="B27" t="s">
        <v>5336</v>
      </c>
      <c r="C27" t="s">
        <v>5337</v>
      </c>
      <c r="D27" t="s">
        <v>3982</v>
      </c>
      <c r="E27" t="s">
        <v>187</v>
      </c>
      <c r="F27" t="s">
        <v>3457</v>
      </c>
      <c r="G27" t="s">
        <v>4296</v>
      </c>
      <c r="H27" t="s">
        <v>39</v>
      </c>
      <c r="I27" t="s">
        <v>4030</v>
      </c>
      <c r="J27" t="s">
        <v>5281</v>
      </c>
      <c r="K27" t="s">
        <v>3513</v>
      </c>
      <c r="L27" t="s">
        <v>187</v>
      </c>
      <c r="M27" t="s">
        <v>3457</v>
      </c>
    </row>
    <row r="28" spans="1:13" ht="15" customHeight="1" x14ac:dyDescent="0.25">
      <c r="A28" t="s">
        <v>5286</v>
      </c>
      <c r="B28" t="s">
        <v>5287</v>
      </c>
      <c r="C28" t="s">
        <v>5338</v>
      </c>
      <c r="D28" t="s">
        <v>3991</v>
      </c>
      <c r="E28" t="s">
        <v>187</v>
      </c>
      <c r="F28" t="s">
        <v>3457</v>
      </c>
      <c r="G28" t="s">
        <v>5158</v>
      </c>
      <c r="H28" t="s">
        <v>39</v>
      </c>
      <c r="I28" t="s">
        <v>4013</v>
      </c>
      <c r="J28" t="s">
        <v>5286</v>
      </c>
      <c r="K28" t="s">
        <v>41</v>
      </c>
      <c r="L28" t="s">
        <v>187</v>
      </c>
      <c r="M28" t="s">
        <v>3457</v>
      </c>
    </row>
    <row r="29" spans="1:13" ht="15" customHeight="1" x14ac:dyDescent="0.25">
      <c r="A29" t="s">
        <v>5288</v>
      </c>
      <c r="B29" t="s">
        <v>5289</v>
      </c>
      <c r="C29" t="s">
        <v>5339</v>
      </c>
      <c r="D29" t="s">
        <v>3991</v>
      </c>
      <c r="E29" t="s">
        <v>187</v>
      </c>
      <c r="F29" t="s">
        <v>3457</v>
      </c>
      <c r="G29" t="s">
        <v>5158</v>
      </c>
      <c r="H29" t="s">
        <v>39</v>
      </c>
      <c r="I29" t="s">
        <v>4013</v>
      </c>
      <c r="J29" t="s">
        <v>5288</v>
      </c>
      <c r="K29" t="s">
        <v>41</v>
      </c>
      <c r="L29" t="s">
        <v>187</v>
      </c>
      <c r="M29" t="s">
        <v>3457</v>
      </c>
    </row>
    <row r="30" spans="1:13" ht="15" customHeight="1" x14ac:dyDescent="0.25">
      <c r="A30" t="s">
        <v>5279</v>
      </c>
      <c r="B30" t="s">
        <v>5280</v>
      </c>
      <c r="C30" t="s">
        <v>5340</v>
      </c>
      <c r="D30" t="s">
        <v>3991</v>
      </c>
      <c r="E30" t="s">
        <v>3996</v>
      </c>
      <c r="F30">
        <v>1</v>
      </c>
      <c r="G30" t="s">
        <v>5158</v>
      </c>
      <c r="H30" t="s">
        <v>39</v>
      </c>
      <c r="I30" t="s">
        <v>4013</v>
      </c>
      <c r="J30" t="s">
        <v>5279</v>
      </c>
      <c r="K30" t="s">
        <v>3457</v>
      </c>
      <c r="L30" t="s">
        <v>187</v>
      </c>
      <c r="M30" t="s">
        <v>5341</v>
      </c>
    </row>
    <row r="31" spans="1:13" ht="60" customHeight="1" x14ac:dyDescent="0.25">
      <c r="A31" t="s">
        <v>5236</v>
      </c>
      <c r="B31" s="8" t="s">
        <v>5342</v>
      </c>
      <c r="C31" s="8" t="s">
        <v>5343</v>
      </c>
      <c r="D31" t="s">
        <v>3982</v>
      </c>
      <c r="E31" t="s">
        <v>187</v>
      </c>
      <c r="F31" t="s">
        <v>3457</v>
      </c>
      <c r="G31" t="s">
        <v>5231</v>
      </c>
      <c r="H31" t="s">
        <v>5172</v>
      </c>
      <c r="I31" t="s">
        <v>4030</v>
      </c>
      <c r="J31" t="s">
        <v>5238</v>
      </c>
      <c r="K31" t="s">
        <v>3513</v>
      </c>
      <c r="L31" t="s">
        <v>3996</v>
      </c>
      <c r="M31" s="8" t="s">
        <v>5344</v>
      </c>
    </row>
    <row r="32" spans="1:13" ht="45" customHeight="1" x14ac:dyDescent="0.25">
      <c r="A32" t="s">
        <v>5233</v>
      </c>
      <c r="B32" s="8" t="s">
        <v>5345</v>
      </c>
      <c r="C32" s="8" t="s">
        <v>5346</v>
      </c>
      <c r="D32" t="s">
        <v>3982</v>
      </c>
      <c r="E32" t="s">
        <v>187</v>
      </c>
      <c r="F32" t="s">
        <v>3457</v>
      </c>
      <c r="G32" t="s">
        <v>5231</v>
      </c>
      <c r="H32" t="s">
        <v>5172</v>
      </c>
      <c r="I32" t="s">
        <v>4030</v>
      </c>
      <c r="J32" t="s">
        <v>5235</v>
      </c>
      <c r="K32" t="s">
        <v>3513</v>
      </c>
      <c r="L32" t="s">
        <v>3996</v>
      </c>
      <c r="M32" s="8" t="s">
        <v>5347</v>
      </c>
    </row>
    <row r="33" spans="1:13" ht="60" customHeight="1" x14ac:dyDescent="0.25">
      <c r="A33" t="s">
        <v>5239</v>
      </c>
      <c r="B33" s="8" t="s">
        <v>5348</v>
      </c>
      <c r="C33" s="8" t="s">
        <v>5349</v>
      </c>
      <c r="D33" t="s">
        <v>3991</v>
      </c>
      <c r="E33" t="s">
        <v>187</v>
      </c>
      <c r="F33" t="s">
        <v>3457</v>
      </c>
      <c r="G33" t="s">
        <v>5158</v>
      </c>
      <c r="H33" t="s">
        <v>5172</v>
      </c>
      <c r="I33" t="s">
        <v>4013</v>
      </c>
      <c r="J33" t="s">
        <v>5241</v>
      </c>
      <c r="K33" t="s">
        <v>3457</v>
      </c>
      <c r="L33" t="s">
        <v>3996</v>
      </c>
      <c r="M33" s="8" t="s">
        <v>5350</v>
      </c>
    </row>
    <row r="34" spans="1:13" ht="45" customHeight="1" x14ac:dyDescent="0.25">
      <c r="A34" t="s">
        <v>5221</v>
      </c>
      <c r="B34" s="8" t="s">
        <v>5222</v>
      </c>
      <c r="C34" s="8" t="s">
        <v>5351</v>
      </c>
      <c r="D34" t="s">
        <v>3982</v>
      </c>
      <c r="E34" t="s">
        <v>187</v>
      </c>
      <c r="F34" t="s">
        <v>3457</v>
      </c>
      <c r="G34" t="s">
        <v>5158</v>
      </c>
      <c r="H34" t="s">
        <v>39</v>
      </c>
      <c r="I34" t="s">
        <v>4030</v>
      </c>
      <c r="J34" t="s">
        <v>5221</v>
      </c>
      <c r="K34" t="s">
        <v>3501</v>
      </c>
      <c r="L34" t="s">
        <v>187</v>
      </c>
      <c r="M34" s="8" t="s">
        <v>5352</v>
      </c>
    </row>
    <row r="35" spans="1:13" ht="45" customHeight="1" x14ac:dyDescent="0.25">
      <c r="A35" t="s">
        <v>5173</v>
      </c>
      <c r="B35" s="8" t="s">
        <v>5353</v>
      </c>
      <c r="C35" s="8" t="s">
        <v>5354</v>
      </c>
      <c r="D35" t="s">
        <v>3991</v>
      </c>
      <c r="E35" t="s">
        <v>187</v>
      </c>
      <c r="F35" t="s">
        <v>3457</v>
      </c>
      <c r="G35" t="s">
        <v>5355</v>
      </c>
      <c r="H35" t="s">
        <v>5175</v>
      </c>
      <c r="I35" t="s">
        <v>4013</v>
      </c>
      <c r="J35" t="s">
        <v>5173</v>
      </c>
      <c r="K35" t="s">
        <v>3457</v>
      </c>
      <c r="L35" t="s">
        <v>187</v>
      </c>
      <c r="M35" s="8" t="s">
        <v>5356</v>
      </c>
    </row>
    <row r="36" spans="1:13" x14ac:dyDescent="0.25">
      <c r="A36" t="s">
        <v>5211</v>
      </c>
      <c r="B36" s="8" t="s">
        <v>5357</v>
      </c>
      <c r="C36" s="8" t="s">
        <v>5358</v>
      </c>
      <c r="D36" t="s">
        <v>5359</v>
      </c>
      <c r="E36" t="s">
        <v>187</v>
      </c>
      <c r="F36" t="s">
        <v>3457</v>
      </c>
      <c r="G36" t="s">
        <v>5360</v>
      </c>
      <c r="H36" t="s">
        <v>5172</v>
      </c>
      <c r="I36" t="s">
        <v>4030</v>
      </c>
      <c r="J36" t="s">
        <v>5213</v>
      </c>
      <c r="K36" t="s">
        <v>3513</v>
      </c>
      <c r="L36" t="s">
        <v>3996</v>
      </c>
      <c r="M36" t="s">
        <v>3457</v>
      </c>
    </row>
    <row r="37" spans="1:13" x14ac:dyDescent="0.25">
      <c r="A37" t="s">
        <v>5361</v>
      </c>
      <c r="B37" s="8" t="s">
        <v>5362</v>
      </c>
      <c r="C37" s="8" t="s">
        <v>5358</v>
      </c>
      <c r="D37" t="s">
        <v>5359</v>
      </c>
      <c r="E37" t="s">
        <v>187</v>
      </c>
      <c r="F37" t="s">
        <v>3457</v>
      </c>
      <c r="G37" t="s">
        <v>5360</v>
      </c>
      <c r="H37" t="s">
        <v>5172</v>
      </c>
      <c r="I37" t="s">
        <v>4030</v>
      </c>
      <c r="J37" t="s">
        <v>5361</v>
      </c>
      <c r="K37" t="s">
        <v>3513</v>
      </c>
      <c r="L37" t="s">
        <v>3996</v>
      </c>
      <c r="M37" t="s">
        <v>3457</v>
      </c>
    </row>
    <row r="38" spans="1:13" x14ac:dyDescent="0.25">
      <c r="A38" t="s">
        <v>5363</v>
      </c>
      <c r="B38" s="8" t="s">
        <v>5364</v>
      </c>
      <c r="C38" s="8" t="s">
        <v>5358</v>
      </c>
      <c r="D38" t="s">
        <v>5359</v>
      </c>
      <c r="E38" t="s">
        <v>187</v>
      </c>
      <c r="F38" t="s">
        <v>3457</v>
      </c>
      <c r="G38" t="s">
        <v>5360</v>
      </c>
      <c r="H38" t="s">
        <v>5172</v>
      </c>
      <c r="I38" t="s">
        <v>4030</v>
      </c>
      <c r="J38" t="s">
        <v>5365</v>
      </c>
      <c r="K38" t="s">
        <v>3501</v>
      </c>
      <c r="L38" t="s">
        <v>3996</v>
      </c>
      <c r="M38" t="s">
        <v>3457</v>
      </c>
    </row>
    <row r="39" spans="1:13" x14ac:dyDescent="0.25">
      <c r="A39" t="s">
        <v>5159</v>
      </c>
      <c r="B39" s="8" t="s">
        <v>5366</v>
      </c>
      <c r="C39" s="8" t="s">
        <v>5367</v>
      </c>
      <c r="D39" t="s">
        <v>3982</v>
      </c>
      <c r="E39" t="s">
        <v>187</v>
      </c>
      <c r="F39" t="s">
        <v>3457</v>
      </c>
      <c r="G39" t="s">
        <v>5368</v>
      </c>
      <c r="H39" t="s">
        <v>5172</v>
      </c>
      <c r="I39" t="s">
        <v>4030</v>
      </c>
      <c r="J39" t="s">
        <v>5159</v>
      </c>
      <c r="K39" t="s">
        <v>3513</v>
      </c>
      <c r="L39" t="s">
        <v>3996</v>
      </c>
      <c r="M39" t="s">
        <v>5369</v>
      </c>
    </row>
    <row r="40" spans="1:13" x14ac:dyDescent="0.25">
      <c r="A40" t="s">
        <v>5169</v>
      </c>
      <c r="B40" s="8" t="s">
        <v>5370</v>
      </c>
      <c r="C40" s="8" t="s">
        <v>5358</v>
      </c>
      <c r="D40" t="s">
        <v>5359</v>
      </c>
      <c r="E40" t="s">
        <v>187</v>
      </c>
      <c r="F40" t="s">
        <v>3457</v>
      </c>
      <c r="G40" t="s">
        <v>5360</v>
      </c>
      <c r="H40" t="s">
        <v>5172</v>
      </c>
      <c r="I40" t="s">
        <v>4030</v>
      </c>
      <c r="J40" t="s">
        <v>5169</v>
      </c>
      <c r="K40" t="s">
        <v>3501</v>
      </c>
      <c r="L40" t="s">
        <v>3996</v>
      </c>
      <c r="M40" t="s">
        <v>3457</v>
      </c>
    </row>
    <row r="41" spans="1:13" x14ac:dyDescent="0.25">
      <c r="A41" t="s">
        <v>5228</v>
      </c>
      <c r="B41" s="8" t="s">
        <v>5371</v>
      </c>
      <c r="C41" s="8" t="s">
        <v>5372</v>
      </c>
      <c r="D41" t="s">
        <v>3982</v>
      </c>
      <c r="E41" t="s">
        <v>187</v>
      </c>
      <c r="F41" t="s">
        <v>3457</v>
      </c>
      <c r="G41" t="s">
        <v>5231</v>
      </c>
      <c r="H41" t="s">
        <v>5172</v>
      </c>
      <c r="I41" t="s">
        <v>4030</v>
      </c>
      <c r="J41" t="s">
        <v>5232</v>
      </c>
      <c r="K41" t="s">
        <v>3513</v>
      </c>
      <c r="L41" t="s">
        <v>3996</v>
      </c>
      <c r="M41" t="s">
        <v>5373</v>
      </c>
    </row>
    <row r="42" spans="1:13" x14ac:dyDescent="0.25">
      <c r="A42" t="s">
        <v>5190</v>
      </c>
      <c r="B42" s="8" t="s">
        <v>5374</v>
      </c>
      <c r="C42" s="8" t="s">
        <v>5375</v>
      </c>
      <c r="D42" t="s">
        <v>3982</v>
      </c>
      <c r="E42" t="s">
        <v>187</v>
      </c>
      <c r="F42" t="s">
        <v>3457</v>
      </c>
      <c r="G42" t="s">
        <v>5158</v>
      </c>
      <c r="H42" t="s">
        <v>39</v>
      </c>
      <c r="I42" t="s">
        <v>4030</v>
      </c>
      <c r="J42" t="s">
        <v>5192</v>
      </c>
      <c r="K42" t="s">
        <v>3501</v>
      </c>
      <c r="L42" t="s">
        <v>187</v>
      </c>
      <c r="M42" t="s">
        <v>3457</v>
      </c>
    </row>
    <row r="43" spans="1:13" x14ac:dyDescent="0.25">
      <c r="A43" t="s">
        <v>5178</v>
      </c>
      <c r="B43" s="8" t="s">
        <v>5376</v>
      </c>
      <c r="C43" s="8" t="s">
        <v>5377</v>
      </c>
      <c r="D43" t="s">
        <v>3991</v>
      </c>
      <c r="E43" t="s">
        <v>3996</v>
      </c>
      <c r="F43" t="s">
        <v>3457</v>
      </c>
      <c r="G43" t="s">
        <v>4296</v>
      </c>
      <c r="H43" t="s">
        <v>5175</v>
      </c>
      <c r="I43" t="s">
        <v>4013</v>
      </c>
      <c r="J43" t="s">
        <v>5180</v>
      </c>
      <c r="K43" t="s">
        <v>3501</v>
      </c>
      <c r="L43" t="s">
        <v>3996</v>
      </c>
      <c r="M43" t="s">
        <v>5378</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5379</v>
      </c>
      <c r="C1" t="s">
        <v>5380</v>
      </c>
      <c r="D1" t="s">
        <v>5381</v>
      </c>
      <c r="E1" t="s">
        <v>5060</v>
      </c>
    </row>
    <row r="2" spans="1:5" ht="15" customHeight="1" x14ac:dyDescent="0.25">
      <c r="A2" t="s">
        <v>5382</v>
      </c>
      <c r="B2" t="s">
        <v>5383</v>
      </c>
      <c r="E2" t="s">
        <v>5384</v>
      </c>
    </row>
    <row r="3" spans="1:5" ht="15" customHeight="1" x14ac:dyDescent="0.25">
      <c r="A3" t="s">
        <v>5385</v>
      </c>
      <c r="B3" t="s">
        <v>5386</v>
      </c>
      <c r="E3" t="s">
        <v>5387</v>
      </c>
    </row>
    <row r="4" spans="1:5" ht="15" customHeight="1" x14ac:dyDescent="0.25">
      <c r="A4" t="s">
        <v>5388</v>
      </c>
      <c r="B4" t="s">
        <v>3457</v>
      </c>
      <c r="E4" t="s">
        <v>5389</v>
      </c>
    </row>
    <row r="5" spans="1:5" ht="15" customHeight="1" x14ac:dyDescent="0.25">
      <c r="A5" t="s">
        <v>5390</v>
      </c>
      <c r="B5" t="s">
        <v>5391</v>
      </c>
      <c r="E5" t="s">
        <v>5392</v>
      </c>
    </row>
    <row r="6" spans="1:5" ht="15" customHeight="1" x14ac:dyDescent="0.25">
      <c r="A6" t="s">
        <v>4260</v>
      </c>
      <c r="B6" t="s">
        <v>5393</v>
      </c>
      <c r="E6" t="s">
        <v>5394</v>
      </c>
    </row>
    <row r="7" spans="1:5" ht="15" customHeight="1" x14ac:dyDescent="0.25">
      <c r="A7" t="s">
        <v>5253</v>
      </c>
      <c r="B7" t="s">
        <v>5395</v>
      </c>
      <c r="E7" t="s">
        <v>5396</v>
      </c>
    </row>
    <row r="8" spans="1:5" ht="15" customHeight="1" x14ac:dyDescent="0.25">
      <c r="A8" t="s">
        <v>5397</v>
      </c>
      <c r="B8" t="s">
        <v>5398</v>
      </c>
      <c r="C8" t="s">
        <v>5399</v>
      </c>
      <c r="D8" t="s">
        <v>5400</v>
      </c>
      <c r="E8" t="s">
        <v>5401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3452</v>
      </c>
      <c r="C1" t="s">
        <v>5402</v>
      </c>
      <c r="D1" t="s">
        <v>5403</v>
      </c>
    </row>
    <row r="2" spans="1:4" ht="15" customHeight="1" x14ac:dyDescent="0.25">
      <c r="A2" t="s">
        <v>5404</v>
      </c>
      <c r="B2" t="s">
        <v>5405</v>
      </c>
      <c r="C2" t="s">
        <v>39</v>
      </c>
      <c r="D2" t="s">
        <v>3457</v>
      </c>
    </row>
    <row r="3" spans="1:4" ht="15" customHeight="1" x14ac:dyDescent="0.25">
      <c r="A3" t="s">
        <v>5406</v>
      </c>
      <c r="B3" t="s">
        <v>5407</v>
      </c>
      <c r="C3" t="s">
        <v>5408</v>
      </c>
      <c r="D3" t="s">
        <v>3457</v>
      </c>
    </row>
    <row r="4" spans="1:4" ht="15" customHeight="1" x14ac:dyDescent="0.25">
      <c r="A4" t="s">
        <v>5409</v>
      </c>
      <c r="B4" t="s">
        <v>5410</v>
      </c>
      <c r="C4" t="s">
        <v>39</v>
      </c>
      <c r="D4" t="s">
        <v>3457</v>
      </c>
    </row>
    <row r="5" spans="1:4" ht="15" customHeight="1" x14ac:dyDescent="0.25">
      <c r="A5" t="s">
        <v>5411</v>
      </c>
      <c r="B5" t="s">
        <v>5412</v>
      </c>
      <c r="C5" t="s">
        <v>5408</v>
      </c>
      <c r="D5" t="s">
        <v>3457</v>
      </c>
    </row>
    <row r="6" spans="1:4" ht="15" customHeight="1" x14ac:dyDescent="0.25">
      <c r="A6" t="s">
        <v>5413</v>
      </c>
      <c r="B6" t="s">
        <v>5414</v>
      </c>
      <c r="C6" t="s">
        <v>5408</v>
      </c>
      <c r="D6" t="s">
        <v>3457</v>
      </c>
    </row>
    <row r="7" spans="1:4" ht="15" customHeight="1" x14ac:dyDescent="0.25">
      <c r="A7" t="s">
        <v>5415</v>
      </c>
      <c r="B7" t="s">
        <v>5416</v>
      </c>
      <c r="C7" t="s">
        <v>39</v>
      </c>
      <c r="D7" t="s">
        <v>3457</v>
      </c>
    </row>
    <row r="8" spans="1:4" ht="15" customHeight="1" x14ac:dyDescent="0.25">
      <c r="A8" t="s">
        <v>5417</v>
      </c>
      <c r="B8" t="s">
        <v>5418</v>
      </c>
      <c r="C8" t="s">
        <v>39</v>
      </c>
      <c r="D8" t="s">
        <v>3457</v>
      </c>
    </row>
    <row r="9" spans="1:4" ht="15" customHeight="1" x14ac:dyDescent="0.25">
      <c r="A9" t="s">
        <v>5419</v>
      </c>
      <c r="B9" t="s">
        <v>5420</v>
      </c>
      <c r="C9" t="s">
        <v>39</v>
      </c>
      <c r="D9" t="s">
        <v>3457</v>
      </c>
    </row>
    <row r="10" spans="1:4" ht="15" customHeight="1" x14ac:dyDescent="0.25">
      <c r="A10" t="s">
        <v>5421</v>
      </c>
      <c r="B10" t="s">
        <v>5422</v>
      </c>
      <c r="C10" t="s">
        <v>5423</v>
      </c>
      <c r="D10" t="s">
        <v>3457</v>
      </c>
    </row>
    <row r="11" spans="1:4" ht="15" customHeight="1" x14ac:dyDescent="0.25">
      <c r="A11" t="s">
        <v>5424</v>
      </c>
      <c r="B11" t="s">
        <v>5425</v>
      </c>
      <c r="C11" t="s">
        <v>4427</v>
      </c>
      <c r="D11" t="s">
        <v>3457</v>
      </c>
    </row>
    <row r="12" spans="1:4" ht="15" customHeight="1" x14ac:dyDescent="0.25">
      <c r="A12" t="s">
        <v>5426</v>
      </c>
      <c r="B12" t="s">
        <v>5427</v>
      </c>
      <c r="C12" t="s">
        <v>4427</v>
      </c>
      <c r="D12" t="s">
        <v>3457</v>
      </c>
    </row>
    <row r="13" spans="1:4" ht="15" customHeight="1" x14ac:dyDescent="0.25">
      <c r="A13" t="s">
        <v>5428</v>
      </c>
      <c r="B13" t="s">
        <v>5429</v>
      </c>
      <c r="C13" t="s">
        <v>5408</v>
      </c>
      <c r="D13" t="s">
        <v>3457</v>
      </c>
    </row>
    <row r="14" spans="1:4" ht="15" customHeight="1" x14ac:dyDescent="0.25">
      <c r="A14" t="s">
        <v>5430</v>
      </c>
      <c r="B14" t="s">
        <v>5431</v>
      </c>
      <c r="C14" t="s">
        <v>39</v>
      </c>
      <c r="D14" t="s">
        <v>3457</v>
      </c>
    </row>
    <row r="15" spans="1:4" ht="15" customHeight="1" x14ac:dyDescent="0.25">
      <c r="A15" t="s">
        <v>5432</v>
      </c>
      <c r="B15" t="s">
        <v>5433</v>
      </c>
      <c r="C15" t="s">
        <v>39</v>
      </c>
      <c r="D15" t="s">
        <v>3457</v>
      </c>
    </row>
    <row r="16" spans="1:4" ht="15" customHeight="1" x14ac:dyDescent="0.25">
      <c r="A16" t="s">
        <v>5434</v>
      </c>
      <c r="B16" t="s">
        <v>5435</v>
      </c>
      <c r="C16" t="s">
        <v>5423</v>
      </c>
      <c r="D16" t="s">
        <v>3457</v>
      </c>
    </row>
    <row r="17" spans="1:4" ht="15" customHeight="1" x14ac:dyDescent="0.25">
      <c r="A17" t="s">
        <v>5436</v>
      </c>
      <c r="B17" t="s">
        <v>5437</v>
      </c>
      <c r="C17" t="s">
        <v>39</v>
      </c>
      <c r="D17" t="s">
        <v>3457</v>
      </c>
    </row>
    <row r="18" spans="1:4" ht="15" customHeight="1" x14ac:dyDescent="0.25">
      <c r="A18" t="s">
        <v>5438</v>
      </c>
      <c r="B18" t="s">
        <v>5439</v>
      </c>
      <c r="C18" t="s">
        <v>5440</v>
      </c>
      <c r="D18" t="s">
        <v>3457</v>
      </c>
    </row>
    <row r="19" spans="1:4" ht="15" customHeight="1" x14ac:dyDescent="0.25">
      <c r="A19" t="s">
        <v>5441</v>
      </c>
      <c r="B19" t="s">
        <v>5442</v>
      </c>
      <c r="C19" t="s">
        <v>39</v>
      </c>
      <c r="D19" t="s">
        <v>3457</v>
      </c>
    </row>
    <row r="20" spans="1:4" ht="15" customHeight="1" x14ac:dyDescent="0.25">
      <c r="A20" t="s">
        <v>5443</v>
      </c>
      <c r="B20" t="s">
        <v>5444</v>
      </c>
      <c r="C20" t="s">
        <v>39</v>
      </c>
      <c r="D20" t="s">
        <v>3457</v>
      </c>
    </row>
    <row r="21" spans="1:4" ht="15" customHeight="1" x14ac:dyDescent="0.25">
      <c r="A21" t="s">
        <v>5445</v>
      </c>
      <c r="B21" t="s">
        <v>5446</v>
      </c>
      <c r="C21" t="s">
        <v>39</v>
      </c>
      <c r="D21" t="s">
        <v>5447</v>
      </c>
    </row>
    <row r="22" spans="1:4" ht="15" customHeight="1" x14ac:dyDescent="0.25">
      <c r="A22" t="s">
        <v>5448</v>
      </c>
      <c r="B22" t="s">
        <v>5449</v>
      </c>
      <c r="C22" t="s">
        <v>5450</v>
      </c>
      <c r="D22" t="s">
        <v>3457</v>
      </c>
    </row>
    <row r="23" spans="1:4" ht="15" customHeight="1" x14ac:dyDescent="0.25">
      <c r="A23" t="s">
        <v>5451</v>
      </c>
      <c r="B23" t="s">
        <v>5452</v>
      </c>
      <c r="C23" t="s">
        <v>5423</v>
      </c>
      <c r="D23" t="s">
        <v>3457</v>
      </c>
    </row>
    <row r="24" spans="1:4" ht="15" customHeight="1" x14ac:dyDescent="0.25">
      <c r="A24" t="s">
        <v>5453</v>
      </c>
      <c r="B24" t="s">
        <v>5454</v>
      </c>
      <c r="C24" t="s">
        <v>5423</v>
      </c>
      <c r="D24" t="s">
        <v>5455</v>
      </c>
    </row>
    <row r="25" spans="1:4" ht="15" customHeight="1" x14ac:dyDescent="0.25">
      <c r="A25" t="s">
        <v>5456</v>
      </c>
      <c r="B25" t="s">
        <v>5457</v>
      </c>
      <c r="C25" t="s">
        <v>5440</v>
      </c>
      <c r="D25" t="s">
        <v>3457</v>
      </c>
    </row>
    <row r="26" spans="1:4" ht="15" customHeight="1" x14ac:dyDescent="0.25">
      <c r="A26" t="s">
        <v>5458</v>
      </c>
      <c r="B26" t="s">
        <v>5459</v>
      </c>
      <c r="C26" t="s">
        <v>5408</v>
      </c>
      <c r="D26" t="s">
        <v>3457</v>
      </c>
    </row>
    <row r="27" spans="1:4" ht="15" customHeight="1" x14ac:dyDescent="0.25">
      <c r="A27" t="s">
        <v>5460</v>
      </c>
      <c r="B27" t="s">
        <v>5461</v>
      </c>
      <c r="C27" t="s">
        <v>5423</v>
      </c>
      <c r="D27" t="s">
        <v>3457</v>
      </c>
    </row>
    <row r="28" spans="1:4" ht="15" customHeight="1" x14ac:dyDescent="0.25">
      <c r="A28" t="s">
        <v>5462</v>
      </c>
      <c r="B28" t="s">
        <v>5463</v>
      </c>
      <c r="C28" t="s">
        <v>5423</v>
      </c>
      <c r="D28" t="s">
        <v>3457</v>
      </c>
    </row>
    <row r="29" spans="1:4" ht="15" customHeight="1" x14ac:dyDescent="0.25">
      <c r="A29" t="s">
        <v>5464</v>
      </c>
      <c r="B29" t="s">
        <v>5465</v>
      </c>
      <c r="C29" t="s">
        <v>5466</v>
      </c>
      <c r="D29" t="s">
        <v>3457</v>
      </c>
    </row>
    <row r="30" spans="1:4" ht="15" customHeight="1" x14ac:dyDescent="0.25">
      <c r="A30" t="s">
        <v>5467</v>
      </c>
      <c r="B30" t="s">
        <v>5468</v>
      </c>
      <c r="C30" t="s">
        <v>39</v>
      </c>
      <c r="D30" t="s">
        <v>3457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5469</v>
      </c>
      <c r="F1" t="s">
        <v>5470</v>
      </c>
      <c r="G1" t="s">
        <v>5403</v>
      </c>
      <c r="H1" t="s">
        <v>5471</v>
      </c>
      <c r="I1" t="s">
        <v>5472</v>
      </c>
      <c r="J1" t="s">
        <v>5473</v>
      </c>
      <c r="K1" t="s">
        <v>5474</v>
      </c>
      <c r="L1" t="s">
        <v>5475</v>
      </c>
      <c r="M1" t="s">
        <v>5476</v>
      </c>
    </row>
    <row r="2" spans="1:13" ht="15" customHeight="1" x14ac:dyDescent="0.25">
      <c r="A2" t="s">
        <v>5409</v>
      </c>
      <c r="B2" t="s">
        <v>5410</v>
      </c>
      <c r="C2" t="s">
        <v>5477</v>
      </c>
      <c r="D2" t="s">
        <v>5478</v>
      </c>
      <c r="E2" t="s">
        <v>3996</v>
      </c>
      <c r="F2" t="s">
        <v>39</v>
      </c>
      <c r="G2" t="s">
        <v>3457</v>
      </c>
      <c r="H2" t="s">
        <v>5479</v>
      </c>
      <c r="I2" t="s">
        <v>5480</v>
      </c>
      <c r="J2" t="s">
        <v>5481</v>
      </c>
    </row>
    <row r="3" spans="1:13" ht="15" customHeight="1" x14ac:dyDescent="0.25">
      <c r="A3" t="s">
        <v>5415</v>
      </c>
      <c r="B3" t="s">
        <v>5416</v>
      </c>
      <c r="C3" t="s">
        <v>5416</v>
      </c>
      <c r="D3" t="s">
        <v>5416</v>
      </c>
      <c r="E3" t="s">
        <v>3996</v>
      </c>
      <c r="F3" t="s">
        <v>39</v>
      </c>
      <c r="G3" t="s">
        <v>3457</v>
      </c>
      <c r="H3" t="s">
        <v>5482</v>
      </c>
      <c r="I3" t="s">
        <v>5483</v>
      </c>
    </row>
    <row r="4" spans="1:13" ht="15" customHeight="1" x14ac:dyDescent="0.25">
      <c r="A4" t="s">
        <v>5484</v>
      </c>
      <c r="B4" s="8" t="s">
        <v>5485</v>
      </c>
      <c r="C4" s="8" t="s">
        <v>5485</v>
      </c>
      <c r="D4" s="8" t="s">
        <v>5485</v>
      </c>
      <c r="E4" t="s">
        <v>187</v>
      </c>
      <c r="F4" t="s">
        <v>39</v>
      </c>
      <c r="G4" t="s">
        <v>3457</v>
      </c>
      <c r="H4" t="s">
        <v>5486</v>
      </c>
      <c r="I4" t="s">
        <v>5487</v>
      </c>
    </row>
    <row r="5" spans="1:13" ht="15" customHeight="1" x14ac:dyDescent="0.25">
      <c r="A5" t="s">
        <v>5488</v>
      </c>
      <c r="B5" t="s">
        <v>5489</v>
      </c>
      <c r="C5" t="s">
        <v>5489</v>
      </c>
      <c r="D5" t="s">
        <v>5489</v>
      </c>
      <c r="E5" t="s">
        <v>3996</v>
      </c>
      <c r="F5" t="s">
        <v>5423</v>
      </c>
      <c r="G5" t="s">
        <v>3457</v>
      </c>
      <c r="H5" t="s">
        <v>5490</v>
      </c>
      <c r="I5" t="s">
        <v>5483</v>
      </c>
    </row>
    <row r="6" spans="1:13" ht="15" customHeight="1" x14ac:dyDescent="0.25">
      <c r="A6" t="s">
        <v>5421</v>
      </c>
      <c r="B6" t="s">
        <v>5422</v>
      </c>
      <c r="C6" t="s">
        <v>5491</v>
      </c>
      <c r="D6" t="s">
        <v>5422</v>
      </c>
      <c r="E6" t="s">
        <v>3996</v>
      </c>
      <c r="F6" t="s">
        <v>5423</v>
      </c>
      <c r="G6" t="s">
        <v>3457</v>
      </c>
      <c r="H6" t="s">
        <v>5492</v>
      </c>
      <c r="I6" t="s">
        <v>5483</v>
      </c>
      <c r="K6" t="s">
        <v>5493</v>
      </c>
      <c r="L6" t="s">
        <v>5494</v>
      </c>
    </row>
    <row r="7" spans="1:13" ht="15" customHeight="1" x14ac:dyDescent="0.25">
      <c r="A7" t="s">
        <v>5495</v>
      </c>
      <c r="B7" t="s">
        <v>5496</v>
      </c>
      <c r="C7" t="s">
        <v>5497</v>
      </c>
      <c r="D7" t="s">
        <v>5496</v>
      </c>
      <c r="E7" t="s">
        <v>3996</v>
      </c>
      <c r="F7" t="s">
        <v>5423</v>
      </c>
      <c r="G7" t="s">
        <v>3457</v>
      </c>
      <c r="H7" t="s">
        <v>5498</v>
      </c>
      <c r="I7" t="s">
        <v>5483</v>
      </c>
      <c r="K7" t="s">
        <v>5499</v>
      </c>
      <c r="L7" t="s">
        <v>5500</v>
      </c>
    </row>
    <row r="8" spans="1:13" ht="15" customHeight="1" x14ac:dyDescent="0.25">
      <c r="A8" t="s">
        <v>5424</v>
      </c>
      <c r="B8" t="s">
        <v>5501</v>
      </c>
      <c r="C8" t="s">
        <v>5502</v>
      </c>
      <c r="D8" t="s">
        <v>5502</v>
      </c>
      <c r="E8" t="s">
        <v>3996</v>
      </c>
      <c r="F8" t="s">
        <v>4427</v>
      </c>
      <c r="G8" t="s">
        <v>3457</v>
      </c>
      <c r="H8" t="s">
        <v>5503</v>
      </c>
      <c r="I8" t="s">
        <v>5504</v>
      </c>
      <c r="J8" t="s">
        <v>5503</v>
      </c>
    </row>
    <row r="9" spans="1:13" ht="15" customHeight="1" x14ac:dyDescent="0.25">
      <c r="A9" t="s">
        <v>5426</v>
      </c>
      <c r="B9" t="s">
        <v>5427</v>
      </c>
      <c r="C9" t="s">
        <v>5427</v>
      </c>
      <c r="D9" t="s">
        <v>5427</v>
      </c>
      <c r="E9" t="s">
        <v>3996</v>
      </c>
      <c r="F9" t="s">
        <v>39</v>
      </c>
      <c r="G9" t="s">
        <v>3457</v>
      </c>
      <c r="H9" t="s">
        <v>5505</v>
      </c>
      <c r="I9" t="s">
        <v>5506</v>
      </c>
      <c r="J9" t="s">
        <v>3845</v>
      </c>
    </row>
    <row r="10" spans="1:13" ht="15" customHeight="1" x14ac:dyDescent="0.25">
      <c r="A10" t="s">
        <v>5430</v>
      </c>
      <c r="B10" t="s">
        <v>5431</v>
      </c>
      <c r="C10" t="s">
        <v>5507</v>
      </c>
      <c r="D10" t="s">
        <v>5507</v>
      </c>
      <c r="E10" t="s">
        <v>3996</v>
      </c>
      <c r="F10" t="s">
        <v>39</v>
      </c>
      <c r="G10" t="s">
        <v>3457</v>
      </c>
      <c r="H10" t="s">
        <v>5508</v>
      </c>
      <c r="I10" t="s">
        <v>5504</v>
      </c>
      <c r="J10" t="s">
        <v>5508</v>
      </c>
    </row>
    <row r="11" spans="1:13" ht="15" customHeight="1" x14ac:dyDescent="0.25">
      <c r="A11" t="s">
        <v>5509</v>
      </c>
      <c r="B11" t="s">
        <v>5433</v>
      </c>
      <c r="C11" t="s">
        <v>5510</v>
      </c>
      <c r="D11" t="s">
        <v>5433</v>
      </c>
      <c r="E11" t="s">
        <v>187</v>
      </c>
      <c r="F11" t="s">
        <v>39</v>
      </c>
      <c r="G11" t="s">
        <v>3457</v>
      </c>
      <c r="H11" t="s">
        <v>5511</v>
      </c>
      <c r="I11" t="s">
        <v>5487</v>
      </c>
    </row>
    <row r="12" spans="1:13" ht="15" customHeight="1" x14ac:dyDescent="0.25">
      <c r="A12" t="s">
        <v>5434</v>
      </c>
      <c r="B12" t="s">
        <v>5435</v>
      </c>
      <c r="C12" t="s">
        <v>5512</v>
      </c>
      <c r="D12" t="s">
        <v>5435</v>
      </c>
      <c r="E12" t="s">
        <v>3996</v>
      </c>
      <c r="F12" t="s">
        <v>5423</v>
      </c>
      <c r="G12" t="s">
        <v>3457</v>
      </c>
      <c r="H12" t="s">
        <v>5513</v>
      </c>
      <c r="I12" t="s">
        <v>5483</v>
      </c>
      <c r="K12" t="s">
        <v>5514</v>
      </c>
      <c r="L12" t="s">
        <v>5515</v>
      </c>
    </row>
    <row r="13" spans="1:13" ht="15" customHeight="1" x14ac:dyDescent="0.25">
      <c r="A13" t="s">
        <v>5436</v>
      </c>
      <c r="B13" t="s">
        <v>5437</v>
      </c>
      <c r="C13" t="s">
        <v>5437</v>
      </c>
      <c r="D13" t="s">
        <v>5437</v>
      </c>
      <c r="E13" t="s">
        <v>3996</v>
      </c>
      <c r="F13" t="s">
        <v>39</v>
      </c>
      <c r="G13" t="s">
        <v>3457</v>
      </c>
      <c r="H13" t="s">
        <v>5516</v>
      </c>
      <c r="I13" t="s">
        <v>5504</v>
      </c>
      <c r="J13" t="s">
        <v>5516</v>
      </c>
    </row>
    <row r="14" spans="1:13" ht="15" customHeight="1" x14ac:dyDescent="0.25">
      <c r="A14" t="s">
        <v>5441</v>
      </c>
      <c r="B14" t="s">
        <v>5517</v>
      </c>
      <c r="C14" t="s">
        <v>5518</v>
      </c>
      <c r="D14" t="s">
        <v>5518</v>
      </c>
      <c r="E14" t="s">
        <v>3996</v>
      </c>
      <c r="F14" t="s">
        <v>39</v>
      </c>
      <c r="G14" t="s">
        <v>3457</v>
      </c>
      <c r="H14" t="s">
        <v>5519</v>
      </c>
      <c r="I14" t="s">
        <v>5483</v>
      </c>
    </row>
    <row r="15" spans="1:13" ht="15" customHeight="1" x14ac:dyDescent="0.25">
      <c r="A15" t="s">
        <v>5520</v>
      </c>
      <c r="B15" t="s">
        <v>5521</v>
      </c>
      <c r="C15" t="s">
        <v>5521</v>
      </c>
      <c r="D15" t="s">
        <v>5521</v>
      </c>
      <c r="E15" t="s">
        <v>3996</v>
      </c>
      <c r="F15" t="s">
        <v>5522</v>
      </c>
      <c r="G15" t="s">
        <v>3457</v>
      </c>
      <c r="H15" t="s">
        <v>5523</v>
      </c>
      <c r="I15" t="s">
        <v>5523</v>
      </c>
    </row>
    <row r="16" spans="1:13" ht="15" customHeight="1" x14ac:dyDescent="0.25">
      <c r="A16" t="s">
        <v>5524</v>
      </c>
      <c r="B16" t="s">
        <v>5525</v>
      </c>
      <c r="C16" t="s">
        <v>5525</v>
      </c>
      <c r="D16" t="s">
        <v>5525</v>
      </c>
      <c r="E16" t="s">
        <v>187</v>
      </c>
      <c r="F16" t="s">
        <v>5522</v>
      </c>
      <c r="G16" t="s">
        <v>3457</v>
      </c>
      <c r="H16" t="s">
        <v>5526</v>
      </c>
      <c r="I16" t="s">
        <v>5526</v>
      </c>
    </row>
    <row r="17" spans="1:12" ht="15" customHeight="1" x14ac:dyDescent="0.25">
      <c r="A17" t="s">
        <v>5448</v>
      </c>
      <c r="B17" t="s">
        <v>5449</v>
      </c>
      <c r="C17" t="s">
        <v>5527</v>
      </c>
      <c r="D17" t="s">
        <v>5527</v>
      </c>
      <c r="E17" t="s">
        <v>3996</v>
      </c>
      <c r="F17" t="s">
        <v>39</v>
      </c>
      <c r="G17" t="s">
        <v>3457</v>
      </c>
      <c r="H17" t="s">
        <v>5528</v>
      </c>
      <c r="I17" t="s">
        <v>5483</v>
      </c>
    </row>
    <row r="18" spans="1:12" ht="15" customHeight="1" x14ac:dyDescent="0.25">
      <c r="A18" t="s">
        <v>5529</v>
      </c>
      <c r="B18" t="s">
        <v>5530</v>
      </c>
      <c r="C18" t="s">
        <v>5530</v>
      </c>
      <c r="D18" t="s">
        <v>5531</v>
      </c>
      <c r="E18" t="s">
        <v>187</v>
      </c>
      <c r="F18" t="s">
        <v>5423</v>
      </c>
      <c r="G18" t="s">
        <v>3457</v>
      </c>
      <c r="H18" t="s">
        <v>5532</v>
      </c>
      <c r="I18" t="s">
        <v>5533</v>
      </c>
    </row>
    <row r="19" spans="1:12" ht="15" customHeight="1" x14ac:dyDescent="0.25">
      <c r="A19" t="s">
        <v>5451</v>
      </c>
      <c r="B19" t="s">
        <v>5452</v>
      </c>
      <c r="C19" t="s">
        <v>5534</v>
      </c>
      <c r="D19" t="s">
        <v>5452</v>
      </c>
      <c r="E19" t="s">
        <v>3996</v>
      </c>
      <c r="F19" t="s">
        <v>5423</v>
      </c>
      <c r="G19" t="s">
        <v>3457</v>
      </c>
      <c r="H19" t="s">
        <v>5535</v>
      </c>
      <c r="I19" t="s">
        <v>5483</v>
      </c>
    </row>
    <row r="20" spans="1:12" ht="15" customHeight="1" x14ac:dyDescent="0.25">
      <c r="A20" t="s">
        <v>5460</v>
      </c>
      <c r="B20" t="s">
        <v>5536</v>
      </c>
      <c r="C20" t="s">
        <v>5537</v>
      </c>
      <c r="D20" t="s">
        <v>5536</v>
      </c>
      <c r="E20" t="s">
        <v>3996</v>
      </c>
      <c r="F20" t="s">
        <v>5423</v>
      </c>
      <c r="G20" t="s">
        <v>3457</v>
      </c>
      <c r="H20" t="s">
        <v>5538</v>
      </c>
      <c r="I20" t="s">
        <v>5483</v>
      </c>
    </row>
    <row r="21" spans="1:12" ht="15" customHeight="1" x14ac:dyDescent="0.25">
      <c r="A21" t="s">
        <v>5462</v>
      </c>
      <c r="B21" t="s">
        <v>5539</v>
      </c>
      <c r="C21" t="s">
        <v>5491</v>
      </c>
      <c r="D21" t="s">
        <v>5539</v>
      </c>
      <c r="E21" t="s">
        <v>3996</v>
      </c>
      <c r="F21" t="s">
        <v>5423</v>
      </c>
      <c r="G21" t="s">
        <v>3457</v>
      </c>
      <c r="H21" t="s">
        <v>5540</v>
      </c>
      <c r="I21" t="s">
        <v>5483</v>
      </c>
      <c r="K21" t="s">
        <v>5541</v>
      </c>
      <c r="L21" t="s">
        <v>5494</v>
      </c>
    </row>
    <row r="22" spans="1:12" ht="15" customHeight="1" x14ac:dyDescent="0.25">
      <c r="A22" t="s">
        <v>5464</v>
      </c>
      <c r="B22" t="s">
        <v>5542</v>
      </c>
      <c r="C22" t="s">
        <v>5542</v>
      </c>
      <c r="D22" t="s">
        <v>5542</v>
      </c>
      <c r="E22" t="s">
        <v>3996</v>
      </c>
      <c r="F22" t="s">
        <v>4427</v>
      </c>
      <c r="G22" t="s">
        <v>3457</v>
      </c>
      <c r="H22" t="s">
        <v>5543</v>
      </c>
      <c r="I22" t="s">
        <v>5544</v>
      </c>
    </row>
    <row r="23" spans="1:12" ht="15" customHeight="1" x14ac:dyDescent="0.25">
      <c r="A23" t="s">
        <v>5467</v>
      </c>
      <c r="B23" t="s">
        <v>5468</v>
      </c>
      <c r="C23" t="s">
        <v>5468</v>
      </c>
      <c r="D23" t="s">
        <v>5468</v>
      </c>
      <c r="E23" t="s">
        <v>3996</v>
      </c>
      <c r="F23" t="s">
        <v>39</v>
      </c>
      <c r="G23" t="s">
        <v>3457</v>
      </c>
      <c r="H23" t="s">
        <v>5545</v>
      </c>
      <c r="I23" t="s">
        <v>5506</v>
      </c>
      <c r="J23" t="s">
        <v>5546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5547</v>
      </c>
      <c r="D1" t="s">
        <v>5548</v>
      </c>
      <c r="E1" t="s">
        <v>5549</v>
      </c>
      <c r="F1" t="s">
        <v>5550</v>
      </c>
      <c r="G1" t="s">
        <v>5551</v>
      </c>
      <c r="H1" t="s">
        <v>5552</v>
      </c>
      <c r="I1" t="s">
        <v>5553</v>
      </c>
      <c r="J1" t="s">
        <v>5554</v>
      </c>
      <c r="K1" t="s">
        <v>3496</v>
      </c>
      <c r="L1" t="s">
        <v>4008</v>
      </c>
      <c r="M1" t="s">
        <v>171</v>
      </c>
    </row>
    <row r="2" spans="1:13" ht="15" customHeight="1" x14ac:dyDescent="0.25">
      <c r="A2" t="s">
        <v>5555</v>
      </c>
      <c r="B2" t="s">
        <v>3513</v>
      </c>
      <c r="C2" t="s">
        <v>5556</v>
      </c>
      <c r="D2" t="s">
        <v>101</v>
      </c>
      <c r="E2" t="s">
        <v>5556</v>
      </c>
      <c r="F2" t="s">
        <v>101</v>
      </c>
      <c r="G2" t="s">
        <v>5556</v>
      </c>
      <c r="H2" t="s">
        <v>101</v>
      </c>
      <c r="I2" t="s">
        <v>5556</v>
      </c>
      <c r="J2" t="s">
        <v>101</v>
      </c>
      <c r="K2" t="s">
        <v>2154</v>
      </c>
      <c r="L2" t="s">
        <v>4041</v>
      </c>
    </row>
    <row r="3" spans="1:13" ht="15" customHeight="1" x14ac:dyDescent="0.25">
      <c r="A3" t="s">
        <v>4012</v>
      </c>
      <c r="B3" t="s">
        <v>3513</v>
      </c>
      <c r="C3" t="s">
        <v>5557</v>
      </c>
      <c r="D3" t="s">
        <v>5558</v>
      </c>
      <c r="E3" t="s">
        <v>5559</v>
      </c>
      <c r="F3" t="s">
        <v>5560</v>
      </c>
      <c r="G3" t="s">
        <v>5561</v>
      </c>
      <c r="H3" t="s">
        <v>5562</v>
      </c>
      <c r="I3" t="s">
        <v>5563</v>
      </c>
      <c r="J3" t="s">
        <v>5564</v>
      </c>
      <c r="K3" t="s">
        <v>2154</v>
      </c>
      <c r="L3" t="s">
        <v>4013</v>
      </c>
    </row>
    <row r="4" spans="1:13" ht="15" customHeight="1" x14ac:dyDescent="0.25">
      <c r="A4" t="s">
        <v>4018</v>
      </c>
      <c r="B4" t="s">
        <v>3513</v>
      </c>
      <c r="C4" t="s">
        <v>5565</v>
      </c>
      <c r="D4" t="s">
        <v>5566</v>
      </c>
      <c r="E4" t="s">
        <v>5567</v>
      </c>
      <c r="F4" t="s">
        <v>5568</v>
      </c>
      <c r="G4" t="s">
        <v>5569</v>
      </c>
      <c r="H4" t="s">
        <v>5570</v>
      </c>
      <c r="I4" t="s">
        <v>5571</v>
      </c>
      <c r="J4" t="s">
        <v>5572</v>
      </c>
      <c r="K4" t="s">
        <v>1284</v>
      </c>
      <c r="L4" t="s">
        <v>4013</v>
      </c>
      <c r="M4" t="s">
        <v>4021</v>
      </c>
    </row>
    <row r="5" spans="1:13" ht="15" customHeight="1" x14ac:dyDescent="0.25">
      <c r="A5" t="s">
        <v>5573</v>
      </c>
      <c r="B5" t="s">
        <v>3513</v>
      </c>
      <c r="C5" t="s">
        <v>5574</v>
      </c>
      <c r="D5" t="s">
        <v>5575</v>
      </c>
      <c r="E5" t="s">
        <v>5576</v>
      </c>
      <c r="F5" t="s">
        <v>5577</v>
      </c>
      <c r="G5" t="s">
        <v>5578</v>
      </c>
      <c r="H5" t="s">
        <v>5579</v>
      </c>
      <c r="I5" t="s">
        <v>5580</v>
      </c>
      <c r="J5" t="s">
        <v>5581</v>
      </c>
      <c r="K5" t="s">
        <v>1725</v>
      </c>
      <c r="L5" t="s">
        <v>4030</v>
      </c>
    </row>
    <row r="6" spans="1:13" ht="15" customHeight="1" x14ac:dyDescent="0.25">
      <c r="A6" t="s">
        <v>4024</v>
      </c>
      <c r="B6" t="s">
        <v>41</v>
      </c>
      <c r="C6" t="s">
        <v>5582</v>
      </c>
      <c r="D6" t="s">
        <v>5583</v>
      </c>
      <c r="E6" t="s">
        <v>5584</v>
      </c>
      <c r="F6" t="s">
        <v>5585</v>
      </c>
      <c r="G6" t="s">
        <v>5586</v>
      </c>
      <c r="H6" t="s">
        <v>5587</v>
      </c>
      <c r="I6" t="s">
        <v>5588</v>
      </c>
      <c r="J6" t="s">
        <v>5589</v>
      </c>
      <c r="K6" t="s">
        <v>2154</v>
      </c>
      <c r="L6" t="s">
        <v>4013</v>
      </c>
    </row>
    <row r="7" spans="1:13" ht="15" customHeight="1" x14ac:dyDescent="0.25">
      <c r="A7" t="s">
        <v>5590</v>
      </c>
      <c r="B7" t="s">
        <v>41</v>
      </c>
      <c r="C7" t="s">
        <v>5591</v>
      </c>
      <c r="D7" t="s">
        <v>5592</v>
      </c>
      <c r="E7" t="s">
        <v>5593</v>
      </c>
      <c r="F7" t="s">
        <v>5594</v>
      </c>
      <c r="G7" t="s">
        <v>5595</v>
      </c>
      <c r="H7" t="s">
        <v>5596</v>
      </c>
      <c r="I7" t="s">
        <v>5597</v>
      </c>
      <c r="J7" t="s">
        <v>5598</v>
      </c>
      <c r="K7" t="s">
        <v>2154</v>
      </c>
      <c r="L7" t="s">
        <v>4030</v>
      </c>
      <c r="M7" t="s">
        <v>5599</v>
      </c>
    </row>
    <row r="8" spans="1:13" ht="15" customHeight="1" x14ac:dyDescent="0.25">
      <c r="A8" t="s">
        <v>4047</v>
      </c>
      <c r="B8" t="s">
        <v>3513</v>
      </c>
      <c r="C8" t="s">
        <v>5600</v>
      </c>
      <c r="D8" t="s">
        <v>5601</v>
      </c>
      <c r="E8" t="s">
        <v>5602</v>
      </c>
      <c r="F8" t="s">
        <v>5603</v>
      </c>
      <c r="G8" t="s">
        <v>5604</v>
      </c>
      <c r="H8" t="s">
        <v>5605</v>
      </c>
      <c r="I8" t="s">
        <v>5606</v>
      </c>
      <c r="J8" t="s">
        <v>5607</v>
      </c>
      <c r="K8" t="s">
        <v>1284</v>
      </c>
      <c r="L8" t="s">
        <v>4013</v>
      </c>
    </row>
    <row r="9" spans="1:13" ht="15" customHeight="1" x14ac:dyDescent="0.25">
      <c r="A9" t="s">
        <v>4029</v>
      </c>
      <c r="B9" t="s">
        <v>41</v>
      </c>
      <c r="C9" t="s">
        <v>5608</v>
      </c>
      <c r="D9" t="s">
        <v>5609</v>
      </c>
      <c r="E9" t="s">
        <v>5610</v>
      </c>
      <c r="F9" t="s">
        <v>5611</v>
      </c>
      <c r="G9" t="s">
        <v>5612</v>
      </c>
      <c r="H9" t="s">
        <v>5613</v>
      </c>
      <c r="I9" t="s">
        <v>5614</v>
      </c>
      <c r="J9" t="s">
        <v>5615</v>
      </c>
      <c r="K9" t="s">
        <v>2154</v>
      </c>
      <c r="L9" t="s">
        <v>4030</v>
      </c>
      <c r="M9" t="s">
        <v>4033</v>
      </c>
    </row>
    <row r="10" spans="1:13" ht="15" customHeight="1" x14ac:dyDescent="0.25">
      <c r="A10" t="s">
        <v>4036</v>
      </c>
      <c r="B10" t="s">
        <v>3513</v>
      </c>
      <c r="C10" t="s">
        <v>5616</v>
      </c>
      <c r="D10" t="s">
        <v>5617</v>
      </c>
      <c r="E10" t="s">
        <v>5618</v>
      </c>
      <c r="F10" t="s">
        <v>5619</v>
      </c>
      <c r="G10" t="s">
        <v>5620</v>
      </c>
      <c r="H10" t="s">
        <v>4037</v>
      </c>
      <c r="I10" t="s">
        <v>5621</v>
      </c>
      <c r="J10" t="s">
        <v>5622</v>
      </c>
      <c r="K10" t="s">
        <v>2154</v>
      </c>
      <c r="L10" t="s">
        <v>4030</v>
      </c>
    </row>
    <row r="11" spans="1:13" ht="15" customHeight="1" x14ac:dyDescent="0.25">
      <c r="A11" t="s">
        <v>5623</v>
      </c>
      <c r="B11" t="s">
        <v>3513</v>
      </c>
      <c r="C11" t="s">
        <v>5624</v>
      </c>
      <c r="D11" t="s">
        <v>5625</v>
      </c>
      <c r="E11" t="s">
        <v>5626</v>
      </c>
      <c r="F11" t="s">
        <v>5627</v>
      </c>
      <c r="G11" t="s">
        <v>5628</v>
      </c>
      <c r="H11" t="s">
        <v>5629</v>
      </c>
      <c r="I11" t="s">
        <v>5630</v>
      </c>
      <c r="J11" t="s">
        <v>5631</v>
      </c>
      <c r="K11" t="s">
        <v>2154</v>
      </c>
      <c r="L11" t="s">
        <v>4013</v>
      </c>
    </row>
    <row r="12" spans="1:13" ht="15" customHeight="1" x14ac:dyDescent="0.25">
      <c r="A12" t="s">
        <v>5632</v>
      </c>
      <c r="B12" t="s">
        <v>41</v>
      </c>
      <c r="C12" t="s">
        <v>5633</v>
      </c>
      <c r="D12" t="s">
        <v>5634</v>
      </c>
      <c r="E12" t="s">
        <v>5635</v>
      </c>
      <c r="F12" t="s">
        <v>5636</v>
      </c>
      <c r="G12" t="s">
        <v>5637</v>
      </c>
      <c r="H12" t="s">
        <v>5638</v>
      </c>
      <c r="I12" t="s">
        <v>5639</v>
      </c>
      <c r="J12" t="s">
        <v>5640</v>
      </c>
      <c r="K12" t="s">
        <v>2154</v>
      </c>
      <c r="L12" t="s">
        <v>4041</v>
      </c>
      <c r="M12" t="s">
        <v>4044</v>
      </c>
    </row>
    <row r="13" spans="1:13" ht="15" customHeight="1" x14ac:dyDescent="0.25">
      <c r="A13" t="s">
        <v>5641</v>
      </c>
      <c r="B13" t="s">
        <v>3501</v>
      </c>
      <c r="C13" t="s">
        <v>5642</v>
      </c>
      <c r="D13" t="s">
        <v>5643</v>
      </c>
      <c r="E13" t="s">
        <v>5644</v>
      </c>
      <c r="F13" t="s">
        <v>5645</v>
      </c>
      <c r="G13" t="s">
        <v>5646</v>
      </c>
      <c r="H13" t="s">
        <v>5647</v>
      </c>
      <c r="I13" t="s">
        <v>5648</v>
      </c>
      <c r="J13" t="s">
        <v>5649</v>
      </c>
      <c r="K13" t="s">
        <v>2154</v>
      </c>
      <c r="L13" t="s">
        <v>4030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3495</v>
      </c>
      <c r="D1" t="s">
        <v>3496</v>
      </c>
      <c r="E1" t="s">
        <v>171</v>
      </c>
    </row>
    <row r="2" spans="1:5" ht="15" customHeight="1" x14ac:dyDescent="0.25">
      <c r="A2" t="s">
        <v>4160</v>
      </c>
      <c r="B2" t="s">
        <v>41</v>
      </c>
      <c r="C2" t="s">
        <v>5650</v>
      </c>
      <c r="D2" t="s">
        <v>90</v>
      </c>
      <c r="E2" t="s">
        <v>4161</v>
      </c>
    </row>
    <row r="3" spans="1:5" ht="15" customHeight="1" x14ac:dyDescent="0.25">
      <c r="A3" t="s">
        <v>4162</v>
      </c>
      <c r="B3" t="s">
        <v>41</v>
      </c>
      <c r="C3" t="s">
        <v>5651</v>
      </c>
      <c r="D3" t="s">
        <v>90</v>
      </c>
      <c r="E3" t="s">
        <v>4165</v>
      </c>
    </row>
    <row r="4" spans="1:5" ht="15" customHeight="1" x14ac:dyDescent="0.25">
      <c r="A4" t="s">
        <v>5652</v>
      </c>
      <c r="B4" t="s">
        <v>41</v>
      </c>
      <c r="C4" t="s">
        <v>5653</v>
      </c>
      <c r="D4" t="s">
        <v>90</v>
      </c>
      <c r="E4" t="s">
        <v>5654</v>
      </c>
    </row>
    <row r="5" spans="1:5" ht="15" customHeight="1" x14ac:dyDescent="0.25">
      <c r="A5" t="s">
        <v>5655</v>
      </c>
      <c r="B5" t="s">
        <v>41</v>
      </c>
      <c r="C5" t="s">
        <v>5656</v>
      </c>
      <c r="D5" t="s">
        <v>90</v>
      </c>
      <c r="E5" t="s">
        <v>5657</v>
      </c>
    </row>
    <row r="6" spans="1:5" ht="15" customHeight="1" x14ac:dyDescent="0.25">
      <c r="A6" t="s">
        <v>5658</v>
      </c>
      <c r="B6" t="s">
        <v>41</v>
      </c>
      <c r="C6" t="s">
        <v>5659</v>
      </c>
      <c r="D6" t="s">
        <v>90</v>
      </c>
      <c r="E6" t="s">
        <v>5660</v>
      </c>
    </row>
    <row r="7" spans="1:5" ht="15" customHeight="1" x14ac:dyDescent="0.25">
      <c r="A7" t="s">
        <v>4166</v>
      </c>
      <c r="B7" t="s">
        <v>41</v>
      </c>
      <c r="C7" t="s">
        <v>5661</v>
      </c>
      <c r="D7" t="s">
        <v>90</v>
      </c>
      <c r="E7" t="s">
        <v>4171</v>
      </c>
    </row>
    <row r="8" spans="1:5" ht="15" customHeight="1" x14ac:dyDescent="0.25">
      <c r="A8" t="s">
        <v>4172</v>
      </c>
      <c r="B8" t="s">
        <v>41</v>
      </c>
      <c r="C8" t="s">
        <v>5662</v>
      </c>
      <c r="D8" t="s">
        <v>90</v>
      </c>
      <c r="E8" t="s">
        <v>4177</v>
      </c>
    </row>
    <row r="9" spans="1:5" ht="15" customHeight="1" x14ac:dyDescent="0.25">
      <c r="A9" t="s">
        <v>4178</v>
      </c>
      <c r="B9" t="s">
        <v>3501</v>
      </c>
      <c r="C9" t="s">
        <v>5663</v>
      </c>
      <c r="D9" t="s">
        <v>90</v>
      </c>
      <c r="E9" t="s">
        <v>4181</v>
      </c>
    </row>
    <row r="10" spans="1:5" ht="15" customHeight="1" x14ac:dyDescent="0.25">
      <c r="A10" t="s">
        <v>4182</v>
      </c>
      <c r="B10" t="s">
        <v>41</v>
      </c>
      <c r="C10" t="s">
        <v>5664</v>
      </c>
      <c r="D10" t="s">
        <v>90</v>
      </c>
      <c r="E10" t="s">
        <v>4187</v>
      </c>
    </row>
    <row r="11" spans="1:5" ht="15" customHeight="1" x14ac:dyDescent="0.25">
      <c r="A11" t="s">
        <v>4188</v>
      </c>
      <c r="B11" t="s">
        <v>41</v>
      </c>
      <c r="C11" t="s">
        <v>5665</v>
      </c>
      <c r="D11" t="s">
        <v>90</v>
      </c>
      <c r="E11" t="s">
        <v>4193</v>
      </c>
    </row>
    <row r="12" spans="1:5" ht="15" customHeight="1" x14ac:dyDescent="0.25">
      <c r="A12" t="s">
        <v>4194</v>
      </c>
      <c r="B12" t="s">
        <v>41</v>
      </c>
      <c r="C12" t="s">
        <v>5666</v>
      </c>
      <c r="D12" t="s">
        <v>90</v>
      </c>
      <c r="E12" t="s">
        <v>4199</v>
      </c>
    </row>
    <row r="13" spans="1:5" ht="15" customHeight="1" x14ac:dyDescent="0.25">
      <c r="A13" t="s">
        <v>5667</v>
      </c>
      <c r="B13" t="s">
        <v>3513</v>
      </c>
      <c r="C13" t="s">
        <v>5668</v>
      </c>
      <c r="D13" t="s">
        <v>90</v>
      </c>
      <c r="E13" t="s">
        <v>5669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3440</v>
      </c>
      <c r="D1" t="s">
        <v>4532</v>
      </c>
      <c r="E1" t="s">
        <v>5670</v>
      </c>
      <c r="F1" t="s">
        <v>5671</v>
      </c>
      <c r="G1" t="s">
        <v>5672</v>
      </c>
      <c r="H1" t="s">
        <v>5673</v>
      </c>
      <c r="I1" t="s">
        <v>3449</v>
      </c>
      <c r="J1" t="s">
        <v>5674</v>
      </c>
      <c r="K1" t="s">
        <v>3443</v>
      </c>
      <c r="L1" t="s">
        <v>5675</v>
      </c>
      <c r="M1" t="s">
        <v>3837</v>
      </c>
      <c r="N1" t="s">
        <v>5676</v>
      </c>
      <c r="O1" t="s">
        <v>5677</v>
      </c>
      <c r="P1" t="s">
        <v>3450</v>
      </c>
      <c r="Q1" t="s">
        <v>3451</v>
      </c>
      <c r="R1" t="s">
        <v>3452</v>
      </c>
      <c r="S1" t="s">
        <v>5678</v>
      </c>
      <c r="T1" t="s">
        <v>5679</v>
      </c>
      <c r="U1" t="s">
        <v>5680</v>
      </c>
      <c r="V1" t="s">
        <v>5681</v>
      </c>
      <c r="W1" t="s">
        <v>5682</v>
      </c>
      <c r="X1" t="s">
        <v>3453</v>
      </c>
    </row>
    <row r="2" spans="1:24" ht="15" customHeight="1" x14ac:dyDescent="0.25">
      <c r="A2" t="s">
        <v>3484</v>
      </c>
      <c r="B2" t="s">
        <v>2154</v>
      </c>
      <c r="C2">
        <v>75</v>
      </c>
      <c r="D2">
        <v>3</v>
      </c>
      <c r="E2">
        <v>0</v>
      </c>
      <c r="F2">
        <v>0</v>
      </c>
      <c r="G2">
        <v>0</v>
      </c>
      <c r="H2">
        <v>0</v>
      </c>
      <c r="I2">
        <v>2</v>
      </c>
      <c r="J2">
        <v>0</v>
      </c>
      <c r="K2">
        <v>0</v>
      </c>
      <c r="L2">
        <v>0</v>
      </c>
      <c r="M2">
        <v>0</v>
      </c>
      <c r="N2">
        <v>0</v>
      </c>
      <c r="O2">
        <v>0</v>
      </c>
      <c r="P2" t="s">
        <v>3485</v>
      </c>
      <c r="Q2" t="s">
        <v>5683</v>
      </c>
      <c r="R2" t="s">
        <v>3486</v>
      </c>
      <c r="S2" t="s">
        <v>5423</v>
      </c>
      <c r="T2">
        <v>5</v>
      </c>
      <c r="U2">
        <v>5</v>
      </c>
      <c r="X2" t="s">
        <v>3457</v>
      </c>
    </row>
    <row r="3" spans="1:24" ht="15" customHeight="1" x14ac:dyDescent="0.25">
      <c r="A3" t="s">
        <v>3467</v>
      </c>
      <c r="B3" t="s">
        <v>160</v>
      </c>
      <c r="C3">
        <v>75</v>
      </c>
      <c r="D3">
        <v>3</v>
      </c>
      <c r="E3">
        <v>0</v>
      </c>
      <c r="F3">
        <v>0</v>
      </c>
      <c r="G3">
        <v>0</v>
      </c>
      <c r="H3">
        <v>0</v>
      </c>
      <c r="I3">
        <v>0</v>
      </c>
      <c r="J3">
        <v>2</v>
      </c>
      <c r="K3">
        <v>0</v>
      </c>
      <c r="L3">
        <v>0</v>
      </c>
      <c r="M3">
        <v>0</v>
      </c>
      <c r="N3">
        <v>0</v>
      </c>
      <c r="O3">
        <v>0</v>
      </c>
      <c r="P3" t="s">
        <v>5684</v>
      </c>
      <c r="Q3" t="s">
        <v>5685</v>
      </c>
      <c r="R3" t="s">
        <v>3469</v>
      </c>
      <c r="S3" t="s">
        <v>5440</v>
      </c>
      <c r="T3">
        <v>5</v>
      </c>
      <c r="U3">
        <v>4</v>
      </c>
      <c r="V3" t="s">
        <v>5686</v>
      </c>
      <c r="X3" t="s">
        <v>3470</v>
      </c>
    </row>
    <row r="4" spans="1:24" ht="15" customHeight="1" x14ac:dyDescent="0.25">
      <c r="A4" t="s">
        <v>3490</v>
      </c>
      <c r="B4" t="s">
        <v>1322</v>
      </c>
      <c r="C4">
        <v>60</v>
      </c>
      <c r="D4">
        <v>3</v>
      </c>
      <c r="E4">
        <v>0</v>
      </c>
      <c r="F4">
        <v>1</v>
      </c>
      <c r="G4">
        <v>0</v>
      </c>
      <c r="H4">
        <v>0</v>
      </c>
      <c r="I4">
        <v>0</v>
      </c>
      <c r="J4">
        <v>0</v>
      </c>
      <c r="K4">
        <v>1</v>
      </c>
      <c r="L4">
        <v>0</v>
      </c>
      <c r="M4">
        <v>0</v>
      </c>
      <c r="N4">
        <v>0</v>
      </c>
      <c r="O4">
        <v>0</v>
      </c>
      <c r="P4" t="s">
        <v>3491</v>
      </c>
      <c r="Q4" t="s">
        <v>5687</v>
      </c>
      <c r="R4" t="s">
        <v>3493</v>
      </c>
      <c r="S4" t="s">
        <v>4549</v>
      </c>
      <c r="T4">
        <v>5</v>
      </c>
      <c r="U4">
        <v>5</v>
      </c>
      <c r="X4" t="s">
        <v>3457</v>
      </c>
    </row>
    <row r="5" spans="1:24" ht="15" customHeight="1" x14ac:dyDescent="0.25">
      <c r="A5" t="s">
        <v>3474</v>
      </c>
      <c r="B5" t="s">
        <v>1817</v>
      </c>
      <c r="C5">
        <v>60</v>
      </c>
      <c r="D5">
        <v>3</v>
      </c>
      <c r="E5">
        <v>0</v>
      </c>
      <c r="F5">
        <v>0</v>
      </c>
      <c r="G5">
        <v>1</v>
      </c>
      <c r="H5">
        <v>1</v>
      </c>
      <c r="I5">
        <v>0</v>
      </c>
      <c r="J5">
        <v>0</v>
      </c>
      <c r="K5">
        <v>0</v>
      </c>
      <c r="L5">
        <v>0</v>
      </c>
      <c r="M5">
        <v>0</v>
      </c>
      <c r="N5">
        <v>0</v>
      </c>
      <c r="O5">
        <v>0</v>
      </c>
      <c r="P5" t="s">
        <v>3475</v>
      </c>
      <c r="Q5" t="s">
        <v>5688</v>
      </c>
      <c r="R5" t="s">
        <v>3477</v>
      </c>
      <c r="S5" t="s">
        <v>5689</v>
      </c>
      <c r="T5">
        <v>5</v>
      </c>
      <c r="U5">
        <v>5</v>
      </c>
      <c r="X5" t="s">
        <v>3457</v>
      </c>
    </row>
    <row r="6" spans="1:24" ht="15" customHeight="1" x14ac:dyDescent="0.25">
      <c r="A6" t="s">
        <v>3463</v>
      </c>
      <c r="B6" t="s">
        <v>90</v>
      </c>
      <c r="C6">
        <v>80</v>
      </c>
      <c r="D6">
        <v>3</v>
      </c>
      <c r="E6">
        <v>2</v>
      </c>
      <c r="F6">
        <v>0</v>
      </c>
      <c r="G6">
        <v>0</v>
      </c>
      <c r="H6">
        <v>0</v>
      </c>
      <c r="I6">
        <v>0</v>
      </c>
      <c r="J6">
        <v>0</v>
      </c>
      <c r="K6">
        <v>0</v>
      </c>
      <c r="L6">
        <v>0</v>
      </c>
      <c r="M6">
        <v>0</v>
      </c>
      <c r="N6">
        <v>0</v>
      </c>
      <c r="O6">
        <v>0</v>
      </c>
      <c r="P6" t="s">
        <v>5690</v>
      </c>
      <c r="Q6" t="s">
        <v>5691</v>
      </c>
      <c r="R6" t="s">
        <v>3465</v>
      </c>
      <c r="S6" t="s">
        <v>5423</v>
      </c>
      <c r="T6">
        <v>5</v>
      </c>
      <c r="U6">
        <v>4</v>
      </c>
      <c r="V6" t="s">
        <v>3442</v>
      </c>
      <c r="X6" t="s">
        <v>3466</v>
      </c>
    </row>
    <row r="7" spans="1:24" ht="15" customHeight="1" x14ac:dyDescent="0.25">
      <c r="A7" t="s">
        <v>5692</v>
      </c>
      <c r="B7" t="s">
        <v>90</v>
      </c>
      <c r="C7">
        <v>70</v>
      </c>
      <c r="D7">
        <v>3</v>
      </c>
      <c r="E7">
        <v>0</v>
      </c>
      <c r="F7">
        <v>2</v>
      </c>
      <c r="G7">
        <v>0</v>
      </c>
      <c r="H7">
        <v>0</v>
      </c>
      <c r="I7">
        <v>0</v>
      </c>
      <c r="J7">
        <v>0</v>
      </c>
      <c r="K7">
        <v>0</v>
      </c>
      <c r="L7">
        <v>0</v>
      </c>
      <c r="M7">
        <v>0</v>
      </c>
      <c r="N7">
        <v>0</v>
      </c>
      <c r="O7">
        <v>0</v>
      </c>
      <c r="P7" t="s">
        <v>5690</v>
      </c>
      <c r="Q7" t="s">
        <v>5693</v>
      </c>
      <c r="R7" t="s">
        <v>5694</v>
      </c>
      <c r="S7" t="s">
        <v>5423</v>
      </c>
      <c r="T7">
        <v>5</v>
      </c>
      <c r="U7">
        <v>5</v>
      </c>
      <c r="V7" t="s">
        <v>5695</v>
      </c>
      <c r="W7" t="s">
        <v>5696</v>
      </c>
      <c r="X7" t="s">
        <v>4801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5697</v>
      </c>
      <c r="E1" t="s">
        <v>3452</v>
      </c>
      <c r="F1" t="s">
        <v>5698</v>
      </c>
      <c r="G1" t="s">
        <v>5699</v>
      </c>
      <c r="H1" t="s">
        <v>4259</v>
      </c>
      <c r="I1" t="s">
        <v>1</v>
      </c>
      <c r="J1" t="s">
        <v>170</v>
      </c>
    </row>
    <row r="2" spans="1:10" ht="15" customHeight="1" x14ac:dyDescent="0.25">
      <c r="A2" t="s">
        <v>5700</v>
      </c>
      <c r="B2" t="s">
        <v>3513</v>
      </c>
      <c r="C2" t="s">
        <v>4596</v>
      </c>
      <c r="D2">
        <v>1</v>
      </c>
      <c r="E2" t="s">
        <v>5701</v>
      </c>
      <c r="F2" t="s">
        <v>5702</v>
      </c>
      <c r="G2">
        <v>1</v>
      </c>
      <c r="H2" t="s">
        <v>5700</v>
      </c>
      <c r="I2" t="s">
        <v>90</v>
      </c>
      <c r="J2" t="s">
        <v>5703</v>
      </c>
    </row>
    <row r="3" spans="1:10" ht="15" customHeight="1" x14ac:dyDescent="0.25">
      <c r="A3" t="s">
        <v>5704</v>
      </c>
      <c r="B3" t="s">
        <v>41</v>
      </c>
      <c r="C3" t="s">
        <v>5359</v>
      </c>
      <c r="D3">
        <v>1</v>
      </c>
      <c r="E3" t="s">
        <v>5705</v>
      </c>
      <c r="F3" t="s">
        <v>5706</v>
      </c>
      <c r="G3">
        <v>1</v>
      </c>
      <c r="H3" t="s">
        <v>5704</v>
      </c>
      <c r="I3" t="s">
        <v>90</v>
      </c>
      <c r="J3" t="s">
        <v>5707</v>
      </c>
    </row>
    <row r="4" spans="1:10" ht="15" customHeight="1" x14ac:dyDescent="0.25">
      <c r="A4" t="s">
        <v>5708</v>
      </c>
      <c r="B4" t="s">
        <v>3501</v>
      </c>
      <c r="C4" t="s">
        <v>5359</v>
      </c>
      <c r="D4">
        <v>0</v>
      </c>
      <c r="E4" t="s">
        <v>5709</v>
      </c>
      <c r="F4" t="s">
        <v>5710</v>
      </c>
      <c r="G4">
        <v>0</v>
      </c>
      <c r="H4" t="s">
        <v>5708</v>
      </c>
      <c r="I4" t="s">
        <v>90</v>
      </c>
      <c r="J4" t="s">
        <v>5711</v>
      </c>
    </row>
    <row r="5" spans="1:10" ht="15" customHeight="1" x14ac:dyDescent="0.25">
      <c r="A5" t="s">
        <v>5712</v>
      </c>
      <c r="B5" t="s">
        <v>3501</v>
      </c>
      <c r="C5" t="s">
        <v>4596</v>
      </c>
      <c r="D5">
        <v>1</v>
      </c>
      <c r="E5" t="s">
        <v>5713</v>
      </c>
      <c r="F5" t="s">
        <v>5714</v>
      </c>
      <c r="G5">
        <v>1</v>
      </c>
      <c r="H5" t="s">
        <v>5715</v>
      </c>
      <c r="I5" t="s">
        <v>90</v>
      </c>
      <c r="J5" t="s">
        <v>5716</v>
      </c>
    </row>
    <row r="6" spans="1:10" ht="15" customHeight="1" x14ac:dyDescent="0.25">
      <c r="A6" t="s">
        <v>5717</v>
      </c>
      <c r="B6" t="s">
        <v>3501</v>
      </c>
      <c r="C6" t="s">
        <v>5359</v>
      </c>
      <c r="D6">
        <v>1</v>
      </c>
      <c r="E6" t="s">
        <v>5718</v>
      </c>
      <c r="F6" t="s">
        <v>5718</v>
      </c>
      <c r="G6">
        <v>0</v>
      </c>
      <c r="H6" t="s">
        <v>5717</v>
      </c>
      <c r="I6" t="s">
        <v>90</v>
      </c>
      <c r="J6" t="s">
        <v>5719</v>
      </c>
    </row>
    <row r="7" spans="1:10" ht="15" customHeight="1" x14ac:dyDescent="0.25">
      <c r="A7" t="s">
        <v>5720</v>
      </c>
      <c r="B7" t="s">
        <v>3501</v>
      </c>
      <c r="C7" t="s">
        <v>5721</v>
      </c>
      <c r="D7">
        <v>2</v>
      </c>
      <c r="E7" t="s">
        <v>5722</v>
      </c>
      <c r="F7" t="s">
        <v>5723</v>
      </c>
      <c r="G7">
        <v>2</v>
      </c>
      <c r="H7" t="s">
        <v>5724</v>
      </c>
      <c r="I7" t="s">
        <v>90</v>
      </c>
      <c r="J7" t="s">
        <v>5725</v>
      </c>
    </row>
    <row r="8" spans="1:10" ht="15" customHeight="1" x14ac:dyDescent="0.25">
      <c r="A8" t="s">
        <v>5726</v>
      </c>
      <c r="B8" t="s">
        <v>3513</v>
      </c>
      <c r="C8" t="s">
        <v>5721</v>
      </c>
      <c r="D8">
        <v>1</v>
      </c>
      <c r="E8" t="s">
        <v>5727</v>
      </c>
      <c r="F8" t="s">
        <v>5728</v>
      </c>
      <c r="G8">
        <v>1</v>
      </c>
      <c r="H8" t="s">
        <v>5729</v>
      </c>
      <c r="I8" t="s">
        <v>90</v>
      </c>
      <c r="J8" t="s">
        <v>5730</v>
      </c>
    </row>
    <row r="9" spans="1:10" ht="15" customHeight="1" x14ac:dyDescent="0.25">
      <c r="A9" t="s">
        <v>5731</v>
      </c>
      <c r="B9" t="s">
        <v>41</v>
      </c>
      <c r="C9" t="s">
        <v>5721</v>
      </c>
      <c r="D9">
        <v>0</v>
      </c>
      <c r="E9" t="s">
        <v>5732</v>
      </c>
      <c r="F9" t="s">
        <v>5733</v>
      </c>
      <c r="G9">
        <v>0</v>
      </c>
      <c r="H9" t="s">
        <v>5731</v>
      </c>
      <c r="I9" t="s">
        <v>90</v>
      </c>
      <c r="J9" t="s">
        <v>5734</v>
      </c>
    </row>
    <row r="10" spans="1:10" ht="15" customHeight="1" x14ac:dyDescent="0.25">
      <c r="A10" t="s">
        <v>5735</v>
      </c>
      <c r="B10" t="s">
        <v>41</v>
      </c>
      <c r="C10" t="s">
        <v>5359</v>
      </c>
      <c r="D10">
        <v>1</v>
      </c>
      <c r="E10" t="s">
        <v>5736</v>
      </c>
      <c r="F10" t="s">
        <v>5737</v>
      </c>
      <c r="G10">
        <v>1</v>
      </c>
      <c r="H10" t="s">
        <v>5735</v>
      </c>
      <c r="I10" t="s">
        <v>90</v>
      </c>
      <c r="J10" t="s">
        <v>5738</v>
      </c>
    </row>
    <row r="11" spans="1:10" ht="15" customHeight="1" x14ac:dyDescent="0.25">
      <c r="A11" t="s">
        <v>5739</v>
      </c>
      <c r="B11" t="s">
        <v>41</v>
      </c>
      <c r="C11" t="s">
        <v>5359</v>
      </c>
      <c r="D11">
        <v>1</v>
      </c>
      <c r="E11" t="s">
        <v>5740</v>
      </c>
      <c r="F11" t="s">
        <v>5741</v>
      </c>
      <c r="G11">
        <v>1</v>
      </c>
      <c r="H11" t="s">
        <v>5739</v>
      </c>
      <c r="I11" t="s">
        <v>90</v>
      </c>
      <c r="J11" t="s">
        <v>5742</v>
      </c>
    </row>
    <row r="12" spans="1:10" ht="15" customHeight="1" x14ac:dyDescent="0.25">
      <c r="A12" t="s">
        <v>5743</v>
      </c>
      <c r="B12" t="s">
        <v>3513</v>
      </c>
      <c r="C12" t="s">
        <v>5721</v>
      </c>
      <c r="D12">
        <v>0</v>
      </c>
      <c r="E12" t="s">
        <v>5744</v>
      </c>
      <c r="F12" t="s">
        <v>5745</v>
      </c>
      <c r="G12">
        <v>0</v>
      </c>
      <c r="H12" t="s">
        <v>5743</v>
      </c>
      <c r="I12" t="s">
        <v>90</v>
      </c>
      <c r="J12" t="s">
        <v>5746</v>
      </c>
    </row>
    <row r="13" spans="1:10" ht="15" customHeight="1" x14ac:dyDescent="0.25">
      <c r="A13" t="s">
        <v>4426</v>
      </c>
      <c r="B13" t="s">
        <v>3513</v>
      </c>
      <c r="C13" t="s">
        <v>5359</v>
      </c>
      <c r="D13">
        <v>1</v>
      </c>
      <c r="E13" t="s">
        <v>5747</v>
      </c>
      <c r="F13" t="s">
        <v>5747</v>
      </c>
      <c r="G13">
        <v>1</v>
      </c>
      <c r="H13" t="s">
        <v>4431</v>
      </c>
      <c r="I13" t="s">
        <v>1649</v>
      </c>
      <c r="J13" t="s">
        <v>5748</v>
      </c>
    </row>
    <row r="14" spans="1:10" ht="15" customHeight="1" x14ac:dyDescent="0.25">
      <c r="A14" t="s">
        <v>5749</v>
      </c>
      <c r="B14" t="s">
        <v>41</v>
      </c>
      <c r="C14" t="s">
        <v>5721</v>
      </c>
      <c r="D14">
        <v>1</v>
      </c>
      <c r="E14" t="s">
        <v>5750</v>
      </c>
      <c r="F14" t="s">
        <v>5751</v>
      </c>
      <c r="G14">
        <v>1</v>
      </c>
      <c r="H14" t="s">
        <v>5749</v>
      </c>
      <c r="I14" t="s">
        <v>90</v>
      </c>
      <c r="J14" t="s">
        <v>5752</v>
      </c>
    </row>
    <row r="15" spans="1:10" ht="15" customHeight="1" x14ac:dyDescent="0.25">
      <c r="A15" t="s">
        <v>4437</v>
      </c>
      <c r="B15" t="s">
        <v>3513</v>
      </c>
      <c r="C15" t="s">
        <v>5721</v>
      </c>
      <c r="D15">
        <v>1</v>
      </c>
      <c r="E15" t="s">
        <v>5753</v>
      </c>
      <c r="F15" t="s">
        <v>5753</v>
      </c>
      <c r="G15">
        <v>1</v>
      </c>
      <c r="H15" t="s">
        <v>4437</v>
      </c>
      <c r="I15" t="s">
        <v>1046</v>
      </c>
      <c r="J15" t="s">
        <v>5754</v>
      </c>
    </row>
    <row r="16" spans="1:10" ht="15" customHeight="1" x14ac:dyDescent="0.25">
      <c r="A16" t="s">
        <v>3520</v>
      </c>
      <c r="B16" t="s">
        <v>3501</v>
      </c>
      <c r="C16" t="s">
        <v>4596</v>
      </c>
      <c r="D16">
        <v>3</v>
      </c>
      <c r="E16" t="s">
        <v>5755</v>
      </c>
      <c r="F16" t="s">
        <v>5755</v>
      </c>
      <c r="G16">
        <v>2</v>
      </c>
      <c r="H16" t="s">
        <v>3520</v>
      </c>
      <c r="I16" t="s">
        <v>90</v>
      </c>
      <c r="J16" t="s">
        <v>5738</v>
      </c>
    </row>
    <row r="17" spans="1:10" ht="15" customHeight="1" x14ac:dyDescent="0.25">
      <c r="A17" t="s">
        <v>3442</v>
      </c>
      <c r="B17" t="s">
        <v>3545</v>
      </c>
      <c r="C17" t="s">
        <v>5721</v>
      </c>
      <c r="D17">
        <v>2</v>
      </c>
      <c r="E17" t="s">
        <v>5756</v>
      </c>
      <c r="F17" t="s">
        <v>5757</v>
      </c>
      <c r="G17">
        <v>2</v>
      </c>
      <c r="H17" t="s">
        <v>3442</v>
      </c>
      <c r="I17" t="s">
        <v>90</v>
      </c>
      <c r="J17" t="s">
        <v>5734</v>
      </c>
    </row>
    <row r="18" spans="1:10" ht="15" customHeight="1" x14ac:dyDescent="0.25">
      <c r="A18" t="s">
        <v>5758</v>
      </c>
      <c r="B18" t="s">
        <v>3513</v>
      </c>
      <c r="C18" t="s">
        <v>5359</v>
      </c>
      <c r="D18">
        <v>0</v>
      </c>
      <c r="E18" t="s">
        <v>5759</v>
      </c>
      <c r="F18" t="s">
        <v>5760</v>
      </c>
      <c r="G18">
        <v>0</v>
      </c>
      <c r="H18" t="s">
        <v>5761</v>
      </c>
      <c r="I18" t="s">
        <v>90</v>
      </c>
      <c r="J18" t="s">
        <v>5762</v>
      </c>
    </row>
    <row r="19" spans="1:10" ht="15" customHeight="1" x14ac:dyDescent="0.25">
      <c r="A19" t="s">
        <v>5763</v>
      </c>
      <c r="B19" t="s">
        <v>41</v>
      </c>
      <c r="C19" t="s">
        <v>5721</v>
      </c>
      <c r="D19">
        <v>0</v>
      </c>
      <c r="E19" t="s">
        <v>5764</v>
      </c>
      <c r="F19" t="s">
        <v>5765</v>
      </c>
      <c r="G19">
        <v>0</v>
      </c>
      <c r="H19" t="s">
        <v>5766</v>
      </c>
      <c r="I19" t="s">
        <v>90</v>
      </c>
      <c r="J19" t="s">
        <v>5767</v>
      </c>
    </row>
    <row r="20" spans="1:10" ht="15" customHeight="1" x14ac:dyDescent="0.25">
      <c r="A20" t="s">
        <v>5768</v>
      </c>
      <c r="B20" t="s">
        <v>3501</v>
      </c>
      <c r="C20" t="s">
        <v>4596</v>
      </c>
      <c r="D20">
        <v>0</v>
      </c>
      <c r="E20" t="s">
        <v>5769</v>
      </c>
      <c r="F20" t="s">
        <v>5770</v>
      </c>
      <c r="G20">
        <v>0</v>
      </c>
      <c r="H20" t="s">
        <v>5768</v>
      </c>
      <c r="I20" t="s">
        <v>90</v>
      </c>
      <c r="J20" t="s">
        <v>5771</v>
      </c>
    </row>
    <row r="21" spans="1:10" ht="15" customHeight="1" x14ac:dyDescent="0.25">
      <c r="A21" t="s">
        <v>5772</v>
      </c>
      <c r="B21" t="s">
        <v>41</v>
      </c>
      <c r="C21" t="s">
        <v>5359</v>
      </c>
      <c r="D21">
        <v>1</v>
      </c>
      <c r="E21" t="s">
        <v>5773</v>
      </c>
      <c r="F21" t="s">
        <v>5774</v>
      </c>
      <c r="G21">
        <v>1</v>
      </c>
      <c r="H21" t="s">
        <v>5775</v>
      </c>
      <c r="I21" t="s">
        <v>90</v>
      </c>
      <c r="J21" t="s">
        <v>5776</v>
      </c>
    </row>
    <row r="22" spans="1:10" ht="15" customHeight="1" x14ac:dyDescent="0.25">
      <c r="A22" t="s">
        <v>4464</v>
      </c>
      <c r="B22" t="s">
        <v>41</v>
      </c>
      <c r="C22" t="s">
        <v>5721</v>
      </c>
      <c r="D22">
        <v>1</v>
      </c>
      <c r="E22" t="s">
        <v>5777</v>
      </c>
      <c r="F22" t="s">
        <v>5777</v>
      </c>
      <c r="G22">
        <v>1</v>
      </c>
      <c r="H22" t="s">
        <v>4467</v>
      </c>
      <c r="I22" t="s">
        <v>1104</v>
      </c>
      <c r="J22" t="s">
        <v>5754</v>
      </c>
    </row>
    <row r="23" spans="1:10" ht="15" customHeight="1" x14ac:dyDescent="0.25">
      <c r="A23" t="s">
        <v>5778</v>
      </c>
      <c r="B23" t="s">
        <v>3513</v>
      </c>
      <c r="C23" t="s">
        <v>5721</v>
      </c>
      <c r="D23">
        <v>4</v>
      </c>
      <c r="E23" t="s">
        <v>5779</v>
      </c>
      <c r="F23" t="s">
        <v>5780</v>
      </c>
      <c r="G23">
        <v>3</v>
      </c>
      <c r="H23" t="s">
        <v>5781</v>
      </c>
      <c r="I23" t="s">
        <v>90</v>
      </c>
      <c r="J23" t="s">
        <v>5762</v>
      </c>
    </row>
    <row r="24" spans="1:10" ht="15" customHeight="1" x14ac:dyDescent="0.25">
      <c r="A24" t="s">
        <v>4468</v>
      </c>
      <c r="B24" t="s">
        <v>3501</v>
      </c>
      <c r="C24" t="s">
        <v>5721</v>
      </c>
      <c r="D24">
        <v>1</v>
      </c>
      <c r="E24" t="s">
        <v>5782</v>
      </c>
      <c r="F24" t="s">
        <v>5782</v>
      </c>
      <c r="G24">
        <v>1</v>
      </c>
      <c r="H24" t="s">
        <v>4471</v>
      </c>
      <c r="I24" t="s">
        <v>1621</v>
      </c>
      <c r="J24" t="s">
        <v>5754</v>
      </c>
    </row>
    <row r="25" spans="1:10" ht="15" customHeight="1" x14ac:dyDescent="0.25">
      <c r="A25" t="s">
        <v>5783</v>
      </c>
      <c r="B25" t="s">
        <v>3513</v>
      </c>
      <c r="C25" t="s">
        <v>5359</v>
      </c>
      <c r="D25">
        <v>0</v>
      </c>
      <c r="E25" t="s">
        <v>5784</v>
      </c>
      <c r="F25" t="s">
        <v>5785</v>
      </c>
      <c r="G25">
        <v>0</v>
      </c>
      <c r="H25" t="s">
        <v>5783</v>
      </c>
      <c r="I25" t="s">
        <v>90</v>
      </c>
      <c r="J25" t="s">
        <v>5771</v>
      </c>
    </row>
    <row r="26" spans="1:10" ht="15" customHeight="1" x14ac:dyDescent="0.25">
      <c r="A26" t="s">
        <v>5786</v>
      </c>
      <c r="B26" t="s">
        <v>3501</v>
      </c>
      <c r="C26" t="s">
        <v>5721</v>
      </c>
      <c r="D26">
        <v>3</v>
      </c>
      <c r="E26" t="s">
        <v>5787</v>
      </c>
      <c r="F26" t="s">
        <v>5788</v>
      </c>
      <c r="G26">
        <v>3</v>
      </c>
      <c r="H26" t="s">
        <v>5786</v>
      </c>
      <c r="I26" t="s">
        <v>90</v>
      </c>
      <c r="J26" t="s">
        <v>5734</v>
      </c>
    </row>
    <row r="27" spans="1:10" ht="15" customHeight="1" x14ac:dyDescent="0.25">
      <c r="A27" t="s">
        <v>5789</v>
      </c>
      <c r="B27" t="s">
        <v>4296</v>
      </c>
      <c r="C27" t="s">
        <v>3655</v>
      </c>
      <c r="D27">
        <v>1</v>
      </c>
      <c r="E27" t="s">
        <v>5790</v>
      </c>
      <c r="F27" t="s">
        <v>3457</v>
      </c>
      <c r="G27" t="s">
        <v>3457</v>
      </c>
      <c r="H27" t="s">
        <v>5791</v>
      </c>
      <c r="I27" t="s">
        <v>501</v>
      </c>
      <c r="J27" t="s">
        <v>5792</v>
      </c>
    </row>
    <row r="28" spans="1:10" ht="15" customHeight="1" x14ac:dyDescent="0.25">
      <c r="A28" t="s">
        <v>5159</v>
      </c>
      <c r="B28" t="s">
        <v>3513</v>
      </c>
      <c r="C28" t="s">
        <v>5359</v>
      </c>
      <c r="D28">
        <v>1</v>
      </c>
      <c r="E28" t="s">
        <v>5793</v>
      </c>
      <c r="F28" t="s">
        <v>5794</v>
      </c>
      <c r="G28">
        <v>1</v>
      </c>
      <c r="H28" t="s">
        <v>5159</v>
      </c>
      <c r="I28" t="s">
        <v>90</v>
      </c>
      <c r="J28" t="s">
        <v>5716</v>
      </c>
    </row>
    <row r="29" spans="1:10" ht="15" customHeight="1" x14ac:dyDescent="0.25">
      <c r="A29" t="s">
        <v>5795</v>
      </c>
      <c r="B29" t="s">
        <v>41</v>
      </c>
      <c r="C29" t="s">
        <v>5721</v>
      </c>
      <c r="D29">
        <v>1</v>
      </c>
      <c r="E29" t="s">
        <v>5796</v>
      </c>
      <c r="F29" t="s">
        <v>5796</v>
      </c>
      <c r="G29">
        <v>0</v>
      </c>
      <c r="H29" t="s">
        <v>5797</v>
      </c>
      <c r="I29" t="s">
        <v>90</v>
      </c>
      <c r="J29" t="s">
        <v>5734</v>
      </c>
    </row>
    <row r="30" spans="1:10" ht="15" customHeight="1" x14ac:dyDescent="0.25">
      <c r="A30" t="s">
        <v>5798</v>
      </c>
      <c r="B30" t="s">
        <v>3513</v>
      </c>
      <c r="C30" t="s">
        <v>5359</v>
      </c>
      <c r="D30">
        <v>0</v>
      </c>
      <c r="E30" t="s">
        <v>5799</v>
      </c>
      <c r="F30" t="s">
        <v>5800</v>
      </c>
      <c r="G30">
        <v>0</v>
      </c>
      <c r="H30" t="s">
        <v>5801</v>
      </c>
      <c r="I30" t="s">
        <v>90</v>
      </c>
      <c r="J30" t="s">
        <v>5802</v>
      </c>
    </row>
    <row r="31" spans="1:10" ht="15" customHeight="1" x14ac:dyDescent="0.25">
      <c r="A31" t="s">
        <v>5803</v>
      </c>
      <c r="B31" t="s">
        <v>3513</v>
      </c>
      <c r="C31" t="s">
        <v>5804</v>
      </c>
      <c r="D31">
        <v>3</v>
      </c>
      <c r="E31" t="s">
        <v>5805</v>
      </c>
      <c r="F31" t="s">
        <v>5806</v>
      </c>
      <c r="G31">
        <v>3</v>
      </c>
      <c r="H31" t="s">
        <v>5807</v>
      </c>
      <c r="I31" t="s">
        <v>1672</v>
      </c>
    </row>
    <row r="32" spans="1:10" ht="15" customHeight="1" x14ac:dyDescent="0.25">
      <c r="A32" t="s">
        <v>5808</v>
      </c>
      <c r="B32" t="s">
        <v>3513</v>
      </c>
      <c r="C32" t="s">
        <v>5359</v>
      </c>
      <c r="D32">
        <v>2</v>
      </c>
      <c r="E32" t="s">
        <v>5809</v>
      </c>
      <c r="F32" t="s">
        <v>5810</v>
      </c>
      <c r="G32">
        <v>2</v>
      </c>
      <c r="H32" t="s">
        <v>5811</v>
      </c>
      <c r="I32" t="s">
        <v>90</v>
      </c>
      <c r="J32" t="s">
        <v>5812</v>
      </c>
    </row>
    <row r="33" spans="1:10" ht="15" customHeight="1" x14ac:dyDescent="0.25">
      <c r="A33" t="s">
        <v>5813</v>
      </c>
      <c r="B33" t="s">
        <v>3501</v>
      </c>
      <c r="C33" t="s">
        <v>4596</v>
      </c>
      <c r="D33">
        <v>0</v>
      </c>
      <c r="E33" t="s">
        <v>5814</v>
      </c>
      <c r="F33" t="s">
        <v>5815</v>
      </c>
      <c r="G33">
        <v>0</v>
      </c>
      <c r="H33" t="s">
        <v>5813</v>
      </c>
      <c r="I33" t="s">
        <v>90</v>
      </c>
      <c r="J33" t="s">
        <v>5762</v>
      </c>
    </row>
    <row r="34" spans="1:10" ht="15" customHeight="1" x14ac:dyDescent="0.25">
      <c r="A34" t="s">
        <v>5165</v>
      </c>
      <c r="B34" t="s">
        <v>3501</v>
      </c>
      <c r="C34" t="s">
        <v>4596</v>
      </c>
      <c r="D34">
        <v>2</v>
      </c>
      <c r="E34" t="s">
        <v>5816</v>
      </c>
      <c r="F34" t="s">
        <v>5817</v>
      </c>
      <c r="G34">
        <v>2</v>
      </c>
      <c r="H34" t="s">
        <v>5165</v>
      </c>
      <c r="I34" t="s">
        <v>90</v>
      </c>
      <c r="J34" t="s">
        <v>5818</v>
      </c>
    </row>
    <row r="35" spans="1:10" ht="15" customHeight="1" x14ac:dyDescent="0.25">
      <c r="A35" t="s">
        <v>5819</v>
      </c>
      <c r="B35" t="s">
        <v>3501</v>
      </c>
      <c r="C35" t="s">
        <v>5359</v>
      </c>
      <c r="D35">
        <v>3</v>
      </c>
      <c r="E35" t="s">
        <v>5820</v>
      </c>
      <c r="F35" t="s">
        <v>5820</v>
      </c>
      <c r="G35">
        <v>2</v>
      </c>
      <c r="H35" t="s">
        <v>5821</v>
      </c>
      <c r="I35" t="s">
        <v>90</v>
      </c>
      <c r="J35" t="s">
        <v>5822</v>
      </c>
    </row>
    <row r="36" spans="1:10" ht="15" customHeight="1" x14ac:dyDescent="0.25">
      <c r="A36" t="s">
        <v>4001</v>
      </c>
      <c r="B36" t="s">
        <v>4296</v>
      </c>
      <c r="C36" t="s">
        <v>3655</v>
      </c>
      <c r="D36" t="s">
        <v>3996</v>
      </c>
      <c r="E36" t="s">
        <v>5823</v>
      </c>
      <c r="F36" t="s">
        <v>5824</v>
      </c>
      <c r="G36" t="s">
        <v>3996</v>
      </c>
      <c r="H36" t="s">
        <v>4001</v>
      </c>
      <c r="I36" t="s">
        <v>90</v>
      </c>
    </row>
    <row r="37" spans="1:10" ht="15" customHeight="1" x14ac:dyDescent="0.25">
      <c r="A37" t="s">
        <v>5825</v>
      </c>
      <c r="B37" t="s">
        <v>3513</v>
      </c>
      <c r="C37" t="s">
        <v>5359</v>
      </c>
      <c r="D37">
        <v>1</v>
      </c>
      <c r="E37" t="s">
        <v>5826</v>
      </c>
      <c r="F37" t="s">
        <v>5827</v>
      </c>
      <c r="G37">
        <v>1</v>
      </c>
      <c r="H37" t="s">
        <v>5828</v>
      </c>
      <c r="I37" t="s">
        <v>90</v>
      </c>
      <c r="J37" t="s">
        <v>5829</v>
      </c>
    </row>
    <row r="38" spans="1:10" ht="15" customHeight="1" x14ac:dyDescent="0.25">
      <c r="A38" t="s">
        <v>5169</v>
      </c>
      <c r="B38" t="s">
        <v>3501</v>
      </c>
      <c r="C38" t="s">
        <v>5359</v>
      </c>
      <c r="D38">
        <v>1</v>
      </c>
      <c r="E38" t="s">
        <v>5830</v>
      </c>
      <c r="F38" t="s">
        <v>5831</v>
      </c>
      <c r="G38">
        <v>1</v>
      </c>
      <c r="H38" t="s">
        <v>5169</v>
      </c>
      <c r="I38" t="s">
        <v>90</v>
      </c>
      <c r="J38" t="s">
        <v>5822</v>
      </c>
    </row>
    <row r="39" spans="1:10" ht="15" customHeight="1" x14ac:dyDescent="0.25">
      <c r="A39" t="s">
        <v>5832</v>
      </c>
      <c r="B39" t="s">
        <v>3513</v>
      </c>
      <c r="C39" t="s">
        <v>5359</v>
      </c>
      <c r="D39">
        <v>0</v>
      </c>
      <c r="E39" t="s">
        <v>5833</v>
      </c>
      <c r="F39" t="s">
        <v>5834</v>
      </c>
      <c r="G39">
        <v>0</v>
      </c>
      <c r="H39" t="s">
        <v>5835</v>
      </c>
      <c r="I39" t="s">
        <v>90</v>
      </c>
      <c r="J39" t="s">
        <v>5836</v>
      </c>
    </row>
    <row r="40" spans="1:10" ht="15" customHeight="1" x14ac:dyDescent="0.25">
      <c r="A40" t="s">
        <v>5837</v>
      </c>
      <c r="B40" t="s">
        <v>3513</v>
      </c>
      <c r="C40" t="s">
        <v>4596</v>
      </c>
      <c r="D40">
        <v>1</v>
      </c>
      <c r="E40" t="s">
        <v>5668</v>
      </c>
      <c r="F40" t="s">
        <v>5838</v>
      </c>
      <c r="G40">
        <v>1</v>
      </c>
      <c r="H40" t="s">
        <v>5837</v>
      </c>
      <c r="I40" t="s">
        <v>90</v>
      </c>
      <c r="J40" t="s">
        <v>5716</v>
      </c>
    </row>
    <row r="41" spans="1:10" ht="15" customHeight="1" x14ac:dyDescent="0.25">
      <c r="A41" t="s">
        <v>5839</v>
      </c>
      <c r="B41" t="s">
        <v>3513</v>
      </c>
      <c r="C41" t="s">
        <v>5721</v>
      </c>
      <c r="D41">
        <v>2</v>
      </c>
      <c r="E41" t="s">
        <v>5840</v>
      </c>
      <c r="F41" t="s">
        <v>5841</v>
      </c>
      <c r="G41">
        <v>2</v>
      </c>
      <c r="H41" t="s">
        <v>5839</v>
      </c>
      <c r="I41" t="s">
        <v>90</v>
      </c>
      <c r="J41" t="s">
        <v>5734</v>
      </c>
    </row>
    <row r="42" spans="1:10" ht="15" customHeight="1" x14ac:dyDescent="0.25">
      <c r="A42" t="s">
        <v>5842</v>
      </c>
      <c r="B42" t="s">
        <v>3513</v>
      </c>
      <c r="C42" t="s">
        <v>5359</v>
      </c>
      <c r="D42">
        <v>1</v>
      </c>
      <c r="E42" t="s">
        <v>5843</v>
      </c>
      <c r="F42" t="s">
        <v>5844</v>
      </c>
      <c r="G42">
        <v>1</v>
      </c>
      <c r="H42" t="s">
        <v>5842</v>
      </c>
      <c r="I42" t="s">
        <v>90</v>
      </c>
      <c r="J42" t="s">
        <v>5812</v>
      </c>
    </row>
    <row r="43" spans="1:10" ht="15" customHeight="1" x14ac:dyDescent="0.25">
      <c r="A43" t="s">
        <v>5845</v>
      </c>
      <c r="B43" t="s">
        <v>3513</v>
      </c>
      <c r="C43" t="s">
        <v>5721</v>
      </c>
      <c r="D43">
        <v>2</v>
      </c>
      <c r="E43" t="s">
        <v>5846</v>
      </c>
      <c r="F43" t="s">
        <v>5847</v>
      </c>
      <c r="G43">
        <v>2</v>
      </c>
      <c r="H43" t="s">
        <v>5845</v>
      </c>
      <c r="I43" t="s">
        <v>90</v>
      </c>
      <c r="J43" t="s">
        <v>5848</v>
      </c>
    </row>
    <row r="44" spans="1:10" ht="15" customHeight="1" x14ac:dyDescent="0.25">
      <c r="A44" t="s">
        <v>5849</v>
      </c>
      <c r="B44" t="s">
        <v>41</v>
      </c>
      <c r="C44" t="s">
        <v>5721</v>
      </c>
      <c r="D44">
        <v>0</v>
      </c>
      <c r="E44" t="s">
        <v>5850</v>
      </c>
      <c r="F44" t="s">
        <v>5851</v>
      </c>
      <c r="G44">
        <v>0</v>
      </c>
      <c r="H44" t="s">
        <v>5849</v>
      </c>
      <c r="I44" t="s">
        <v>90</v>
      </c>
      <c r="J44" t="s">
        <v>5734</v>
      </c>
    </row>
    <row r="45" spans="1:10" ht="15" customHeight="1" x14ac:dyDescent="0.25">
      <c r="A45" t="s">
        <v>5852</v>
      </c>
      <c r="B45" t="s">
        <v>41</v>
      </c>
      <c r="C45" t="s">
        <v>5721</v>
      </c>
      <c r="D45">
        <v>0</v>
      </c>
      <c r="E45" t="s">
        <v>5853</v>
      </c>
      <c r="F45" t="s">
        <v>5854</v>
      </c>
      <c r="G45">
        <v>0</v>
      </c>
      <c r="H45" t="s">
        <v>5852</v>
      </c>
      <c r="I45" t="s">
        <v>90</v>
      </c>
      <c r="J45" t="s">
        <v>5855</v>
      </c>
    </row>
    <row r="46" spans="1:10" ht="15" customHeight="1" x14ac:dyDescent="0.25">
      <c r="A46" t="s">
        <v>5409</v>
      </c>
      <c r="B46" t="s">
        <v>41</v>
      </c>
      <c r="C46" t="s">
        <v>5721</v>
      </c>
      <c r="D46">
        <v>1</v>
      </c>
      <c r="E46" t="s">
        <v>5856</v>
      </c>
      <c r="F46" t="s">
        <v>5857</v>
      </c>
      <c r="G46">
        <v>1</v>
      </c>
      <c r="H46" t="s">
        <v>5409</v>
      </c>
      <c r="I46" t="s">
        <v>90</v>
      </c>
      <c r="J46" t="s">
        <v>5858</v>
      </c>
    </row>
    <row r="47" spans="1:10" ht="15" customHeight="1" x14ac:dyDescent="0.25">
      <c r="A47" t="s">
        <v>5859</v>
      </c>
      <c r="B47" t="s">
        <v>41</v>
      </c>
      <c r="C47" t="s">
        <v>5359</v>
      </c>
      <c r="D47">
        <v>1</v>
      </c>
      <c r="E47" t="s">
        <v>5860</v>
      </c>
      <c r="F47" t="s">
        <v>5861</v>
      </c>
      <c r="G47">
        <v>1</v>
      </c>
      <c r="H47" t="s">
        <v>5862</v>
      </c>
      <c r="I47" t="s">
        <v>90</v>
      </c>
      <c r="J47" t="s">
        <v>5716</v>
      </c>
    </row>
    <row r="48" spans="1:10" ht="15" customHeight="1" x14ac:dyDescent="0.25">
      <c r="A48" t="s">
        <v>5863</v>
      </c>
      <c r="B48" t="s">
        <v>41</v>
      </c>
      <c r="C48" t="s">
        <v>5721</v>
      </c>
      <c r="D48">
        <v>2</v>
      </c>
      <c r="E48" t="s">
        <v>5864</v>
      </c>
      <c r="F48" t="s">
        <v>5865</v>
      </c>
      <c r="G48">
        <v>2</v>
      </c>
      <c r="H48" t="s">
        <v>5863</v>
      </c>
      <c r="I48" t="s">
        <v>90</v>
      </c>
      <c r="J48" t="s">
        <v>5866</v>
      </c>
    </row>
    <row r="49" spans="1:10" ht="15" customHeight="1" x14ac:dyDescent="0.25">
      <c r="A49" t="s">
        <v>5867</v>
      </c>
      <c r="B49" t="s">
        <v>4296</v>
      </c>
      <c r="C49" t="s">
        <v>4244</v>
      </c>
      <c r="D49" t="s">
        <v>3996</v>
      </c>
      <c r="E49" t="s">
        <v>5868</v>
      </c>
      <c r="F49" t="s">
        <v>3457</v>
      </c>
      <c r="G49" t="s">
        <v>3457</v>
      </c>
      <c r="H49" t="s">
        <v>5867</v>
      </c>
      <c r="I49" t="s">
        <v>90</v>
      </c>
      <c r="J49" t="s">
        <v>5869</v>
      </c>
    </row>
    <row r="50" spans="1:10" ht="15" customHeight="1" x14ac:dyDescent="0.25">
      <c r="A50" t="s">
        <v>5867</v>
      </c>
      <c r="B50" t="s">
        <v>41</v>
      </c>
      <c r="C50" t="s">
        <v>5440</v>
      </c>
      <c r="D50">
        <v>1</v>
      </c>
      <c r="E50" t="s">
        <v>5870</v>
      </c>
      <c r="F50" t="s">
        <v>5871</v>
      </c>
      <c r="G50">
        <v>1</v>
      </c>
      <c r="H50" t="s">
        <v>5867</v>
      </c>
      <c r="I50" t="s">
        <v>5872</v>
      </c>
      <c r="J50" t="s">
        <v>5873</v>
      </c>
    </row>
    <row r="51" spans="1:10" ht="15" customHeight="1" x14ac:dyDescent="0.25">
      <c r="A51" t="s">
        <v>5874</v>
      </c>
      <c r="B51" t="s">
        <v>3513</v>
      </c>
      <c r="C51" t="s">
        <v>4596</v>
      </c>
      <c r="D51">
        <v>1</v>
      </c>
      <c r="E51" t="s">
        <v>5875</v>
      </c>
      <c r="F51" t="s">
        <v>5876</v>
      </c>
      <c r="G51">
        <v>1</v>
      </c>
      <c r="H51" t="s">
        <v>5874</v>
      </c>
      <c r="I51" t="s">
        <v>90</v>
      </c>
      <c r="J51" t="s">
        <v>5734</v>
      </c>
    </row>
    <row r="52" spans="1:10" ht="15" customHeight="1" x14ac:dyDescent="0.25">
      <c r="A52" t="s">
        <v>5877</v>
      </c>
      <c r="B52" t="s">
        <v>3513</v>
      </c>
      <c r="C52" t="s">
        <v>5359</v>
      </c>
      <c r="D52">
        <v>0</v>
      </c>
      <c r="E52" t="s">
        <v>5878</v>
      </c>
      <c r="F52" t="s">
        <v>5879</v>
      </c>
      <c r="G52">
        <v>0</v>
      </c>
      <c r="H52" t="s">
        <v>5877</v>
      </c>
      <c r="I52" t="s">
        <v>90</v>
      </c>
      <c r="J52" t="s">
        <v>5880</v>
      </c>
    </row>
    <row r="53" spans="1:10" ht="15" customHeight="1" x14ac:dyDescent="0.25">
      <c r="A53" t="s">
        <v>5178</v>
      </c>
      <c r="B53" t="s">
        <v>3501</v>
      </c>
      <c r="C53" t="s">
        <v>5359</v>
      </c>
      <c r="D53">
        <v>2</v>
      </c>
      <c r="E53" t="s">
        <v>5881</v>
      </c>
      <c r="F53" t="s">
        <v>5882</v>
      </c>
      <c r="G53">
        <v>2</v>
      </c>
      <c r="H53" t="s">
        <v>5180</v>
      </c>
      <c r="I53" t="s">
        <v>90</v>
      </c>
      <c r="J53" t="s">
        <v>5883</v>
      </c>
    </row>
    <row r="54" spans="1:10" ht="15" customHeight="1" x14ac:dyDescent="0.25">
      <c r="A54" t="s">
        <v>5884</v>
      </c>
      <c r="B54" t="s">
        <v>3501</v>
      </c>
      <c r="C54" t="s">
        <v>4596</v>
      </c>
      <c r="D54">
        <v>3</v>
      </c>
      <c r="E54" t="s">
        <v>5885</v>
      </c>
      <c r="F54" t="s">
        <v>5885</v>
      </c>
      <c r="G54">
        <v>2</v>
      </c>
      <c r="H54" t="s">
        <v>5884</v>
      </c>
      <c r="I54" t="s">
        <v>90</v>
      </c>
      <c r="J54" t="s">
        <v>5771</v>
      </c>
    </row>
    <row r="55" spans="1:10" ht="15" customHeight="1" x14ac:dyDescent="0.25">
      <c r="A55" t="s">
        <v>5886</v>
      </c>
      <c r="B55" t="s">
        <v>3513</v>
      </c>
      <c r="C55" t="s">
        <v>5359</v>
      </c>
      <c r="D55">
        <v>2</v>
      </c>
      <c r="E55" t="s">
        <v>5887</v>
      </c>
      <c r="F55" t="s">
        <v>5888</v>
      </c>
      <c r="G55">
        <v>2</v>
      </c>
      <c r="H55" t="s">
        <v>5889</v>
      </c>
      <c r="I55" t="s">
        <v>90</v>
      </c>
      <c r="J55" t="s">
        <v>5883</v>
      </c>
    </row>
    <row r="56" spans="1:10" ht="15" customHeight="1" x14ac:dyDescent="0.25">
      <c r="A56" t="s">
        <v>5890</v>
      </c>
      <c r="B56" t="s">
        <v>3501</v>
      </c>
      <c r="C56" t="s">
        <v>5440</v>
      </c>
      <c r="D56">
        <v>1</v>
      </c>
      <c r="E56" t="s">
        <v>5870</v>
      </c>
      <c r="F56" t="s">
        <v>5871</v>
      </c>
      <c r="G56">
        <v>1</v>
      </c>
      <c r="H56" t="s">
        <v>5890</v>
      </c>
      <c r="I56" t="s">
        <v>5872</v>
      </c>
      <c r="J56" t="s">
        <v>5873</v>
      </c>
    </row>
    <row r="57" spans="1:10" ht="15" customHeight="1" x14ac:dyDescent="0.25">
      <c r="A57" t="s">
        <v>5891</v>
      </c>
      <c r="B57" t="s">
        <v>41</v>
      </c>
      <c r="C57" t="s">
        <v>5721</v>
      </c>
      <c r="D57">
        <v>1</v>
      </c>
      <c r="E57" t="s">
        <v>5892</v>
      </c>
      <c r="F57" t="s">
        <v>5893</v>
      </c>
      <c r="G57">
        <v>1</v>
      </c>
      <c r="H57" t="s">
        <v>5894</v>
      </c>
      <c r="I57" t="s">
        <v>90</v>
      </c>
      <c r="J57" t="s">
        <v>5895</v>
      </c>
    </row>
    <row r="58" spans="1:10" ht="15" customHeight="1" x14ac:dyDescent="0.25">
      <c r="A58" t="s">
        <v>5896</v>
      </c>
      <c r="B58" t="s">
        <v>41</v>
      </c>
      <c r="C58" t="s">
        <v>5721</v>
      </c>
      <c r="D58">
        <v>1</v>
      </c>
      <c r="E58" t="s">
        <v>5897</v>
      </c>
      <c r="F58" t="s">
        <v>5898</v>
      </c>
      <c r="G58">
        <v>1</v>
      </c>
      <c r="H58" t="s">
        <v>5899</v>
      </c>
      <c r="I58" t="s">
        <v>90</v>
      </c>
      <c r="J58" t="s">
        <v>5900</v>
      </c>
    </row>
    <row r="59" spans="1:10" ht="15" customHeight="1" x14ac:dyDescent="0.25">
      <c r="A59" t="s">
        <v>5901</v>
      </c>
      <c r="B59" t="s">
        <v>3513</v>
      </c>
      <c r="C59" t="s">
        <v>4596</v>
      </c>
      <c r="D59">
        <v>2</v>
      </c>
      <c r="E59" t="s">
        <v>5902</v>
      </c>
      <c r="F59" t="s">
        <v>5902</v>
      </c>
      <c r="G59">
        <v>1</v>
      </c>
      <c r="H59" t="s">
        <v>5903</v>
      </c>
      <c r="I59" t="s">
        <v>90</v>
      </c>
      <c r="J59" t="s">
        <v>5829</v>
      </c>
    </row>
    <row r="60" spans="1:10" ht="15" customHeight="1" x14ac:dyDescent="0.25">
      <c r="A60" t="s">
        <v>3443</v>
      </c>
      <c r="B60" t="s">
        <v>3513</v>
      </c>
      <c r="C60" t="s">
        <v>5721</v>
      </c>
      <c r="D60">
        <v>2</v>
      </c>
      <c r="E60" t="s">
        <v>5904</v>
      </c>
      <c r="F60" t="s">
        <v>5905</v>
      </c>
      <c r="G60">
        <v>2</v>
      </c>
      <c r="H60" t="s">
        <v>3443</v>
      </c>
      <c r="I60" t="s">
        <v>90</v>
      </c>
      <c r="J60" t="s">
        <v>5906</v>
      </c>
    </row>
    <row r="61" spans="1:10" ht="15" customHeight="1" x14ac:dyDescent="0.25">
      <c r="A61" t="s">
        <v>5907</v>
      </c>
      <c r="B61" t="s">
        <v>4296</v>
      </c>
      <c r="C61" t="s">
        <v>3655</v>
      </c>
      <c r="D61" t="s">
        <v>3996</v>
      </c>
      <c r="E61" t="s">
        <v>5908</v>
      </c>
      <c r="F61" t="s">
        <v>3457</v>
      </c>
      <c r="G61" t="s">
        <v>3996</v>
      </c>
      <c r="H61" t="s">
        <v>5907</v>
      </c>
      <c r="I61" t="s">
        <v>90</v>
      </c>
    </row>
    <row r="62" spans="1:10" ht="15" customHeight="1" x14ac:dyDescent="0.25">
      <c r="A62" t="s">
        <v>5909</v>
      </c>
      <c r="B62" t="s">
        <v>41</v>
      </c>
      <c r="C62" t="s">
        <v>5359</v>
      </c>
      <c r="D62">
        <v>1</v>
      </c>
      <c r="E62" t="s">
        <v>5910</v>
      </c>
      <c r="F62" t="s">
        <v>5911</v>
      </c>
      <c r="G62">
        <v>1</v>
      </c>
      <c r="H62" t="s">
        <v>5912</v>
      </c>
      <c r="I62" t="s">
        <v>90</v>
      </c>
      <c r="J62" t="s">
        <v>5812</v>
      </c>
    </row>
    <row r="63" spans="1:10" ht="15" customHeight="1" x14ac:dyDescent="0.25">
      <c r="A63" t="s">
        <v>4258</v>
      </c>
      <c r="B63" t="s">
        <v>4296</v>
      </c>
      <c r="C63" t="s">
        <v>4244</v>
      </c>
      <c r="D63" t="s">
        <v>3996</v>
      </c>
      <c r="E63" t="s">
        <v>5913</v>
      </c>
      <c r="F63" t="s">
        <v>3457</v>
      </c>
      <c r="G63" t="s">
        <v>3457</v>
      </c>
      <c r="H63" t="s">
        <v>4258</v>
      </c>
      <c r="I63" t="s">
        <v>90</v>
      </c>
      <c r="J63" t="s">
        <v>5869</v>
      </c>
    </row>
    <row r="64" spans="1:10" ht="15" customHeight="1" x14ac:dyDescent="0.25">
      <c r="A64" t="s">
        <v>5914</v>
      </c>
      <c r="B64" t="s">
        <v>3545</v>
      </c>
      <c r="C64" t="s">
        <v>5359</v>
      </c>
      <c r="D64">
        <v>1</v>
      </c>
      <c r="E64" t="s">
        <v>5915</v>
      </c>
      <c r="F64" t="s">
        <v>5916</v>
      </c>
      <c r="G64">
        <v>1</v>
      </c>
      <c r="H64" t="s">
        <v>3457</v>
      </c>
      <c r="I64" t="s">
        <v>3457</v>
      </c>
    </row>
    <row r="65" spans="1:10" ht="15" customHeight="1" x14ac:dyDescent="0.25">
      <c r="A65" t="s">
        <v>5917</v>
      </c>
      <c r="B65" t="s">
        <v>41</v>
      </c>
      <c r="C65" t="s">
        <v>5440</v>
      </c>
      <c r="D65">
        <v>1</v>
      </c>
      <c r="E65" t="s">
        <v>5870</v>
      </c>
      <c r="F65" t="s">
        <v>5871</v>
      </c>
      <c r="G65">
        <v>1</v>
      </c>
      <c r="H65" t="s">
        <v>5917</v>
      </c>
      <c r="I65" t="s">
        <v>5872</v>
      </c>
      <c r="J65" t="s">
        <v>5918</v>
      </c>
    </row>
    <row r="66" spans="1:10" ht="15" customHeight="1" x14ac:dyDescent="0.25">
      <c r="A66" t="s">
        <v>5919</v>
      </c>
      <c r="B66" t="s">
        <v>41</v>
      </c>
      <c r="C66" t="s">
        <v>5359</v>
      </c>
      <c r="D66">
        <v>0</v>
      </c>
      <c r="E66" t="s">
        <v>5920</v>
      </c>
      <c r="F66" t="s">
        <v>5921</v>
      </c>
      <c r="G66">
        <v>0</v>
      </c>
      <c r="H66" t="s">
        <v>5919</v>
      </c>
      <c r="I66" t="s">
        <v>90</v>
      </c>
      <c r="J66" t="s">
        <v>5716</v>
      </c>
    </row>
    <row r="67" spans="1:10" ht="15" customHeight="1" x14ac:dyDescent="0.25">
      <c r="A67" t="s">
        <v>5922</v>
      </c>
      <c r="B67" t="s">
        <v>3501</v>
      </c>
      <c r="C67" t="s">
        <v>4596</v>
      </c>
      <c r="D67">
        <v>3</v>
      </c>
      <c r="E67" t="s">
        <v>5923</v>
      </c>
      <c r="F67" t="s">
        <v>5924</v>
      </c>
      <c r="G67">
        <v>3</v>
      </c>
      <c r="H67" t="s">
        <v>5925</v>
      </c>
      <c r="I67" t="s">
        <v>90</v>
      </c>
      <c r="J67" t="s">
        <v>5926</v>
      </c>
    </row>
    <row r="68" spans="1:10" ht="15" customHeight="1" x14ac:dyDescent="0.25">
      <c r="A68" t="s">
        <v>4581</v>
      </c>
      <c r="B68" t="s">
        <v>3513</v>
      </c>
      <c r="C68" t="s">
        <v>5721</v>
      </c>
      <c r="D68">
        <v>0</v>
      </c>
      <c r="E68" t="s">
        <v>5927</v>
      </c>
      <c r="F68" t="s">
        <v>5927</v>
      </c>
      <c r="G68">
        <v>1</v>
      </c>
      <c r="H68" t="s">
        <v>4581</v>
      </c>
      <c r="I68" t="s">
        <v>1621</v>
      </c>
      <c r="J68" t="s">
        <v>5754</v>
      </c>
    </row>
    <row r="69" spans="1:10" ht="15" customHeight="1" x14ac:dyDescent="0.25">
      <c r="A69" t="s">
        <v>5928</v>
      </c>
      <c r="B69" t="s">
        <v>3501</v>
      </c>
      <c r="C69" t="s">
        <v>5721</v>
      </c>
      <c r="D69">
        <v>1</v>
      </c>
      <c r="E69" t="s">
        <v>5929</v>
      </c>
      <c r="F69" t="s">
        <v>5930</v>
      </c>
      <c r="G69">
        <v>1</v>
      </c>
      <c r="H69" t="s">
        <v>5931</v>
      </c>
      <c r="I69" t="s">
        <v>90</v>
      </c>
      <c r="J69" t="s">
        <v>5932</v>
      </c>
    </row>
    <row r="70" spans="1:10" ht="15" customHeight="1" x14ac:dyDescent="0.25">
      <c r="A70" t="s">
        <v>5933</v>
      </c>
      <c r="B70" t="s">
        <v>3513</v>
      </c>
      <c r="C70" t="s">
        <v>5359</v>
      </c>
      <c r="D70">
        <v>1</v>
      </c>
      <c r="E70" t="s">
        <v>5934</v>
      </c>
      <c r="F70" t="s">
        <v>5935</v>
      </c>
      <c r="G70">
        <v>1</v>
      </c>
      <c r="H70" t="s">
        <v>5933</v>
      </c>
      <c r="I70" t="s">
        <v>90</v>
      </c>
      <c r="J70" t="s">
        <v>5936</v>
      </c>
    </row>
    <row r="71" spans="1:10" ht="15" customHeight="1" x14ac:dyDescent="0.25">
      <c r="A71" t="s">
        <v>5937</v>
      </c>
      <c r="B71" t="s">
        <v>3513</v>
      </c>
      <c r="C71" t="s">
        <v>5359</v>
      </c>
      <c r="D71">
        <v>1</v>
      </c>
      <c r="E71" t="s">
        <v>5938</v>
      </c>
      <c r="F71" t="s">
        <v>5938</v>
      </c>
      <c r="G71">
        <v>0</v>
      </c>
      <c r="H71" t="s">
        <v>5937</v>
      </c>
      <c r="I71" t="s">
        <v>90</v>
      </c>
      <c r="J71" t="s">
        <v>5939</v>
      </c>
    </row>
    <row r="72" spans="1:10" ht="15" customHeight="1" x14ac:dyDescent="0.25">
      <c r="A72" t="s">
        <v>5940</v>
      </c>
      <c r="B72" t="s">
        <v>41</v>
      </c>
      <c r="C72" t="s">
        <v>5359</v>
      </c>
      <c r="D72">
        <v>1</v>
      </c>
      <c r="E72" t="s">
        <v>5941</v>
      </c>
      <c r="F72" t="s">
        <v>5942</v>
      </c>
      <c r="G72">
        <v>1</v>
      </c>
      <c r="H72" t="s">
        <v>5943</v>
      </c>
      <c r="I72" t="s">
        <v>90</v>
      </c>
      <c r="J72" t="s">
        <v>5716</v>
      </c>
    </row>
    <row r="73" spans="1:10" ht="15" customHeight="1" x14ac:dyDescent="0.25">
      <c r="A73" t="s">
        <v>5944</v>
      </c>
      <c r="B73" t="s">
        <v>3501</v>
      </c>
      <c r="C73" t="s">
        <v>5359</v>
      </c>
      <c r="D73" t="s">
        <v>5945</v>
      </c>
      <c r="E73" t="s">
        <v>5946</v>
      </c>
      <c r="F73" t="s">
        <v>5947</v>
      </c>
      <c r="G73" t="s">
        <v>5945</v>
      </c>
      <c r="H73" t="s">
        <v>5944</v>
      </c>
      <c r="I73" t="s">
        <v>90</v>
      </c>
      <c r="J73" t="s">
        <v>5948</v>
      </c>
    </row>
    <row r="74" spans="1:10" ht="15" customHeight="1" x14ac:dyDescent="0.25">
      <c r="A74" t="s">
        <v>5363</v>
      </c>
      <c r="B74" t="s">
        <v>3501</v>
      </c>
      <c r="C74" t="s">
        <v>5359</v>
      </c>
      <c r="D74">
        <v>1</v>
      </c>
      <c r="E74" t="s">
        <v>5949</v>
      </c>
      <c r="F74" t="s">
        <v>5950</v>
      </c>
      <c r="G74">
        <v>1</v>
      </c>
      <c r="H74" t="s">
        <v>5365</v>
      </c>
      <c r="I74" t="s">
        <v>90</v>
      </c>
      <c r="J74" t="s">
        <v>5951</v>
      </c>
    </row>
    <row r="75" spans="1:10" ht="15" customHeight="1" x14ac:dyDescent="0.25">
      <c r="A75" t="s">
        <v>5952</v>
      </c>
      <c r="B75" t="s">
        <v>4296</v>
      </c>
      <c r="C75" t="s">
        <v>4244</v>
      </c>
      <c r="D75" t="s">
        <v>3996</v>
      </c>
      <c r="E75" t="s">
        <v>5953</v>
      </c>
      <c r="F75" t="s">
        <v>3457</v>
      </c>
      <c r="G75" t="s">
        <v>3457</v>
      </c>
      <c r="H75" t="s">
        <v>5952</v>
      </c>
      <c r="I75" t="s">
        <v>90</v>
      </c>
      <c r="J75" t="s">
        <v>5869</v>
      </c>
    </row>
    <row r="76" spans="1:10" ht="15" customHeight="1" x14ac:dyDescent="0.25">
      <c r="A76" t="s">
        <v>5954</v>
      </c>
      <c r="B76" t="s">
        <v>3513</v>
      </c>
      <c r="C76" t="s">
        <v>5721</v>
      </c>
      <c r="D76">
        <v>1</v>
      </c>
      <c r="E76" t="s">
        <v>5955</v>
      </c>
      <c r="F76" t="s">
        <v>5956</v>
      </c>
      <c r="G76">
        <v>1</v>
      </c>
      <c r="H76" t="s">
        <v>5954</v>
      </c>
      <c r="I76" t="s">
        <v>90</v>
      </c>
      <c r="J76" t="s">
        <v>5957</v>
      </c>
    </row>
    <row r="77" spans="1:10" ht="15" customHeight="1" x14ac:dyDescent="0.25">
      <c r="A77" t="s">
        <v>5958</v>
      </c>
      <c r="B77" t="s">
        <v>3513</v>
      </c>
      <c r="C77" t="s">
        <v>5440</v>
      </c>
      <c r="D77">
        <v>1</v>
      </c>
      <c r="E77" t="s">
        <v>5959</v>
      </c>
      <c r="F77" t="s">
        <v>5960</v>
      </c>
      <c r="G77">
        <v>1</v>
      </c>
      <c r="H77" t="s">
        <v>5958</v>
      </c>
      <c r="I77" t="s">
        <v>5872</v>
      </c>
      <c r="J77" t="s">
        <v>5961</v>
      </c>
    </row>
    <row r="78" spans="1:10" ht="15" customHeight="1" x14ac:dyDescent="0.25">
      <c r="A78" t="s">
        <v>5962</v>
      </c>
      <c r="B78" t="s">
        <v>3513</v>
      </c>
      <c r="C78" t="s">
        <v>5359</v>
      </c>
      <c r="D78">
        <v>1</v>
      </c>
      <c r="E78" t="s">
        <v>5963</v>
      </c>
      <c r="F78" t="s">
        <v>5964</v>
      </c>
      <c r="G78">
        <v>1</v>
      </c>
      <c r="H78" t="s">
        <v>5965</v>
      </c>
      <c r="I78" t="s">
        <v>90</v>
      </c>
      <c r="J78" t="s">
        <v>5762</v>
      </c>
    </row>
    <row r="79" spans="1:10" ht="15" customHeight="1" x14ac:dyDescent="0.25">
      <c r="A79" t="s">
        <v>5966</v>
      </c>
      <c r="B79" t="s">
        <v>3513</v>
      </c>
      <c r="C79" t="s">
        <v>5721</v>
      </c>
      <c r="D79">
        <v>0</v>
      </c>
      <c r="E79" t="s">
        <v>5967</v>
      </c>
      <c r="F79" t="s">
        <v>5968</v>
      </c>
      <c r="G79">
        <v>0</v>
      </c>
      <c r="H79" t="s">
        <v>5969</v>
      </c>
      <c r="I79" t="s">
        <v>90</v>
      </c>
      <c r="J79" t="s">
        <v>5776</v>
      </c>
    </row>
    <row r="80" spans="1:10" ht="15" customHeight="1" x14ac:dyDescent="0.25">
      <c r="A80" t="s">
        <v>5970</v>
      </c>
      <c r="B80" t="s">
        <v>3513</v>
      </c>
      <c r="C80" t="s">
        <v>5359</v>
      </c>
      <c r="D80">
        <v>2</v>
      </c>
      <c r="E80" t="s">
        <v>5971</v>
      </c>
      <c r="F80" t="s">
        <v>5971</v>
      </c>
      <c r="G80">
        <v>1</v>
      </c>
      <c r="H80" t="s">
        <v>5970</v>
      </c>
      <c r="I80" t="s">
        <v>90</v>
      </c>
      <c r="J80" t="s">
        <v>5738</v>
      </c>
    </row>
    <row r="81" spans="1:10" ht="15" customHeight="1" x14ac:dyDescent="0.25">
      <c r="A81" t="s">
        <v>5195</v>
      </c>
      <c r="B81" t="s">
        <v>3501</v>
      </c>
      <c r="C81" t="s">
        <v>4596</v>
      </c>
      <c r="D81">
        <v>2</v>
      </c>
      <c r="E81" t="s">
        <v>5972</v>
      </c>
      <c r="F81" t="s">
        <v>5972</v>
      </c>
      <c r="G81">
        <v>1</v>
      </c>
      <c r="H81" t="s">
        <v>5195</v>
      </c>
      <c r="I81" t="s">
        <v>90</v>
      </c>
      <c r="J81" t="s">
        <v>5848</v>
      </c>
    </row>
    <row r="82" spans="1:10" ht="15" customHeight="1" x14ac:dyDescent="0.25">
      <c r="A82" t="s">
        <v>5973</v>
      </c>
      <c r="B82" t="s">
        <v>3513</v>
      </c>
      <c r="C82" t="s">
        <v>5359</v>
      </c>
      <c r="D82">
        <v>0</v>
      </c>
      <c r="E82" t="s">
        <v>5974</v>
      </c>
      <c r="F82" t="s">
        <v>5975</v>
      </c>
      <c r="G82">
        <v>0</v>
      </c>
      <c r="H82" t="s">
        <v>5976</v>
      </c>
      <c r="I82" t="s">
        <v>90</v>
      </c>
      <c r="J82" t="s">
        <v>5977</v>
      </c>
    </row>
    <row r="83" spans="1:10" ht="15" customHeight="1" x14ac:dyDescent="0.25">
      <c r="A83" t="s">
        <v>5978</v>
      </c>
      <c r="B83" t="s">
        <v>3513</v>
      </c>
      <c r="C83" t="s">
        <v>5721</v>
      </c>
      <c r="D83">
        <v>3</v>
      </c>
      <c r="E83" t="s">
        <v>5979</v>
      </c>
      <c r="F83" t="s">
        <v>5980</v>
      </c>
      <c r="G83">
        <v>3</v>
      </c>
      <c r="H83" t="s">
        <v>5978</v>
      </c>
      <c r="I83" t="s">
        <v>90</v>
      </c>
      <c r="J83" t="s">
        <v>5981</v>
      </c>
    </row>
    <row r="84" spans="1:10" ht="15" customHeight="1" x14ac:dyDescent="0.25">
      <c r="A84" t="s">
        <v>5197</v>
      </c>
      <c r="B84" t="s">
        <v>3513</v>
      </c>
      <c r="C84" t="s">
        <v>4596</v>
      </c>
      <c r="D84">
        <v>1</v>
      </c>
      <c r="E84" t="s">
        <v>5982</v>
      </c>
      <c r="F84" t="s">
        <v>5983</v>
      </c>
      <c r="G84">
        <v>1</v>
      </c>
      <c r="H84" t="s">
        <v>5197</v>
      </c>
      <c r="I84" t="s">
        <v>90</v>
      </c>
      <c r="J84" t="s">
        <v>5984</v>
      </c>
    </row>
    <row r="85" spans="1:10" ht="15" customHeight="1" x14ac:dyDescent="0.25">
      <c r="A85" t="s">
        <v>5985</v>
      </c>
      <c r="B85" t="s">
        <v>3501</v>
      </c>
      <c r="C85" t="s">
        <v>5359</v>
      </c>
      <c r="D85">
        <v>1</v>
      </c>
      <c r="E85" t="s">
        <v>5986</v>
      </c>
      <c r="F85" t="s">
        <v>5986</v>
      </c>
      <c r="G85">
        <v>0</v>
      </c>
      <c r="H85" t="s">
        <v>5985</v>
      </c>
      <c r="I85" t="s">
        <v>90</v>
      </c>
      <c r="J85" t="s">
        <v>5987</v>
      </c>
    </row>
    <row r="86" spans="1:10" ht="15" customHeight="1" x14ac:dyDescent="0.25">
      <c r="A86" t="s">
        <v>5988</v>
      </c>
      <c r="B86" t="s">
        <v>3513</v>
      </c>
      <c r="C86" t="s">
        <v>5359</v>
      </c>
      <c r="D86">
        <v>1</v>
      </c>
      <c r="E86" t="s">
        <v>5989</v>
      </c>
      <c r="F86" t="s">
        <v>5990</v>
      </c>
      <c r="G86">
        <v>1</v>
      </c>
      <c r="H86" t="s">
        <v>5988</v>
      </c>
      <c r="I86" t="s">
        <v>90</v>
      </c>
      <c r="J86" t="s">
        <v>5991</v>
      </c>
    </row>
    <row r="87" spans="1:10" ht="15" customHeight="1" x14ac:dyDescent="0.25">
      <c r="A87" t="s">
        <v>5992</v>
      </c>
      <c r="B87" t="s">
        <v>3501</v>
      </c>
      <c r="C87" t="s">
        <v>5721</v>
      </c>
      <c r="D87">
        <v>1</v>
      </c>
      <c r="E87" t="s">
        <v>5993</v>
      </c>
      <c r="F87" t="s">
        <v>5994</v>
      </c>
      <c r="G87">
        <v>1</v>
      </c>
      <c r="H87" t="s">
        <v>5992</v>
      </c>
      <c r="I87" t="s">
        <v>90</v>
      </c>
      <c r="J87" t="s">
        <v>5995</v>
      </c>
    </row>
    <row r="88" spans="1:10" ht="15" customHeight="1" x14ac:dyDescent="0.25">
      <c r="A88" t="s">
        <v>5205</v>
      </c>
      <c r="B88" t="s">
        <v>3513</v>
      </c>
      <c r="C88" t="s">
        <v>4596</v>
      </c>
      <c r="D88">
        <v>1</v>
      </c>
      <c r="E88" t="s">
        <v>5996</v>
      </c>
      <c r="F88" t="s">
        <v>5997</v>
      </c>
      <c r="G88">
        <v>1</v>
      </c>
      <c r="H88" t="s">
        <v>5207</v>
      </c>
      <c r="I88" t="s">
        <v>90</v>
      </c>
      <c r="J88" t="s">
        <v>5998</v>
      </c>
    </row>
    <row r="89" spans="1:10" ht="15" customHeight="1" x14ac:dyDescent="0.25">
      <c r="A89" t="s">
        <v>5999</v>
      </c>
      <c r="B89" t="s">
        <v>3501</v>
      </c>
      <c r="C89" t="s">
        <v>5721</v>
      </c>
      <c r="D89">
        <v>2</v>
      </c>
      <c r="E89" t="s">
        <v>6000</v>
      </c>
      <c r="F89" t="s">
        <v>6001</v>
      </c>
      <c r="G89">
        <v>2</v>
      </c>
      <c r="H89" t="s">
        <v>6002</v>
      </c>
      <c r="I89" t="s">
        <v>90</v>
      </c>
      <c r="J89" t="s">
        <v>6003</v>
      </c>
    </row>
    <row r="90" spans="1:10" ht="15" customHeight="1" x14ac:dyDescent="0.25">
      <c r="A90" t="s">
        <v>6004</v>
      </c>
      <c r="B90" t="s">
        <v>41</v>
      </c>
      <c r="C90" t="s">
        <v>5440</v>
      </c>
      <c r="D90">
        <v>1</v>
      </c>
      <c r="E90" t="s">
        <v>5870</v>
      </c>
      <c r="F90" t="s">
        <v>5871</v>
      </c>
      <c r="G90">
        <v>1</v>
      </c>
      <c r="H90" t="s">
        <v>6004</v>
      </c>
      <c r="I90" t="s">
        <v>2361</v>
      </c>
      <c r="J90" t="s">
        <v>6005</v>
      </c>
    </row>
    <row r="91" spans="1:10" ht="15" customHeight="1" x14ac:dyDescent="0.25">
      <c r="A91" t="s">
        <v>6006</v>
      </c>
      <c r="B91" t="s">
        <v>3513</v>
      </c>
      <c r="C91" t="s">
        <v>5721</v>
      </c>
      <c r="D91">
        <v>1</v>
      </c>
      <c r="E91" t="s">
        <v>6007</v>
      </c>
      <c r="F91" t="s">
        <v>6008</v>
      </c>
      <c r="G91">
        <v>1</v>
      </c>
      <c r="H91" t="s">
        <v>6006</v>
      </c>
      <c r="I91" t="s">
        <v>90</v>
      </c>
      <c r="J91" t="s">
        <v>5776</v>
      </c>
    </row>
    <row r="92" spans="1:10" ht="15" customHeight="1" x14ac:dyDescent="0.25">
      <c r="A92" t="s">
        <v>5208</v>
      </c>
      <c r="B92" t="s">
        <v>3513</v>
      </c>
      <c r="C92" t="s">
        <v>4596</v>
      </c>
      <c r="D92">
        <v>1</v>
      </c>
      <c r="E92" t="s">
        <v>6009</v>
      </c>
      <c r="F92" t="s">
        <v>6010</v>
      </c>
      <c r="G92">
        <v>1</v>
      </c>
      <c r="H92" t="s">
        <v>5210</v>
      </c>
      <c r="I92" t="s">
        <v>90</v>
      </c>
      <c r="J92" t="s">
        <v>6011</v>
      </c>
    </row>
    <row r="93" spans="1:10" ht="15" customHeight="1" x14ac:dyDescent="0.25">
      <c r="A93" t="s">
        <v>5211</v>
      </c>
      <c r="B93" t="s">
        <v>3513</v>
      </c>
      <c r="C93" t="s">
        <v>5359</v>
      </c>
      <c r="D93">
        <v>2</v>
      </c>
      <c r="E93" t="s">
        <v>6012</v>
      </c>
      <c r="F93" t="s">
        <v>6013</v>
      </c>
      <c r="G93">
        <v>2</v>
      </c>
      <c r="H93" t="s">
        <v>5213</v>
      </c>
      <c r="I93" t="s">
        <v>90</v>
      </c>
      <c r="J93" t="s">
        <v>5738</v>
      </c>
    </row>
    <row r="94" spans="1:10" ht="15" customHeight="1" x14ac:dyDescent="0.25">
      <c r="A94" t="s">
        <v>6014</v>
      </c>
      <c r="B94" t="s">
        <v>3513</v>
      </c>
      <c r="C94" t="s">
        <v>5721</v>
      </c>
      <c r="D94">
        <v>1</v>
      </c>
      <c r="E94" t="s">
        <v>6015</v>
      </c>
      <c r="F94" t="s">
        <v>6016</v>
      </c>
      <c r="G94">
        <v>1</v>
      </c>
      <c r="H94" t="s">
        <v>6014</v>
      </c>
      <c r="I94" t="s">
        <v>90</v>
      </c>
      <c r="J94" t="s">
        <v>5776</v>
      </c>
    </row>
    <row r="95" spans="1:10" ht="15" customHeight="1" x14ac:dyDescent="0.25">
      <c r="A95" t="s">
        <v>6017</v>
      </c>
      <c r="B95" t="s">
        <v>41</v>
      </c>
      <c r="C95" t="s">
        <v>5359</v>
      </c>
      <c r="D95">
        <v>0</v>
      </c>
      <c r="E95" t="s">
        <v>6018</v>
      </c>
      <c r="F95" t="s">
        <v>6019</v>
      </c>
      <c r="G95">
        <v>0</v>
      </c>
      <c r="H95" t="s">
        <v>6017</v>
      </c>
      <c r="I95" t="s">
        <v>90</v>
      </c>
      <c r="J95" t="s">
        <v>5734</v>
      </c>
    </row>
    <row r="96" spans="1:10" ht="15" customHeight="1" x14ac:dyDescent="0.25">
      <c r="A96" t="s">
        <v>6020</v>
      </c>
      <c r="B96" t="s">
        <v>41</v>
      </c>
      <c r="C96" t="s">
        <v>5721</v>
      </c>
      <c r="D96">
        <v>1</v>
      </c>
      <c r="E96" t="s">
        <v>6021</v>
      </c>
      <c r="F96" t="s">
        <v>6022</v>
      </c>
      <c r="G96">
        <v>1</v>
      </c>
      <c r="H96" t="s">
        <v>6023</v>
      </c>
      <c r="I96" t="s">
        <v>90</v>
      </c>
      <c r="J96" t="s">
        <v>6024</v>
      </c>
    </row>
    <row r="97" spans="1:10" ht="15" customHeight="1" x14ac:dyDescent="0.25">
      <c r="A97" t="s">
        <v>6025</v>
      </c>
      <c r="B97" t="s">
        <v>3513</v>
      </c>
      <c r="C97" t="s">
        <v>4596</v>
      </c>
      <c r="D97">
        <v>1</v>
      </c>
      <c r="E97" t="s">
        <v>5664</v>
      </c>
      <c r="F97" t="s">
        <v>6026</v>
      </c>
      <c r="G97">
        <v>1</v>
      </c>
      <c r="H97" t="s">
        <v>6025</v>
      </c>
      <c r="I97" t="s">
        <v>90</v>
      </c>
      <c r="J97" t="s">
        <v>5716</v>
      </c>
    </row>
    <row r="98" spans="1:10" ht="15" customHeight="1" x14ac:dyDescent="0.25">
      <c r="A98" t="s">
        <v>6027</v>
      </c>
      <c r="B98" t="s">
        <v>3513</v>
      </c>
      <c r="C98" t="s">
        <v>5440</v>
      </c>
      <c r="D98">
        <v>1</v>
      </c>
      <c r="E98" t="s">
        <v>5870</v>
      </c>
      <c r="F98" t="s">
        <v>5871</v>
      </c>
      <c r="G98">
        <v>1</v>
      </c>
      <c r="H98" t="s">
        <v>6027</v>
      </c>
      <c r="I98" t="s">
        <v>2361</v>
      </c>
      <c r="J98" t="s">
        <v>5873</v>
      </c>
    </row>
    <row r="99" spans="1:10" ht="15" customHeight="1" x14ac:dyDescent="0.25">
      <c r="A99" t="s">
        <v>6028</v>
      </c>
      <c r="B99" t="s">
        <v>3513</v>
      </c>
      <c r="C99" t="s">
        <v>5359</v>
      </c>
      <c r="D99">
        <v>1</v>
      </c>
      <c r="E99" t="s">
        <v>6029</v>
      </c>
      <c r="F99" t="s">
        <v>6030</v>
      </c>
      <c r="G99">
        <v>1</v>
      </c>
      <c r="H99" t="s">
        <v>6031</v>
      </c>
      <c r="I99" t="s">
        <v>90</v>
      </c>
      <c r="J99" t="s">
        <v>5738</v>
      </c>
    </row>
    <row r="100" spans="1:10" ht="15" customHeight="1" x14ac:dyDescent="0.25">
      <c r="A100" t="s">
        <v>6032</v>
      </c>
      <c r="B100" t="s">
        <v>3513</v>
      </c>
      <c r="C100" t="s">
        <v>5440</v>
      </c>
      <c r="D100">
        <v>1</v>
      </c>
      <c r="E100" t="s">
        <v>5870</v>
      </c>
      <c r="F100" t="s">
        <v>5871</v>
      </c>
      <c r="G100">
        <v>1</v>
      </c>
      <c r="H100" t="s">
        <v>6032</v>
      </c>
      <c r="I100" t="s">
        <v>2361</v>
      </c>
      <c r="J100" t="s">
        <v>6005</v>
      </c>
    </row>
    <row r="101" spans="1:10" ht="15" customHeight="1" x14ac:dyDescent="0.25">
      <c r="A101" t="s">
        <v>6033</v>
      </c>
      <c r="B101" t="s">
        <v>3501</v>
      </c>
      <c r="C101" t="s">
        <v>5721</v>
      </c>
      <c r="D101">
        <v>1</v>
      </c>
      <c r="E101" t="s">
        <v>6034</v>
      </c>
      <c r="F101" t="s">
        <v>6035</v>
      </c>
      <c r="G101">
        <v>1</v>
      </c>
      <c r="H101" t="s">
        <v>6036</v>
      </c>
      <c r="I101" t="s">
        <v>90</v>
      </c>
      <c r="J101" t="s">
        <v>5776</v>
      </c>
    </row>
    <row r="102" spans="1:10" ht="15" customHeight="1" x14ac:dyDescent="0.25">
      <c r="A102" t="s">
        <v>6037</v>
      </c>
      <c r="B102" t="s">
        <v>41</v>
      </c>
      <c r="C102" t="s">
        <v>5721</v>
      </c>
      <c r="D102">
        <v>0</v>
      </c>
      <c r="E102" t="s">
        <v>6038</v>
      </c>
      <c r="F102" t="s">
        <v>6039</v>
      </c>
      <c r="G102">
        <v>0</v>
      </c>
      <c r="H102" t="s">
        <v>6040</v>
      </c>
      <c r="I102" t="s">
        <v>90</v>
      </c>
      <c r="J102" t="s">
        <v>5767</v>
      </c>
    </row>
    <row r="103" spans="1:10" ht="15" customHeight="1" x14ac:dyDescent="0.25">
      <c r="A103" t="s">
        <v>6041</v>
      </c>
      <c r="B103" t="s">
        <v>3501</v>
      </c>
      <c r="C103" t="s">
        <v>5721</v>
      </c>
      <c r="D103">
        <v>0</v>
      </c>
      <c r="E103" t="s">
        <v>6042</v>
      </c>
      <c r="F103" t="s">
        <v>6043</v>
      </c>
      <c r="G103">
        <v>0</v>
      </c>
      <c r="H103" t="s">
        <v>6044</v>
      </c>
      <c r="I103" t="s">
        <v>90</v>
      </c>
      <c r="J103" t="s">
        <v>5776</v>
      </c>
    </row>
    <row r="104" spans="1:10" ht="15" customHeight="1" x14ac:dyDescent="0.25">
      <c r="A104" t="s">
        <v>5131</v>
      </c>
      <c r="B104" t="s">
        <v>4296</v>
      </c>
      <c r="C104" t="s">
        <v>4244</v>
      </c>
      <c r="D104" t="s">
        <v>3996</v>
      </c>
      <c r="E104" t="s">
        <v>6045</v>
      </c>
      <c r="F104" t="s">
        <v>3457</v>
      </c>
      <c r="G104" t="s">
        <v>3457</v>
      </c>
      <c r="H104" t="s">
        <v>5131</v>
      </c>
      <c r="I104" t="s">
        <v>38</v>
      </c>
      <c r="J104" t="s">
        <v>5869</v>
      </c>
    </row>
    <row r="105" spans="1:10" ht="15" customHeight="1" x14ac:dyDescent="0.25">
      <c r="A105" t="s">
        <v>6046</v>
      </c>
      <c r="B105" t="s">
        <v>41</v>
      </c>
      <c r="C105" t="s">
        <v>5359</v>
      </c>
      <c r="D105">
        <v>1</v>
      </c>
      <c r="E105" t="s">
        <v>6047</v>
      </c>
      <c r="F105" t="s">
        <v>6047</v>
      </c>
      <c r="G105">
        <v>0</v>
      </c>
      <c r="H105" t="s">
        <v>6046</v>
      </c>
      <c r="I105" t="s">
        <v>90</v>
      </c>
      <c r="J105" t="s">
        <v>6003</v>
      </c>
    </row>
    <row r="106" spans="1:10" ht="15" customHeight="1" x14ac:dyDescent="0.25">
      <c r="A106" t="s">
        <v>6048</v>
      </c>
      <c r="B106" t="s">
        <v>41</v>
      </c>
      <c r="C106" t="s">
        <v>5721</v>
      </c>
      <c r="D106">
        <v>1</v>
      </c>
      <c r="E106" t="s">
        <v>6049</v>
      </c>
      <c r="F106" t="s">
        <v>6050</v>
      </c>
      <c r="G106">
        <v>1</v>
      </c>
      <c r="H106" t="s">
        <v>6048</v>
      </c>
      <c r="I106" t="s">
        <v>90</v>
      </c>
      <c r="J106" t="s">
        <v>5734</v>
      </c>
    </row>
    <row r="107" spans="1:10" ht="15" customHeight="1" x14ac:dyDescent="0.25">
      <c r="A107" t="s">
        <v>6051</v>
      </c>
      <c r="B107" t="s">
        <v>41</v>
      </c>
      <c r="C107" t="s">
        <v>5440</v>
      </c>
      <c r="D107">
        <v>1</v>
      </c>
      <c r="E107" t="s">
        <v>6052</v>
      </c>
      <c r="F107" t="s">
        <v>6053</v>
      </c>
      <c r="G107">
        <v>1</v>
      </c>
      <c r="H107" t="s">
        <v>6051</v>
      </c>
      <c r="I107" t="s">
        <v>2361</v>
      </c>
      <c r="J107" t="s">
        <v>5961</v>
      </c>
    </row>
    <row r="108" spans="1:10" ht="15" customHeight="1" x14ac:dyDescent="0.25">
      <c r="A108" t="s">
        <v>6054</v>
      </c>
      <c r="B108" t="s">
        <v>41</v>
      </c>
      <c r="C108" t="s">
        <v>5721</v>
      </c>
      <c r="D108">
        <v>2</v>
      </c>
      <c r="E108" t="s">
        <v>6055</v>
      </c>
      <c r="F108" t="s">
        <v>6056</v>
      </c>
      <c r="G108">
        <v>2</v>
      </c>
      <c r="H108" t="s">
        <v>6057</v>
      </c>
      <c r="I108" t="s">
        <v>90</v>
      </c>
      <c r="J108" t="s">
        <v>6058</v>
      </c>
    </row>
    <row r="109" spans="1:10" ht="15" customHeight="1" x14ac:dyDescent="0.25">
      <c r="A109" t="s">
        <v>6059</v>
      </c>
      <c r="B109" t="s">
        <v>3513</v>
      </c>
      <c r="C109" t="s">
        <v>5721</v>
      </c>
      <c r="D109">
        <v>1</v>
      </c>
      <c r="E109" t="s">
        <v>6060</v>
      </c>
      <c r="F109" t="s">
        <v>6061</v>
      </c>
      <c r="G109">
        <v>1</v>
      </c>
      <c r="H109" t="s">
        <v>6062</v>
      </c>
      <c r="I109" t="s">
        <v>90</v>
      </c>
      <c r="J109" t="s">
        <v>5848</v>
      </c>
    </row>
    <row r="110" spans="1:10" ht="15" customHeight="1" x14ac:dyDescent="0.25">
      <c r="A110" t="s">
        <v>6063</v>
      </c>
      <c r="B110" t="s">
        <v>3513</v>
      </c>
      <c r="C110" t="s">
        <v>5721</v>
      </c>
      <c r="D110">
        <v>1</v>
      </c>
      <c r="E110" t="s">
        <v>6064</v>
      </c>
      <c r="F110" t="s">
        <v>6065</v>
      </c>
      <c r="G110">
        <v>1</v>
      </c>
      <c r="H110" t="s">
        <v>6063</v>
      </c>
      <c r="I110" t="s">
        <v>90</v>
      </c>
      <c r="J110" t="s">
        <v>5734</v>
      </c>
    </row>
    <row r="111" spans="1:10" ht="15" customHeight="1" x14ac:dyDescent="0.25">
      <c r="A111" t="s">
        <v>6066</v>
      </c>
      <c r="B111" t="s">
        <v>41</v>
      </c>
      <c r="C111" t="s">
        <v>5359</v>
      </c>
      <c r="D111">
        <v>1</v>
      </c>
      <c r="E111" t="s">
        <v>6067</v>
      </c>
      <c r="F111" t="s">
        <v>6068</v>
      </c>
      <c r="G111">
        <v>1</v>
      </c>
      <c r="H111" t="s">
        <v>6066</v>
      </c>
      <c r="I111" t="s">
        <v>90</v>
      </c>
      <c r="J111" t="s">
        <v>6069</v>
      </c>
    </row>
    <row r="112" spans="1:10" ht="15" customHeight="1" x14ac:dyDescent="0.25">
      <c r="A112" t="s">
        <v>6070</v>
      </c>
      <c r="B112" t="s">
        <v>3501</v>
      </c>
      <c r="C112" t="s">
        <v>5721</v>
      </c>
      <c r="D112">
        <v>2</v>
      </c>
      <c r="E112" t="s">
        <v>6071</v>
      </c>
      <c r="F112" t="s">
        <v>6072</v>
      </c>
      <c r="G112">
        <v>2</v>
      </c>
      <c r="H112" t="s">
        <v>6070</v>
      </c>
      <c r="I112" t="s">
        <v>90</v>
      </c>
      <c r="J112" t="s">
        <v>5734</v>
      </c>
    </row>
    <row r="113" spans="1:10" ht="15" customHeight="1" x14ac:dyDescent="0.25">
      <c r="A113" t="s">
        <v>6073</v>
      </c>
      <c r="B113" t="s">
        <v>3501</v>
      </c>
      <c r="C113" t="s">
        <v>5359</v>
      </c>
      <c r="D113">
        <v>2</v>
      </c>
      <c r="E113" t="s">
        <v>6074</v>
      </c>
      <c r="F113" t="s">
        <v>6075</v>
      </c>
      <c r="G113">
        <v>2</v>
      </c>
      <c r="H113" t="s">
        <v>6073</v>
      </c>
      <c r="I113" t="s">
        <v>90</v>
      </c>
      <c r="J113" t="s">
        <v>5998</v>
      </c>
    </row>
    <row r="114" spans="1:10" ht="15" customHeight="1" x14ac:dyDescent="0.25">
      <c r="A114" t="s">
        <v>6076</v>
      </c>
      <c r="B114" t="s">
        <v>3513</v>
      </c>
      <c r="C114" t="s">
        <v>5359</v>
      </c>
      <c r="D114">
        <v>1</v>
      </c>
      <c r="E114" t="s">
        <v>6077</v>
      </c>
      <c r="F114" t="s">
        <v>6077</v>
      </c>
      <c r="G114">
        <v>0</v>
      </c>
      <c r="H114" t="s">
        <v>6078</v>
      </c>
      <c r="I114" t="s">
        <v>90</v>
      </c>
      <c r="J114" t="s">
        <v>6079</v>
      </c>
    </row>
    <row r="115" spans="1:10" ht="15" customHeight="1" x14ac:dyDescent="0.25">
      <c r="A115" t="s">
        <v>6080</v>
      </c>
      <c r="B115" t="s">
        <v>3513</v>
      </c>
      <c r="C115" t="s">
        <v>4596</v>
      </c>
      <c r="D115">
        <v>1</v>
      </c>
      <c r="E115" t="s">
        <v>6081</v>
      </c>
      <c r="F115" t="s">
        <v>6082</v>
      </c>
      <c r="G115">
        <v>1</v>
      </c>
      <c r="H115" t="s">
        <v>6083</v>
      </c>
      <c r="I115" t="s">
        <v>90</v>
      </c>
      <c r="J115" t="s">
        <v>5776</v>
      </c>
    </row>
    <row r="116" spans="1:10" ht="15" customHeight="1" x14ac:dyDescent="0.25">
      <c r="A116" t="s">
        <v>6084</v>
      </c>
      <c r="B116" t="s">
        <v>3513</v>
      </c>
      <c r="C116" t="s">
        <v>4596</v>
      </c>
      <c r="D116">
        <v>1</v>
      </c>
      <c r="E116" t="s">
        <v>6085</v>
      </c>
      <c r="F116" t="s">
        <v>6086</v>
      </c>
      <c r="G116">
        <v>1</v>
      </c>
      <c r="H116" t="s">
        <v>6084</v>
      </c>
      <c r="I116" t="s">
        <v>90</v>
      </c>
      <c r="J116" t="s">
        <v>5926</v>
      </c>
    </row>
    <row r="117" spans="1:10" ht="15" customHeight="1" x14ac:dyDescent="0.25">
      <c r="A117" t="s">
        <v>4252</v>
      </c>
      <c r="B117" t="s">
        <v>4296</v>
      </c>
      <c r="C117" t="s">
        <v>4244</v>
      </c>
      <c r="D117" t="s">
        <v>3996</v>
      </c>
      <c r="E117" t="s">
        <v>6087</v>
      </c>
      <c r="F117" t="s">
        <v>3457</v>
      </c>
      <c r="G117" t="s">
        <v>3457</v>
      </c>
      <c r="H117" t="s">
        <v>4252</v>
      </c>
      <c r="I117" t="s">
        <v>90</v>
      </c>
      <c r="J117" t="s">
        <v>5869</v>
      </c>
    </row>
    <row r="118" spans="1:10" ht="15" customHeight="1" x14ac:dyDescent="0.25">
      <c r="A118" t="s">
        <v>6088</v>
      </c>
      <c r="B118" t="s">
        <v>3513</v>
      </c>
      <c r="C118" t="s">
        <v>5359</v>
      </c>
      <c r="D118">
        <v>0</v>
      </c>
      <c r="E118" t="s">
        <v>6089</v>
      </c>
      <c r="F118" t="s">
        <v>6090</v>
      </c>
      <c r="G118">
        <v>0</v>
      </c>
      <c r="H118" t="s">
        <v>6088</v>
      </c>
      <c r="I118" t="s">
        <v>90</v>
      </c>
      <c r="J118" t="s">
        <v>5936</v>
      </c>
    </row>
    <row r="119" spans="1:10" ht="15" customHeight="1" x14ac:dyDescent="0.25">
      <c r="A119" t="s">
        <v>6091</v>
      </c>
      <c r="B119" t="s">
        <v>41</v>
      </c>
      <c r="C119" t="s">
        <v>5721</v>
      </c>
      <c r="D119">
        <v>1</v>
      </c>
      <c r="E119" t="s">
        <v>6092</v>
      </c>
      <c r="F119" t="s">
        <v>6093</v>
      </c>
      <c r="G119">
        <v>1</v>
      </c>
      <c r="H119" t="s">
        <v>6094</v>
      </c>
      <c r="I119" t="s">
        <v>90</v>
      </c>
      <c r="J119" t="s">
        <v>6095</v>
      </c>
    </row>
    <row r="120" spans="1:10" ht="15" customHeight="1" x14ac:dyDescent="0.25">
      <c r="A120" t="s">
        <v>5686</v>
      </c>
      <c r="B120" t="s">
        <v>3545</v>
      </c>
      <c r="C120" t="s">
        <v>5440</v>
      </c>
      <c r="D120">
        <v>1</v>
      </c>
      <c r="E120" s="3" t="s">
        <v>6096</v>
      </c>
      <c r="F120" s="3" t="s">
        <v>6096</v>
      </c>
      <c r="G120" s="3">
        <v>0</v>
      </c>
      <c r="H120" t="s">
        <v>3457</v>
      </c>
      <c r="I120" t="s">
        <v>160</v>
      </c>
    </row>
    <row r="121" spans="1:10" ht="15" customHeight="1" x14ac:dyDescent="0.25">
      <c r="A121" t="s">
        <v>6097</v>
      </c>
      <c r="B121" t="s">
        <v>3513</v>
      </c>
      <c r="C121" t="s">
        <v>5440</v>
      </c>
      <c r="D121">
        <v>1</v>
      </c>
      <c r="E121" t="s">
        <v>6098</v>
      </c>
      <c r="F121" t="s">
        <v>6099</v>
      </c>
      <c r="G121">
        <v>1</v>
      </c>
      <c r="H121" t="s">
        <v>6097</v>
      </c>
      <c r="I121" t="s">
        <v>2361</v>
      </c>
      <c r="J121" t="s">
        <v>6100</v>
      </c>
    </row>
    <row r="122" spans="1:10" ht="15" customHeight="1" x14ac:dyDescent="0.25">
      <c r="A122" t="s">
        <v>6101</v>
      </c>
      <c r="B122" t="s">
        <v>3501</v>
      </c>
      <c r="C122" t="s">
        <v>4596</v>
      </c>
      <c r="D122">
        <v>2</v>
      </c>
      <c r="E122" t="s">
        <v>6102</v>
      </c>
      <c r="F122" t="s">
        <v>6103</v>
      </c>
      <c r="G122">
        <v>2</v>
      </c>
      <c r="H122" t="s">
        <v>6101</v>
      </c>
      <c r="I122" t="s">
        <v>90</v>
      </c>
      <c r="J122" t="s">
        <v>6095</v>
      </c>
    </row>
    <row r="123" spans="1:10" ht="15" customHeight="1" x14ac:dyDescent="0.25">
      <c r="A123" t="s">
        <v>6104</v>
      </c>
      <c r="B123" t="s">
        <v>3513</v>
      </c>
      <c r="C123" t="s">
        <v>5440</v>
      </c>
      <c r="D123">
        <v>1</v>
      </c>
      <c r="E123" t="s">
        <v>5870</v>
      </c>
      <c r="F123" t="s">
        <v>5871</v>
      </c>
      <c r="G123">
        <v>1</v>
      </c>
      <c r="H123" t="s">
        <v>6104</v>
      </c>
      <c r="I123" t="s">
        <v>2361</v>
      </c>
      <c r="J123" t="s">
        <v>5873</v>
      </c>
    </row>
    <row r="124" spans="1:10" ht="15" customHeight="1" x14ac:dyDescent="0.25">
      <c r="A124" t="s">
        <v>6105</v>
      </c>
      <c r="B124" t="s">
        <v>41</v>
      </c>
      <c r="C124" t="s">
        <v>5440</v>
      </c>
      <c r="D124">
        <v>1</v>
      </c>
      <c r="E124" t="s">
        <v>5870</v>
      </c>
      <c r="F124" t="s">
        <v>5871</v>
      </c>
      <c r="G124">
        <v>1</v>
      </c>
      <c r="H124" t="s">
        <v>6105</v>
      </c>
      <c r="I124" t="s">
        <v>2361</v>
      </c>
      <c r="J124" t="s">
        <v>6005</v>
      </c>
    </row>
    <row r="125" spans="1:10" ht="15" customHeight="1" x14ac:dyDescent="0.25">
      <c r="A125" t="s">
        <v>6106</v>
      </c>
      <c r="B125" t="s">
        <v>41</v>
      </c>
      <c r="C125" t="s">
        <v>5359</v>
      </c>
      <c r="D125">
        <v>1</v>
      </c>
      <c r="E125" t="s">
        <v>6107</v>
      </c>
      <c r="F125" t="s">
        <v>6108</v>
      </c>
      <c r="G125">
        <v>1</v>
      </c>
      <c r="H125" t="s">
        <v>6106</v>
      </c>
      <c r="I125" t="s">
        <v>90</v>
      </c>
      <c r="J125" t="s">
        <v>5818</v>
      </c>
    </row>
    <row r="126" spans="1:10" ht="15" customHeight="1" x14ac:dyDescent="0.25">
      <c r="A126" t="s">
        <v>6109</v>
      </c>
      <c r="B126" t="s">
        <v>3513</v>
      </c>
      <c r="C126" t="s">
        <v>5359</v>
      </c>
      <c r="D126">
        <v>2</v>
      </c>
      <c r="E126" t="s">
        <v>6110</v>
      </c>
      <c r="F126" t="s">
        <v>6111</v>
      </c>
      <c r="G126">
        <v>2</v>
      </c>
      <c r="H126" t="s">
        <v>6112</v>
      </c>
      <c r="I126" t="s">
        <v>90</v>
      </c>
      <c r="J126" t="s">
        <v>6113</v>
      </c>
    </row>
    <row r="127" spans="1:10" ht="15" customHeight="1" x14ac:dyDescent="0.25">
      <c r="A127" t="s">
        <v>4692</v>
      </c>
      <c r="B127" t="s">
        <v>41</v>
      </c>
      <c r="C127" t="s">
        <v>5721</v>
      </c>
      <c r="D127">
        <v>1</v>
      </c>
      <c r="E127" t="s">
        <v>6114</v>
      </c>
      <c r="F127" t="s">
        <v>6114</v>
      </c>
      <c r="G127">
        <v>1</v>
      </c>
      <c r="H127" t="s">
        <v>4695</v>
      </c>
      <c r="I127" t="s">
        <v>1046</v>
      </c>
      <c r="J127" t="s">
        <v>5754</v>
      </c>
    </row>
    <row r="128" spans="1:10" ht="15" customHeight="1" x14ac:dyDescent="0.25">
      <c r="A128" t="s">
        <v>6115</v>
      </c>
      <c r="B128" t="s">
        <v>3501</v>
      </c>
      <c r="C128" t="s">
        <v>5359</v>
      </c>
      <c r="D128">
        <v>1</v>
      </c>
      <c r="E128" t="s">
        <v>6116</v>
      </c>
      <c r="F128" t="s">
        <v>6117</v>
      </c>
      <c r="G128">
        <v>1</v>
      </c>
      <c r="H128" t="s">
        <v>6118</v>
      </c>
      <c r="I128" t="s">
        <v>90</v>
      </c>
      <c r="J128" t="s">
        <v>5926</v>
      </c>
    </row>
    <row r="129" spans="1:10" ht="15" customHeight="1" x14ac:dyDescent="0.25">
      <c r="A129" t="s">
        <v>6119</v>
      </c>
      <c r="B129" t="s">
        <v>3501</v>
      </c>
      <c r="C129" t="s">
        <v>4596</v>
      </c>
      <c r="D129">
        <v>1</v>
      </c>
      <c r="E129" t="s">
        <v>6120</v>
      </c>
      <c r="F129" t="s">
        <v>6121</v>
      </c>
      <c r="G129">
        <v>1</v>
      </c>
      <c r="H129" t="s">
        <v>6122</v>
      </c>
      <c r="I129" t="s">
        <v>90</v>
      </c>
      <c r="J129" t="s">
        <v>6123</v>
      </c>
    </row>
    <row r="130" spans="1:10" ht="15" customHeight="1" x14ac:dyDescent="0.25">
      <c r="A130" t="s">
        <v>6124</v>
      </c>
      <c r="B130" t="s">
        <v>41</v>
      </c>
      <c r="C130" t="s">
        <v>5440</v>
      </c>
      <c r="D130">
        <v>1</v>
      </c>
      <c r="E130" t="s">
        <v>6125</v>
      </c>
      <c r="F130" t="s">
        <v>6126</v>
      </c>
      <c r="G130">
        <v>1</v>
      </c>
      <c r="H130" t="s">
        <v>6124</v>
      </c>
      <c r="I130" t="s">
        <v>2361</v>
      </c>
      <c r="J130" t="s">
        <v>6100</v>
      </c>
    </row>
    <row r="131" spans="1:10" ht="15" customHeight="1" x14ac:dyDescent="0.25">
      <c r="A131" t="s">
        <v>6127</v>
      </c>
      <c r="B131" t="s">
        <v>3501</v>
      </c>
      <c r="C131" t="s">
        <v>5359</v>
      </c>
      <c r="D131" t="s">
        <v>5945</v>
      </c>
      <c r="E131" t="s">
        <v>6128</v>
      </c>
      <c r="F131" t="s">
        <v>6129</v>
      </c>
      <c r="G131" t="s">
        <v>5945</v>
      </c>
      <c r="H131" t="s">
        <v>6127</v>
      </c>
      <c r="I131" t="s">
        <v>90</v>
      </c>
      <c r="J131" t="s">
        <v>6130</v>
      </c>
    </row>
    <row r="132" spans="1:10" ht="15" customHeight="1" x14ac:dyDescent="0.25">
      <c r="A132" t="s">
        <v>6131</v>
      </c>
      <c r="B132" t="s">
        <v>3513</v>
      </c>
      <c r="C132" t="s">
        <v>5721</v>
      </c>
      <c r="D132">
        <v>0</v>
      </c>
      <c r="E132" t="s">
        <v>6132</v>
      </c>
      <c r="F132" t="s">
        <v>6133</v>
      </c>
      <c r="G132">
        <v>0</v>
      </c>
      <c r="H132" t="s">
        <v>6134</v>
      </c>
      <c r="I132" t="s">
        <v>90</v>
      </c>
      <c r="J132" t="s">
        <v>5776</v>
      </c>
    </row>
    <row r="133" spans="1:10" ht="15" customHeight="1" x14ac:dyDescent="0.25">
      <c r="A133" t="s">
        <v>6135</v>
      </c>
      <c r="B133" t="s">
        <v>3513</v>
      </c>
      <c r="C133" t="s">
        <v>4596</v>
      </c>
      <c r="D133">
        <v>1</v>
      </c>
      <c r="E133" t="s">
        <v>6136</v>
      </c>
      <c r="F133" t="s">
        <v>6137</v>
      </c>
      <c r="G133">
        <v>1</v>
      </c>
      <c r="H133" t="s">
        <v>6135</v>
      </c>
      <c r="I133" t="s">
        <v>90</v>
      </c>
      <c r="J133" t="s">
        <v>5738</v>
      </c>
    </row>
    <row r="134" spans="1:10" ht="15" customHeight="1" x14ac:dyDescent="0.25">
      <c r="A134" t="s">
        <v>6138</v>
      </c>
      <c r="B134" t="s">
        <v>3501</v>
      </c>
      <c r="C134" t="s">
        <v>5804</v>
      </c>
      <c r="D134">
        <v>5</v>
      </c>
      <c r="E134" t="s">
        <v>6139</v>
      </c>
      <c r="F134" t="s">
        <v>6139</v>
      </c>
      <c r="G134">
        <v>4</v>
      </c>
      <c r="H134" t="s">
        <v>6140</v>
      </c>
      <c r="I134" t="s">
        <v>1672</v>
      </c>
    </row>
    <row r="135" spans="1:10" ht="15" customHeight="1" x14ac:dyDescent="0.25">
      <c r="A135" t="s">
        <v>6141</v>
      </c>
      <c r="B135" t="s">
        <v>41</v>
      </c>
      <c r="C135" t="s">
        <v>5440</v>
      </c>
      <c r="D135">
        <v>1</v>
      </c>
      <c r="E135" t="s">
        <v>6142</v>
      </c>
      <c r="F135" t="s">
        <v>6143</v>
      </c>
      <c r="G135">
        <v>1</v>
      </c>
      <c r="H135" t="s">
        <v>6141</v>
      </c>
      <c r="I135" t="s">
        <v>2361</v>
      </c>
      <c r="J135" t="s">
        <v>5961</v>
      </c>
    </row>
    <row r="136" spans="1:10" ht="15" customHeight="1" x14ac:dyDescent="0.25">
      <c r="A136" t="s">
        <v>5696</v>
      </c>
      <c r="B136" t="s">
        <v>3545</v>
      </c>
      <c r="C136" t="s">
        <v>5721</v>
      </c>
      <c r="D136">
        <v>0</v>
      </c>
      <c r="E136" t="s">
        <v>6144</v>
      </c>
      <c r="F136" t="s">
        <v>6145</v>
      </c>
      <c r="G136">
        <v>0</v>
      </c>
      <c r="H136" t="s">
        <v>5696</v>
      </c>
      <c r="I136" t="s">
        <v>90</v>
      </c>
      <c r="J136" t="s">
        <v>5752</v>
      </c>
    </row>
    <row r="137" spans="1:10" ht="15" customHeight="1" x14ac:dyDescent="0.25">
      <c r="A137" t="s">
        <v>6146</v>
      </c>
      <c r="B137" t="s">
        <v>3501</v>
      </c>
      <c r="C137" t="s">
        <v>5359</v>
      </c>
      <c r="D137">
        <v>3</v>
      </c>
      <c r="E137" t="s">
        <v>6147</v>
      </c>
      <c r="F137" t="s">
        <v>6147</v>
      </c>
      <c r="G137">
        <v>2</v>
      </c>
      <c r="H137" t="s">
        <v>6146</v>
      </c>
      <c r="I137" t="s">
        <v>90</v>
      </c>
      <c r="J137" t="s">
        <v>5991</v>
      </c>
    </row>
    <row r="138" spans="1:10" ht="15" customHeight="1" x14ac:dyDescent="0.25">
      <c r="A138" t="s">
        <v>6148</v>
      </c>
      <c r="B138" t="s">
        <v>3513</v>
      </c>
      <c r="C138" t="s">
        <v>4596</v>
      </c>
      <c r="D138">
        <v>1</v>
      </c>
      <c r="E138" t="s">
        <v>6149</v>
      </c>
      <c r="F138" t="s">
        <v>6150</v>
      </c>
      <c r="G138">
        <v>1</v>
      </c>
      <c r="H138" t="s">
        <v>6151</v>
      </c>
      <c r="I138" t="s">
        <v>90</v>
      </c>
      <c r="J138" t="s">
        <v>5883</v>
      </c>
    </row>
    <row r="139" spans="1:10" ht="15" customHeight="1" x14ac:dyDescent="0.25">
      <c r="A139" t="s">
        <v>6152</v>
      </c>
      <c r="B139" t="s">
        <v>3501</v>
      </c>
      <c r="C139" t="s">
        <v>5359</v>
      </c>
      <c r="D139">
        <v>0</v>
      </c>
      <c r="E139" t="s">
        <v>6153</v>
      </c>
      <c r="F139" t="s">
        <v>6154</v>
      </c>
      <c r="G139">
        <v>0</v>
      </c>
      <c r="H139" t="s">
        <v>6152</v>
      </c>
      <c r="I139" t="s">
        <v>90</v>
      </c>
      <c r="J139" t="s">
        <v>6155</v>
      </c>
    </row>
    <row r="140" spans="1:10" ht="15" customHeight="1" x14ac:dyDescent="0.25">
      <c r="A140" t="s">
        <v>6156</v>
      </c>
      <c r="B140" t="s">
        <v>41</v>
      </c>
      <c r="C140" t="s">
        <v>5359</v>
      </c>
      <c r="D140">
        <v>1</v>
      </c>
      <c r="E140" t="s">
        <v>6157</v>
      </c>
      <c r="F140" t="s">
        <v>6158</v>
      </c>
      <c r="G140">
        <v>1</v>
      </c>
      <c r="H140" t="s">
        <v>6156</v>
      </c>
      <c r="I140" t="s">
        <v>90</v>
      </c>
      <c r="J140" t="s">
        <v>5822</v>
      </c>
    </row>
    <row r="141" spans="1:10" ht="15" customHeight="1" x14ac:dyDescent="0.25">
      <c r="A141" t="s">
        <v>6159</v>
      </c>
      <c r="B141" t="s">
        <v>4296</v>
      </c>
      <c r="C141" t="s">
        <v>4244</v>
      </c>
      <c r="D141" t="s">
        <v>3996</v>
      </c>
      <c r="E141" t="s">
        <v>6160</v>
      </c>
      <c r="F141" t="s">
        <v>3457</v>
      </c>
      <c r="G141" t="s">
        <v>3457</v>
      </c>
      <c r="H141" t="s">
        <v>6159</v>
      </c>
      <c r="I141" t="s">
        <v>90</v>
      </c>
      <c r="J141" t="s">
        <v>5869</v>
      </c>
    </row>
    <row r="142" spans="1:10" ht="15" customHeight="1" x14ac:dyDescent="0.25">
      <c r="A142" t="s">
        <v>6161</v>
      </c>
      <c r="B142" t="s">
        <v>41</v>
      </c>
      <c r="C142" t="s">
        <v>5721</v>
      </c>
      <c r="D142">
        <v>2</v>
      </c>
      <c r="E142" t="s">
        <v>6162</v>
      </c>
      <c r="F142" t="s">
        <v>6163</v>
      </c>
      <c r="G142">
        <v>2</v>
      </c>
      <c r="H142" t="s">
        <v>6164</v>
      </c>
      <c r="I142" t="s">
        <v>90</v>
      </c>
      <c r="J142" t="s">
        <v>5734</v>
      </c>
    </row>
    <row r="143" spans="1:10" ht="15" customHeight="1" x14ac:dyDescent="0.25">
      <c r="A143" t="s">
        <v>6165</v>
      </c>
      <c r="B143" t="s">
        <v>3501</v>
      </c>
      <c r="C143" t="s">
        <v>5359</v>
      </c>
      <c r="D143">
        <v>1</v>
      </c>
      <c r="E143" t="s">
        <v>6166</v>
      </c>
      <c r="F143" t="s">
        <v>6166</v>
      </c>
      <c r="G143">
        <v>0</v>
      </c>
      <c r="H143" t="s">
        <v>6167</v>
      </c>
      <c r="I143" t="s">
        <v>90</v>
      </c>
      <c r="J143" t="s">
        <v>5776</v>
      </c>
    </row>
    <row r="144" spans="1:10" ht="15" customHeight="1" x14ac:dyDescent="0.25">
      <c r="A144" t="s">
        <v>6168</v>
      </c>
      <c r="B144" t="s">
        <v>41</v>
      </c>
      <c r="C144" t="s">
        <v>5359</v>
      </c>
      <c r="D144">
        <v>1</v>
      </c>
      <c r="E144" t="s">
        <v>6169</v>
      </c>
      <c r="F144" t="s">
        <v>6170</v>
      </c>
      <c r="G144">
        <v>1</v>
      </c>
      <c r="H144" t="s">
        <v>6171</v>
      </c>
      <c r="I144" t="s">
        <v>90</v>
      </c>
      <c r="J144" t="s">
        <v>6130</v>
      </c>
    </row>
    <row r="145" spans="1:10" ht="15" customHeight="1" x14ac:dyDescent="0.25">
      <c r="A145" t="s">
        <v>6172</v>
      </c>
      <c r="B145" t="s">
        <v>41</v>
      </c>
      <c r="C145" t="s">
        <v>5721</v>
      </c>
      <c r="D145">
        <v>1</v>
      </c>
      <c r="E145" t="s">
        <v>6173</v>
      </c>
      <c r="F145" t="s">
        <v>6174</v>
      </c>
      <c r="G145">
        <v>1</v>
      </c>
      <c r="H145" t="s">
        <v>6175</v>
      </c>
      <c r="I145" t="s">
        <v>90</v>
      </c>
      <c r="J145" t="s">
        <v>5752</v>
      </c>
    </row>
    <row r="146" spans="1:10" ht="15" customHeight="1" x14ac:dyDescent="0.25">
      <c r="A146" t="s">
        <v>6176</v>
      </c>
      <c r="B146" t="s">
        <v>41</v>
      </c>
      <c r="C146" t="s">
        <v>5721</v>
      </c>
      <c r="D146">
        <v>1</v>
      </c>
      <c r="E146" t="s">
        <v>6177</v>
      </c>
      <c r="F146" t="s">
        <v>6178</v>
      </c>
      <c r="G146">
        <v>1</v>
      </c>
      <c r="H146" t="s">
        <v>6179</v>
      </c>
      <c r="I146" t="s">
        <v>90</v>
      </c>
      <c r="J146" t="s">
        <v>6180</v>
      </c>
    </row>
    <row r="147" spans="1:10" ht="15" customHeight="1" x14ac:dyDescent="0.25">
      <c r="A147" t="s">
        <v>6181</v>
      </c>
      <c r="B147" t="s">
        <v>3513</v>
      </c>
      <c r="C147" t="s">
        <v>5359</v>
      </c>
      <c r="D147">
        <v>1</v>
      </c>
      <c r="E147" t="s">
        <v>6182</v>
      </c>
      <c r="F147" t="s">
        <v>6183</v>
      </c>
      <c r="G147">
        <v>1</v>
      </c>
      <c r="H147" t="s">
        <v>6184</v>
      </c>
      <c r="I147" t="s">
        <v>90</v>
      </c>
      <c r="J147" t="s">
        <v>6185</v>
      </c>
    </row>
    <row r="148" spans="1:10" ht="15" customHeight="1" x14ac:dyDescent="0.25">
      <c r="A148" t="s">
        <v>6186</v>
      </c>
      <c r="B148" t="s">
        <v>3513</v>
      </c>
      <c r="C148" t="s">
        <v>5721</v>
      </c>
      <c r="D148">
        <v>2</v>
      </c>
      <c r="E148" t="s">
        <v>6187</v>
      </c>
      <c r="F148" t="s">
        <v>6188</v>
      </c>
      <c r="G148">
        <v>2</v>
      </c>
      <c r="H148" t="s">
        <v>6186</v>
      </c>
      <c r="I148" t="s">
        <v>90</v>
      </c>
      <c r="J148" t="s">
        <v>6024</v>
      </c>
    </row>
    <row r="149" spans="1:10" ht="15" customHeight="1" x14ac:dyDescent="0.25">
      <c r="A149" t="s">
        <v>6189</v>
      </c>
      <c r="B149" t="s">
        <v>41</v>
      </c>
      <c r="C149" t="s">
        <v>5359</v>
      </c>
      <c r="D149">
        <v>0</v>
      </c>
      <c r="E149" t="s">
        <v>6190</v>
      </c>
      <c r="F149" t="s">
        <v>6191</v>
      </c>
      <c r="G149">
        <v>0</v>
      </c>
      <c r="H149" t="s">
        <v>6189</v>
      </c>
      <c r="I149" t="s">
        <v>90</v>
      </c>
      <c r="J149" t="s">
        <v>5707</v>
      </c>
    </row>
    <row r="150" spans="1:10" ht="15" customHeight="1" x14ac:dyDescent="0.25">
      <c r="A150" t="s">
        <v>6192</v>
      </c>
      <c r="B150" t="s">
        <v>3513</v>
      </c>
      <c r="C150" t="s">
        <v>5721</v>
      </c>
      <c r="D150">
        <v>1</v>
      </c>
      <c r="E150" t="s">
        <v>6193</v>
      </c>
      <c r="F150" t="s">
        <v>6194</v>
      </c>
      <c r="G150">
        <v>1</v>
      </c>
      <c r="H150" t="s">
        <v>6192</v>
      </c>
      <c r="I150" t="s">
        <v>90</v>
      </c>
      <c r="J150" t="s">
        <v>6003</v>
      </c>
    </row>
    <row r="151" spans="1:10" ht="15" customHeight="1" x14ac:dyDescent="0.25">
      <c r="A151" t="s">
        <v>5143</v>
      </c>
      <c r="B151" t="s">
        <v>4296</v>
      </c>
      <c r="C151" t="s">
        <v>4244</v>
      </c>
      <c r="D151" t="s">
        <v>3996</v>
      </c>
      <c r="E151" t="s">
        <v>6195</v>
      </c>
      <c r="F151" t="s">
        <v>3457</v>
      </c>
      <c r="G151" t="s">
        <v>3996</v>
      </c>
      <c r="H151" t="s">
        <v>6196</v>
      </c>
      <c r="I151" t="s">
        <v>1649</v>
      </c>
    </row>
    <row r="152" spans="1:10" ht="15" customHeight="1" x14ac:dyDescent="0.25">
      <c r="A152" t="s">
        <v>6197</v>
      </c>
      <c r="B152" t="s">
        <v>4296</v>
      </c>
      <c r="C152" t="s">
        <v>3655</v>
      </c>
      <c r="D152">
        <v>1</v>
      </c>
      <c r="E152" t="s">
        <v>6198</v>
      </c>
      <c r="F152" t="s">
        <v>3457</v>
      </c>
      <c r="G152" t="s">
        <v>3457</v>
      </c>
      <c r="H152" t="s">
        <v>6199</v>
      </c>
      <c r="I152" t="s">
        <v>501</v>
      </c>
      <c r="J152" t="s">
        <v>5792</v>
      </c>
    </row>
    <row r="153" spans="1:10" ht="15" customHeight="1" x14ac:dyDescent="0.25">
      <c r="A153" t="s">
        <v>6200</v>
      </c>
      <c r="B153" t="s">
        <v>41</v>
      </c>
      <c r="C153" t="s">
        <v>5721</v>
      </c>
      <c r="D153">
        <v>1</v>
      </c>
      <c r="E153" t="s">
        <v>6201</v>
      </c>
      <c r="F153" t="s">
        <v>6202</v>
      </c>
      <c r="G153">
        <v>1</v>
      </c>
      <c r="H153" t="s">
        <v>6203</v>
      </c>
      <c r="I153" t="s">
        <v>90</v>
      </c>
      <c r="J153" t="s">
        <v>6204</v>
      </c>
    </row>
    <row r="154" spans="1:10" ht="15" customHeight="1" x14ac:dyDescent="0.25">
      <c r="A154" t="s">
        <v>5361</v>
      </c>
      <c r="B154" t="s">
        <v>3513</v>
      </c>
      <c r="C154" t="s">
        <v>5359</v>
      </c>
      <c r="D154">
        <v>0</v>
      </c>
      <c r="E154" t="s">
        <v>6205</v>
      </c>
      <c r="F154" t="s">
        <v>6206</v>
      </c>
      <c r="G154">
        <v>0</v>
      </c>
      <c r="H154" t="s">
        <v>5361</v>
      </c>
      <c r="I154" t="s">
        <v>90</v>
      </c>
      <c r="J154" t="s">
        <v>5738</v>
      </c>
    </row>
    <row r="155" spans="1:10" ht="15" customHeight="1" x14ac:dyDescent="0.25">
      <c r="A155" t="s">
        <v>6207</v>
      </c>
      <c r="B155" t="s">
        <v>3513</v>
      </c>
      <c r="C155" t="s">
        <v>5721</v>
      </c>
      <c r="D155">
        <v>1</v>
      </c>
      <c r="E155" t="s">
        <v>6208</v>
      </c>
      <c r="F155" t="s">
        <v>6209</v>
      </c>
      <c r="G155">
        <v>1</v>
      </c>
      <c r="H155" t="s">
        <v>6207</v>
      </c>
      <c r="I155" t="s">
        <v>90</v>
      </c>
      <c r="J155" t="s">
        <v>6058</v>
      </c>
    </row>
    <row r="156" spans="1:10" ht="15" customHeight="1" x14ac:dyDescent="0.25">
      <c r="A156" t="s">
        <v>6210</v>
      </c>
      <c r="B156" t="s">
        <v>3513</v>
      </c>
      <c r="C156" t="s">
        <v>5440</v>
      </c>
      <c r="D156">
        <v>1</v>
      </c>
      <c r="E156" t="s">
        <v>5870</v>
      </c>
      <c r="F156" t="s">
        <v>5871</v>
      </c>
      <c r="G156">
        <v>1</v>
      </c>
      <c r="H156" t="s">
        <v>6210</v>
      </c>
      <c r="I156" t="s">
        <v>2361</v>
      </c>
      <c r="J156" t="s">
        <v>5873</v>
      </c>
    </row>
    <row r="157" spans="1:10" ht="15" customHeight="1" x14ac:dyDescent="0.25">
      <c r="A157" t="s">
        <v>6211</v>
      </c>
      <c r="B157" t="s">
        <v>3501</v>
      </c>
      <c r="C157" t="s">
        <v>5721</v>
      </c>
      <c r="D157">
        <v>2</v>
      </c>
      <c r="E157" t="s">
        <v>6212</v>
      </c>
      <c r="F157" t="s">
        <v>6213</v>
      </c>
      <c r="G157">
        <v>2</v>
      </c>
      <c r="H157" t="s">
        <v>6211</v>
      </c>
      <c r="I157" t="s">
        <v>90</v>
      </c>
      <c r="J157" t="s">
        <v>5995</v>
      </c>
    </row>
    <row r="158" spans="1:10" ht="15" customHeight="1" x14ac:dyDescent="0.25">
      <c r="A158" t="s">
        <v>6214</v>
      </c>
      <c r="B158" t="s">
        <v>3513</v>
      </c>
      <c r="C158" t="s">
        <v>5721</v>
      </c>
      <c r="D158">
        <v>0</v>
      </c>
      <c r="E158" t="s">
        <v>6215</v>
      </c>
      <c r="F158" t="s">
        <v>6216</v>
      </c>
      <c r="G158">
        <v>0</v>
      </c>
      <c r="H158" t="s">
        <v>6217</v>
      </c>
      <c r="I158" t="s">
        <v>90</v>
      </c>
      <c r="J158" t="s">
        <v>6218</v>
      </c>
    </row>
    <row r="159" spans="1:10" ht="15" customHeight="1" x14ac:dyDescent="0.25">
      <c r="A159" t="s">
        <v>6219</v>
      </c>
      <c r="B159" t="s">
        <v>4296</v>
      </c>
      <c r="C159" t="s">
        <v>3655</v>
      </c>
      <c r="D159">
        <v>1</v>
      </c>
      <c r="E159" t="s">
        <v>6220</v>
      </c>
      <c r="F159" t="s">
        <v>3457</v>
      </c>
      <c r="G159" t="s">
        <v>3457</v>
      </c>
      <c r="H159" t="s">
        <v>6221</v>
      </c>
      <c r="I159" t="s">
        <v>501</v>
      </c>
      <c r="J159" t="s">
        <v>5792</v>
      </c>
    </row>
    <row r="160" spans="1:10" ht="15" customHeight="1" x14ac:dyDescent="0.25">
      <c r="A160" t="s">
        <v>6222</v>
      </c>
      <c r="B160" t="s">
        <v>3513</v>
      </c>
      <c r="C160" t="s">
        <v>5359</v>
      </c>
      <c r="D160" t="s">
        <v>3996</v>
      </c>
      <c r="E160" t="s">
        <v>6223</v>
      </c>
      <c r="F160" t="s">
        <v>6224</v>
      </c>
      <c r="G160" t="s">
        <v>3996</v>
      </c>
      <c r="H160" t="s">
        <v>6222</v>
      </c>
      <c r="I160" t="s">
        <v>90</v>
      </c>
      <c r="J160" t="s">
        <v>5836</v>
      </c>
    </row>
    <row r="161" spans="1:10" ht="15" customHeight="1" x14ac:dyDescent="0.25">
      <c r="A161" t="s">
        <v>5108</v>
      </c>
      <c r="B161" t="s">
        <v>4296</v>
      </c>
      <c r="C161" t="s">
        <v>4244</v>
      </c>
      <c r="D161" t="s">
        <v>3996</v>
      </c>
      <c r="E161" t="s">
        <v>6225</v>
      </c>
      <c r="F161" t="s">
        <v>3457</v>
      </c>
      <c r="G161" t="s">
        <v>3457</v>
      </c>
      <c r="H161" t="s">
        <v>5108</v>
      </c>
      <c r="I161" t="s">
        <v>90</v>
      </c>
      <c r="J161" t="s">
        <v>5869</v>
      </c>
    </row>
    <row r="162" spans="1:10" ht="15" customHeight="1" x14ac:dyDescent="0.25">
      <c r="A162" t="s">
        <v>6226</v>
      </c>
      <c r="B162" t="s">
        <v>3513</v>
      </c>
      <c r="C162" t="s">
        <v>5721</v>
      </c>
      <c r="D162">
        <v>2</v>
      </c>
      <c r="E162" t="s">
        <v>6227</v>
      </c>
      <c r="F162" t="s">
        <v>6228</v>
      </c>
      <c r="G162">
        <v>2</v>
      </c>
      <c r="H162" t="s">
        <v>6229</v>
      </c>
      <c r="I162" t="s">
        <v>90</v>
      </c>
      <c r="J162" t="s">
        <v>5776</v>
      </c>
    </row>
    <row r="163" spans="1:10" ht="15" customHeight="1" x14ac:dyDescent="0.25">
      <c r="A163" t="s">
        <v>6230</v>
      </c>
      <c r="B163" t="s">
        <v>3513</v>
      </c>
      <c r="C163" t="s">
        <v>5804</v>
      </c>
      <c r="D163">
        <v>2</v>
      </c>
      <c r="E163" t="s">
        <v>6231</v>
      </c>
      <c r="F163" t="s">
        <v>6232</v>
      </c>
      <c r="G163">
        <v>2</v>
      </c>
      <c r="H163" t="s">
        <v>6233</v>
      </c>
      <c r="I163" t="s">
        <v>1672</v>
      </c>
    </row>
    <row r="164" spans="1:10" ht="15" customHeight="1" x14ac:dyDescent="0.25">
      <c r="A164" t="s">
        <v>6234</v>
      </c>
      <c r="B164" t="s">
        <v>3513</v>
      </c>
      <c r="C164" t="s">
        <v>4596</v>
      </c>
      <c r="D164">
        <v>1</v>
      </c>
      <c r="E164" t="s">
        <v>6235</v>
      </c>
      <c r="F164" t="s">
        <v>6236</v>
      </c>
      <c r="G164">
        <v>1</v>
      </c>
      <c r="H164" t="s">
        <v>6234</v>
      </c>
      <c r="I164" t="s">
        <v>90</v>
      </c>
      <c r="J164" t="s">
        <v>5926</v>
      </c>
    </row>
    <row r="165" spans="1:10" ht="15" customHeight="1" x14ac:dyDescent="0.25">
      <c r="A165" t="s">
        <v>4815</v>
      </c>
      <c r="B165" t="s">
        <v>3513</v>
      </c>
      <c r="C165" t="s">
        <v>5359</v>
      </c>
      <c r="D165">
        <v>1</v>
      </c>
      <c r="E165" t="s">
        <v>6237</v>
      </c>
      <c r="F165" t="s">
        <v>6237</v>
      </c>
      <c r="G165">
        <v>1</v>
      </c>
      <c r="H165" t="s">
        <v>4818</v>
      </c>
      <c r="I165" t="s">
        <v>1649</v>
      </c>
      <c r="J165" t="s">
        <v>5754</v>
      </c>
    </row>
    <row r="166" spans="1:10" ht="15" customHeight="1" x14ac:dyDescent="0.25">
      <c r="A166" t="s">
        <v>6238</v>
      </c>
      <c r="B166" t="s">
        <v>3513</v>
      </c>
      <c r="C166" t="s">
        <v>5721</v>
      </c>
      <c r="D166">
        <v>2</v>
      </c>
      <c r="E166" t="s">
        <v>6239</v>
      </c>
      <c r="F166" t="s">
        <v>3457</v>
      </c>
      <c r="G166">
        <v>2</v>
      </c>
      <c r="H166" t="s">
        <v>6240</v>
      </c>
      <c r="I166" t="s">
        <v>90</v>
      </c>
      <c r="J166" t="s">
        <v>6058</v>
      </c>
    </row>
    <row r="167" spans="1:10" ht="15" customHeight="1" x14ac:dyDescent="0.25">
      <c r="A167" t="s">
        <v>6241</v>
      </c>
      <c r="B167" t="s">
        <v>3513</v>
      </c>
      <c r="C167" t="s">
        <v>5359</v>
      </c>
      <c r="D167">
        <v>1</v>
      </c>
      <c r="E167" t="s">
        <v>6242</v>
      </c>
      <c r="F167" t="s">
        <v>6243</v>
      </c>
      <c r="G167">
        <v>1</v>
      </c>
      <c r="H167" t="s">
        <v>6244</v>
      </c>
      <c r="I167" t="s">
        <v>90</v>
      </c>
      <c r="J167" t="s">
        <v>5998</v>
      </c>
    </row>
    <row r="168" spans="1:10" ht="15" customHeight="1" x14ac:dyDescent="0.25">
      <c r="A168" t="s">
        <v>6245</v>
      </c>
      <c r="B168" t="s">
        <v>3513</v>
      </c>
      <c r="C168" t="s">
        <v>5359</v>
      </c>
      <c r="D168">
        <v>1</v>
      </c>
      <c r="E168" t="s">
        <v>6246</v>
      </c>
      <c r="F168" t="s">
        <v>6246</v>
      </c>
      <c r="G168">
        <v>0</v>
      </c>
      <c r="H168" t="s">
        <v>6247</v>
      </c>
      <c r="I168" t="s">
        <v>90</v>
      </c>
      <c r="J168" t="s">
        <v>6248</v>
      </c>
    </row>
    <row r="169" spans="1:10" ht="15" customHeight="1" x14ac:dyDescent="0.25">
      <c r="A169" t="s">
        <v>6249</v>
      </c>
      <c r="B169" t="s">
        <v>3501</v>
      </c>
      <c r="C169" t="s">
        <v>5359</v>
      </c>
      <c r="D169">
        <v>0</v>
      </c>
      <c r="E169" t="s">
        <v>6250</v>
      </c>
      <c r="F169" t="s">
        <v>6251</v>
      </c>
      <c r="G169">
        <v>0</v>
      </c>
      <c r="H169" t="s">
        <v>6249</v>
      </c>
      <c r="I169" t="s">
        <v>90</v>
      </c>
      <c r="J169" t="s">
        <v>6252</v>
      </c>
    </row>
    <row r="170" spans="1:10" ht="15" customHeight="1" x14ac:dyDescent="0.25">
      <c r="A170" t="s">
        <v>6253</v>
      </c>
      <c r="B170" t="s">
        <v>3513</v>
      </c>
      <c r="C170" t="s">
        <v>5359</v>
      </c>
      <c r="D170">
        <v>1</v>
      </c>
      <c r="E170" t="s">
        <v>6254</v>
      </c>
      <c r="F170" t="s">
        <v>6255</v>
      </c>
      <c r="G170">
        <v>1</v>
      </c>
      <c r="H170" t="s">
        <v>6253</v>
      </c>
      <c r="I170" t="s">
        <v>90</v>
      </c>
      <c r="J170" t="s">
        <v>5998</v>
      </c>
    </row>
    <row r="171" spans="1:10" ht="15" customHeight="1" x14ac:dyDescent="0.25">
      <c r="A171" t="s">
        <v>6256</v>
      </c>
      <c r="B171" t="s">
        <v>3513</v>
      </c>
      <c r="C171" t="s">
        <v>5359</v>
      </c>
      <c r="D171">
        <v>1</v>
      </c>
      <c r="E171" t="s">
        <v>6257</v>
      </c>
      <c r="F171" t="s">
        <v>6257</v>
      </c>
      <c r="G171">
        <v>0</v>
      </c>
      <c r="H171" t="s">
        <v>6256</v>
      </c>
      <c r="I171" t="s">
        <v>90</v>
      </c>
      <c r="J171" t="s">
        <v>5822</v>
      </c>
    </row>
    <row r="172" spans="1:10" ht="15" customHeight="1" x14ac:dyDescent="0.25">
      <c r="A172" t="s">
        <v>6258</v>
      </c>
      <c r="B172" t="s">
        <v>3513</v>
      </c>
      <c r="C172" t="s">
        <v>5721</v>
      </c>
      <c r="D172">
        <v>2</v>
      </c>
      <c r="E172" t="s">
        <v>6259</v>
      </c>
      <c r="F172" t="s">
        <v>6260</v>
      </c>
      <c r="G172">
        <v>2</v>
      </c>
      <c r="H172" t="s">
        <v>6261</v>
      </c>
      <c r="I172" t="s">
        <v>90</v>
      </c>
      <c r="J172" t="s">
        <v>6003</v>
      </c>
    </row>
    <row r="173" spans="1:10" ht="15" customHeight="1" x14ac:dyDescent="0.25">
      <c r="A173" t="s">
        <v>6262</v>
      </c>
      <c r="B173" t="s">
        <v>4296</v>
      </c>
      <c r="C173" t="s">
        <v>4244</v>
      </c>
      <c r="D173" t="s">
        <v>3996</v>
      </c>
      <c r="E173" t="s">
        <v>6263</v>
      </c>
      <c r="F173" t="s">
        <v>3457</v>
      </c>
      <c r="G173" t="s">
        <v>3457</v>
      </c>
      <c r="H173" t="s">
        <v>6262</v>
      </c>
      <c r="I173" t="s">
        <v>90</v>
      </c>
      <c r="J173" t="s">
        <v>5869</v>
      </c>
    </row>
    <row r="174" spans="1:10" ht="15" customHeight="1" x14ac:dyDescent="0.25">
      <c r="A174" t="s">
        <v>6264</v>
      </c>
      <c r="B174" t="s">
        <v>4296</v>
      </c>
      <c r="C174" t="s">
        <v>5721</v>
      </c>
      <c r="D174">
        <v>0</v>
      </c>
      <c r="E174" t="s">
        <v>6265</v>
      </c>
      <c r="F174" t="s">
        <v>6266</v>
      </c>
      <c r="G174">
        <v>0</v>
      </c>
      <c r="H174" t="s">
        <v>6264</v>
      </c>
      <c r="I174" t="s">
        <v>90</v>
      </c>
    </row>
    <row r="175" spans="1:10" ht="15" customHeight="1" x14ac:dyDescent="0.25">
      <c r="A175" t="s">
        <v>6267</v>
      </c>
      <c r="B175" t="s">
        <v>3513</v>
      </c>
      <c r="C175" t="s">
        <v>5359</v>
      </c>
      <c r="D175">
        <v>2</v>
      </c>
      <c r="E175" t="s">
        <v>6268</v>
      </c>
      <c r="F175" t="s">
        <v>6269</v>
      </c>
      <c r="G175">
        <v>2</v>
      </c>
      <c r="H175" t="s">
        <v>6267</v>
      </c>
      <c r="I175" t="s">
        <v>90</v>
      </c>
      <c r="J175" t="s">
        <v>5936</v>
      </c>
    </row>
    <row r="176" spans="1:10" ht="15" customHeight="1" x14ac:dyDescent="0.25">
      <c r="A176" t="s">
        <v>6270</v>
      </c>
      <c r="B176" t="s">
        <v>41</v>
      </c>
      <c r="C176" t="s">
        <v>5359</v>
      </c>
      <c r="D176">
        <v>1</v>
      </c>
      <c r="E176" t="s">
        <v>6271</v>
      </c>
      <c r="F176" t="s">
        <v>6272</v>
      </c>
      <c r="G176">
        <v>1</v>
      </c>
      <c r="H176" t="s">
        <v>6273</v>
      </c>
      <c r="I176" t="s">
        <v>90</v>
      </c>
      <c r="J176" t="s">
        <v>6274</v>
      </c>
    </row>
    <row r="177" spans="1:10" ht="15" customHeight="1" x14ac:dyDescent="0.25">
      <c r="A177" t="s">
        <v>6275</v>
      </c>
      <c r="B177" t="s">
        <v>3513</v>
      </c>
      <c r="C177" t="s">
        <v>5721</v>
      </c>
      <c r="D177" t="s">
        <v>5945</v>
      </c>
      <c r="E177" t="s">
        <v>6276</v>
      </c>
      <c r="F177" t="s">
        <v>6277</v>
      </c>
      <c r="G177" t="s">
        <v>5945</v>
      </c>
      <c r="H177" t="s">
        <v>6275</v>
      </c>
      <c r="I177" t="s">
        <v>90</v>
      </c>
      <c r="J177" t="s">
        <v>5776</v>
      </c>
    </row>
    <row r="178" spans="1:10" ht="15" customHeight="1" x14ac:dyDescent="0.25">
      <c r="A178" t="s">
        <v>6278</v>
      </c>
      <c r="B178" t="s">
        <v>41</v>
      </c>
      <c r="C178" t="s">
        <v>5721</v>
      </c>
      <c r="D178">
        <v>0</v>
      </c>
      <c r="E178" t="s">
        <v>6279</v>
      </c>
      <c r="F178" t="s">
        <v>6280</v>
      </c>
      <c r="G178">
        <v>0</v>
      </c>
      <c r="H178" t="s">
        <v>6278</v>
      </c>
      <c r="I178" t="s">
        <v>90</v>
      </c>
      <c r="J178" t="s">
        <v>5776</v>
      </c>
    </row>
    <row r="179" spans="1:10" ht="15" customHeight="1" x14ac:dyDescent="0.25">
      <c r="A179" t="s">
        <v>6281</v>
      </c>
      <c r="B179" t="s">
        <v>4296</v>
      </c>
      <c r="C179" t="s">
        <v>3655</v>
      </c>
      <c r="D179">
        <v>1</v>
      </c>
      <c r="E179" t="s">
        <v>6282</v>
      </c>
      <c r="F179" t="s">
        <v>3457</v>
      </c>
      <c r="G179" t="s">
        <v>3457</v>
      </c>
      <c r="H179" t="s">
        <v>6281</v>
      </c>
      <c r="I179" t="s">
        <v>90</v>
      </c>
    </row>
    <row r="180" spans="1:10" ht="15" customHeight="1" x14ac:dyDescent="0.25">
      <c r="A180" t="s">
        <v>6283</v>
      </c>
      <c r="B180" t="s">
        <v>41</v>
      </c>
      <c r="C180" t="s">
        <v>5721</v>
      </c>
      <c r="D180">
        <v>2</v>
      </c>
      <c r="E180" t="s">
        <v>6284</v>
      </c>
      <c r="F180" t="s">
        <v>6285</v>
      </c>
      <c r="G180">
        <v>2</v>
      </c>
      <c r="H180" t="s">
        <v>6286</v>
      </c>
      <c r="I180" t="s">
        <v>90</v>
      </c>
      <c r="J180" t="s">
        <v>6024</v>
      </c>
    </row>
    <row r="181" spans="1:10" ht="15" customHeight="1" x14ac:dyDescent="0.25">
      <c r="A181" t="s">
        <v>6287</v>
      </c>
      <c r="B181" t="s">
        <v>3513</v>
      </c>
      <c r="C181" t="s">
        <v>5440</v>
      </c>
      <c r="D181">
        <v>1</v>
      </c>
      <c r="E181" t="s">
        <v>5870</v>
      </c>
      <c r="F181" t="s">
        <v>5871</v>
      </c>
      <c r="G181">
        <v>1</v>
      </c>
      <c r="H181" t="s">
        <v>6287</v>
      </c>
      <c r="I181" t="s">
        <v>2361</v>
      </c>
      <c r="J181" t="s">
        <v>6005</v>
      </c>
    </row>
    <row r="182" spans="1:10" ht="15" customHeight="1" x14ac:dyDescent="0.25">
      <c r="A182" t="s">
        <v>6288</v>
      </c>
      <c r="B182" t="s">
        <v>3513</v>
      </c>
      <c r="C182" t="s">
        <v>5359</v>
      </c>
      <c r="D182">
        <v>1</v>
      </c>
      <c r="E182" t="s">
        <v>6289</v>
      </c>
      <c r="F182" t="s">
        <v>6290</v>
      </c>
      <c r="G182">
        <v>1</v>
      </c>
      <c r="H182" t="s">
        <v>6291</v>
      </c>
      <c r="I182" t="s">
        <v>90</v>
      </c>
      <c r="J182" t="s">
        <v>5926</v>
      </c>
    </row>
    <row r="183" spans="1:10" ht="15" customHeight="1" x14ac:dyDescent="0.25">
      <c r="A183" t="s">
        <v>6292</v>
      </c>
      <c r="B183" t="s">
        <v>3501</v>
      </c>
      <c r="C183" t="s">
        <v>5359</v>
      </c>
      <c r="D183">
        <v>1</v>
      </c>
      <c r="E183" t="s">
        <v>6293</v>
      </c>
      <c r="F183" t="s">
        <v>6294</v>
      </c>
      <c r="G183">
        <v>1</v>
      </c>
      <c r="H183" t="s">
        <v>6295</v>
      </c>
      <c r="I183" t="s">
        <v>90</v>
      </c>
      <c r="J183" t="s">
        <v>6296</v>
      </c>
    </row>
    <row r="184" spans="1:10" ht="15" customHeight="1" x14ac:dyDescent="0.25">
      <c r="A184" t="s">
        <v>6297</v>
      </c>
      <c r="B184" t="s">
        <v>3545</v>
      </c>
      <c r="C184" t="s">
        <v>5721</v>
      </c>
      <c r="D184">
        <v>1</v>
      </c>
      <c r="E184" t="s">
        <v>6279</v>
      </c>
      <c r="F184" t="s">
        <v>6280</v>
      </c>
      <c r="G184">
        <v>1</v>
      </c>
      <c r="H184" t="s">
        <v>3457</v>
      </c>
      <c r="I184" t="s">
        <v>3457</v>
      </c>
    </row>
    <row r="185" spans="1:10" ht="15" customHeight="1" x14ac:dyDescent="0.25">
      <c r="A185" t="s">
        <v>6298</v>
      </c>
      <c r="B185" t="s">
        <v>41</v>
      </c>
      <c r="C185" t="s">
        <v>5721</v>
      </c>
      <c r="D185">
        <v>1</v>
      </c>
      <c r="E185" t="s">
        <v>6299</v>
      </c>
      <c r="F185" t="s">
        <v>6300</v>
      </c>
      <c r="G185">
        <v>1</v>
      </c>
      <c r="H185" t="s">
        <v>6301</v>
      </c>
      <c r="I185" t="s">
        <v>90</v>
      </c>
      <c r="J185" t="s">
        <v>5752</v>
      </c>
    </row>
    <row r="186" spans="1:10" ht="15" customHeight="1" x14ac:dyDescent="0.25">
      <c r="A186" t="s">
        <v>5695</v>
      </c>
      <c r="B186" t="s">
        <v>3545</v>
      </c>
      <c r="C186" t="s">
        <v>5359</v>
      </c>
      <c r="D186">
        <v>1</v>
      </c>
      <c r="E186" t="s">
        <v>6302</v>
      </c>
      <c r="F186" t="s">
        <v>6303</v>
      </c>
      <c r="G186">
        <v>1</v>
      </c>
      <c r="H186" t="s">
        <v>5695</v>
      </c>
      <c r="I186" t="s">
        <v>90</v>
      </c>
      <c r="J186" t="s">
        <v>6304</v>
      </c>
    </row>
    <row r="187" spans="1:10" ht="15" customHeight="1" x14ac:dyDescent="0.25">
      <c r="A187" t="s">
        <v>6305</v>
      </c>
      <c r="B187" t="s">
        <v>41</v>
      </c>
      <c r="C187" t="s">
        <v>5721</v>
      </c>
      <c r="D187">
        <v>1</v>
      </c>
      <c r="E187" t="s">
        <v>6306</v>
      </c>
      <c r="F187" t="s">
        <v>6307</v>
      </c>
      <c r="G187">
        <v>1</v>
      </c>
      <c r="H187" t="s">
        <v>6308</v>
      </c>
      <c r="I187" t="s">
        <v>90</v>
      </c>
      <c r="J187" t="s">
        <v>6309</v>
      </c>
    </row>
    <row r="188" spans="1:10" ht="15" customHeight="1" x14ac:dyDescent="0.25">
      <c r="A188" t="s">
        <v>6310</v>
      </c>
      <c r="B188" t="s">
        <v>41</v>
      </c>
      <c r="C188" t="s">
        <v>5721</v>
      </c>
      <c r="D188">
        <v>1</v>
      </c>
      <c r="E188" t="s">
        <v>6311</v>
      </c>
      <c r="F188" t="s">
        <v>6312</v>
      </c>
      <c r="G188">
        <v>1</v>
      </c>
      <c r="H188" t="s">
        <v>6313</v>
      </c>
      <c r="I188" t="s">
        <v>90</v>
      </c>
      <c r="J188" t="s">
        <v>5734</v>
      </c>
    </row>
    <row r="189" spans="1:10" ht="15" customHeight="1" x14ac:dyDescent="0.25">
      <c r="A189" t="s">
        <v>6314</v>
      </c>
      <c r="B189" t="s">
        <v>3513</v>
      </c>
      <c r="C189" t="s">
        <v>5359</v>
      </c>
      <c r="D189" t="s">
        <v>3996</v>
      </c>
      <c r="E189" t="s">
        <v>6315</v>
      </c>
      <c r="F189" t="s">
        <v>6316</v>
      </c>
      <c r="G189" t="s">
        <v>3996</v>
      </c>
      <c r="H189" t="s">
        <v>6314</v>
      </c>
      <c r="I189" t="s">
        <v>90</v>
      </c>
      <c r="J189" t="s">
        <v>6317</v>
      </c>
    </row>
    <row r="190" spans="1:10" ht="15" customHeight="1" x14ac:dyDescent="0.25">
      <c r="A190" t="s">
        <v>6318</v>
      </c>
      <c r="B190" t="s">
        <v>3513</v>
      </c>
      <c r="C190" t="s">
        <v>5804</v>
      </c>
      <c r="D190">
        <v>3</v>
      </c>
      <c r="E190" t="s">
        <v>6319</v>
      </c>
      <c r="F190" t="s">
        <v>6320</v>
      </c>
      <c r="G190">
        <v>3</v>
      </c>
      <c r="H190" t="s">
        <v>6321</v>
      </c>
      <c r="I190" t="s">
        <v>1672</v>
      </c>
    </row>
    <row r="191" spans="1:10" ht="15" customHeight="1" x14ac:dyDescent="0.25">
      <c r="A191" t="s">
        <v>6322</v>
      </c>
      <c r="B191" t="s">
        <v>3513</v>
      </c>
      <c r="C191" t="s">
        <v>5359</v>
      </c>
      <c r="D191">
        <v>1</v>
      </c>
      <c r="E191" t="s">
        <v>6323</v>
      </c>
      <c r="F191" t="s">
        <v>6323</v>
      </c>
      <c r="G191">
        <v>0</v>
      </c>
      <c r="H191" t="s">
        <v>6322</v>
      </c>
      <c r="I191" t="s">
        <v>90</v>
      </c>
      <c r="J191" t="s">
        <v>6130</v>
      </c>
    </row>
    <row r="192" spans="1:10" ht="15" customHeight="1" x14ac:dyDescent="0.25">
      <c r="A192" t="s">
        <v>6324</v>
      </c>
      <c r="B192" t="s">
        <v>41</v>
      </c>
      <c r="C192" t="s">
        <v>5721</v>
      </c>
      <c r="D192">
        <v>1</v>
      </c>
      <c r="E192" t="s">
        <v>6325</v>
      </c>
      <c r="F192" t="s">
        <v>6326</v>
      </c>
      <c r="G192">
        <v>1</v>
      </c>
      <c r="H192" t="s">
        <v>6324</v>
      </c>
      <c r="I192" t="s">
        <v>90</v>
      </c>
      <c r="J192" t="s">
        <v>5866</v>
      </c>
    </row>
    <row r="193" spans="1:10" ht="15" customHeight="1" x14ac:dyDescent="0.25">
      <c r="A193" t="s">
        <v>6327</v>
      </c>
      <c r="B193" t="s">
        <v>3501</v>
      </c>
      <c r="C193" t="s">
        <v>4596</v>
      </c>
      <c r="D193">
        <v>1</v>
      </c>
      <c r="E193" t="s">
        <v>6328</v>
      </c>
      <c r="F193" t="s">
        <v>6328</v>
      </c>
      <c r="G193">
        <v>0</v>
      </c>
      <c r="H193" t="s">
        <v>6329</v>
      </c>
      <c r="I193" t="s">
        <v>90</v>
      </c>
      <c r="J193" t="s">
        <v>5707</v>
      </c>
    </row>
    <row r="194" spans="1:10" ht="15" customHeight="1" x14ac:dyDescent="0.25">
      <c r="A194" t="s">
        <v>6330</v>
      </c>
      <c r="B194" t="s">
        <v>41</v>
      </c>
      <c r="C194" t="s">
        <v>5359</v>
      </c>
      <c r="D194">
        <v>1</v>
      </c>
      <c r="E194" t="s">
        <v>6331</v>
      </c>
      <c r="F194" t="s">
        <v>6332</v>
      </c>
      <c r="G194">
        <v>1</v>
      </c>
      <c r="H194" t="s">
        <v>6333</v>
      </c>
      <c r="I194" t="s">
        <v>90</v>
      </c>
      <c r="J194" t="s">
        <v>5998</v>
      </c>
    </row>
    <row r="195" spans="1:10" ht="15" customHeight="1" x14ac:dyDescent="0.25">
      <c r="A195" t="s">
        <v>6334</v>
      </c>
      <c r="B195" t="s">
        <v>41</v>
      </c>
      <c r="C195" t="s">
        <v>5721</v>
      </c>
      <c r="D195">
        <v>1</v>
      </c>
      <c r="E195" t="s">
        <v>6335</v>
      </c>
      <c r="F195" t="s">
        <v>6336</v>
      </c>
      <c r="G195">
        <v>1</v>
      </c>
      <c r="H195" t="s">
        <v>6337</v>
      </c>
      <c r="I195" t="s">
        <v>90</v>
      </c>
      <c r="J195" t="s">
        <v>5734</v>
      </c>
    </row>
    <row r="196" spans="1:10" ht="15" customHeight="1" x14ac:dyDescent="0.25">
      <c r="A196" t="s">
        <v>6338</v>
      </c>
      <c r="B196" t="s">
        <v>3501</v>
      </c>
      <c r="C196" t="s">
        <v>5721</v>
      </c>
      <c r="D196">
        <v>1</v>
      </c>
      <c r="E196" t="s">
        <v>6339</v>
      </c>
      <c r="F196" t="s">
        <v>6340</v>
      </c>
      <c r="G196">
        <v>1</v>
      </c>
      <c r="H196" t="s">
        <v>6338</v>
      </c>
      <c r="I196" t="s">
        <v>90</v>
      </c>
      <c r="J196" t="s">
        <v>5981</v>
      </c>
    </row>
    <row r="197" spans="1:10" ht="15" customHeight="1" x14ac:dyDescent="0.25">
      <c r="A197" t="s">
        <v>6341</v>
      </c>
      <c r="B197" t="s">
        <v>3513</v>
      </c>
      <c r="C197" t="s">
        <v>5721</v>
      </c>
      <c r="D197">
        <v>2</v>
      </c>
      <c r="E197" t="s">
        <v>6342</v>
      </c>
      <c r="F197" t="s">
        <v>6343</v>
      </c>
      <c r="G197">
        <v>2</v>
      </c>
      <c r="H197" t="s">
        <v>6341</v>
      </c>
      <c r="I197" t="s">
        <v>90</v>
      </c>
      <c r="J197" t="s">
        <v>5866</v>
      </c>
    </row>
    <row r="198" spans="1:10" ht="15" customHeight="1" x14ac:dyDescent="0.25">
      <c r="A198" t="s">
        <v>6344</v>
      </c>
      <c r="B198" t="s">
        <v>3501</v>
      </c>
      <c r="C198" t="s">
        <v>5440</v>
      </c>
      <c r="D198">
        <v>1</v>
      </c>
      <c r="E198" t="s">
        <v>5870</v>
      </c>
      <c r="F198" t="s">
        <v>5871</v>
      </c>
      <c r="G198">
        <v>1</v>
      </c>
      <c r="H198" t="s">
        <v>6344</v>
      </c>
      <c r="I198" t="s">
        <v>2361</v>
      </c>
      <c r="J198" t="s">
        <v>6005</v>
      </c>
    </row>
    <row r="199" spans="1:10" ht="15" customHeight="1" x14ac:dyDescent="0.25">
      <c r="A199" t="s">
        <v>6345</v>
      </c>
      <c r="B199" t="s">
        <v>41</v>
      </c>
      <c r="C199" t="s">
        <v>5359</v>
      </c>
      <c r="D199">
        <v>0</v>
      </c>
      <c r="E199" t="s">
        <v>6346</v>
      </c>
      <c r="F199" t="s">
        <v>6347</v>
      </c>
      <c r="G199">
        <v>0</v>
      </c>
      <c r="H199" t="s">
        <v>6345</v>
      </c>
      <c r="I199" t="s">
        <v>90</v>
      </c>
      <c r="J199" t="s">
        <v>5762</v>
      </c>
    </row>
    <row r="200" spans="1:10" ht="15" customHeight="1" x14ac:dyDescent="0.25">
      <c r="A200" t="s">
        <v>6348</v>
      </c>
      <c r="B200" t="s">
        <v>3513</v>
      </c>
      <c r="C200" t="s">
        <v>5440</v>
      </c>
      <c r="D200">
        <v>1</v>
      </c>
      <c r="E200" t="s">
        <v>5870</v>
      </c>
      <c r="F200" t="s">
        <v>5871</v>
      </c>
      <c r="G200">
        <v>1</v>
      </c>
      <c r="H200" t="s">
        <v>6348</v>
      </c>
      <c r="I200" t="s">
        <v>2361</v>
      </c>
      <c r="J200" t="s">
        <v>5918</v>
      </c>
    </row>
    <row r="201" spans="1:10" ht="15" customHeight="1" x14ac:dyDescent="0.25">
      <c r="A201" t="s">
        <v>5290</v>
      </c>
      <c r="B201" t="s">
        <v>3513</v>
      </c>
      <c r="C201" t="s">
        <v>4596</v>
      </c>
      <c r="D201">
        <v>1</v>
      </c>
      <c r="E201" t="s">
        <v>6349</v>
      </c>
      <c r="F201" t="s">
        <v>6350</v>
      </c>
      <c r="G201">
        <v>1</v>
      </c>
      <c r="H201" t="s">
        <v>5292</v>
      </c>
      <c r="I201" t="s">
        <v>90</v>
      </c>
      <c r="J201" t="s">
        <v>5991</v>
      </c>
    </row>
    <row r="202" spans="1:10" ht="15" customHeight="1" x14ac:dyDescent="0.25">
      <c r="A202" t="s">
        <v>6351</v>
      </c>
      <c r="B202" t="s">
        <v>3513</v>
      </c>
      <c r="C202" t="s">
        <v>5721</v>
      </c>
      <c r="D202" t="s">
        <v>5945</v>
      </c>
      <c r="E202" t="s">
        <v>6352</v>
      </c>
      <c r="F202" t="s">
        <v>6353</v>
      </c>
      <c r="G202" t="s">
        <v>5945</v>
      </c>
      <c r="H202" t="s">
        <v>6351</v>
      </c>
      <c r="I202" t="s">
        <v>90</v>
      </c>
      <c r="J202" t="s">
        <v>5734</v>
      </c>
    </row>
    <row r="203" spans="1:10" ht="15" customHeight="1" x14ac:dyDescent="0.25">
      <c r="A203" t="s">
        <v>6354</v>
      </c>
      <c r="B203" t="s">
        <v>3513</v>
      </c>
      <c r="C203" t="s">
        <v>5359</v>
      </c>
      <c r="D203">
        <v>1</v>
      </c>
      <c r="E203" t="s">
        <v>6355</v>
      </c>
      <c r="F203" t="s">
        <v>6355</v>
      </c>
      <c r="G203">
        <v>0</v>
      </c>
      <c r="H203" t="s">
        <v>6356</v>
      </c>
      <c r="I203" t="s">
        <v>90</v>
      </c>
      <c r="J203" t="s">
        <v>6357</v>
      </c>
    </row>
    <row r="204" spans="1:10" ht="15" customHeight="1" x14ac:dyDescent="0.25">
      <c r="A204" t="s">
        <v>6358</v>
      </c>
      <c r="B204" t="s">
        <v>41</v>
      </c>
      <c r="C204" t="s">
        <v>5721</v>
      </c>
      <c r="D204">
        <v>1</v>
      </c>
      <c r="E204" t="s">
        <v>6359</v>
      </c>
      <c r="F204" t="s">
        <v>6360</v>
      </c>
      <c r="G204">
        <v>1</v>
      </c>
      <c r="H204" t="s">
        <v>6361</v>
      </c>
      <c r="I204" t="s">
        <v>90</v>
      </c>
      <c r="J204" t="s">
        <v>5984</v>
      </c>
    </row>
    <row r="205" spans="1:10" ht="15" customHeight="1" x14ac:dyDescent="0.25">
      <c r="A205" t="s">
        <v>6362</v>
      </c>
      <c r="B205" t="s">
        <v>4296</v>
      </c>
      <c r="C205" t="s">
        <v>3655</v>
      </c>
      <c r="D205" t="s">
        <v>3996</v>
      </c>
      <c r="E205" t="s">
        <v>6087</v>
      </c>
      <c r="F205" t="s">
        <v>3457</v>
      </c>
      <c r="G205" t="s">
        <v>3996</v>
      </c>
      <c r="H205" t="s">
        <v>6362</v>
      </c>
      <c r="I205" t="s">
        <v>90</v>
      </c>
    </row>
    <row r="206" spans="1:10" ht="15" customHeight="1" x14ac:dyDescent="0.25">
      <c r="A206" t="s">
        <v>6363</v>
      </c>
      <c r="B206" t="s">
        <v>3501</v>
      </c>
      <c r="C206" t="s">
        <v>4596</v>
      </c>
      <c r="D206">
        <v>3</v>
      </c>
      <c r="E206" t="s">
        <v>6364</v>
      </c>
      <c r="F206" t="s">
        <v>6365</v>
      </c>
      <c r="G206">
        <v>3</v>
      </c>
      <c r="H206" t="s">
        <v>6366</v>
      </c>
      <c r="I206" t="s">
        <v>90</v>
      </c>
      <c r="J206" t="s">
        <v>5716</v>
      </c>
    </row>
    <row r="207" spans="1:10" ht="15" customHeight="1" x14ac:dyDescent="0.25">
      <c r="A207" t="s">
        <v>6367</v>
      </c>
      <c r="B207" t="s">
        <v>4296</v>
      </c>
      <c r="C207" t="s">
        <v>4244</v>
      </c>
      <c r="D207" t="s">
        <v>3996</v>
      </c>
      <c r="E207" t="s">
        <v>6368</v>
      </c>
      <c r="F207" t="s">
        <v>3457</v>
      </c>
      <c r="G207" t="s">
        <v>3457</v>
      </c>
      <c r="H207" t="s">
        <v>6367</v>
      </c>
      <c r="I207" t="s">
        <v>90</v>
      </c>
      <c r="J207" t="s">
        <v>5869</v>
      </c>
    </row>
    <row r="208" spans="1:10" ht="15" customHeight="1" x14ac:dyDescent="0.25">
      <c r="A208" t="s">
        <v>6369</v>
      </c>
      <c r="B208" t="s">
        <v>4296</v>
      </c>
      <c r="C208" t="s">
        <v>3655</v>
      </c>
      <c r="D208">
        <v>1</v>
      </c>
      <c r="E208" t="s">
        <v>6370</v>
      </c>
      <c r="F208" t="s">
        <v>3457</v>
      </c>
      <c r="G208" t="s">
        <v>3457</v>
      </c>
      <c r="H208" t="s">
        <v>6371</v>
      </c>
      <c r="I208" t="s">
        <v>501</v>
      </c>
      <c r="J208" t="s">
        <v>5792</v>
      </c>
    </row>
    <row r="209" spans="1:10" ht="15" customHeight="1" x14ac:dyDescent="0.25">
      <c r="A209" t="s">
        <v>4701</v>
      </c>
      <c r="B209" t="s">
        <v>41</v>
      </c>
      <c r="C209" t="s">
        <v>5721</v>
      </c>
      <c r="D209">
        <v>1</v>
      </c>
      <c r="E209" t="s">
        <v>6114</v>
      </c>
      <c r="F209" t="s">
        <v>6114</v>
      </c>
      <c r="G209">
        <v>1</v>
      </c>
      <c r="H209" t="s">
        <v>4704</v>
      </c>
      <c r="I209" t="s">
        <v>1046</v>
      </c>
      <c r="J209" t="s">
        <v>5754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5697</v>
      </c>
      <c r="E1" t="s">
        <v>3452</v>
      </c>
      <c r="F1" t="s">
        <v>6372</v>
      </c>
      <c r="G1" t="s">
        <v>6373</v>
      </c>
      <c r="H1" t="s">
        <v>6374</v>
      </c>
      <c r="I1" t="s">
        <v>6375</v>
      </c>
      <c r="J1" t="s">
        <v>5721</v>
      </c>
      <c r="K1" t="s">
        <v>4259</v>
      </c>
      <c r="L1" t="s">
        <v>1</v>
      </c>
      <c r="M1" t="s">
        <v>6376</v>
      </c>
      <c r="N1" t="s">
        <v>6377</v>
      </c>
      <c r="O1" t="s">
        <v>170</v>
      </c>
    </row>
    <row r="2" spans="1:15" ht="15" customHeight="1" x14ac:dyDescent="0.25">
      <c r="A2" t="s">
        <v>5700</v>
      </c>
      <c r="B2" t="s">
        <v>3513</v>
      </c>
      <c r="C2" t="s">
        <v>4596</v>
      </c>
      <c r="D2">
        <v>1</v>
      </c>
      <c r="E2" t="s">
        <v>5701</v>
      </c>
      <c r="F2" t="s">
        <v>6378</v>
      </c>
      <c r="G2" t="s">
        <v>5702</v>
      </c>
      <c r="H2" t="s">
        <v>6379</v>
      </c>
      <c r="I2">
        <v>1</v>
      </c>
      <c r="J2" t="s">
        <v>3457</v>
      </c>
      <c r="K2" t="s">
        <v>5700</v>
      </c>
      <c r="L2" t="s">
        <v>90</v>
      </c>
      <c r="M2" t="s">
        <v>3457</v>
      </c>
      <c r="N2" t="s">
        <v>3457</v>
      </c>
      <c r="O2" t="s">
        <v>5703</v>
      </c>
    </row>
    <row r="3" spans="1:15" ht="15" customHeight="1" x14ac:dyDescent="0.25">
      <c r="A3" t="s">
        <v>5704</v>
      </c>
      <c r="B3" t="s">
        <v>41</v>
      </c>
      <c r="C3" t="s">
        <v>5359</v>
      </c>
      <c r="D3">
        <v>1</v>
      </c>
      <c r="E3" t="s">
        <v>5705</v>
      </c>
      <c r="F3" t="s">
        <v>6380</v>
      </c>
      <c r="G3" t="s">
        <v>5706</v>
      </c>
      <c r="H3" t="s">
        <v>6381</v>
      </c>
      <c r="I3">
        <v>1</v>
      </c>
      <c r="J3" t="s">
        <v>3457</v>
      </c>
      <c r="K3" t="s">
        <v>5704</v>
      </c>
      <c r="L3" t="s">
        <v>90</v>
      </c>
      <c r="M3" t="s">
        <v>3457</v>
      </c>
      <c r="N3" t="s">
        <v>3457</v>
      </c>
      <c r="O3" t="s">
        <v>5707</v>
      </c>
    </row>
    <row r="4" spans="1:15" ht="15" customHeight="1" x14ac:dyDescent="0.25">
      <c r="A4" t="s">
        <v>5708</v>
      </c>
      <c r="B4" t="s">
        <v>3501</v>
      </c>
      <c r="C4" t="s">
        <v>5359</v>
      </c>
      <c r="D4">
        <v>0</v>
      </c>
      <c r="E4" t="s">
        <v>5709</v>
      </c>
      <c r="F4" t="s">
        <v>6382</v>
      </c>
      <c r="G4" t="s">
        <v>5710</v>
      </c>
      <c r="H4" t="s">
        <v>6383</v>
      </c>
      <c r="I4">
        <v>0</v>
      </c>
      <c r="J4" t="s">
        <v>3457</v>
      </c>
      <c r="K4" t="s">
        <v>5708</v>
      </c>
      <c r="L4" t="s">
        <v>90</v>
      </c>
      <c r="M4" t="s">
        <v>5495</v>
      </c>
      <c r="N4" t="s">
        <v>3457</v>
      </c>
      <c r="O4" t="s">
        <v>5711</v>
      </c>
    </row>
    <row r="5" spans="1:15" ht="15" customHeight="1" x14ac:dyDescent="0.25">
      <c r="A5" t="s">
        <v>5712</v>
      </c>
      <c r="B5" t="s">
        <v>3501</v>
      </c>
      <c r="C5" t="s">
        <v>4596</v>
      </c>
      <c r="D5">
        <v>1</v>
      </c>
      <c r="E5" t="s">
        <v>5713</v>
      </c>
      <c r="F5" t="s">
        <v>6384</v>
      </c>
      <c r="G5" t="s">
        <v>5714</v>
      </c>
      <c r="H5" t="s">
        <v>6384</v>
      </c>
      <c r="I5">
        <v>1</v>
      </c>
      <c r="J5" t="s">
        <v>3457</v>
      </c>
      <c r="K5" t="s">
        <v>5715</v>
      </c>
      <c r="L5" t="s">
        <v>90</v>
      </c>
      <c r="M5" t="s">
        <v>5434</v>
      </c>
      <c r="N5" t="s">
        <v>3457</v>
      </c>
      <c r="O5" t="s">
        <v>5716</v>
      </c>
    </row>
    <row r="6" spans="1:15" ht="15" customHeight="1" x14ac:dyDescent="0.25">
      <c r="A6" t="s">
        <v>5717</v>
      </c>
      <c r="B6" t="s">
        <v>3501</v>
      </c>
      <c r="C6" t="s">
        <v>5359</v>
      </c>
      <c r="D6">
        <v>1</v>
      </c>
      <c r="E6" t="s">
        <v>5718</v>
      </c>
      <c r="F6" t="s">
        <v>6385</v>
      </c>
      <c r="G6" t="s">
        <v>5718</v>
      </c>
      <c r="H6" t="s">
        <v>6385</v>
      </c>
      <c r="I6">
        <v>0</v>
      </c>
      <c r="J6" t="s">
        <v>3457</v>
      </c>
      <c r="K6" t="s">
        <v>5717</v>
      </c>
      <c r="L6" t="s">
        <v>90</v>
      </c>
      <c r="M6" t="s">
        <v>5495</v>
      </c>
      <c r="N6" t="s">
        <v>3457</v>
      </c>
      <c r="O6" t="s">
        <v>6386</v>
      </c>
    </row>
    <row r="7" spans="1:15" ht="15" customHeight="1" x14ac:dyDescent="0.25">
      <c r="A7" t="s">
        <v>5720</v>
      </c>
      <c r="B7" t="s">
        <v>3501</v>
      </c>
      <c r="C7" t="s">
        <v>5721</v>
      </c>
      <c r="D7">
        <v>2</v>
      </c>
      <c r="E7" t="s">
        <v>6387</v>
      </c>
      <c r="F7" t="s">
        <v>6388</v>
      </c>
      <c r="G7" t="s">
        <v>6389</v>
      </c>
      <c r="H7" t="s">
        <v>6390</v>
      </c>
      <c r="I7">
        <v>2</v>
      </c>
      <c r="J7" t="s">
        <v>6391</v>
      </c>
      <c r="K7" t="s">
        <v>5724</v>
      </c>
      <c r="L7" t="s">
        <v>90</v>
      </c>
      <c r="M7" t="s">
        <v>3457</v>
      </c>
      <c r="N7" t="s">
        <v>3457</v>
      </c>
      <c r="O7" t="s">
        <v>5725</v>
      </c>
    </row>
    <row r="8" spans="1:15" ht="15" customHeight="1" x14ac:dyDescent="0.25">
      <c r="A8" t="s">
        <v>5726</v>
      </c>
      <c r="B8" t="s">
        <v>3513</v>
      </c>
      <c r="C8" t="s">
        <v>5721</v>
      </c>
      <c r="D8">
        <v>1</v>
      </c>
      <c r="E8" t="s">
        <v>6392</v>
      </c>
      <c r="F8" t="s">
        <v>6393</v>
      </c>
      <c r="G8" t="s">
        <v>6394</v>
      </c>
      <c r="H8" t="s">
        <v>6395</v>
      </c>
      <c r="I8">
        <v>1</v>
      </c>
      <c r="J8" t="s">
        <v>6396</v>
      </c>
      <c r="K8" t="s">
        <v>5729</v>
      </c>
      <c r="L8" t="s">
        <v>90</v>
      </c>
      <c r="M8" t="s">
        <v>3457</v>
      </c>
      <c r="N8" t="s">
        <v>3457</v>
      </c>
      <c r="O8" t="s">
        <v>5730</v>
      </c>
    </row>
    <row r="9" spans="1:15" ht="15" customHeight="1" x14ac:dyDescent="0.25">
      <c r="A9" t="s">
        <v>5731</v>
      </c>
      <c r="B9" t="s">
        <v>41</v>
      </c>
      <c r="C9" t="s">
        <v>5721</v>
      </c>
      <c r="D9">
        <v>0</v>
      </c>
      <c r="E9" t="s">
        <v>5732</v>
      </c>
      <c r="F9" t="s">
        <v>6397</v>
      </c>
      <c r="G9" t="s">
        <v>5733</v>
      </c>
      <c r="H9" t="s">
        <v>6398</v>
      </c>
      <c r="I9">
        <v>0</v>
      </c>
      <c r="J9" t="s">
        <v>6399</v>
      </c>
      <c r="K9" t="s">
        <v>5731</v>
      </c>
      <c r="L9" t="s">
        <v>90</v>
      </c>
      <c r="M9" t="s">
        <v>3457</v>
      </c>
      <c r="N9" t="s">
        <v>3457</v>
      </c>
      <c r="O9" t="s">
        <v>5734</v>
      </c>
    </row>
    <row r="10" spans="1:15" ht="15" customHeight="1" x14ac:dyDescent="0.25">
      <c r="A10" t="s">
        <v>5735</v>
      </c>
      <c r="B10" t="s">
        <v>41</v>
      </c>
      <c r="C10" t="s">
        <v>5359</v>
      </c>
      <c r="D10">
        <v>1</v>
      </c>
      <c r="E10" t="s">
        <v>5736</v>
      </c>
      <c r="F10" t="s">
        <v>6400</v>
      </c>
      <c r="G10" t="s">
        <v>5737</v>
      </c>
      <c r="H10" t="s">
        <v>6401</v>
      </c>
      <c r="I10">
        <v>1</v>
      </c>
      <c r="J10" t="s">
        <v>3457</v>
      </c>
      <c r="K10" t="s">
        <v>5735</v>
      </c>
      <c r="L10" t="s">
        <v>90</v>
      </c>
      <c r="M10" t="s">
        <v>3457</v>
      </c>
      <c r="N10" t="s">
        <v>3457</v>
      </c>
      <c r="O10" t="s">
        <v>5738</v>
      </c>
    </row>
    <row r="11" spans="1:15" ht="15" customHeight="1" x14ac:dyDescent="0.25">
      <c r="A11" t="s">
        <v>5739</v>
      </c>
      <c r="B11" t="s">
        <v>41</v>
      </c>
      <c r="C11" t="s">
        <v>5359</v>
      </c>
      <c r="D11">
        <v>1</v>
      </c>
      <c r="E11" t="s">
        <v>5740</v>
      </c>
      <c r="F11" t="s">
        <v>6402</v>
      </c>
      <c r="G11" t="s">
        <v>5741</v>
      </c>
      <c r="H11" t="s">
        <v>6403</v>
      </c>
      <c r="I11">
        <v>1</v>
      </c>
      <c r="J11" t="s">
        <v>3457</v>
      </c>
      <c r="K11" t="s">
        <v>5739</v>
      </c>
      <c r="L11" t="s">
        <v>90</v>
      </c>
      <c r="M11" t="s">
        <v>3457</v>
      </c>
      <c r="N11" t="s">
        <v>3457</v>
      </c>
      <c r="O11" t="s">
        <v>5742</v>
      </c>
    </row>
    <row r="12" spans="1:15" ht="15" customHeight="1" x14ac:dyDescent="0.25">
      <c r="A12" t="s">
        <v>5743</v>
      </c>
      <c r="B12" t="s">
        <v>3513</v>
      </c>
      <c r="C12" t="s">
        <v>5721</v>
      </c>
      <c r="D12">
        <v>0</v>
      </c>
      <c r="E12" t="s">
        <v>5744</v>
      </c>
      <c r="F12" t="s">
        <v>6404</v>
      </c>
      <c r="G12" t="s">
        <v>5745</v>
      </c>
      <c r="H12" t="s">
        <v>6405</v>
      </c>
      <c r="I12">
        <v>0</v>
      </c>
      <c r="J12" t="s">
        <v>6391</v>
      </c>
      <c r="K12" t="s">
        <v>5743</v>
      </c>
      <c r="L12" t="s">
        <v>90</v>
      </c>
      <c r="M12" t="s">
        <v>6406</v>
      </c>
      <c r="N12" t="s">
        <v>3457</v>
      </c>
      <c r="O12" t="s">
        <v>5746</v>
      </c>
    </row>
    <row r="13" spans="1:15" ht="15" customHeight="1" x14ac:dyDescent="0.25">
      <c r="A13" t="s">
        <v>4426</v>
      </c>
      <c r="B13" t="s">
        <v>3513</v>
      </c>
      <c r="C13" t="s">
        <v>5359</v>
      </c>
      <c r="D13">
        <v>1</v>
      </c>
      <c r="E13" t="s">
        <v>5747</v>
      </c>
      <c r="F13" t="s">
        <v>6407</v>
      </c>
      <c r="G13" t="s">
        <v>5747</v>
      </c>
      <c r="H13" t="s">
        <v>6407</v>
      </c>
      <c r="I13">
        <v>1</v>
      </c>
      <c r="J13" t="s">
        <v>6408</v>
      </c>
      <c r="K13" t="s">
        <v>4431</v>
      </c>
      <c r="L13" t="s">
        <v>1649</v>
      </c>
      <c r="M13" t="s">
        <v>3457</v>
      </c>
      <c r="N13" t="s">
        <v>3457</v>
      </c>
      <c r="O13" t="s">
        <v>6409</v>
      </c>
    </row>
    <row r="14" spans="1:15" ht="15" customHeight="1" x14ac:dyDescent="0.25">
      <c r="A14" t="s">
        <v>5749</v>
      </c>
      <c r="B14" t="s">
        <v>41</v>
      </c>
      <c r="C14" t="s">
        <v>5721</v>
      </c>
      <c r="D14">
        <v>1</v>
      </c>
      <c r="E14" t="s">
        <v>6410</v>
      </c>
      <c r="F14" t="s">
        <v>6411</v>
      </c>
      <c r="G14" t="s">
        <v>6412</v>
      </c>
      <c r="H14" t="s">
        <v>6413</v>
      </c>
      <c r="I14">
        <v>1</v>
      </c>
      <c r="J14" t="s">
        <v>6408</v>
      </c>
      <c r="K14" t="s">
        <v>5749</v>
      </c>
      <c r="L14" t="s">
        <v>90</v>
      </c>
      <c r="M14" t="s">
        <v>3457</v>
      </c>
      <c r="N14" t="s">
        <v>3457</v>
      </c>
      <c r="O14" t="s">
        <v>6414</v>
      </c>
    </row>
    <row r="15" spans="1:15" ht="15" customHeight="1" x14ac:dyDescent="0.25">
      <c r="A15" t="s">
        <v>4437</v>
      </c>
      <c r="B15" t="s">
        <v>3513</v>
      </c>
      <c r="C15" t="s">
        <v>5721</v>
      </c>
      <c r="D15">
        <v>1</v>
      </c>
      <c r="E15" t="s">
        <v>5753</v>
      </c>
      <c r="F15" t="s">
        <v>6415</v>
      </c>
      <c r="G15" t="s">
        <v>5753</v>
      </c>
      <c r="H15" t="s">
        <v>6415</v>
      </c>
      <c r="I15">
        <v>1</v>
      </c>
      <c r="J15" t="s">
        <v>6416</v>
      </c>
      <c r="K15" t="s">
        <v>4437</v>
      </c>
      <c r="L15" t="s">
        <v>1046</v>
      </c>
      <c r="M15" t="s">
        <v>5426</v>
      </c>
      <c r="N15" t="s">
        <v>3457</v>
      </c>
      <c r="O15" t="s">
        <v>5754</v>
      </c>
    </row>
    <row r="16" spans="1:15" ht="15" customHeight="1" x14ac:dyDescent="0.25">
      <c r="A16" t="s">
        <v>3520</v>
      </c>
      <c r="B16" t="s">
        <v>3501</v>
      </c>
      <c r="C16" t="s">
        <v>4596</v>
      </c>
      <c r="D16">
        <v>3</v>
      </c>
      <c r="E16" s="8" t="s">
        <v>6417</v>
      </c>
      <c r="F16" t="s">
        <v>6418</v>
      </c>
      <c r="G16" s="8" t="s">
        <v>6417</v>
      </c>
      <c r="H16" t="s">
        <v>6418</v>
      </c>
      <c r="I16">
        <v>2</v>
      </c>
      <c r="J16" t="s">
        <v>3457</v>
      </c>
      <c r="K16" t="s">
        <v>3520</v>
      </c>
      <c r="L16" t="s">
        <v>90</v>
      </c>
      <c r="M16" t="s">
        <v>3457</v>
      </c>
      <c r="N16" t="s">
        <v>3457</v>
      </c>
      <c r="O16" t="s">
        <v>6419</v>
      </c>
    </row>
    <row r="17" spans="1:15" ht="15" customHeight="1" x14ac:dyDescent="0.25">
      <c r="A17" t="s">
        <v>3442</v>
      </c>
      <c r="B17" t="s">
        <v>3545</v>
      </c>
      <c r="C17" t="s">
        <v>5721</v>
      </c>
      <c r="D17">
        <v>2</v>
      </c>
      <c r="E17" t="s">
        <v>5756</v>
      </c>
      <c r="F17" t="s">
        <v>6420</v>
      </c>
      <c r="G17" t="s">
        <v>5757</v>
      </c>
      <c r="H17" t="s">
        <v>6421</v>
      </c>
      <c r="I17">
        <v>2</v>
      </c>
      <c r="J17" t="s">
        <v>6422</v>
      </c>
      <c r="K17" t="s">
        <v>3442</v>
      </c>
      <c r="L17" t="s">
        <v>90</v>
      </c>
      <c r="M17" t="s">
        <v>3457</v>
      </c>
      <c r="N17" t="s">
        <v>3457</v>
      </c>
      <c r="O17" t="s">
        <v>5734</v>
      </c>
    </row>
    <row r="18" spans="1:15" ht="15" customHeight="1" x14ac:dyDescent="0.25">
      <c r="A18" t="s">
        <v>5758</v>
      </c>
      <c r="B18" t="s">
        <v>3513</v>
      </c>
      <c r="C18" t="s">
        <v>5359</v>
      </c>
      <c r="D18">
        <v>0</v>
      </c>
      <c r="E18" s="8" t="s">
        <v>6423</v>
      </c>
      <c r="F18" t="s">
        <v>6424</v>
      </c>
      <c r="G18" s="8" t="s">
        <v>6425</v>
      </c>
      <c r="H18" t="s">
        <v>6426</v>
      </c>
      <c r="I18" t="s">
        <v>3457</v>
      </c>
      <c r="J18" t="s">
        <v>3457</v>
      </c>
      <c r="K18" t="s">
        <v>5761</v>
      </c>
      <c r="L18" t="s">
        <v>90</v>
      </c>
      <c r="M18" t="s">
        <v>3457</v>
      </c>
      <c r="N18" t="s">
        <v>3457</v>
      </c>
      <c r="O18" t="s">
        <v>5762</v>
      </c>
    </row>
    <row r="19" spans="1:15" ht="15" customHeight="1" x14ac:dyDescent="0.25">
      <c r="A19" t="s">
        <v>5763</v>
      </c>
      <c r="B19" t="s">
        <v>41</v>
      </c>
      <c r="C19" t="s">
        <v>5721</v>
      </c>
      <c r="D19">
        <v>0</v>
      </c>
      <c r="E19" t="s">
        <v>5764</v>
      </c>
      <c r="F19" t="s">
        <v>6427</v>
      </c>
      <c r="G19" t="s">
        <v>5765</v>
      </c>
      <c r="H19" t="s">
        <v>6428</v>
      </c>
      <c r="I19">
        <v>0</v>
      </c>
      <c r="J19" t="s">
        <v>6429</v>
      </c>
      <c r="K19" t="s">
        <v>5766</v>
      </c>
      <c r="L19" t="s">
        <v>90</v>
      </c>
      <c r="M19" t="s">
        <v>3457</v>
      </c>
      <c r="N19" t="s">
        <v>3457</v>
      </c>
      <c r="O19" t="s">
        <v>5767</v>
      </c>
    </row>
    <row r="20" spans="1:15" ht="15" customHeight="1" x14ac:dyDescent="0.25">
      <c r="A20" t="s">
        <v>5772</v>
      </c>
      <c r="B20" t="s">
        <v>41</v>
      </c>
      <c r="C20" t="s">
        <v>5359</v>
      </c>
      <c r="D20">
        <v>1</v>
      </c>
      <c r="E20" t="s">
        <v>5773</v>
      </c>
      <c r="F20" t="s">
        <v>6430</v>
      </c>
      <c r="G20" t="s">
        <v>5774</v>
      </c>
      <c r="H20" t="s">
        <v>6431</v>
      </c>
      <c r="I20">
        <v>1</v>
      </c>
      <c r="J20" t="s">
        <v>3457</v>
      </c>
      <c r="K20" t="s">
        <v>5775</v>
      </c>
      <c r="L20" t="s">
        <v>90</v>
      </c>
      <c r="M20" t="s">
        <v>3457</v>
      </c>
      <c r="N20" t="s">
        <v>3457</v>
      </c>
      <c r="O20" t="s">
        <v>5776</v>
      </c>
    </row>
    <row r="21" spans="1:15" ht="15" customHeight="1" x14ac:dyDescent="0.25">
      <c r="A21" t="s">
        <v>4464</v>
      </c>
      <c r="B21" t="s">
        <v>41</v>
      </c>
      <c r="C21" t="s">
        <v>5721</v>
      </c>
      <c r="D21">
        <v>1</v>
      </c>
      <c r="E21" t="s">
        <v>5777</v>
      </c>
      <c r="F21" t="s">
        <v>6432</v>
      </c>
      <c r="G21" t="s">
        <v>5777</v>
      </c>
      <c r="H21" t="s">
        <v>6432</v>
      </c>
      <c r="I21">
        <v>1</v>
      </c>
      <c r="J21" t="s">
        <v>6416</v>
      </c>
      <c r="K21" t="s">
        <v>4467</v>
      </c>
      <c r="L21" t="s">
        <v>1104</v>
      </c>
      <c r="M21" t="s">
        <v>5467</v>
      </c>
      <c r="N21" t="s">
        <v>3457</v>
      </c>
      <c r="O21" t="s">
        <v>5754</v>
      </c>
    </row>
    <row r="22" spans="1:15" ht="15" customHeight="1" x14ac:dyDescent="0.25">
      <c r="A22" t="s">
        <v>5778</v>
      </c>
      <c r="B22" t="s">
        <v>3513</v>
      </c>
      <c r="C22" t="s">
        <v>5721</v>
      </c>
      <c r="D22">
        <v>4</v>
      </c>
      <c r="E22" s="8" t="s">
        <v>5779</v>
      </c>
      <c r="F22" t="s">
        <v>6433</v>
      </c>
      <c r="G22" s="8" t="s">
        <v>5780</v>
      </c>
      <c r="H22" t="s">
        <v>6434</v>
      </c>
      <c r="I22">
        <v>3</v>
      </c>
      <c r="J22" t="s">
        <v>6399</v>
      </c>
      <c r="K22" t="s">
        <v>5781</v>
      </c>
      <c r="L22" t="s">
        <v>90</v>
      </c>
      <c r="M22" t="s">
        <v>3457</v>
      </c>
      <c r="N22" t="s">
        <v>3457</v>
      </c>
      <c r="O22" t="s">
        <v>5762</v>
      </c>
    </row>
    <row r="23" spans="1:15" ht="15" customHeight="1" x14ac:dyDescent="0.25">
      <c r="A23" t="s">
        <v>4468</v>
      </c>
      <c r="B23" t="s">
        <v>3501</v>
      </c>
      <c r="C23" t="s">
        <v>5721</v>
      </c>
      <c r="D23">
        <v>1</v>
      </c>
      <c r="E23" t="s">
        <v>6435</v>
      </c>
      <c r="F23" t="s">
        <v>6436</v>
      </c>
      <c r="G23" t="s">
        <v>6435</v>
      </c>
      <c r="H23" t="s">
        <v>6436</v>
      </c>
      <c r="I23">
        <v>1</v>
      </c>
      <c r="J23" t="s">
        <v>6437</v>
      </c>
      <c r="K23" t="s">
        <v>4471</v>
      </c>
      <c r="L23" t="s">
        <v>1621</v>
      </c>
      <c r="M23" t="s">
        <v>5430</v>
      </c>
      <c r="N23" t="s">
        <v>5382</v>
      </c>
      <c r="O23" t="s">
        <v>5754</v>
      </c>
    </row>
    <row r="24" spans="1:15" ht="15" customHeight="1" x14ac:dyDescent="0.25">
      <c r="A24" t="s">
        <v>5783</v>
      </c>
      <c r="B24" t="s">
        <v>41</v>
      </c>
      <c r="C24" t="s">
        <v>5359</v>
      </c>
      <c r="D24">
        <v>0</v>
      </c>
      <c r="E24" t="s">
        <v>5784</v>
      </c>
      <c r="F24" t="s">
        <v>6438</v>
      </c>
      <c r="G24" t="s">
        <v>5785</v>
      </c>
      <c r="H24" t="s">
        <v>6439</v>
      </c>
      <c r="I24">
        <v>0</v>
      </c>
      <c r="J24" t="s">
        <v>3457</v>
      </c>
      <c r="K24" t="s">
        <v>5783</v>
      </c>
      <c r="L24" t="s">
        <v>90</v>
      </c>
      <c r="M24" t="s">
        <v>3457</v>
      </c>
      <c r="N24" t="s">
        <v>3457</v>
      </c>
      <c r="O24" t="s">
        <v>5771</v>
      </c>
    </row>
    <row r="25" spans="1:15" ht="15" customHeight="1" x14ac:dyDescent="0.25">
      <c r="A25" t="s">
        <v>5786</v>
      </c>
      <c r="B25" t="s">
        <v>3501</v>
      </c>
      <c r="C25" t="s">
        <v>5721</v>
      </c>
      <c r="D25">
        <v>3</v>
      </c>
      <c r="E25" t="s">
        <v>5787</v>
      </c>
      <c r="F25" t="s">
        <v>6440</v>
      </c>
      <c r="G25" t="s">
        <v>5788</v>
      </c>
      <c r="H25" t="s">
        <v>6441</v>
      </c>
      <c r="I25">
        <v>3</v>
      </c>
      <c r="J25" t="s">
        <v>6442</v>
      </c>
      <c r="K25" t="s">
        <v>5786</v>
      </c>
      <c r="L25" t="s">
        <v>90</v>
      </c>
      <c r="M25" t="s">
        <v>3457</v>
      </c>
      <c r="N25" t="s">
        <v>3457</v>
      </c>
      <c r="O25" t="s">
        <v>5734</v>
      </c>
    </row>
    <row r="26" spans="1:15" ht="15" customHeight="1" x14ac:dyDescent="0.25">
      <c r="A26" t="s">
        <v>5159</v>
      </c>
      <c r="B26" t="s">
        <v>3513</v>
      </c>
      <c r="C26" t="s">
        <v>5359</v>
      </c>
      <c r="D26">
        <v>1</v>
      </c>
      <c r="E26" s="8" t="s">
        <v>6443</v>
      </c>
      <c r="F26" t="s">
        <v>6444</v>
      </c>
      <c r="G26" s="8" t="s">
        <v>6445</v>
      </c>
      <c r="H26" t="s">
        <v>6446</v>
      </c>
      <c r="I26">
        <v>1</v>
      </c>
      <c r="J26" t="s">
        <v>3457</v>
      </c>
      <c r="K26" t="s">
        <v>5159</v>
      </c>
      <c r="L26" t="s">
        <v>90</v>
      </c>
      <c r="M26" t="s">
        <v>3457</v>
      </c>
      <c r="N26" t="s">
        <v>3457</v>
      </c>
      <c r="O26" t="s">
        <v>5716</v>
      </c>
    </row>
    <row r="27" spans="1:15" ht="15" customHeight="1" x14ac:dyDescent="0.25">
      <c r="A27" t="s">
        <v>5795</v>
      </c>
      <c r="B27" t="s">
        <v>41</v>
      </c>
      <c r="C27" t="s">
        <v>5721</v>
      </c>
      <c r="D27">
        <v>1</v>
      </c>
      <c r="E27" t="s">
        <v>6447</v>
      </c>
      <c r="F27" t="s">
        <v>6448</v>
      </c>
      <c r="G27" t="s">
        <v>6447</v>
      </c>
      <c r="H27" t="s">
        <v>6448</v>
      </c>
      <c r="I27">
        <v>0</v>
      </c>
      <c r="J27" t="s">
        <v>6449</v>
      </c>
      <c r="K27" t="s">
        <v>5797</v>
      </c>
      <c r="L27" t="s">
        <v>90</v>
      </c>
      <c r="M27" t="s">
        <v>3457</v>
      </c>
      <c r="N27" t="s">
        <v>3457</v>
      </c>
      <c r="O27" t="s">
        <v>5734</v>
      </c>
    </row>
    <row r="28" spans="1:15" ht="15" customHeight="1" x14ac:dyDescent="0.25">
      <c r="A28" t="s">
        <v>5798</v>
      </c>
      <c r="B28" t="s">
        <v>3513</v>
      </c>
      <c r="C28" t="s">
        <v>5359</v>
      </c>
      <c r="D28">
        <v>0</v>
      </c>
      <c r="E28" t="s">
        <v>5799</v>
      </c>
      <c r="F28" t="s">
        <v>6450</v>
      </c>
      <c r="G28" t="s">
        <v>5800</v>
      </c>
      <c r="H28" t="s">
        <v>6451</v>
      </c>
      <c r="I28">
        <v>0</v>
      </c>
      <c r="J28" t="s">
        <v>3457</v>
      </c>
      <c r="K28" t="s">
        <v>5801</v>
      </c>
      <c r="L28" t="s">
        <v>90</v>
      </c>
      <c r="M28" t="s">
        <v>6406</v>
      </c>
      <c r="N28" t="s">
        <v>3457</v>
      </c>
      <c r="O28" t="s">
        <v>5802</v>
      </c>
    </row>
    <row r="29" spans="1:15" ht="15" customHeight="1" x14ac:dyDescent="0.25">
      <c r="A29" t="s">
        <v>5808</v>
      </c>
      <c r="B29" t="s">
        <v>3513</v>
      </c>
      <c r="C29" t="s">
        <v>5359</v>
      </c>
      <c r="D29">
        <v>2</v>
      </c>
      <c r="E29" t="s">
        <v>5809</v>
      </c>
      <c r="F29" t="s">
        <v>6452</v>
      </c>
      <c r="G29" t="s">
        <v>5810</v>
      </c>
      <c r="H29" t="s">
        <v>6453</v>
      </c>
      <c r="I29">
        <v>2</v>
      </c>
      <c r="J29" t="s">
        <v>6454</v>
      </c>
      <c r="K29" t="s">
        <v>5811</v>
      </c>
      <c r="L29" t="s">
        <v>90</v>
      </c>
      <c r="M29" t="s">
        <v>5430</v>
      </c>
      <c r="N29" t="s">
        <v>5253</v>
      </c>
      <c r="O29" t="s">
        <v>6455</v>
      </c>
    </row>
    <row r="30" spans="1:15" ht="15" customHeight="1" x14ac:dyDescent="0.25">
      <c r="A30" t="s">
        <v>5819</v>
      </c>
      <c r="B30" t="s">
        <v>3501</v>
      </c>
      <c r="C30" t="s">
        <v>5359</v>
      </c>
      <c r="D30">
        <v>3</v>
      </c>
      <c r="E30" s="8" t="s">
        <v>5820</v>
      </c>
      <c r="F30" t="s">
        <v>6456</v>
      </c>
      <c r="G30" s="8" t="s">
        <v>5820</v>
      </c>
      <c r="H30" t="s">
        <v>6456</v>
      </c>
      <c r="I30">
        <v>2</v>
      </c>
      <c r="J30" t="s">
        <v>3457</v>
      </c>
      <c r="K30" t="s">
        <v>5821</v>
      </c>
      <c r="L30" t="s">
        <v>90</v>
      </c>
      <c r="M30" t="s">
        <v>3457</v>
      </c>
      <c r="N30" t="s">
        <v>3457</v>
      </c>
      <c r="O30" t="s">
        <v>5822</v>
      </c>
    </row>
    <row r="31" spans="1:15" ht="15" customHeight="1" x14ac:dyDescent="0.25">
      <c r="A31" t="s">
        <v>4001</v>
      </c>
      <c r="B31" t="s">
        <v>4296</v>
      </c>
      <c r="C31" t="s">
        <v>3655</v>
      </c>
      <c r="D31" t="s">
        <v>3996</v>
      </c>
      <c r="E31" s="8" t="s">
        <v>5823</v>
      </c>
      <c r="F31" t="s">
        <v>6457</v>
      </c>
      <c r="G31" s="8" t="s">
        <v>3457</v>
      </c>
      <c r="H31" t="s">
        <v>3457</v>
      </c>
      <c r="I31" t="s">
        <v>3457</v>
      </c>
      <c r="J31" t="s">
        <v>3457</v>
      </c>
      <c r="K31" t="s">
        <v>4001</v>
      </c>
      <c r="L31" t="s">
        <v>90</v>
      </c>
      <c r="M31" t="s">
        <v>5462</v>
      </c>
      <c r="N31" t="s">
        <v>3457</v>
      </c>
      <c r="O31" t="s">
        <v>6458</v>
      </c>
    </row>
    <row r="32" spans="1:15" ht="15" customHeight="1" x14ac:dyDescent="0.25">
      <c r="A32" t="s">
        <v>5825</v>
      </c>
      <c r="B32" t="s">
        <v>3513</v>
      </c>
      <c r="C32" t="s">
        <v>5359</v>
      </c>
      <c r="D32">
        <v>1</v>
      </c>
      <c r="E32" t="s">
        <v>5826</v>
      </c>
      <c r="F32" t="s">
        <v>6459</v>
      </c>
      <c r="G32" t="s">
        <v>5827</v>
      </c>
      <c r="H32" t="s">
        <v>6460</v>
      </c>
      <c r="I32">
        <v>1</v>
      </c>
      <c r="J32" t="s">
        <v>3457</v>
      </c>
      <c r="K32" t="s">
        <v>5828</v>
      </c>
      <c r="L32" t="s">
        <v>90</v>
      </c>
      <c r="M32" t="s">
        <v>5495</v>
      </c>
      <c r="N32" t="s">
        <v>3457</v>
      </c>
      <c r="O32" t="s">
        <v>5829</v>
      </c>
    </row>
    <row r="33" spans="1:15" ht="15" customHeight="1" x14ac:dyDescent="0.25">
      <c r="A33" t="s">
        <v>5169</v>
      </c>
      <c r="B33" t="s">
        <v>3501</v>
      </c>
      <c r="C33" t="s">
        <v>5359</v>
      </c>
      <c r="D33">
        <v>1</v>
      </c>
      <c r="E33" s="8" t="s">
        <v>6461</v>
      </c>
      <c r="F33" t="s">
        <v>6462</v>
      </c>
      <c r="G33" s="8" t="s">
        <v>6463</v>
      </c>
      <c r="H33" t="s">
        <v>6464</v>
      </c>
      <c r="I33">
        <v>1</v>
      </c>
      <c r="J33" t="s">
        <v>3457</v>
      </c>
      <c r="K33" t="s">
        <v>5169</v>
      </c>
      <c r="L33" t="s">
        <v>90</v>
      </c>
      <c r="M33" t="s">
        <v>3457</v>
      </c>
      <c r="N33" t="s">
        <v>3457</v>
      </c>
      <c r="O33" t="s">
        <v>5822</v>
      </c>
    </row>
    <row r="34" spans="1:15" ht="15" customHeight="1" x14ac:dyDescent="0.25">
      <c r="A34" t="s">
        <v>5832</v>
      </c>
      <c r="B34" t="s">
        <v>3513</v>
      </c>
      <c r="C34" t="s">
        <v>5359</v>
      </c>
      <c r="D34">
        <v>0</v>
      </c>
      <c r="E34" s="8" t="s">
        <v>6465</v>
      </c>
      <c r="F34" t="s">
        <v>6466</v>
      </c>
      <c r="G34" s="8" t="s">
        <v>6467</v>
      </c>
      <c r="H34" t="s">
        <v>6468</v>
      </c>
      <c r="I34">
        <v>0</v>
      </c>
      <c r="J34" t="s">
        <v>3457</v>
      </c>
      <c r="K34" t="s">
        <v>5835</v>
      </c>
      <c r="L34" t="s">
        <v>90</v>
      </c>
      <c r="M34" t="s">
        <v>3457</v>
      </c>
      <c r="N34" t="s">
        <v>3457</v>
      </c>
      <c r="O34" t="s">
        <v>5836</v>
      </c>
    </row>
    <row r="35" spans="1:15" ht="15" customHeight="1" x14ac:dyDescent="0.25">
      <c r="A35" t="s">
        <v>5839</v>
      </c>
      <c r="B35" t="s">
        <v>3513</v>
      </c>
      <c r="C35" t="s">
        <v>5721</v>
      </c>
      <c r="D35">
        <v>2</v>
      </c>
      <c r="E35" t="s">
        <v>6469</v>
      </c>
      <c r="F35" t="s">
        <v>6470</v>
      </c>
      <c r="G35" t="s">
        <v>5841</v>
      </c>
      <c r="H35" t="s">
        <v>6471</v>
      </c>
      <c r="I35">
        <v>2</v>
      </c>
      <c r="J35" t="s">
        <v>6422</v>
      </c>
      <c r="K35" t="s">
        <v>5839</v>
      </c>
      <c r="L35" t="s">
        <v>90</v>
      </c>
      <c r="M35" t="s">
        <v>5421</v>
      </c>
      <c r="N35" t="s">
        <v>3457</v>
      </c>
      <c r="O35" t="s">
        <v>5734</v>
      </c>
    </row>
    <row r="36" spans="1:15" ht="15" customHeight="1" x14ac:dyDescent="0.25">
      <c r="A36" t="s">
        <v>5842</v>
      </c>
      <c r="B36" t="s">
        <v>3513</v>
      </c>
      <c r="C36" t="s">
        <v>5359</v>
      </c>
      <c r="D36">
        <v>1</v>
      </c>
      <c r="E36" s="8" t="s">
        <v>6472</v>
      </c>
      <c r="F36" t="s">
        <v>6473</v>
      </c>
      <c r="G36" s="8" t="s">
        <v>6474</v>
      </c>
      <c r="H36" t="s">
        <v>6475</v>
      </c>
      <c r="I36">
        <v>1</v>
      </c>
      <c r="J36" t="s">
        <v>3457</v>
      </c>
      <c r="K36" t="s">
        <v>5842</v>
      </c>
      <c r="L36" t="s">
        <v>90</v>
      </c>
      <c r="M36" t="s">
        <v>5495</v>
      </c>
      <c r="N36" t="s">
        <v>3457</v>
      </c>
      <c r="O36" t="s">
        <v>6476</v>
      </c>
    </row>
    <row r="37" spans="1:15" ht="15" customHeight="1" x14ac:dyDescent="0.25">
      <c r="A37" t="s">
        <v>5845</v>
      </c>
      <c r="B37" t="s">
        <v>3513</v>
      </c>
      <c r="C37" t="s">
        <v>5721</v>
      </c>
      <c r="D37">
        <v>2</v>
      </c>
      <c r="E37" s="8" t="s">
        <v>5846</v>
      </c>
      <c r="F37" t="s">
        <v>6477</v>
      </c>
      <c r="G37" s="8" t="s">
        <v>5847</v>
      </c>
      <c r="H37" t="s">
        <v>6478</v>
      </c>
      <c r="I37">
        <v>2</v>
      </c>
      <c r="J37" t="s">
        <v>6399</v>
      </c>
      <c r="K37" t="s">
        <v>5845</v>
      </c>
      <c r="L37" t="s">
        <v>90</v>
      </c>
      <c r="M37" t="s">
        <v>3457</v>
      </c>
      <c r="N37" t="s">
        <v>3457</v>
      </c>
      <c r="O37" t="s">
        <v>5848</v>
      </c>
    </row>
    <row r="38" spans="1:15" ht="15" customHeight="1" x14ac:dyDescent="0.25">
      <c r="A38" t="s">
        <v>5849</v>
      </c>
      <c r="B38" t="s">
        <v>41</v>
      </c>
      <c r="C38" t="s">
        <v>5721</v>
      </c>
      <c r="D38">
        <v>0</v>
      </c>
      <c r="E38" s="8" t="s">
        <v>6479</v>
      </c>
      <c r="F38" t="s">
        <v>6480</v>
      </c>
      <c r="G38" s="8" t="s">
        <v>6481</v>
      </c>
      <c r="H38" t="s">
        <v>6482</v>
      </c>
      <c r="I38">
        <v>0</v>
      </c>
      <c r="J38" t="s">
        <v>6483</v>
      </c>
      <c r="K38" t="s">
        <v>5849</v>
      </c>
      <c r="L38" t="s">
        <v>90</v>
      </c>
      <c r="M38" t="s">
        <v>3457</v>
      </c>
      <c r="N38" t="s">
        <v>3457</v>
      </c>
      <c r="O38" t="s">
        <v>5734</v>
      </c>
    </row>
    <row r="39" spans="1:15" ht="15" customHeight="1" x14ac:dyDescent="0.25">
      <c r="A39" t="s">
        <v>5852</v>
      </c>
      <c r="B39" t="s">
        <v>41</v>
      </c>
      <c r="C39" t="s">
        <v>5721</v>
      </c>
      <c r="D39">
        <v>0</v>
      </c>
      <c r="E39" t="s">
        <v>5853</v>
      </c>
      <c r="F39" t="s">
        <v>6484</v>
      </c>
      <c r="G39" t="s">
        <v>5854</v>
      </c>
      <c r="H39" t="s">
        <v>6485</v>
      </c>
      <c r="I39">
        <v>0</v>
      </c>
      <c r="J39" t="s">
        <v>6483</v>
      </c>
      <c r="K39" t="s">
        <v>5852</v>
      </c>
      <c r="L39" t="s">
        <v>90</v>
      </c>
      <c r="M39" t="s">
        <v>3457</v>
      </c>
      <c r="N39" t="s">
        <v>3457</v>
      </c>
      <c r="O39" t="s">
        <v>5855</v>
      </c>
    </row>
    <row r="40" spans="1:15" ht="15" customHeight="1" x14ac:dyDescent="0.25">
      <c r="A40" t="s">
        <v>5409</v>
      </c>
      <c r="B40" t="s">
        <v>41</v>
      </c>
      <c r="C40" t="s">
        <v>5721</v>
      </c>
      <c r="D40">
        <v>1</v>
      </c>
      <c r="E40" t="s">
        <v>5856</v>
      </c>
      <c r="F40" t="s">
        <v>6486</v>
      </c>
      <c r="G40" t="s">
        <v>5857</v>
      </c>
      <c r="H40" t="s">
        <v>6487</v>
      </c>
      <c r="I40">
        <v>1</v>
      </c>
      <c r="J40" t="s">
        <v>6488</v>
      </c>
      <c r="K40" t="s">
        <v>5409</v>
      </c>
      <c r="L40" t="s">
        <v>90</v>
      </c>
      <c r="M40" t="s">
        <v>3457</v>
      </c>
      <c r="N40" t="s">
        <v>3457</v>
      </c>
      <c r="O40" t="s">
        <v>6489</v>
      </c>
    </row>
    <row r="41" spans="1:15" ht="15" customHeight="1" x14ac:dyDescent="0.25">
      <c r="A41" t="s">
        <v>5859</v>
      </c>
      <c r="B41" t="s">
        <v>41</v>
      </c>
      <c r="C41" t="s">
        <v>5359</v>
      </c>
      <c r="D41">
        <v>1</v>
      </c>
      <c r="E41" t="s">
        <v>5860</v>
      </c>
      <c r="F41" t="s">
        <v>6490</v>
      </c>
      <c r="G41" t="s">
        <v>5861</v>
      </c>
      <c r="H41" t="s">
        <v>6491</v>
      </c>
      <c r="I41">
        <v>1</v>
      </c>
      <c r="J41" t="s">
        <v>3457</v>
      </c>
      <c r="K41" t="s">
        <v>5862</v>
      </c>
      <c r="L41" t="s">
        <v>90</v>
      </c>
      <c r="M41" t="s">
        <v>3457</v>
      </c>
      <c r="N41" t="s">
        <v>3457</v>
      </c>
      <c r="O41" t="s">
        <v>5716</v>
      </c>
    </row>
    <row r="42" spans="1:15" ht="15" customHeight="1" x14ac:dyDescent="0.25">
      <c r="A42" t="s">
        <v>5863</v>
      </c>
      <c r="B42" t="s">
        <v>41</v>
      </c>
      <c r="C42" t="s">
        <v>5721</v>
      </c>
      <c r="D42">
        <v>2</v>
      </c>
      <c r="E42" s="8" t="s">
        <v>6492</v>
      </c>
      <c r="F42" t="s">
        <v>6493</v>
      </c>
      <c r="G42" s="8" t="s">
        <v>6494</v>
      </c>
      <c r="H42" t="s">
        <v>6495</v>
      </c>
      <c r="I42" t="s">
        <v>3457</v>
      </c>
      <c r="J42" t="s">
        <v>6408</v>
      </c>
      <c r="K42" t="s">
        <v>5863</v>
      </c>
      <c r="L42" t="s">
        <v>90</v>
      </c>
      <c r="M42" t="s">
        <v>3457</v>
      </c>
      <c r="N42" t="s">
        <v>3457</v>
      </c>
      <c r="O42" t="s">
        <v>5866</v>
      </c>
    </row>
    <row r="43" spans="1:15" ht="15" customHeight="1" x14ac:dyDescent="0.25">
      <c r="A43" t="s">
        <v>5867</v>
      </c>
      <c r="B43" t="s">
        <v>4296</v>
      </c>
      <c r="C43" t="s">
        <v>4244</v>
      </c>
      <c r="D43" t="s">
        <v>3996</v>
      </c>
      <c r="E43" t="s">
        <v>5868</v>
      </c>
      <c r="F43" t="s">
        <v>4214</v>
      </c>
      <c r="G43" t="s">
        <v>3457</v>
      </c>
      <c r="H43" t="s">
        <v>3457</v>
      </c>
      <c r="I43" t="s">
        <v>3457</v>
      </c>
      <c r="J43" t="s">
        <v>3457</v>
      </c>
      <c r="K43" t="s">
        <v>5867</v>
      </c>
      <c r="L43" t="s">
        <v>90</v>
      </c>
      <c r="M43" t="s">
        <v>6496</v>
      </c>
      <c r="N43" t="s">
        <v>3457</v>
      </c>
      <c r="O43" t="s">
        <v>5869</v>
      </c>
    </row>
    <row r="44" spans="1:15" ht="15" customHeight="1" x14ac:dyDescent="0.25">
      <c r="A44" t="s">
        <v>5877</v>
      </c>
      <c r="B44" t="s">
        <v>3513</v>
      </c>
      <c r="C44" t="s">
        <v>5359</v>
      </c>
      <c r="D44">
        <v>0</v>
      </c>
      <c r="E44" s="8" t="s">
        <v>6497</v>
      </c>
      <c r="F44" t="s">
        <v>6498</v>
      </c>
      <c r="G44" s="8" t="s">
        <v>6499</v>
      </c>
      <c r="H44" t="s">
        <v>6500</v>
      </c>
      <c r="I44" t="s">
        <v>3457</v>
      </c>
      <c r="J44" t="s">
        <v>3457</v>
      </c>
      <c r="K44" t="s">
        <v>5877</v>
      </c>
      <c r="L44" t="s">
        <v>90</v>
      </c>
      <c r="M44" t="s">
        <v>3457</v>
      </c>
      <c r="N44" t="s">
        <v>3457</v>
      </c>
      <c r="O44" t="s">
        <v>6501</v>
      </c>
    </row>
    <row r="45" spans="1:15" ht="15" customHeight="1" x14ac:dyDescent="0.25">
      <c r="A45" t="s">
        <v>5178</v>
      </c>
      <c r="B45" t="s">
        <v>3501</v>
      </c>
      <c r="C45" t="s">
        <v>5359</v>
      </c>
      <c r="D45">
        <v>2</v>
      </c>
      <c r="E45" s="8" t="s">
        <v>5881</v>
      </c>
      <c r="F45" t="s">
        <v>6502</v>
      </c>
      <c r="G45" s="8" t="s">
        <v>5882</v>
      </c>
      <c r="H45" t="s">
        <v>6503</v>
      </c>
      <c r="I45">
        <v>2</v>
      </c>
      <c r="J45" t="s">
        <v>6504</v>
      </c>
      <c r="K45" t="s">
        <v>5180</v>
      </c>
      <c r="L45" t="s">
        <v>90</v>
      </c>
      <c r="M45" t="s">
        <v>3457</v>
      </c>
      <c r="N45" t="s">
        <v>3457</v>
      </c>
      <c r="O45" t="s">
        <v>6505</v>
      </c>
    </row>
    <row r="46" spans="1:15" ht="15" customHeight="1" x14ac:dyDescent="0.25">
      <c r="A46" t="s">
        <v>5886</v>
      </c>
      <c r="B46" t="s">
        <v>3513</v>
      </c>
      <c r="C46" t="s">
        <v>5359</v>
      </c>
      <c r="D46">
        <v>0</v>
      </c>
      <c r="E46" s="8" t="s">
        <v>6506</v>
      </c>
      <c r="F46" t="s">
        <v>6507</v>
      </c>
      <c r="G46" s="8" t="s">
        <v>6508</v>
      </c>
      <c r="H46" t="s">
        <v>6509</v>
      </c>
      <c r="I46" t="s">
        <v>3457</v>
      </c>
      <c r="J46" t="s">
        <v>6510</v>
      </c>
      <c r="K46" t="s">
        <v>5889</v>
      </c>
      <c r="L46" t="s">
        <v>90</v>
      </c>
      <c r="M46" t="s">
        <v>5495</v>
      </c>
      <c r="N46" t="s">
        <v>3457</v>
      </c>
      <c r="O46" t="s">
        <v>6511</v>
      </c>
    </row>
    <row r="47" spans="1:15" ht="15" customHeight="1" x14ac:dyDescent="0.25">
      <c r="A47" t="s">
        <v>5891</v>
      </c>
      <c r="B47" t="s">
        <v>41</v>
      </c>
      <c r="C47" t="s">
        <v>5721</v>
      </c>
      <c r="D47">
        <v>1</v>
      </c>
      <c r="E47" t="s">
        <v>5892</v>
      </c>
      <c r="F47" t="s">
        <v>6512</v>
      </c>
      <c r="G47" t="s">
        <v>5893</v>
      </c>
      <c r="H47" t="s">
        <v>6513</v>
      </c>
      <c r="I47">
        <v>1</v>
      </c>
      <c r="J47" t="s">
        <v>6514</v>
      </c>
      <c r="K47" t="s">
        <v>5894</v>
      </c>
      <c r="L47" t="s">
        <v>90</v>
      </c>
      <c r="M47" t="s">
        <v>3457</v>
      </c>
      <c r="N47" t="s">
        <v>3457</v>
      </c>
      <c r="O47" t="s">
        <v>5895</v>
      </c>
    </row>
    <row r="48" spans="1:15" ht="15" customHeight="1" x14ac:dyDescent="0.25">
      <c r="A48" t="s">
        <v>5896</v>
      </c>
      <c r="B48" t="s">
        <v>41</v>
      </c>
      <c r="C48" t="s">
        <v>5721</v>
      </c>
      <c r="D48">
        <v>1</v>
      </c>
      <c r="E48" t="s">
        <v>5897</v>
      </c>
      <c r="F48" t="s">
        <v>6515</v>
      </c>
      <c r="G48" t="s">
        <v>5898</v>
      </c>
      <c r="H48" t="s">
        <v>6516</v>
      </c>
      <c r="I48">
        <v>1</v>
      </c>
      <c r="J48" t="s">
        <v>6416</v>
      </c>
      <c r="K48" t="s">
        <v>5899</v>
      </c>
      <c r="L48" t="s">
        <v>90</v>
      </c>
      <c r="M48" t="s">
        <v>3457</v>
      </c>
      <c r="N48" t="s">
        <v>3457</v>
      </c>
      <c r="O48" t="s">
        <v>5900</v>
      </c>
    </row>
    <row r="49" spans="1:15" ht="15" customHeight="1" x14ac:dyDescent="0.25">
      <c r="A49" t="s">
        <v>3443</v>
      </c>
      <c r="B49" t="s">
        <v>3513</v>
      </c>
      <c r="C49" t="s">
        <v>5721</v>
      </c>
      <c r="D49">
        <v>2</v>
      </c>
      <c r="E49" s="8" t="s">
        <v>5904</v>
      </c>
      <c r="F49" t="s">
        <v>6517</v>
      </c>
      <c r="G49" s="8" t="s">
        <v>5905</v>
      </c>
      <c r="H49" t="s">
        <v>6518</v>
      </c>
      <c r="I49">
        <v>2</v>
      </c>
      <c r="J49" t="s">
        <v>6391</v>
      </c>
      <c r="K49" t="s">
        <v>3443</v>
      </c>
      <c r="L49" t="s">
        <v>90</v>
      </c>
      <c r="M49" t="s">
        <v>3457</v>
      </c>
      <c r="N49" t="s">
        <v>3457</v>
      </c>
      <c r="O49" t="s">
        <v>5906</v>
      </c>
    </row>
    <row r="50" spans="1:15" ht="15" customHeight="1" x14ac:dyDescent="0.25">
      <c r="A50" t="s">
        <v>5907</v>
      </c>
      <c r="B50" t="s">
        <v>4296</v>
      </c>
      <c r="C50" t="s">
        <v>3655</v>
      </c>
      <c r="D50" t="s">
        <v>3996</v>
      </c>
      <c r="E50" s="8" t="s">
        <v>6519</v>
      </c>
      <c r="F50" t="s">
        <v>4214</v>
      </c>
      <c r="G50" s="8" t="s">
        <v>3457</v>
      </c>
      <c r="H50" t="s">
        <v>3457</v>
      </c>
      <c r="I50" t="s">
        <v>3457</v>
      </c>
      <c r="J50" t="s">
        <v>3457</v>
      </c>
      <c r="K50" t="s">
        <v>5907</v>
      </c>
      <c r="L50" t="s">
        <v>90</v>
      </c>
      <c r="M50" t="s">
        <v>5421</v>
      </c>
      <c r="N50" t="s">
        <v>3457</v>
      </c>
      <c r="O50" t="s">
        <v>6458</v>
      </c>
    </row>
    <row r="51" spans="1:15" ht="15" customHeight="1" x14ac:dyDescent="0.25">
      <c r="A51" t="s">
        <v>5909</v>
      </c>
      <c r="B51" t="s">
        <v>41</v>
      </c>
      <c r="C51" t="s">
        <v>5359</v>
      </c>
      <c r="D51">
        <v>1</v>
      </c>
      <c r="E51" s="8" t="s">
        <v>5910</v>
      </c>
      <c r="F51" t="s">
        <v>6520</v>
      </c>
      <c r="G51" s="8" t="s">
        <v>5911</v>
      </c>
      <c r="H51" t="s">
        <v>6521</v>
      </c>
      <c r="I51">
        <v>1</v>
      </c>
      <c r="J51" t="s">
        <v>3457</v>
      </c>
      <c r="K51" t="s">
        <v>5912</v>
      </c>
      <c r="L51" t="s">
        <v>90</v>
      </c>
      <c r="M51" t="s">
        <v>3457</v>
      </c>
      <c r="N51" t="s">
        <v>3457</v>
      </c>
      <c r="O51" t="s">
        <v>6455</v>
      </c>
    </row>
    <row r="52" spans="1:15" ht="15" customHeight="1" x14ac:dyDescent="0.25">
      <c r="A52" t="s">
        <v>4258</v>
      </c>
      <c r="B52" t="s">
        <v>4296</v>
      </c>
      <c r="C52" t="s">
        <v>4244</v>
      </c>
      <c r="D52" t="s">
        <v>3996</v>
      </c>
      <c r="E52" t="s">
        <v>5913</v>
      </c>
      <c r="F52" t="s">
        <v>6457</v>
      </c>
      <c r="G52" t="s">
        <v>3457</v>
      </c>
      <c r="H52" t="s">
        <v>3457</v>
      </c>
      <c r="I52" t="s">
        <v>3457</v>
      </c>
      <c r="J52" t="s">
        <v>3457</v>
      </c>
      <c r="K52" t="s">
        <v>4258</v>
      </c>
      <c r="L52" t="s">
        <v>90</v>
      </c>
      <c r="M52" t="s">
        <v>5462</v>
      </c>
      <c r="N52" t="s">
        <v>3457</v>
      </c>
      <c r="O52" t="s">
        <v>5869</v>
      </c>
    </row>
    <row r="53" spans="1:15" ht="15" customHeight="1" x14ac:dyDescent="0.25">
      <c r="A53" t="s">
        <v>6522</v>
      </c>
      <c r="B53" t="s">
        <v>3545</v>
      </c>
      <c r="C53" t="s">
        <v>5359</v>
      </c>
      <c r="D53">
        <v>1</v>
      </c>
      <c r="E53" t="s">
        <v>5915</v>
      </c>
      <c r="F53" t="s">
        <v>6523</v>
      </c>
      <c r="G53" t="s">
        <v>5916</v>
      </c>
      <c r="H53" t="s">
        <v>6524</v>
      </c>
      <c r="I53">
        <v>1</v>
      </c>
      <c r="J53" t="s">
        <v>3457</v>
      </c>
      <c r="K53" t="s">
        <v>6525</v>
      </c>
      <c r="L53" t="s">
        <v>90</v>
      </c>
      <c r="M53" t="s">
        <v>3457</v>
      </c>
      <c r="N53" t="s">
        <v>3457</v>
      </c>
      <c r="O53" t="s">
        <v>6526</v>
      </c>
    </row>
    <row r="54" spans="1:15" ht="15" customHeight="1" x14ac:dyDescent="0.25">
      <c r="A54" t="s">
        <v>6527</v>
      </c>
      <c r="B54" t="s">
        <v>3545</v>
      </c>
      <c r="C54" t="s">
        <v>5359</v>
      </c>
      <c r="D54">
        <v>1</v>
      </c>
      <c r="E54" t="s">
        <v>5915</v>
      </c>
      <c r="F54" t="s">
        <v>6523</v>
      </c>
      <c r="G54" t="s">
        <v>5916</v>
      </c>
      <c r="H54" t="s">
        <v>6524</v>
      </c>
      <c r="I54">
        <v>1</v>
      </c>
      <c r="J54" t="s">
        <v>3457</v>
      </c>
      <c r="K54" t="s">
        <v>6528</v>
      </c>
      <c r="L54" t="s">
        <v>90</v>
      </c>
      <c r="M54" t="s">
        <v>3457</v>
      </c>
      <c r="N54" t="s">
        <v>3457</v>
      </c>
      <c r="O54" t="s">
        <v>6526</v>
      </c>
    </row>
    <row r="55" spans="1:15" ht="15" customHeight="1" x14ac:dyDescent="0.25">
      <c r="A55" t="s">
        <v>5919</v>
      </c>
      <c r="B55" t="s">
        <v>41</v>
      </c>
      <c r="C55" t="s">
        <v>5359</v>
      </c>
      <c r="D55">
        <v>0</v>
      </c>
      <c r="E55" s="8" t="s">
        <v>5920</v>
      </c>
      <c r="F55" t="s">
        <v>6529</v>
      </c>
      <c r="G55" s="8" t="s">
        <v>6530</v>
      </c>
      <c r="H55" t="s">
        <v>6531</v>
      </c>
      <c r="I55">
        <v>0</v>
      </c>
      <c r="J55" t="s">
        <v>3457</v>
      </c>
      <c r="K55" t="s">
        <v>5919</v>
      </c>
      <c r="L55" t="s">
        <v>90</v>
      </c>
      <c r="M55" t="s">
        <v>3457</v>
      </c>
      <c r="N55" t="s">
        <v>3457</v>
      </c>
      <c r="O55" t="s">
        <v>5716</v>
      </c>
    </row>
    <row r="56" spans="1:15" ht="15" customHeight="1" x14ac:dyDescent="0.25">
      <c r="A56" t="s">
        <v>4581</v>
      </c>
      <c r="B56" t="s">
        <v>3513</v>
      </c>
      <c r="C56" t="s">
        <v>5721</v>
      </c>
      <c r="D56">
        <v>1</v>
      </c>
      <c r="E56" t="s">
        <v>6532</v>
      </c>
      <c r="F56" t="s">
        <v>6533</v>
      </c>
      <c r="G56" t="s">
        <v>6532</v>
      </c>
      <c r="H56" t="s">
        <v>6533</v>
      </c>
      <c r="I56">
        <v>1</v>
      </c>
      <c r="J56" t="s">
        <v>6391</v>
      </c>
      <c r="K56" t="s">
        <v>4581</v>
      </c>
      <c r="L56" t="s">
        <v>1621</v>
      </c>
      <c r="M56" t="s">
        <v>5424</v>
      </c>
      <c r="N56" t="s">
        <v>3457</v>
      </c>
      <c r="O56" t="s">
        <v>5754</v>
      </c>
    </row>
    <row r="57" spans="1:15" ht="15" customHeight="1" x14ac:dyDescent="0.25">
      <c r="A57" t="s">
        <v>5928</v>
      </c>
      <c r="B57" t="s">
        <v>3501</v>
      </c>
      <c r="C57" t="s">
        <v>5721</v>
      </c>
      <c r="D57">
        <v>1</v>
      </c>
      <c r="E57" t="s">
        <v>5929</v>
      </c>
      <c r="F57" t="s">
        <v>6534</v>
      </c>
      <c r="G57" t="s">
        <v>5930</v>
      </c>
      <c r="H57" t="s">
        <v>6535</v>
      </c>
      <c r="I57">
        <v>1</v>
      </c>
      <c r="J57" t="s">
        <v>6536</v>
      </c>
      <c r="K57" t="s">
        <v>5931</v>
      </c>
      <c r="L57" t="s">
        <v>90</v>
      </c>
      <c r="M57" t="s">
        <v>5495</v>
      </c>
      <c r="N57" t="s">
        <v>3457</v>
      </c>
      <c r="O57" t="s">
        <v>5932</v>
      </c>
    </row>
    <row r="58" spans="1:15" ht="15" customHeight="1" x14ac:dyDescent="0.25">
      <c r="A58" t="s">
        <v>5933</v>
      </c>
      <c r="B58" t="s">
        <v>3513</v>
      </c>
      <c r="C58" t="s">
        <v>5359</v>
      </c>
      <c r="D58">
        <v>1</v>
      </c>
      <c r="E58" s="8" t="s">
        <v>5934</v>
      </c>
      <c r="F58" t="s">
        <v>6537</v>
      </c>
      <c r="G58" s="8" t="s">
        <v>5935</v>
      </c>
      <c r="H58" t="s">
        <v>6538</v>
      </c>
      <c r="I58">
        <v>1</v>
      </c>
      <c r="J58" t="s">
        <v>3457</v>
      </c>
      <c r="K58" t="s">
        <v>5933</v>
      </c>
      <c r="L58" t="s">
        <v>90</v>
      </c>
      <c r="M58" t="s">
        <v>5495</v>
      </c>
      <c r="N58" t="s">
        <v>3457</v>
      </c>
      <c r="O58" t="s">
        <v>5936</v>
      </c>
    </row>
    <row r="59" spans="1:15" ht="15" customHeight="1" x14ac:dyDescent="0.25">
      <c r="A59" t="s">
        <v>5937</v>
      </c>
      <c r="B59" t="s">
        <v>3513</v>
      </c>
      <c r="C59" t="s">
        <v>5359</v>
      </c>
      <c r="D59">
        <v>1</v>
      </c>
      <c r="E59" s="8" t="s">
        <v>5938</v>
      </c>
      <c r="F59" t="s">
        <v>6539</v>
      </c>
      <c r="G59" s="8" t="s">
        <v>5938</v>
      </c>
      <c r="H59" t="s">
        <v>6539</v>
      </c>
      <c r="I59">
        <v>0</v>
      </c>
      <c r="J59" t="s">
        <v>3457</v>
      </c>
      <c r="K59" t="s">
        <v>5937</v>
      </c>
      <c r="L59" t="s">
        <v>90</v>
      </c>
      <c r="M59" t="s">
        <v>5495</v>
      </c>
      <c r="N59" t="s">
        <v>3457</v>
      </c>
      <c r="O59" t="s">
        <v>5939</v>
      </c>
    </row>
    <row r="60" spans="1:15" ht="15" customHeight="1" x14ac:dyDescent="0.25">
      <c r="A60" t="s">
        <v>5940</v>
      </c>
      <c r="B60" t="s">
        <v>41</v>
      </c>
      <c r="C60" t="s">
        <v>5359</v>
      </c>
      <c r="D60">
        <v>1</v>
      </c>
      <c r="E60" s="8" t="s">
        <v>6540</v>
      </c>
      <c r="F60" t="s">
        <v>6541</v>
      </c>
      <c r="G60" s="8" t="s">
        <v>6542</v>
      </c>
      <c r="H60" t="s">
        <v>6543</v>
      </c>
      <c r="I60">
        <v>1</v>
      </c>
      <c r="J60" t="s">
        <v>3457</v>
      </c>
      <c r="K60" t="s">
        <v>5943</v>
      </c>
      <c r="L60" t="s">
        <v>90</v>
      </c>
      <c r="M60" t="s">
        <v>3457</v>
      </c>
      <c r="N60" t="s">
        <v>3457</v>
      </c>
      <c r="O60" t="s">
        <v>5716</v>
      </c>
    </row>
    <row r="61" spans="1:15" ht="15" customHeight="1" x14ac:dyDescent="0.25">
      <c r="A61" t="s">
        <v>5944</v>
      </c>
      <c r="B61" t="s">
        <v>3501</v>
      </c>
      <c r="C61" t="s">
        <v>5359</v>
      </c>
      <c r="D61" t="s">
        <v>5945</v>
      </c>
      <c r="E61" s="8" t="s">
        <v>6544</v>
      </c>
      <c r="F61" t="s">
        <v>6545</v>
      </c>
      <c r="G61" s="8" t="s">
        <v>6546</v>
      </c>
      <c r="H61" t="s">
        <v>6547</v>
      </c>
      <c r="I61" t="s">
        <v>3457</v>
      </c>
      <c r="J61" t="s">
        <v>3457</v>
      </c>
      <c r="K61" t="s">
        <v>5944</v>
      </c>
      <c r="L61" t="s">
        <v>90</v>
      </c>
      <c r="M61" t="s">
        <v>5495</v>
      </c>
      <c r="N61" t="s">
        <v>3457</v>
      </c>
      <c r="O61" t="s">
        <v>5948</v>
      </c>
    </row>
    <row r="62" spans="1:15" ht="15" customHeight="1" x14ac:dyDescent="0.25">
      <c r="A62" t="s">
        <v>5363</v>
      </c>
      <c r="B62" t="s">
        <v>3501</v>
      </c>
      <c r="C62" t="s">
        <v>5359</v>
      </c>
      <c r="D62">
        <v>1</v>
      </c>
      <c r="E62" s="8" t="s">
        <v>5949</v>
      </c>
      <c r="F62" t="s">
        <v>6548</v>
      </c>
      <c r="G62" s="8" t="s">
        <v>5950</v>
      </c>
      <c r="H62" t="s">
        <v>6549</v>
      </c>
      <c r="I62">
        <v>1</v>
      </c>
      <c r="J62" t="s">
        <v>3457</v>
      </c>
      <c r="K62" t="s">
        <v>5365</v>
      </c>
      <c r="L62" t="s">
        <v>90</v>
      </c>
      <c r="M62" t="s">
        <v>3457</v>
      </c>
      <c r="N62" t="s">
        <v>3457</v>
      </c>
      <c r="O62" t="s">
        <v>5734</v>
      </c>
    </row>
    <row r="63" spans="1:15" ht="15" customHeight="1" x14ac:dyDescent="0.25">
      <c r="A63" t="s">
        <v>5952</v>
      </c>
      <c r="B63" t="s">
        <v>4296</v>
      </c>
      <c r="C63" t="s">
        <v>4244</v>
      </c>
      <c r="D63" t="s">
        <v>3996</v>
      </c>
      <c r="E63" t="s">
        <v>5953</v>
      </c>
      <c r="F63" t="s">
        <v>6550</v>
      </c>
      <c r="G63" t="s">
        <v>3457</v>
      </c>
      <c r="H63" t="s">
        <v>3457</v>
      </c>
      <c r="I63" t="s">
        <v>3457</v>
      </c>
      <c r="J63" t="s">
        <v>3457</v>
      </c>
      <c r="K63" t="s">
        <v>5952</v>
      </c>
      <c r="L63" t="s">
        <v>90</v>
      </c>
      <c r="M63" t="s">
        <v>5462</v>
      </c>
      <c r="N63" t="s">
        <v>3457</v>
      </c>
      <c r="O63" t="s">
        <v>5869</v>
      </c>
    </row>
    <row r="64" spans="1:15" ht="15" customHeight="1" x14ac:dyDescent="0.25">
      <c r="A64" t="s">
        <v>5954</v>
      </c>
      <c r="B64" t="s">
        <v>3513</v>
      </c>
      <c r="C64" t="s">
        <v>5721</v>
      </c>
      <c r="D64">
        <v>1</v>
      </c>
      <c r="E64" s="8" t="s">
        <v>6551</v>
      </c>
      <c r="F64" t="s">
        <v>6552</v>
      </c>
      <c r="G64" s="8" t="s">
        <v>6553</v>
      </c>
      <c r="H64" t="s">
        <v>6554</v>
      </c>
      <c r="I64">
        <v>1</v>
      </c>
      <c r="J64" t="s">
        <v>6391</v>
      </c>
      <c r="K64" t="s">
        <v>5954</v>
      </c>
      <c r="L64" t="s">
        <v>90</v>
      </c>
      <c r="M64" t="s">
        <v>3457</v>
      </c>
      <c r="N64" t="s">
        <v>3457</v>
      </c>
      <c r="O64" t="s">
        <v>5957</v>
      </c>
    </row>
    <row r="65" spans="1:15" ht="15" customHeight="1" x14ac:dyDescent="0.25">
      <c r="A65" t="s">
        <v>5962</v>
      </c>
      <c r="B65" t="s">
        <v>3513</v>
      </c>
      <c r="C65" t="s">
        <v>5359</v>
      </c>
      <c r="D65">
        <v>1</v>
      </c>
      <c r="E65" s="8" t="s">
        <v>5963</v>
      </c>
      <c r="F65" t="s">
        <v>6555</v>
      </c>
      <c r="G65" s="8" t="s">
        <v>5964</v>
      </c>
      <c r="H65" t="s">
        <v>6556</v>
      </c>
      <c r="I65">
        <v>1</v>
      </c>
      <c r="J65" t="s">
        <v>3457</v>
      </c>
      <c r="K65" t="s">
        <v>5965</v>
      </c>
      <c r="L65" t="s">
        <v>90</v>
      </c>
      <c r="M65" t="s">
        <v>3457</v>
      </c>
      <c r="N65" t="s">
        <v>3457</v>
      </c>
      <c r="O65" t="s">
        <v>5762</v>
      </c>
    </row>
    <row r="66" spans="1:15" ht="15" customHeight="1" x14ac:dyDescent="0.25">
      <c r="A66" t="s">
        <v>5966</v>
      </c>
      <c r="B66" t="s">
        <v>3513</v>
      </c>
      <c r="C66" t="s">
        <v>5721</v>
      </c>
      <c r="D66">
        <v>0</v>
      </c>
      <c r="E66" s="8" t="s">
        <v>6557</v>
      </c>
      <c r="F66" t="s">
        <v>6558</v>
      </c>
      <c r="G66" s="8" t="s">
        <v>6559</v>
      </c>
      <c r="H66" t="s">
        <v>6560</v>
      </c>
      <c r="I66">
        <v>0</v>
      </c>
      <c r="J66" t="s">
        <v>6449</v>
      </c>
      <c r="K66" t="s">
        <v>5969</v>
      </c>
      <c r="L66" t="s">
        <v>90</v>
      </c>
      <c r="M66" t="s">
        <v>5495</v>
      </c>
      <c r="N66" t="s">
        <v>3457</v>
      </c>
      <c r="O66" t="s">
        <v>5776</v>
      </c>
    </row>
    <row r="67" spans="1:15" x14ac:dyDescent="0.25">
      <c r="A67" t="s">
        <v>5970</v>
      </c>
      <c r="B67" t="s">
        <v>3513</v>
      </c>
      <c r="C67" t="s">
        <v>5359</v>
      </c>
      <c r="D67">
        <v>2</v>
      </c>
      <c r="E67" s="8" t="s">
        <v>5971</v>
      </c>
      <c r="F67" t="s">
        <v>6561</v>
      </c>
      <c r="G67" s="8" t="s">
        <v>5971</v>
      </c>
      <c r="H67" t="s">
        <v>6561</v>
      </c>
      <c r="I67">
        <v>1</v>
      </c>
      <c r="J67" t="s">
        <v>3457</v>
      </c>
      <c r="K67" t="s">
        <v>5970</v>
      </c>
      <c r="L67" t="s">
        <v>90</v>
      </c>
      <c r="M67" t="s">
        <v>3457</v>
      </c>
      <c r="N67" t="s">
        <v>3457</v>
      </c>
      <c r="O67" t="s">
        <v>5738</v>
      </c>
    </row>
    <row r="68" spans="1:15" x14ac:dyDescent="0.25">
      <c r="A68" t="s">
        <v>5195</v>
      </c>
      <c r="B68" t="s">
        <v>3501</v>
      </c>
      <c r="C68" t="s">
        <v>4596</v>
      </c>
      <c r="D68">
        <v>2</v>
      </c>
      <c r="E68" s="8" t="s">
        <v>6562</v>
      </c>
      <c r="F68" t="s">
        <v>6563</v>
      </c>
      <c r="G68" s="8" t="s">
        <v>6562</v>
      </c>
      <c r="H68" t="s">
        <v>6563</v>
      </c>
      <c r="I68">
        <v>1</v>
      </c>
      <c r="J68" t="s">
        <v>3457</v>
      </c>
      <c r="K68" t="s">
        <v>5195</v>
      </c>
      <c r="L68" t="s">
        <v>90</v>
      </c>
      <c r="M68" t="s">
        <v>3457</v>
      </c>
      <c r="N68" t="s">
        <v>3457</v>
      </c>
      <c r="O68" t="s">
        <v>6564</v>
      </c>
    </row>
    <row r="69" spans="1:15" x14ac:dyDescent="0.25">
      <c r="A69" t="s">
        <v>5973</v>
      </c>
      <c r="B69" t="s">
        <v>3513</v>
      </c>
      <c r="C69" t="s">
        <v>5359</v>
      </c>
      <c r="D69">
        <v>0</v>
      </c>
      <c r="E69" s="8" t="s">
        <v>5974</v>
      </c>
      <c r="F69" t="s">
        <v>6565</v>
      </c>
      <c r="G69" s="8" t="s">
        <v>5975</v>
      </c>
      <c r="H69" t="s">
        <v>6566</v>
      </c>
      <c r="I69">
        <v>0</v>
      </c>
      <c r="J69" t="s">
        <v>3457</v>
      </c>
      <c r="K69" t="s">
        <v>5976</v>
      </c>
      <c r="L69" t="s">
        <v>90</v>
      </c>
      <c r="M69" t="s">
        <v>3457</v>
      </c>
      <c r="N69" t="s">
        <v>3457</v>
      </c>
      <c r="O69" t="s">
        <v>5977</v>
      </c>
    </row>
    <row r="70" spans="1:15" x14ac:dyDescent="0.25">
      <c r="A70" t="s">
        <v>5978</v>
      </c>
      <c r="B70" t="s">
        <v>3513</v>
      </c>
      <c r="C70" t="s">
        <v>5721</v>
      </c>
      <c r="D70">
        <v>3</v>
      </c>
      <c r="E70" s="8" t="s">
        <v>6567</v>
      </c>
      <c r="F70" t="s">
        <v>6568</v>
      </c>
      <c r="G70" s="8" t="s">
        <v>6569</v>
      </c>
      <c r="H70" t="s">
        <v>6570</v>
      </c>
      <c r="I70">
        <v>3</v>
      </c>
      <c r="J70" t="s">
        <v>6399</v>
      </c>
      <c r="K70" t="s">
        <v>5978</v>
      </c>
      <c r="L70" t="s">
        <v>90</v>
      </c>
      <c r="M70" t="s">
        <v>3457</v>
      </c>
      <c r="N70" t="s">
        <v>3457</v>
      </c>
      <c r="O70" t="s">
        <v>5981</v>
      </c>
    </row>
    <row r="71" spans="1:15" x14ac:dyDescent="0.25">
      <c r="A71" t="s">
        <v>5197</v>
      </c>
      <c r="B71" t="s">
        <v>3513</v>
      </c>
      <c r="C71" t="s">
        <v>4596</v>
      </c>
      <c r="D71">
        <v>1</v>
      </c>
      <c r="E71" s="8" t="s">
        <v>6571</v>
      </c>
      <c r="F71" t="s">
        <v>6572</v>
      </c>
      <c r="G71" s="8" t="s">
        <v>6573</v>
      </c>
      <c r="H71" t="s">
        <v>6574</v>
      </c>
      <c r="I71">
        <v>1</v>
      </c>
      <c r="J71" t="s">
        <v>3457</v>
      </c>
      <c r="K71" t="s">
        <v>5197</v>
      </c>
      <c r="L71" t="s">
        <v>90</v>
      </c>
      <c r="M71" t="s">
        <v>3457</v>
      </c>
      <c r="N71" t="s">
        <v>3457</v>
      </c>
      <c r="O71" t="s">
        <v>5984</v>
      </c>
    </row>
    <row r="72" spans="1:15" x14ac:dyDescent="0.25">
      <c r="A72" t="s">
        <v>5985</v>
      </c>
      <c r="B72" t="s">
        <v>3501</v>
      </c>
      <c r="C72" t="s">
        <v>5359</v>
      </c>
      <c r="D72">
        <v>1</v>
      </c>
      <c r="E72" s="8" t="s">
        <v>5986</v>
      </c>
      <c r="F72" t="s">
        <v>6575</v>
      </c>
      <c r="G72" s="8" t="s">
        <v>5986</v>
      </c>
      <c r="H72" t="s">
        <v>6575</v>
      </c>
      <c r="I72">
        <v>0</v>
      </c>
      <c r="J72" t="s">
        <v>3457</v>
      </c>
      <c r="K72" t="s">
        <v>5985</v>
      </c>
      <c r="L72" t="s">
        <v>90</v>
      </c>
      <c r="M72" t="s">
        <v>5495</v>
      </c>
      <c r="N72" t="s">
        <v>3457</v>
      </c>
      <c r="O72" t="s">
        <v>5987</v>
      </c>
    </row>
    <row r="73" spans="1:15" x14ac:dyDescent="0.25">
      <c r="A73" t="s">
        <v>5988</v>
      </c>
      <c r="B73" t="s">
        <v>3513</v>
      </c>
      <c r="C73" t="s">
        <v>5359</v>
      </c>
      <c r="D73">
        <v>1</v>
      </c>
      <c r="E73" s="8" t="s">
        <v>6576</v>
      </c>
      <c r="F73" t="s">
        <v>6577</v>
      </c>
      <c r="G73" s="8" t="s">
        <v>6578</v>
      </c>
      <c r="H73" t="s">
        <v>6579</v>
      </c>
      <c r="I73">
        <v>1</v>
      </c>
      <c r="J73" t="s">
        <v>3457</v>
      </c>
      <c r="K73" t="s">
        <v>5988</v>
      </c>
      <c r="L73" t="s">
        <v>90</v>
      </c>
      <c r="M73" t="s">
        <v>3457</v>
      </c>
      <c r="N73" t="s">
        <v>3457</v>
      </c>
      <c r="O73" t="s">
        <v>5991</v>
      </c>
    </row>
    <row r="74" spans="1:15" x14ac:dyDescent="0.25">
      <c r="A74" t="s">
        <v>5992</v>
      </c>
      <c r="B74" t="s">
        <v>3501</v>
      </c>
      <c r="C74" t="s">
        <v>5721</v>
      </c>
      <c r="D74">
        <v>1</v>
      </c>
      <c r="E74" s="8" t="s">
        <v>6580</v>
      </c>
      <c r="F74" t="s">
        <v>6581</v>
      </c>
      <c r="G74" s="8" t="s">
        <v>6582</v>
      </c>
      <c r="H74" t="s">
        <v>6583</v>
      </c>
      <c r="I74" t="s">
        <v>3457</v>
      </c>
      <c r="J74" t="s">
        <v>6399</v>
      </c>
      <c r="K74" t="s">
        <v>5992</v>
      </c>
      <c r="L74" t="s">
        <v>90</v>
      </c>
      <c r="M74" t="s">
        <v>5495</v>
      </c>
      <c r="N74" t="s">
        <v>3457</v>
      </c>
      <c r="O74" t="s">
        <v>5995</v>
      </c>
    </row>
    <row r="75" spans="1:15" x14ac:dyDescent="0.25">
      <c r="A75" t="s">
        <v>5205</v>
      </c>
      <c r="B75" t="s">
        <v>3513</v>
      </c>
      <c r="C75" t="s">
        <v>4596</v>
      </c>
      <c r="D75">
        <v>1</v>
      </c>
      <c r="E75" s="8" t="s">
        <v>6584</v>
      </c>
      <c r="F75" t="s">
        <v>6585</v>
      </c>
      <c r="G75" s="8" t="s">
        <v>6586</v>
      </c>
      <c r="H75" t="s">
        <v>6587</v>
      </c>
      <c r="I75">
        <v>1</v>
      </c>
      <c r="J75" t="s">
        <v>3457</v>
      </c>
      <c r="K75" t="s">
        <v>5207</v>
      </c>
      <c r="L75" t="s">
        <v>90</v>
      </c>
      <c r="M75" t="s">
        <v>3457</v>
      </c>
      <c r="N75" t="s">
        <v>3457</v>
      </c>
      <c r="O75" t="s">
        <v>5998</v>
      </c>
    </row>
    <row r="76" spans="1:15" x14ac:dyDescent="0.25">
      <c r="A76" t="s">
        <v>5999</v>
      </c>
      <c r="B76" t="s">
        <v>3501</v>
      </c>
      <c r="C76" t="s">
        <v>5721</v>
      </c>
      <c r="D76">
        <v>2</v>
      </c>
      <c r="E76" s="8" t="s">
        <v>6588</v>
      </c>
      <c r="F76" t="s">
        <v>6589</v>
      </c>
      <c r="G76" s="8" t="s">
        <v>6590</v>
      </c>
      <c r="H76" t="s">
        <v>6591</v>
      </c>
      <c r="I76">
        <v>2</v>
      </c>
      <c r="J76" t="s">
        <v>6416</v>
      </c>
      <c r="K76" t="s">
        <v>6002</v>
      </c>
      <c r="L76" t="s">
        <v>90</v>
      </c>
      <c r="M76" t="s">
        <v>5495</v>
      </c>
      <c r="N76" t="s">
        <v>4260</v>
      </c>
      <c r="O76" t="s">
        <v>6003</v>
      </c>
    </row>
    <row r="77" spans="1:15" x14ac:dyDescent="0.25">
      <c r="A77" t="s">
        <v>6006</v>
      </c>
      <c r="B77" t="s">
        <v>3513</v>
      </c>
      <c r="C77" t="s">
        <v>5721</v>
      </c>
      <c r="D77">
        <v>1</v>
      </c>
      <c r="E77" s="8" t="s">
        <v>6592</v>
      </c>
      <c r="F77" t="s">
        <v>6593</v>
      </c>
      <c r="G77" s="8" t="s">
        <v>6594</v>
      </c>
      <c r="H77" t="s">
        <v>6595</v>
      </c>
      <c r="I77" t="s">
        <v>3457</v>
      </c>
      <c r="J77" t="s">
        <v>6391</v>
      </c>
      <c r="K77" t="s">
        <v>6006</v>
      </c>
      <c r="L77" t="s">
        <v>90</v>
      </c>
      <c r="M77" t="s">
        <v>3457</v>
      </c>
      <c r="N77" t="s">
        <v>3457</v>
      </c>
      <c r="O77" t="s">
        <v>6596</v>
      </c>
    </row>
    <row r="78" spans="1:15" x14ac:dyDescent="0.25">
      <c r="A78" t="s">
        <v>5208</v>
      </c>
      <c r="B78" t="s">
        <v>3513</v>
      </c>
      <c r="C78" t="s">
        <v>4596</v>
      </c>
      <c r="D78">
        <v>1</v>
      </c>
      <c r="E78" s="8" t="s">
        <v>6597</v>
      </c>
      <c r="F78" t="s">
        <v>6598</v>
      </c>
      <c r="G78" s="8" t="s">
        <v>6599</v>
      </c>
      <c r="H78" t="s">
        <v>6600</v>
      </c>
      <c r="I78">
        <v>1</v>
      </c>
      <c r="J78" t="s">
        <v>3457</v>
      </c>
      <c r="K78" t="s">
        <v>5210</v>
      </c>
      <c r="L78" t="s">
        <v>90</v>
      </c>
      <c r="M78" t="s">
        <v>3457</v>
      </c>
      <c r="N78" t="s">
        <v>3457</v>
      </c>
      <c r="O78" t="s">
        <v>6011</v>
      </c>
    </row>
    <row r="79" spans="1:15" x14ac:dyDescent="0.25">
      <c r="A79" t="s">
        <v>5211</v>
      </c>
      <c r="B79" t="s">
        <v>3513</v>
      </c>
      <c r="C79" t="s">
        <v>5359</v>
      </c>
      <c r="D79">
        <v>2</v>
      </c>
      <c r="E79" s="8" t="s">
        <v>6601</v>
      </c>
      <c r="F79" t="s">
        <v>6602</v>
      </c>
      <c r="G79" s="8" t="s">
        <v>6603</v>
      </c>
      <c r="H79" t="s">
        <v>6604</v>
      </c>
      <c r="I79">
        <v>2</v>
      </c>
      <c r="J79" t="s">
        <v>3457</v>
      </c>
      <c r="K79" t="s">
        <v>5213</v>
      </c>
      <c r="L79" t="s">
        <v>90</v>
      </c>
      <c r="M79" t="s">
        <v>3457</v>
      </c>
      <c r="N79" t="s">
        <v>4260</v>
      </c>
      <c r="O79" t="s">
        <v>5738</v>
      </c>
    </row>
    <row r="80" spans="1:15" x14ac:dyDescent="0.25">
      <c r="A80" t="s">
        <v>6014</v>
      </c>
      <c r="B80" t="s">
        <v>3513</v>
      </c>
      <c r="C80" t="s">
        <v>5721</v>
      </c>
      <c r="D80">
        <v>1</v>
      </c>
      <c r="E80" s="8" t="s">
        <v>6605</v>
      </c>
      <c r="F80" t="s">
        <v>6606</v>
      </c>
      <c r="G80" s="8" t="s">
        <v>6607</v>
      </c>
      <c r="H80" t="s">
        <v>6608</v>
      </c>
      <c r="I80">
        <v>1</v>
      </c>
      <c r="J80" t="s">
        <v>6416</v>
      </c>
      <c r="K80" t="s">
        <v>6014</v>
      </c>
      <c r="L80" t="s">
        <v>90</v>
      </c>
      <c r="M80" t="s">
        <v>3457</v>
      </c>
      <c r="N80" t="s">
        <v>3457</v>
      </c>
      <c r="O80" t="s">
        <v>6596</v>
      </c>
    </row>
    <row r="81" spans="1:15" x14ac:dyDescent="0.25">
      <c r="A81" t="s">
        <v>6017</v>
      </c>
      <c r="B81" t="s">
        <v>41</v>
      </c>
      <c r="C81" t="s">
        <v>5359</v>
      </c>
      <c r="D81">
        <v>0</v>
      </c>
      <c r="E81" s="8" t="s">
        <v>6609</v>
      </c>
      <c r="F81" t="s">
        <v>6610</v>
      </c>
      <c r="G81" s="8" t="s">
        <v>6611</v>
      </c>
      <c r="H81" t="s">
        <v>6612</v>
      </c>
      <c r="I81" t="s">
        <v>3457</v>
      </c>
      <c r="J81" t="s">
        <v>3457</v>
      </c>
      <c r="K81" t="s">
        <v>6017</v>
      </c>
      <c r="L81" t="s">
        <v>90</v>
      </c>
      <c r="M81" t="s">
        <v>3457</v>
      </c>
      <c r="N81" t="s">
        <v>3457</v>
      </c>
      <c r="O81" t="s">
        <v>6058</v>
      </c>
    </row>
    <row r="82" spans="1:15" x14ac:dyDescent="0.25">
      <c r="A82" t="s">
        <v>6020</v>
      </c>
      <c r="B82" t="s">
        <v>41</v>
      </c>
      <c r="C82" t="s">
        <v>5721</v>
      </c>
      <c r="D82">
        <v>1</v>
      </c>
      <c r="E82" s="8" t="s">
        <v>6613</v>
      </c>
      <c r="F82" t="s">
        <v>6614</v>
      </c>
      <c r="G82" s="8" t="s">
        <v>6615</v>
      </c>
      <c r="H82" t="s">
        <v>6616</v>
      </c>
      <c r="I82" t="s">
        <v>3457</v>
      </c>
      <c r="J82" t="s">
        <v>6391</v>
      </c>
      <c r="K82" t="s">
        <v>6023</v>
      </c>
      <c r="L82" t="s">
        <v>90</v>
      </c>
      <c r="M82" t="s">
        <v>3457</v>
      </c>
      <c r="N82" t="s">
        <v>3457</v>
      </c>
      <c r="O82" t="s">
        <v>6024</v>
      </c>
    </row>
    <row r="83" spans="1:15" x14ac:dyDescent="0.25">
      <c r="A83" t="s">
        <v>6028</v>
      </c>
      <c r="B83" t="s">
        <v>3513</v>
      </c>
      <c r="C83" t="s">
        <v>5359</v>
      </c>
      <c r="D83">
        <v>1</v>
      </c>
      <c r="E83" s="8" t="s">
        <v>6617</v>
      </c>
      <c r="F83" t="s">
        <v>6450</v>
      </c>
      <c r="G83" s="8" t="s">
        <v>6618</v>
      </c>
      <c r="H83" t="s">
        <v>6451</v>
      </c>
      <c r="I83" t="s">
        <v>3457</v>
      </c>
      <c r="J83" t="s">
        <v>3457</v>
      </c>
      <c r="K83" t="s">
        <v>6031</v>
      </c>
      <c r="L83" t="s">
        <v>90</v>
      </c>
      <c r="M83" t="s">
        <v>5421</v>
      </c>
      <c r="N83" t="s">
        <v>3457</v>
      </c>
      <c r="O83" t="s">
        <v>5738</v>
      </c>
    </row>
    <row r="84" spans="1:15" x14ac:dyDescent="0.25">
      <c r="A84" t="s">
        <v>6033</v>
      </c>
      <c r="B84" t="s">
        <v>3501</v>
      </c>
      <c r="C84" t="s">
        <v>5721</v>
      </c>
      <c r="D84">
        <v>1</v>
      </c>
      <c r="E84" s="8" t="s">
        <v>6619</v>
      </c>
      <c r="F84" t="s">
        <v>6620</v>
      </c>
      <c r="G84" s="8" t="s">
        <v>6621</v>
      </c>
      <c r="H84" t="s">
        <v>6622</v>
      </c>
      <c r="I84" t="s">
        <v>3457</v>
      </c>
      <c r="J84" t="s">
        <v>6416</v>
      </c>
      <c r="K84" t="s">
        <v>6036</v>
      </c>
      <c r="L84" t="s">
        <v>90</v>
      </c>
      <c r="M84" t="s">
        <v>3457</v>
      </c>
      <c r="N84" t="s">
        <v>3457</v>
      </c>
      <c r="O84" t="s">
        <v>5776</v>
      </c>
    </row>
    <row r="85" spans="1:15" x14ac:dyDescent="0.25">
      <c r="A85" t="s">
        <v>6037</v>
      </c>
      <c r="B85" t="s">
        <v>41</v>
      </c>
      <c r="C85" t="s">
        <v>5721</v>
      </c>
      <c r="D85">
        <v>0</v>
      </c>
      <c r="E85" s="8" t="s">
        <v>6623</v>
      </c>
      <c r="F85" t="s">
        <v>6624</v>
      </c>
      <c r="G85" s="8" t="s">
        <v>6625</v>
      </c>
      <c r="H85" t="s">
        <v>6626</v>
      </c>
      <c r="I85">
        <v>0</v>
      </c>
      <c r="J85" t="s">
        <v>6483</v>
      </c>
      <c r="K85" t="s">
        <v>6040</v>
      </c>
      <c r="L85" t="s">
        <v>90</v>
      </c>
      <c r="M85" t="s">
        <v>3457</v>
      </c>
      <c r="N85" t="s">
        <v>3457</v>
      </c>
      <c r="O85" t="s">
        <v>5767</v>
      </c>
    </row>
    <row r="86" spans="1:15" x14ac:dyDescent="0.25">
      <c r="A86" t="s">
        <v>6041</v>
      </c>
      <c r="B86" t="s">
        <v>3501</v>
      </c>
      <c r="C86" t="s">
        <v>5721</v>
      </c>
      <c r="D86">
        <v>0</v>
      </c>
      <c r="E86" s="8" t="s">
        <v>6627</v>
      </c>
      <c r="F86" t="s">
        <v>6628</v>
      </c>
      <c r="G86" s="8" t="s">
        <v>6629</v>
      </c>
      <c r="H86" t="s">
        <v>6630</v>
      </c>
      <c r="I86">
        <v>0</v>
      </c>
      <c r="J86" t="s">
        <v>6631</v>
      </c>
      <c r="K86" t="s">
        <v>6044</v>
      </c>
      <c r="L86" t="s">
        <v>90</v>
      </c>
      <c r="M86" t="s">
        <v>3457</v>
      </c>
      <c r="N86" t="s">
        <v>3457</v>
      </c>
      <c r="O86" t="s">
        <v>5895</v>
      </c>
    </row>
    <row r="87" spans="1:15" x14ac:dyDescent="0.25">
      <c r="A87" t="s">
        <v>5115</v>
      </c>
      <c r="B87" t="s">
        <v>4296</v>
      </c>
      <c r="C87" t="s">
        <v>4244</v>
      </c>
      <c r="D87" t="s">
        <v>3996</v>
      </c>
      <c r="E87" t="s">
        <v>6632</v>
      </c>
      <c r="F87" t="s">
        <v>4214</v>
      </c>
      <c r="G87" t="s">
        <v>3457</v>
      </c>
      <c r="H87" t="s">
        <v>3457</v>
      </c>
      <c r="I87" t="s">
        <v>3457</v>
      </c>
      <c r="J87" t="s">
        <v>3457</v>
      </c>
      <c r="K87" t="s">
        <v>5115</v>
      </c>
      <c r="L87" t="s">
        <v>38</v>
      </c>
      <c r="M87" t="s">
        <v>6633</v>
      </c>
      <c r="N87" t="s">
        <v>3457</v>
      </c>
    </row>
    <row r="88" spans="1:15" x14ac:dyDescent="0.25">
      <c r="A88" t="s">
        <v>5131</v>
      </c>
      <c r="B88" t="s">
        <v>4296</v>
      </c>
      <c r="C88" t="s">
        <v>4244</v>
      </c>
      <c r="D88" t="s">
        <v>3996</v>
      </c>
      <c r="E88" t="s">
        <v>6634</v>
      </c>
      <c r="F88" t="s">
        <v>6635</v>
      </c>
      <c r="G88" t="s">
        <v>3457</v>
      </c>
      <c r="H88" t="s">
        <v>3457</v>
      </c>
      <c r="I88" t="s">
        <v>3457</v>
      </c>
      <c r="J88" t="s">
        <v>3457</v>
      </c>
      <c r="K88" t="s">
        <v>5131</v>
      </c>
      <c r="L88" t="s">
        <v>38</v>
      </c>
      <c r="M88" t="s">
        <v>5462</v>
      </c>
      <c r="N88" t="s">
        <v>3457</v>
      </c>
      <c r="O88" t="s">
        <v>5869</v>
      </c>
    </row>
    <row r="89" spans="1:15" x14ac:dyDescent="0.25">
      <c r="A89" t="s">
        <v>6046</v>
      </c>
      <c r="B89" t="s">
        <v>41</v>
      </c>
      <c r="C89" t="s">
        <v>5359</v>
      </c>
      <c r="D89">
        <v>1</v>
      </c>
      <c r="E89" s="8" t="s">
        <v>6047</v>
      </c>
      <c r="F89" t="s">
        <v>6636</v>
      </c>
      <c r="G89" s="8" t="s">
        <v>6047</v>
      </c>
      <c r="H89" t="s">
        <v>6636</v>
      </c>
      <c r="I89">
        <v>0</v>
      </c>
      <c r="J89" t="s">
        <v>3457</v>
      </c>
      <c r="K89" t="s">
        <v>6046</v>
      </c>
      <c r="L89" t="s">
        <v>90</v>
      </c>
      <c r="M89" t="s">
        <v>3457</v>
      </c>
      <c r="N89" t="s">
        <v>3457</v>
      </c>
      <c r="O89" t="s">
        <v>6003</v>
      </c>
    </row>
    <row r="90" spans="1:15" x14ac:dyDescent="0.25">
      <c r="A90" t="s">
        <v>6048</v>
      </c>
      <c r="B90" t="s">
        <v>41</v>
      </c>
      <c r="C90" t="s">
        <v>5721</v>
      </c>
      <c r="D90">
        <v>1</v>
      </c>
      <c r="E90" s="8" t="s">
        <v>6049</v>
      </c>
      <c r="F90" t="s">
        <v>6637</v>
      </c>
      <c r="G90" s="8" t="s">
        <v>6050</v>
      </c>
      <c r="H90" t="s">
        <v>6638</v>
      </c>
      <c r="I90">
        <v>1</v>
      </c>
      <c r="J90" t="s">
        <v>6399</v>
      </c>
      <c r="K90" t="s">
        <v>6048</v>
      </c>
      <c r="L90" t="s">
        <v>90</v>
      </c>
      <c r="M90" t="s">
        <v>3457</v>
      </c>
      <c r="N90" t="s">
        <v>3457</v>
      </c>
      <c r="O90" t="s">
        <v>5734</v>
      </c>
    </row>
    <row r="91" spans="1:15" x14ac:dyDescent="0.25">
      <c r="A91" t="s">
        <v>6054</v>
      </c>
      <c r="B91" t="s">
        <v>41</v>
      </c>
      <c r="C91" t="s">
        <v>5721</v>
      </c>
      <c r="D91">
        <v>2</v>
      </c>
      <c r="E91" t="s">
        <v>6055</v>
      </c>
      <c r="F91" t="s">
        <v>6639</v>
      </c>
      <c r="G91" t="s">
        <v>6056</v>
      </c>
      <c r="H91" t="s">
        <v>6640</v>
      </c>
      <c r="I91">
        <v>2</v>
      </c>
      <c r="J91" t="s">
        <v>6422</v>
      </c>
      <c r="K91" t="s">
        <v>6057</v>
      </c>
      <c r="L91" t="s">
        <v>90</v>
      </c>
      <c r="M91" t="s">
        <v>3457</v>
      </c>
      <c r="N91" t="s">
        <v>3457</v>
      </c>
      <c r="O91" t="s">
        <v>6058</v>
      </c>
    </row>
    <row r="92" spans="1:15" x14ac:dyDescent="0.25">
      <c r="A92" t="s">
        <v>6059</v>
      </c>
      <c r="B92" t="s">
        <v>3513</v>
      </c>
      <c r="C92" t="s">
        <v>5721</v>
      </c>
      <c r="D92">
        <v>1</v>
      </c>
      <c r="E92" s="8" t="s">
        <v>6641</v>
      </c>
      <c r="F92" t="s">
        <v>6642</v>
      </c>
      <c r="G92" s="8" t="s">
        <v>6643</v>
      </c>
      <c r="H92" t="s">
        <v>6644</v>
      </c>
      <c r="I92">
        <v>1</v>
      </c>
      <c r="J92" t="s">
        <v>6399</v>
      </c>
      <c r="K92" t="s">
        <v>6062</v>
      </c>
      <c r="L92" t="s">
        <v>90</v>
      </c>
      <c r="M92" t="s">
        <v>3457</v>
      </c>
      <c r="N92" t="s">
        <v>3457</v>
      </c>
      <c r="O92" t="s">
        <v>6645</v>
      </c>
    </row>
    <row r="93" spans="1:15" x14ac:dyDescent="0.25">
      <c r="A93" t="s">
        <v>6063</v>
      </c>
      <c r="B93" t="s">
        <v>3513</v>
      </c>
      <c r="C93" t="s">
        <v>5721</v>
      </c>
      <c r="D93">
        <v>1</v>
      </c>
      <c r="E93" s="8" t="s">
        <v>6064</v>
      </c>
      <c r="F93" t="s">
        <v>6646</v>
      </c>
      <c r="G93" s="8" t="s">
        <v>6065</v>
      </c>
      <c r="H93" t="s">
        <v>6647</v>
      </c>
      <c r="I93">
        <v>1</v>
      </c>
      <c r="J93" t="s">
        <v>6416</v>
      </c>
      <c r="K93" t="s">
        <v>6063</v>
      </c>
      <c r="L93" t="s">
        <v>90</v>
      </c>
      <c r="M93" t="s">
        <v>3457</v>
      </c>
      <c r="N93" t="s">
        <v>5382</v>
      </c>
      <c r="O93" t="s">
        <v>6648</v>
      </c>
    </row>
    <row r="94" spans="1:15" x14ac:dyDescent="0.25">
      <c r="A94" t="s">
        <v>6066</v>
      </c>
      <c r="B94" t="s">
        <v>41</v>
      </c>
      <c r="C94" t="s">
        <v>5359</v>
      </c>
      <c r="D94">
        <v>1</v>
      </c>
      <c r="E94" s="8" t="s">
        <v>6649</v>
      </c>
      <c r="F94" t="s">
        <v>6650</v>
      </c>
      <c r="G94" s="8" t="s">
        <v>6651</v>
      </c>
      <c r="H94" t="s">
        <v>6652</v>
      </c>
      <c r="I94">
        <v>1</v>
      </c>
      <c r="J94" t="s">
        <v>3457</v>
      </c>
      <c r="K94" t="s">
        <v>6066</v>
      </c>
      <c r="L94" t="s">
        <v>90</v>
      </c>
      <c r="M94" t="s">
        <v>3457</v>
      </c>
      <c r="N94" t="s">
        <v>3457</v>
      </c>
      <c r="O94" t="s">
        <v>6069</v>
      </c>
    </row>
    <row r="95" spans="1:15" x14ac:dyDescent="0.25">
      <c r="A95" t="s">
        <v>6070</v>
      </c>
      <c r="B95" t="s">
        <v>3501</v>
      </c>
      <c r="C95" t="s">
        <v>5721</v>
      </c>
      <c r="D95">
        <v>2</v>
      </c>
      <c r="E95" s="8" t="s">
        <v>6071</v>
      </c>
      <c r="F95" t="s">
        <v>6653</v>
      </c>
      <c r="G95" s="8" t="s">
        <v>6072</v>
      </c>
      <c r="H95" t="s">
        <v>6654</v>
      </c>
      <c r="I95">
        <v>2</v>
      </c>
      <c r="J95" t="s">
        <v>6655</v>
      </c>
      <c r="K95" t="s">
        <v>6070</v>
      </c>
      <c r="L95" t="s">
        <v>90</v>
      </c>
      <c r="M95" t="s">
        <v>3457</v>
      </c>
      <c r="N95" t="s">
        <v>4260</v>
      </c>
      <c r="O95" t="s">
        <v>5858</v>
      </c>
    </row>
    <row r="96" spans="1:15" x14ac:dyDescent="0.25">
      <c r="A96" t="s">
        <v>6073</v>
      </c>
      <c r="B96" t="s">
        <v>3501</v>
      </c>
      <c r="C96" t="s">
        <v>5359</v>
      </c>
      <c r="D96">
        <v>2</v>
      </c>
      <c r="E96" s="8" t="s">
        <v>6074</v>
      </c>
      <c r="F96" t="s">
        <v>6656</v>
      </c>
      <c r="G96" s="8" t="s">
        <v>6075</v>
      </c>
      <c r="H96" t="s">
        <v>6657</v>
      </c>
      <c r="I96">
        <v>2</v>
      </c>
      <c r="J96" t="s">
        <v>3457</v>
      </c>
      <c r="K96" t="s">
        <v>6073</v>
      </c>
      <c r="L96" t="s">
        <v>90</v>
      </c>
      <c r="M96" t="s">
        <v>5495</v>
      </c>
      <c r="N96" t="s">
        <v>3457</v>
      </c>
      <c r="O96" t="s">
        <v>5998</v>
      </c>
    </row>
    <row r="97" spans="1:15" x14ac:dyDescent="0.25">
      <c r="A97" t="s">
        <v>6076</v>
      </c>
      <c r="B97" t="s">
        <v>3513</v>
      </c>
      <c r="C97" t="s">
        <v>5359</v>
      </c>
      <c r="D97">
        <v>1</v>
      </c>
      <c r="E97" s="8" t="s">
        <v>6077</v>
      </c>
      <c r="F97" t="s">
        <v>6658</v>
      </c>
      <c r="G97" s="8" t="s">
        <v>6077</v>
      </c>
      <c r="H97" t="s">
        <v>6658</v>
      </c>
      <c r="I97">
        <v>0</v>
      </c>
      <c r="J97" t="s">
        <v>3457</v>
      </c>
      <c r="K97" t="s">
        <v>6078</v>
      </c>
      <c r="L97" t="s">
        <v>90</v>
      </c>
      <c r="M97" t="s">
        <v>5495</v>
      </c>
      <c r="N97" t="s">
        <v>3457</v>
      </c>
      <c r="O97" t="s">
        <v>6079</v>
      </c>
    </row>
    <row r="98" spans="1:15" x14ac:dyDescent="0.25">
      <c r="A98" t="s">
        <v>6084</v>
      </c>
      <c r="B98" t="s">
        <v>3513</v>
      </c>
      <c r="C98" t="s">
        <v>4596</v>
      </c>
      <c r="D98">
        <v>1</v>
      </c>
      <c r="E98" t="s">
        <v>6085</v>
      </c>
      <c r="F98" t="s">
        <v>6659</v>
      </c>
      <c r="G98" t="s">
        <v>6086</v>
      </c>
      <c r="H98" t="s">
        <v>6660</v>
      </c>
      <c r="I98">
        <v>1</v>
      </c>
      <c r="J98" t="s">
        <v>3457</v>
      </c>
      <c r="K98" t="s">
        <v>6084</v>
      </c>
      <c r="L98" t="s">
        <v>90</v>
      </c>
      <c r="M98" t="s">
        <v>3457</v>
      </c>
      <c r="N98" t="s">
        <v>3457</v>
      </c>
      <c r="O98" t="s">
        <v>5926</v>
      </c>
    </row>
    <row r="99" spans="1:15" x14ac:dyDescent="0.25">
      <c r="A99" t="s">
        <v>4252</v>
      </c>
      <c r="B99" t="s">
        <v>4296</v>
      </c>
      <c r="C99" t="s">
        <v>4244</v>
      </c>
      <c r="D99" t="s">
        <v>3996</v>
      </c>
      <c r="E99" t="s">
        <v>6087</v>
      </c>
      <c r="F99" t="s">
        <v>4214</v>
      </c>
      <c r="G99" t="s">
        <v>3457</v>
      </c>
      <c r="H99" t="s">
        <v>3457</v>
      </c>
      <c r="I99" t="s">
        <v>3457</v>
      </c>
      <c r="J99" t="s">
        <v>3457</v>
      </c>
      <c r="K99" t="s">
        <v>4252</v>
      </c>
      <c r="L99" t="s">
        <v>90</v>
      </c>
      <c r="M99" t="s">
        <v>5462</v>
      </c>
      <c r="N99" t="s">
        <v>3457</v>
      </c>
      <c r="O99" t="s">
        <v>5869</v>
      </c>
    </row>
    <row r="100" spans="1:15" x14ac:dyDescent="0.25">
      <c r="A100" t="s">
        <v>6088</v>
      </c>
      <c r="B100" t="s">
        <v>3513</v>
      </c>
      <c r="C100" t="s">
        <v>5359</v>
      </c>
      <c r="D100">
        <v>0</v>
      </c>
      <c r="E100" s="8" t="s">
        <v>6089</v>
      </c>
      <c r="F100" t="s">
        <v>6661</v>
      </c>
      <c r="G100" s="8" t="s">
        <v>6090</v>
      </c>
      <c r="H100" t="s">
        <v>6662</v>
      </c>
      <c r="I100">
        <v>0</v>
      </c>
      <c r="J100" t="s">
        <v>3457</v>
      </c>
      <c r="K100" t="s">
        <v>6088</v>
      </c>
      <c r="L100" t="s">
        <v>90</v>
      </c>
      <c r="M100" t="s">
        <v>5495</v>
      </c>
      <c r="N100" t="s">
        <v>3457</v>
      </c>
      <c r="O100" t="s">
        <v>5936</v>
      </c>
    </row>
    <row r="101" spans="1:15" x14ac:dyDescent="0.25">
      <c r="A101" t="s">
        <v>6091</v>
      </c>
      <c r="B101" t="s">
        <v>41</v>
      </c>
      <c r="C101" t="s">
        <v>5721</v>
      </c>
      <c r="D101">
        <v>1</v>
      </c>
      <c r="E101" t="s">
        <v>6092</v>
      </c>
      <c r="F101" t="s">
        <v>6663</v>
      </c>
      <c r="G101" t="s">
        <v>6093</v>
      </c>
      <c r="H101" t="s">
        <v>6664</v>
      </c>
      <c r="I101">
        <v>1</v>
      </c>
      <c r="J101" t="s">
        <v>6665</v>
      </c>
      <c r="K101" t="s">
        <v>6094</v>
      </c>
      <c r="L101" t="s">
        <v>90</v>
      </c>
      <c r="M101" t="s">
        <v>3457</v>
      </c>
      <c r="N101" t="s">
        <v>3457</v>
      </c>
      <c r="O101" t="s">
        <v>6095</v>
      </c>
    </row>
    <row r="102" spans="1:15" x14ac:dyDescent="0.25">
      <c r="A102" t="s">
        <v>6106</v>
      </c>
      <c r="B102" t="s">
        <v>41</v>
      </c>
      <c r="C102" t="s">
        <v>5359</v>
      </c>
      <c r="D102">
        <v>1</v>
      </c>
      <c r="E102" t="s">
        <v>6107</v>
      </c>
      <c r="F102" t="s">
        <v>6666</v>
      </c>
      <c r="G102" t="s">
        <v>6108</v>
      </c>
      <c r="H102" t="s">
        <v>6667</v>
      </c>
      <c r="I102">
        <v>1</v>
      </c>
      <c r="J102" t="s">
        <v>3457</v>
      </c>
      <c r="K102" t="s">
        <v>6106</v>
      </c>
      <c r="L102" t="s">
        <v>90</v>
      </c>
      <c r="M102" t="s">
        <v>3457</v>
      </c>
      <c r="N102" t="s">
        <v>3457</v>
      </c>
      <c r="O102" t="s">
        <v>5818</v>
      </c>
    </row>
    <row r="103" spans="1:15" x14ac:dyDescent="0.25">
      <c r="A103" t="s">
        <v>6109</v>
      </c>
      <c r="B103" t="s">
        <v>3513</v>
      </c>
      <c r="C103" t="s">
        <v>5359</v>
      </c>
      <c r="D103">
        <v>2</v>
      </c>
      <c r="E103" s="8" t="s">
        <v>6668</v>
      </c>
      <c r="F103" t="s">
        <v>6669</v>
      </c>
      <c r="G103" s="8" t="s">
        <v>6670</v>
      </c>
      <c r="H103" t="s">
        <v>6671</v>
      </c>
      <c r="I103">
        <v>2</v>
      </c>
      <c r="J103" t="s">
        <v>3457</v>
      </c>
      <c r="K103" t="s">
        <v>6112</v>
      </c>
      <c r="L103" t="s">
        <v>90</v>
      </c>
      <c r="M103" t="s">
        <v>3457</v>
      </c>
      <c r="N103" t="s">
        <v>3457</v>
      </c>
      <c r="O103" t="s">
        <v>6113</v>
      </c>
    </row>
    <row r="104" spans="1:15" x14ac:dyDescent="0.25">
      <c r="A104" t="s">
        <v>4692</v>
      </c>
      <c r="B104" t="s">
        <v>41</v>
      </c>
      <c r="C104" t="s">
        <v>5721</v>
      </c>
      <c r="D104">
        <v>2</v>
      </c>
      <c r="E104" t="s">
        <v>6672</v>
      </c>
      <c r="F104" t="s">
        <v>6673</v>
      </c>
      <c r="G104" t="s">
        <v>6672</v>
      </c>
      <c r="H104" t="s">
        <v>6673</v>
      </c>
      <c r="I104">
        <v>2</v>
      </c>
      <c r="J104" t="s">
        <v>6674</v>
      </c>
      <c r="K104" t="s">
        <v>4695</v>
      </c>
      <c r="L104" t="s">
        <v>1046</v>
      </c>
      <c r="M104" t="s">
        <v>3457</v>
      </c>
      <c r="N104" t="s">
        <v>4260</v>
      </c>
      <c r="O104" t="s">
        <v>5754</v>
      </c>
    </row>
    <row r="105" spans="1:15" x14ac:dyDescent="0.25">
      <c r="A105" t="s">
        <v>6115</v>
      </c>
      <c r="B105" t="s">
        <v>3501</v>
      </c>
      <c r="C105" t="s">
        <v>5359</v>
      </c>
      <c r="D105">
        <v>1</v>
      </c>
      <c r="E105" s="8" t="s">
        <v>6116</v>
      </c>
      <c r="F105" t="s">
        <v>6675</v>
      </c>
      <c r="G105" s="8" t="s">
        <v>6117</v>
      </c>
      <c r="H105" t="s">
        <v>6676</v>
      </c>
      <c r="I105">
        <v>1</v>
      </c>
      <c r="J105" t="s">
        <v>3457</v>
      </c>
      <c r="K105" t="s">
        <v>6118</v>
      </c>
      <c r="L105" t="s">
        <v>90</v>
      </c>
      <c r="M105" t="s">
        <v>3457</v>
      </c>
      <c r="N105" t="s">
        <v>3457</v>
      </c>
      <c r="O105" t="s">
        <v>5926</v>
      </c>
    </row>
    <row r="106" spans="1:15" x14ac:dyDescent="0.25">
      <c r="A106" t="s">
        <v>4701</v>
      </c>
      <c r="B106" t="s">
        <v>41</v>
      </c>
      <c r="C106" t="s">
        <v>5721</v>
      </c>
      <c r="D106">
        <v>1</v>
      </c>
      <c r="E106" s="8" t="s">
        <v>6677</v>
      </c>
      <c r="F106" t="s">
        <v>6678</v>
      </c>
      <c r="G106" s="8" t="s">
        <v>6677</v>
      </c>
      <c r="H106" t="s">
        <v>6678</v>
      </c>
      <c r="I106">
        <v>1</v>
      </c>
      <c r="J106" t="s">
        <v>6416</v>
      </c>
      <c r="K106" t="s">
        <v>4704</v>
      </c>
      <c r="L106" t="s">
        <v>1046</v>
      </c>
      <c r="M106" t="s">
        <v>3457</v>
      </c>
      <c r="N106" t="s">
        <v>3457</v>
      </c>
      <c r="O106" t="s">
        <v>5754</v>
      </c>
    </row>
    <row r="107" spans="1:15" x14ac:dyDescent="0.25">
      <c r="A107" t="s">
        <v>6127</v>
      </c>
      <c r="B107" t="s">
        <v>3501</v>
      </c>
      <c r="C107" t="s">
        <v>5359</v>
      </c>
      <c r="D107" t="s">
        <v>5945</v>
      </c>
      <c r="E107" s="8" t="s">
        <v>6679</v>
      </c>
      <c r="F107" t="s">
        <v>6680</v>
      </c>
      <c r="G107" s="8" t="s">
        <v>6681</v>
      </c>
      <c r="H107" t="s">
        <v>6682</v>
      </c>
      <c r="I107" t="s">
        <v>5945</v>
      </c>
      <c r="J107" t="s">
        <v>3457</v>
      </c>
      <c r="K107" t="s">
        <v>6127</v>
      </c>
      <c r="L107" t="s">
        <v>90</v>
      </c>
      <c r="M107" t="s">
        <v>5495</v>
      </c>
      <c r="N107" t="s">
        <v>3457</v>
      </c>
      <c r="O107" t="s">
        <v>6130</v>
      </c>
    </row>
    <row r="108" spans="1:15" x14ac:dyDescent="0.25">
      <c r="A108" t="s">
        <v>6131</v>
      </c>
      <c r="B108" t="s">
        <v>3513</v>
      </c>
      <c r="C108" t="s">
        <v>5721</v>
      </c>
      <c r="D108">
        <v>0</v>
      </c>
      <c r="E108" s="8" t="s">
        <v>6132</v>
      </c>
      <c r="F108" t="s">
        <v>6683</v>
      </c>
      <c r="G108" s="8" t="s">
        <v>6133</v>
      </c>
      <c r="H108" t="s">
        <v>6684</v>
      </c>
      <c r="I108">
        <v>0</v>
      </c>
      <c r="J108" t="s">
        <v>6391</v>
      </c>
      <c r="K108" t="s">
        <v>6134</v>
      </c>
      <c r="L108" t="s">
        <v>90</v>
      </c>
      <c r="M108" t="s">
        <v>3457</v>
      </c>
      <c r="N108" t="s">
        <v>3457</v>
      </c>
      <c r="O108" t="s">
        <v>5776</v>
      </c>
    </row>
    <row r="109" spans="1:15" x14ac:dyDescent="0.25">
      <c r="A109" t="s">
        <v>5696</v>
      </c>
      <c r="B109" t="s">
        <v>3545</v>
      </c>
      <c r="C109" t="s">
        <v>5721</v>
      </c>
      <c r="D109">
        <v>0</v>
      </c>
      <c r="E109" t="s">
        <v>6144</v>
      </c>
      <c r="F109" t="s">
        <v>6685</v>
      </c>
      <c r="G109" t="s">
        <v>6145</v>
      </c>
      <c r="H109" t="s">
        <v>6686</v>
      </c>
      <c r="I109">
        <v>0</v>
      </c>
      <c r="J109" t="s">
        <v>6399</v>
      </c>
      <c r="K109" t="s">
        <v>5696</v>
      </c>
      <c r="L109" t="s">
        <v>90</v>
      </c>
      <c r="M109" t="s">
        <v>3457</v>
      </c>
      <c r="N109" t="s">
        <v>3457</v>
      </c>
      <c r="O109" t="s">
        <v>5752</v>
      </c>
    </row>
    <row r="110" spans="1:15" x14ac:dyDescent="0.25">
      <c r="A110" t="s">
        <v>6146</v>
      </c>
      <c r="B110" t="s">
        <v>3501</v>
      </c>
      <c r="C110" t="s">
        <v>5359</v>
      </c>
      <c r="D110">
        <v>3</v>
      </c>
      <c r="E110" s="8" t="s">
        <v>6687</v>
      </c>
      <c r="F110" t="s">
        <v>6688</v>
      </c>
      <c r="G110" s="8" t="s">
        <v>6687</v>
      </c>
      <c r="H110" t="s">
        <v>6688</v>
      </c>
      <c r="I110">
        <v>2</v>
      </c>
      <c r="J110" t="s">
        <v>3457</v>
      </c>
      <c r="K110" t="s">
        <v>6146</v>
      </c>
      <c r="L110" t="s">
        <v>90</v>
      </c>
      <c r="M110" t="s">
        <v>3457</v>
      </c>
      <c r="N110" t="s">
        <v>3457</v>
      </c>
      <c r="O110" t="s">
        <v>5991</v>
      </c>
    </row>
    <row r="111" spans="1:15" x14ac:dyDescent="0.25">
      <c r="A111" t="s">
        <v>6152</v>
      </c>
      <c r="B111" t="s">
        <v>3501</v>
      </c>
      <c r="C111" t="s">
        <v>5359</v>
      </c>
      <c r="D111">
        <v>0</v>
      </c>
      <c r="E111" s="8" t="s">
        <v>6153</v>
      </c>
      <c r="F111" t="s">
        <v>6689</v>
      </c>
      <c r="G111" s="8" t="s">
        <v>6154</v>
      </c>
      <c r="H111" t="s">
        <v>6690</v>
      </c>
      <c r="I111">
        <v>0</v>
      </c>
      <c r="J111" t="s">
        <v>3457</v>
      </c>
      <c r="K111" t="s">
        <v>6152</v>
      </c>
      <c r="L111" t="s">
        <v>90</v>
      </c>
      <c r="M111" t="s">
        <v>5495</v>
      </c>
      <c r="N111" t="s">
        <v>3457</v>
      </c>
      <c r="O111" t="s">
        <v>6155</v>
      </c>
    </row>
    <row r="112" spans="1:15" x14ac:dyDescent="0.25">
      <c r="A112" t="s">
        <v>6156</v>
      </c>
      <c r="B112" t="s">
        <v>41</v>
      </c>
      <c r="C112" t="s">
        <v>5359</v>
      </c>
      <c r="D112">
        <v>1</v>
      </c>
      <c r="E112" s="8" t="s">
        <v>6157</v>
      </c>
      <c r="F112" t="s">
        <v>6691</v>
      </c>
      <c r="G112" s="8" t="s">
        <v>6158</v>
      </c>
      <c r="H112" t="s">
        <v>6692</v>
      </c>
      <c r="I112">
        <v>1</v>
      </c>
      <c r="J112" t="s">
        <v>3457</v>
      </c>
      <c r="K112" t="s">
        <v>6156</v>
      </c>
      <c r="L112" t="s">
        <v>90</v>
      </c>
      <c r="M112" t="s">
        <v>3457</v>
      </c>
      <c r="N112" t="s">
        <v>3457</v>
      </c>
      <c r="O112" t="s">
        <v>5822</v>
      </c>
    </row>
    <row r="113" spans="1:15" x14ac:dyDescent="0.25">
      <c r="A113" t="s">
        <v>6159</v>
      </c>
      <c r="B113" t="s">
        <v>4296</v>
      </c>
      <c r="C113" t="s">
        <v>4244</v>
      </c>
      <c r="D113" t="s">
        <v>3996</v>
      </c>
      <c r="E113" t="s">
        <v>6160</v>
      </c>
      <c r="F113" t="s">
        <v>6693</v>
      </c>
      <c r="G113" t="s">
        <v>3457</v>
      </c>
      <c r="H113" t="s">
        <v>3457</v>
      </c>
      <c r="I113" t="s">
        <v>3457</v>
      </c>
      <c r="J113" t="s">
        <v>3457</v>
      </c>
      <c r="K113" t="s">
        <v>6159</v>
      </c>
      <c r="L113" t="s">
        <v>90</v>
      </c>
      <c r="M113" t="s">
        <v>5462</v>
      </c>
      <c r="N113" t="s">
        <v>3457</v>
      </c>
      <c r="O113" t="s">
        <v>5869</v>
      </c>
    </row>
    <row r="114" spans="1:15" x14ac:dyDescent="0.25">
      <c r="A114" t="s">
        <v>6161</v>
      </c>
      <c r="B114" t="s">
        <v>41</v>
      </c>
      <c r="C114" t="s">
        <v>5721</v>
      </c>
      <c r="D114">
        <v>2</v>
      </c>
      <c r="E114" s="8" t="s">
        <v>6162</v>
      </c>
      <c r="F114" t="s">
        <v>6694</v>
      </c>
      <c r="G114" s="8" t="s">
        <v>6163</v>
      </c>
      <c r="H114" t="s">
        <v>6695</v>
      </c>
      <c r="I114">
        <v>2</v>
      </c>
      <c r="J114" t="s">
        <v>6408</v>
      </c>
      <c r="K114" t="s">
        <v>6164</v>
      </c>
      <c r="L114" t="s">
        <v>90</v>
      </c>
      <c r="M114" t="s">
        <v>3457</v>
      </c>
      <c r="N114" t="s">
        <v>3457</v>
      </c>
      <c r="O114" t="s">
        <v>6058</v>
      </c>
    </row>
    <row r="115" spans="1:15" x14ac:dyDescent="0.25">
      <c r="A115" t="s">
        <v>6165</v>
      </c>
      <c r="B115" t="s">
        <v>3501</v>
      </c>
      <c r="C115" t="s">
        <v>5359</v>
      </c>
      <c r="D115">
        <v>1</v>
      </c>
      <c r="E115" s="8" t="s">
        <v>6166</v>
      </c>
      <c r="F115" t="s">
        <v>6696</v>
      </c>
      <c r="G115" s="8" t="s">
        <v>6166</v>
      </c>
      <c r="H115" t="s">
        <v>6696</v>
      </c>
      <c r="I115">
        <v>0</v>
      </c>
      <c r="J115" t="s">
        <v>3457</v>
      </c>
      <c r="K115" t="s">
        <v>6167</v>
      </c>
      <c r="L115" t="s">
        <v>90</v>
      </c>
      <c r="M115" t="s">
        <v>3457</v>
      </c>
      <c r="N115" t="s">
        <v>3457</v>
      </c>
      <c r="O115" t="s">
        <v>5776</v>
      </c>
    </row>
    <row r="116" spans="1:15" x14ac:dyDescent="0.25">
      <c r="A116" t="s">
        <v>6168</v>
      </c>
      <c r="B116" t="s">
        <v>41</v>
      </c>
      <c r="C116" t="s">
        <v>5359</v>
      </c>
      <c r="D116">
        <v>1</v>
      </c>
      <c r="E116" s="8" t="s">
        <v>6697</v>
      </c>
      <c r="F116" t="s">
        <v>6698</v>
      </c>
      <c r="G116" s="8" t="s">
        <v>6699</v>
      </c>
      <c r="H116" t="s">
        <v>6700</v>
      </c>
      <c r="I116">
        <v>1</v>
      </c>
      <c r="J116" t="s">
        <v>3457</v>
      </c>
      <c r="K116" t="s">
        <v>6171</v>
      </c>
      <c r="L116" t="s">
        <v>90</v>
      </c>
      <c r="M116" t="s">
        <v>5495</v>
      </c>
      <c r="N116" t="s">
        <v>3457</v>
      </c>
      <c r="O116" t="s">
        <v>6130</v>
      </c>
    </row>
    <row r="117" spans="1:15" x14ac:dyDescent="0.25">
      <c r="A117" t="s">
        <v>6172</v>
      </c>
      <c r="B117" t="s">
        <v>41</v>
      </c>
      <c r="C117" t="s">
        <v>5721</v>
      </c>
      <c r="D117">
        <v>1</v>
      </c>
      <c r="E117" s="8" t="s">
        <v>6173</v>
      </c>
      <c r="F117" t="s">
        <v>6701</v>
      </c>
      <c r="G117" s="8" t="s">
        <v>6174</v>
      </c>
      <c r="H117" t="s">
        <v>6702</v>
      </c>
      <c r="I117">
        <v>1</v>
      </c>
      <c r="J117" t="s">
        <v>6399</v>
      </c>
      <c r="K117" t="s">
        <v>6175</v>
      </c>
      <c r="L117" t="s">
        <v>90</v>
      </c>
      <c r="M117" t="s">
        <v>3457</v>
      </c>
      <c r="N117" t="s">
        <v>5253</v>
      </c>
      <c r="O117" t="s">
        <v>5752</v>
      </c>
    </row>
    <row r="118" spans="1:15" x14ac:dyDescent="0.25">
      <c r="A118" t="s">
        <v>6176</v>
      </c>
      <c r="B118" t="s">
        <v>41</v>
      </c>
      <c r="C118" t="s">
        <v>5721</v>
      </c>
      <c r="D118">
        <v>1</v>
      </c>
      <c r="E118" t="s">
        <v>6177</v>
      </c>
      <c r="F118" t="s">
        <v>6703</v>
      </c>
      <c r="G118" t="s">
        <v>6178</v>
      </c>
      <c r="H118" t="s">
        <v>6704</v>
      </c>
      <c r="I118">
        <v>1</v>
      </c>
      <c r="J118" t="s">
        <v>6408</v>
      </c>
      <c r="K118" t="s">
        <v>6179</v>
      </c>
      <c r="L118" t="s">
        <v>90</v>
      </c>
      <c r="M118" t="s">
        <v>3457</v>
      </c>
      <c r="N118" t="s">
        <v>3457</v>
      </c>
      <c r="O118" t="s">
        <v>6705</v>
      </c>
    </row>
    <row r="119" spans="1:15" x14ac:dyDescent="0.25">
      <c r="A119" t="s">
        <v>6181</v>
      </c>
      <c r="B119" t="s">
        <v>3513</v>
      </c>
      <c r="C119" t="s">
        <v>5359</v>
      </c>
      <c r="D119">
        <v>1</v>
      </c>
      <c r="E119" s="8" t="s">
        <v>6182</v>
      </c>
      <c r="F119" t="s">
        <v>6706</v>
      </c>
      <c r="G119" s="8" t="s">
        <v>6183</v>
      </c>
      <c r="H119" t="s">
        <v>6707</v>
      </c>
      <c r="I119">
        <v>1</v>
      </c>
      <c r="J119" t="s">
        <v>3457</v>
      </c>
      <c r="K119" t="s">
        <v>6184</v>
      </c>
      <c r="L119" t="s">
        <v>90</v>
      </c>
      <c r="M119" t="s">
        <v>3457</v>
      </c>
      <c r="N119" t="s">
        <v>3457</v>
      </c>
      <c r="O119" t="s">
        <v>6185</v>
      </c>
    </row>
    <row r="120" spans="1:15" x14ac:dyDescent="0.25">
      <c r="A120" t="s">
        <v>6186</v>
      </c>
      <c r="B120" t="s">
        <v>41</v>
      </c>
      <c r="C120" t="s">
        <v>5721</v>
      </c>
      <c r="D120">
        <v>2</v>
      </c>
      <c r="E120" s="8" t="s">
        <v>6708</v>
      </c>
      <c r="F120" t="s">
        <v>6709</v>
      </c>
      <c r="G120" s="8" t="s">
        <v>6710</v>
      </c>
      <c r="H120" t="s">
        <v>6711</v>
      </c>
      <c r="I120" t="s">
        <v>3457</v>
      </c>
      <c r="J120" t="s">
        <v>6391</v>
      </c>
      <c r="K120" t="s">
        <v>6186</v>
      </c>
      <c r="L120" t="s">
        <v>90</v>
      </c>
      <c r="M120" t="s">
        <v>3457</v>
      </c>
      <c r="N120" t="s">
        <v>3457</v>
      </c>
      <c r="O120" t="s">
        <v>6204</v>
      </c>
    </row>
    <row r="121" spans="1:15" x14ac:dyDescent="0.25">
      <c r="A121" t="s">
        <v>6189</v>
      </c>
      <c r="B121" t="s">
        <v>41</v>
      </c>
      <c r="C121" t="s">
        <v>5359</v>
      </c>
      <c r="D121">
        <v>0</v>
      </c>
      <c r="E121" s="8" t="s">
        <v>6190</v>
      </c>
      <c r="F121" t="s">
        <v>6712</v>
      </c>
      <c r="G121" s="8" t="s">
        <v>6191</v>
      </c>
      <c r="H121" t="s">
        <v>6713</v>
      </c>
      <c r="I121" t="s">
        <v>3457</v>
      </c>
      <c r="J121" t="s">
        <v>3457</v>
      </c>
      <c r="K121" t="s">
        <v>6189</v>
      </c>
      <c r="L121" t="s">
        <v>90</v>
      </c>
      <c r="M121" t="s">
        <v>3457</v>
      </c>
      <c r="N121" t="s">
        <v>3457</v>
      </c>
      <c r="O121" t="s">
        <v>5707</v>
      </c>
    </row>
    <row r="122" spans="1:15" x14ac:dyDescent="0.25">
      <c r="A122" t="s">
        <v>5118</v>
      </c>
      <c r="B122" t="s">
        <v>4296</v>
      </c>
      <c r="C122" t="s">
        <v>4244</v>
      </c>
      <c r="D122">
        <v>1</v>
      </c>
      <c r="E122" s="3" t="s">
        <v>6714</v>
      </c>
      <c r="F122" t="s">
        <v>6715</v>
      </c>
      <c r="G122" t="s">
        <v>3457</v>
      </c>
      <c r="H122" t="s">
        <v>3457</v>
      </c>
      <c r="I122" t="s">
        <v>3457</v>
      </c>
      <c r="J122" t="s">
        <v>3457</v>
      </c>
      <c r="K122" t="s">
        <v>5118</v>
      </c>
      <c r="L122" t="s">
        <v>90</v>
      </c>
      <c r="M122" t="s">
        <v>6406</v>
      </c>
      <c r="N122" t="s">
        <v>3457</v>
      </c>
      <c r="O122" t="s">
        <v>5869</v>
      </c>
    </row>
    <row r="123" spans="1:15" x14ac:dyDescent="0.25">
      <c r="A123" t="s">
        <v>6192</v>
      </c>
      <c r="B123" t="s">
        <v>3513</v>
      </c>
      <c r="C123" t="s">
        <v>5721</v>
      </c>
      <c r="D123">
        <v>1</v>
      </c>
      <c r="E123" s="8" t="s">
        <v>6193</v>
      </c>
      <c r="F123" t="s">
        <v>6716</v>
      </c>
      <c r="G123" s="8" t="s">
        <v>6194</v>
      </c>
      <c r="H123" t="s">
        <v>6717</v>
      </c>
      <c r="I123">
        <v>1</v>
      </c>
      <c r="J123" t="s">
        <v>6399</v>
      </c>
      <c r="K123" t="s">
        <v>6192</v>
      </c>
      <c r="L123" t="s">
        <v>90</v>
      </c>
      <c r="M123" t="s">
        <v>5495</v>
      </c>
      <c r="N123" t="s">
        <v>3457</v>
      </c>
      <c r="O123" t="s">
        <v>6003</v>
      </c>
    </row>
    <row r="124" spans="1:15" x14ac:dyDescent="0.25">
      <c r="A124" t="s">
        <v>5143</v>
      </c>
      <c r="B124" t="s">
        <v>4296</v>
      </c>
      <c r="C124" t="s">
        <v>4244</v>
      </c>
      <c r="D124" t="s">
        <v>3996</v>
      </c>
      <c r="E124" t="s">
        <v>6195</v>
      </c>
      <c r="F124" t="s">
        <v>6718</v>
      </c>
      <c r="G124" t="s">
        <v>3457</v>
      </c>
      <c r="H124" t="s">
        <v>3457</v>
      </c>
      <c r="I124" t="s">
        <v>3457</v>
      </c>
      <c r="J124" t="s">
        <v>3457</v>
      </c>
      <c r="K124" t="s">
        <v>6196</v>
      </c>
      <c r="L124" t="s">
        <v>1649</v>
      </c>
      <c r="M124" t="s">
        <v>5462</v>
      </c>
      <c r="N124" t="s">
        <v>3457</v>
      </c>
    </row>
    <row r="125" spans="1:15" x14ac:dyDescent="0.25">
      <c r="A125" t="s">
        <v>6200</v>
      </c>
      <c r="B125" t="s">
        <v>41</v>
      </c>
      <c r="C125" t="s">
        <v>5721</v>
      </c>
      <c r="D125">
        <v>1</v>
      </c>
      <c r="E125" s="8" t="s">
        <v>6201</v>
      </c>
      <c r="F125" t="s">
        <v>6719</v>
      </c>
      <c r="G125" s="8" t="s">
        <v>6202</v>
      </c>
      <c r="H125" t="s">
        <v>6720</v>
      </c>
      <c r="I125">
        <v>1</v>
      </c>
      <c r="J125" t="s">
        <v>6483</v>
      </c>
      <c r="K125" t="s">
        <v>6203</v>
      </c>
      <c r="L125" t="s">
        <v>90</v>
      </c>
      <c r="M125" t="s">
        <v>3457</v>
      </c>
      <c r="N125" t="s">
        <v>3457</v>
      </c>
      <c r="O125" t="s">
        <v>6204</v>
      </c>
    </row>
    <row r="126" spans="1:15" x14ac:dyDescent="0.25">
      <c r="A126" t="s">
        <v>5361</v>
      </c>
      <c r="B126" t="s">
        <v>3513</v>
      </c>
      <c r="C126" t="s">
        <v>5359</v>
      </c>
      <c r="D126">
        <v>0</v>
      </c>
      <c r="E126" s="8" t="s">
        <v>6205</v>
      </c>
      <c r="F126" t="s">
        <v>6721</v>
      </c>
      <c r="G126" s="8" t="s">
        <v>6206</v>
      </c>
      <c r="H126" t="s">
        <v>6722</v>
      </c>
      <c r="I126">
        <v>0</v>
      </c>
      <c r="J126" t="s">
        <v>3457</v>
      </c>
      <c r="K126" t="s">
        <v>5361</v>
      </c>
      <c r="L126" t="s">
        <v>90</v>
      </c>
      <c r="M126" t="s">
        <v>3457</v>
      </c>
      <c r="N126" t="s">
        <v>3457</v>
      </c>
      <c r="O126" t="s">
        <v>5738</v>
      </c>
    </row>
    <row r="127" spans="1:15" x14ac:dyDescent="0.25">
      <c r="A127" t="s">
        <v>6207</v>
      </c>
      <c r="B127" t="s">
        <v>3513</v>
      </c>
      <c r="C127" t="s">
        <v>5721</v>
      </c>
      <c r="D127">
        <v>1</v>
      </c>
      <c r="E127" s="8" t="s">
        <v>6208</v>
      </c>
      <c r="F127" t="s">
        <v>6723</v>
      </c>
      <c r="G127" s="8" t="s">
        <v>6209</v>
      </c>
      <c r="H127" t="s">
        <v>6724</v>
      </c>
      <c r="I127">
        <v>1</v>
      </c>
      <c r="J127" t="s">
        <v>6483</v>
      </c>
      <c r="K127" t="s">
        <v>6207</v>
      </c>
      <c r="L127" t="s">
        <v>90</v>
      </c>
      <c r="M127" t="s">
        <v>3457</v>
      </c>
      <c r="N127" t="s">
        <v>3457</v>
      </c>
      <c r="O127" t="s">
        <v>6058</v>
      </c>
    </row>
    <row r="128" spans="1:15" x14ac:dyDescent="0.25">
      <c r="A128" t="s">
        <v>6211</v>
      </c>
      <c r="B128" t="s">
        <v>3501</v>
      </c>
      <c r="C128" t="s">
        <v>5721</v>
      </c>
      <c r="D128">
        <v>2</v>
      </c>
      <c r="E128" t="s">
        <v>6212</v>
      </c>
      <c r="F128" t="s">
        <v>6725</v>
      </c>
      <c r="G128" t="s">
        <v>6213</v>
      </c>
      <c r="H128" t="s">
        <v>6726</v>
      </c>
      <c r="I128">
        <v>2</v>
      </c>
      <c r="J128" t="s">
        <v>6488</v>
      </c>
      <c r="K128" t="s">
        <v>6211</v>
      </c>
      <c r="L128" t="s">
        <v>90</v>
      </c>
      <c r="M128" t="s">
        <v>6727</v>
      </c>
      <c r="N128" t="s">
        <v>3457</v>
      </c>
      <c r="O128" t="s">
        <v>5995</v>
      </c>
    </row>
    <row r="129" spans="1:15" x14ac:dyDescent="0.25">
      <c r="A129" t="s">
        <v>6214</v>
      </c>
      <c r="B129" t="s">
        <v>3513</v>
      </c>
      <c r="C129" t="s">
        <v>5721</v>
      </c>
      <c r="D129">
        <v>0</v>
      </c>
      <c r="E129" s="8" t="s">
        <v>6728</v>
      </c>
      <c r="F129" t="s">
        <v>6729</v>
      </c>
      <c r="G129" s="8" t="s">
        <v>6730</v>
      </c>
      <c r="H129" t="s">
        <v>6731</v>
      </c>
      <c r="I129">
        <v>0</v>
      </c>
      <c r="J129" t="s">
        <v>6449</v>
      </c>
      <c r="K129" t="s">
        <v>6217</v>
      </c>
      <c r="L129" t="s">
        <v>90</v>
      </c>
      <c r="M129" t="s">
        <v>3457</v>
      </c>
      <c r="N129" t="s">
        <v>3457</v>
      </c>
      <c r="O129" t="s">
        <v>6218</v>
      </c>
    </row>
    <row r="130" spans="1:15" x14ac:dyDescent="0.25">
      <c r="A130" t="s">
        <v>6222</v>
      </c>
      <c r="B130" t="s">
        <v>3513</v>
      </c>
      <c r="C130" t="s">
        <v>5359</v>
      </c>
      <c r="D130" t="s">
        <v>3996</v>
      </c>
      <c r="E130" t="s">
        <v>6223</v>
      </c>
      <c r="F130" t="s">
        <v>6732</v>
      </c>
      <c r="G130" t="s">
        <v>6224</v>
      </c>
      <c r="H130" t="s">
        <v>6733</v>
      </c>
      <c r="I130" t="s">
        <v>3996</v>
      </c>
      <c r="J130" t="s">
        <v>3457</v>
      </c>
      <c r="K130" t="s">
        <v>6222</v>
      </c>
      <c r="L130" t="s">
        <v>90</v>
      </c>
      <c r="M130" t="s">
        <v>5460</v>
      </c>
      <c r="N130" t="s">
        <v>3457</v>
      </c>
      <c r="O130" t="s">
        <v>5836</v>
      </c>
    </row>
    <row r="131" spans="1:15" x14ac:dyDescent="0.25">
      <c r="A131" t="s">
        <v>5108</v>
      </c>
      <c r="B131" t="s">
        <v>4296</v>
      </c>
      <c r="C131" t="s">
        <v>4244</v>
      </c>
      <c r="D131" t="s">
        <v>3996</v>
      </c>
      <c r="E131" t="s">
        <v>6225</v>
      </c>
      <c r="F131" t="s">
        <v>6734</v>
      </c>
      <c r="G131" t="s">
        <v>3457</v>
      </c>
      <c r="H131" t="s">
        <v>3457</v>
      </c>
      <c r="I131" t="s">
        <v>3457</v>
      </c>
      <c r="J131" t="s">
        <v>3457</v>
      </c>
      <c r="K131" t="s">
        <v>5108</v>
      </c>
      <c r="L131" t="s">
        <v>90</v>
      </c>
      <c r="M131" t="s">
        <v>5462</v>
      </c>
      <c r="N131" t="s">
        <v>3457</v>
      </c>
      <c r="O131" t="s">
        <v>5869</v>
      </c>
    </row>
    <row r="132" spans="1:15" x14ac:dyDescent="0.25">
      <c r="A132" t="s">
        <v>6226</v>
      </c>
      <c r="B132" t="s">
        <v>3513</v>
      </c>
      <c r="C132" t="s">
        <v>5721</v>
      </c>
      <c r="D132">
        <v>2</v>
      </c>
      <c r="E132" s="8" t="s">
        <v>6227</v>
      </c>
      <c r="F132" t="s">
        <v>6735</v>
      </c>
      <c r="G132" s="8" t="s">
        <v>6228</v>
      </c>
      <c r="H132" t="s">
        <v>6736</v>
      </c>
      <c r="I132" t="s">
        <v>3457</v>
      </c>
      <c r="J132" t="s">
        <v>6399</v>
      </c>
      <c r="K132" t="s">
        <v>6229</v>
      </c>
      <c r="L132" t="s">
        <v>90</v>
      </c>
      <c r="M132" t="s">
        <v>3457</v>
      </c>
      <c r="N132" t="s">
        <v>3457</v>
      </c>
      <c r="O132" t="s">
        <v>5776</v>
      </c>
    </row>
    <row r="133" spans="1:15" x14ac:dyDescent="0.25">
      <c r="A133" t="s">
        <v>4815</v>
      </c>
      <c r="B133" t="s">
        <v>3513</v>
      </c>
      <c r="C133" t="s">
        <v>5359</v>
      </c>
      <c r="D133">
        <v>1</v>
      </c>
      <c r="E133" s="8" t="s">
        <v>6237</v>
      </c>
      <c r="F133" t="s">
        <v>6737</v>
      </c>
      <c r="G133" s="8" t="s">
        <v>6237</v>
      </c>
      <c r="H133" t="s">
        <v>6737</v>
      </c>
      <c r="I133">
        <v>1</v>
      </c>
      <c r="J133" t="s">
        <v>6483</v>
      </c>
      <c r="K133" t="s">
        <v>4818</v>
      </c>
      <c r="L133" t="s">
        <v>1649</v>
      </c>
      <c r="M133" t="s">
        <v>3457</v>
      </c>
      <c r="N133" t="s">
        <v>3457</v>
      </c>
      <c r="O133" t="s">
        <v>6738</v>
      </c>
    </row>
    <row r="134" spans="1:15" x14ac:dyDescent="0.25">
      <c r="A134" t="s">
        <v>6238</v>
      </c>
      <c r="B134" t="s">
        <v>3513</v>
      </c>
      <c r="C134" t="s">
        <v>5721</v>
      </c>
      <c r="D134">
        <v>2</v>
      </c>
      <c r="E134" s="8" t="s">
        <v>6739</v>
      </c>
      <c r="F134" t="s">
        <v>6740</v>
      </c>
      <c r="G134" s="8" t="s">
        <v>3457</v>
      </c>
      <c r="H134" t="s">
        <v>3457</v>
      </c>
      <c r="I134" t="s">
        <v>3457</v>
      </c>
      <c r="J134" t="s">
        <v>6408</v>
      </c>
      <c r="K134" t="s">
        <v>6240</v>
      </c>
      <c r="L134" t="s">
        <v>90</v>
      </c>
      <c r="M134" t="s">
        <v>3457</v>
      </c>
      <c r="N134" t="s">
        <v>4260</v>
      </c>
      <c r="O134" t="s">
        <v>6058</v>
      </c>
    </row>
    <row r="135" spans="1:15" x14ac:dyDescent="0.25">
      <c r="A135" t="s">
        <v>6241</v>
      </c>
      <c r="B135" t="s">
        <v>3513</v>
      </c>
      <c r="C135" t="s">
        <v>5359</v>
      </c>
      <c r="D135">
        <v>1</v>
      </c>
      <c r="E135" s="8" t="s">
        <v>6242</v>
      </c>
      <c r="F135" t="s">
        <v>6741</v>
      </c>
      <c r="G135" s="8" t="s">
        <v>6243</v>
      </c>
      <c r="H135" t="s">
        <v>6742</v>
      </c>
      <c r="I135">
        <v>1</v>
      </c>
      <c r="J135" t="s">
        <v>3457</v>
      </c>
      <c r="K135" t="s">
        <v>6244</v>
      </c>
      <c r="L135" t="s">
        <v>90</v>
      </c>
      <c r="M135" t="s">
        <v>3457</v>
      </c>
      <c r="N135" t="s">
        <v>3457</v>
      </c>
      <c r="O135" t="s">
        <v>5998</v>
      </c>
    </row>
    <row r="136" spans="1:15" x14ac:dyDescent="0.25">
      <c r="A136" t="s">
        <v>6245</v>
      </c>
      <c r="B136" t="s">
        <v>3513</v>
      </c>
      <c r="C136" t="s">
        <v>5359</v>
      </c>
      <c r="D136">
        <v>1</v>
      </c>
      <c r="E136" s="8" t="s">
        <v>6246</v>
      </c>
      <c r="F136" t="s">
        <v>6743</v>
      </c>
      <c r="G136" s="8" t="s">
        <v>6246</v>
      </c>
      <c r="H136" t="s">
        <v>6743</v>
      </c>
      <c r="I136">
        <v>0</v>
      </c>
      <c r="J136" t="s">
        <v>3457</v>
      </c>
      <c r="K136" t="s">
        <v>6247</v>
      </c>
      <c r="L136" t="s">
        <v>90</v>
      </c>
      <c r="M136" t="s">
        <v>5495</v>
      </c>
      <c r="N136" t="s">
        <v>3457</v>
      </c>
      <c r="O136" t="s">
        <v>6248</v>
      </c>
    </row>
    <row r="137" spans="1:15" x14ac:dyDescent="0.25">
      <c r="A137" t="s">
        <v>6249</v>
      </c>
      <c r="B137" t="s">
        <v>3501</v>
      </c>
      <c r="C137" t="s">
        <v>5359</v>
      </c>
      <c r="D137">
        <v>0</v>
      </c>
      <c r="E137" s="8" t="s">
        <v>6744</v>
      </c>
      <c r="F137" t="s">
        <v>6745</v>
      </c>
      <c r="G137" s="8" t="s">
        <v>6746</v>
      </c>
      <c r="H137" t="s">
        <v>6747</v>
      </c>
      <c r="I137">
        <v>0</v>
      </c>
      <c r="J137" t="s">
        <v>3457</v>
      </c>
      <c r="K137" t="s">
        <v>6249</v>
      </c>
      <c r="L137" t="s">
        <v>90</v>
      </c>
      <c r="M137" t="s">
        <v>5495</v>
      </c>
      <c r="N137" t="s">
        <v>3457</v>
      </c>
      <c r="O137" t="s">
        <v>6252</v>
      </c>
    </row>
    <row r="138" spans="1:15" x14ac:dyDescent="0.25">
      <c r="A138" t="s">
        <v>6253</v>
      </c>
      <c r="B138" t="s">
        <v>3513</v>
      </c>
      <c r="C138" t="s">
        <v>5359</v>
      </c>
      <c r="D138">
        <v>1</v>
      </c>
      <c r="E138" s="8" t="s">
        <v>6254</v>
      </c>
      <c r="F138" t="s">
        <v>6748</v>
      </c>
      <c r="G138" s="8" t="s">
        <v>6255</v>
      </c>
      <c r="H138" t="s">
        <v>6749</v>
      </c>
      <c r="I138">
        <v>1</v>
      </c>
      <c r="J138" t="s">
        <v>3457</v>
      </c>
      <c r="K138" t="s">
        <v>6253</v>
      </c>
      <c r="L138" t="s">
        <v>90</v>
      </c>
      <c r="M138" t="s">
        <v>3457</v>
      </c>
      <c r="N138" t="s">
        <v>3457</v>
      </c>
      <c r="O138" t="s">
        <v>5998</v>
      </c>
    </row>
    <row r="139" spans="1:15" x14ac:dyDescent="0.25">
      <c r="A139" t="s">
        <v>6256</v>
      </c>
      <c r="B139" t="s">
        <v>3513</v>
      </c>
      <c r="C139" t="s">
        <v>5359</v>
      </c>
      <c r="D139">
        <v>1</v>
      </c>
      <c r="E139" s="8" t="s">
        <v>6750</v>
      </c>
      <c r="F139" t="s">
        <v>6751</v>
      </c>
      <c r="G139" s="8" t="s">
        <v>6750</v>
      </c>
      <c r="H139" t="s">
        <v>6751</v>
      </c>
      <c r="I139">
        <v>0</v>
      </c>
      <c r="J139" t="s">
        <v>3457</v>
      </c>
      <c r="K139" t="s">
        <v>6256</v>
      </c>
      <c r="L139" t="s">
        <v>90</v>
      </c>
      <c r="M139" t="s">
        <v>3457</v>
      </c>
      <c r="N139" t="s">
        <v>3457</v>
      </c>
      <c r="O139" t="s">
        <v>5822</v>
      </c>
    </row>
    <row r="140" spans="1:15" x14ac:dyDescent="0.25">
      <c r="A140" t="s">
        <v>6258</v>
      </c>
      <c r="B140" t="s">
        <v>3513</v>
      </c>
      <c r="C140" t="s">
        <v>5721</v>
      </c>
      <c r="D140">
        <v>2</v>
      </c>
      <c r="E140" s="8" t="s">
        <v>6752</v>
      </c>
      <c r="F140" t="s">
        <v>6753</v>
      </c>
      <c r="G140" s="8" t="s">
        <v>6754</v>
      </c>
      <c r="H140" t="s">
        <v>6755</v>
      </c>
      <c r="I140">
        <v>2</v>
      </c>
      <c r="J140" t="s">
        <v>6483</v>
      </c>
      <c r="K140" t="s">
        <v>6261</v>
      </c>
      <c r="L140" t="s">
        <v>90</v>
      </c>
      <c r="M140" t="s">
        <v>3457</v>
      </c>
      <c r="N140" t="s">
        <v>3457</v>
      </c>
      <c r="O140" t="s">
        <v>6003</v>
      </c>
    </row>
    <row r="141" spans="1:15" x14ac:dyDescent="0.25">
      <c r="A141" t="s">
        <v>6262</v>
      </c>
      <c r="B141" t="s">
        <v>4296</v>
      </c>
      <c r="C141" t="s">
        <v>4244</v>
      </c>
      <c r="D141" t="s">
        <v>3996</v>
      </c>
      <c r="E141" t="s">
        <v>6263</v>
      </c>
      <c r="F141" t="s">
        <v>6756</v>
      </c>
      <c r="G141" t="s">
        <v>3457</v>
      </c>
      <c r="H141" t="s">
        <v>3457</v>
      </c>
      <c r="I141" t="s">
        <v>3457</v>
      </c>
      <c r="J141" t="s">
        <v>3457</v>
      </c>
      <c r="K141" t="s">
        <v>6262</v>
      </c>
      <c r="L141" t="s">
        <v>90</v>
      </c>
      <c r="M141" t="s">
        <v>5462</v>
      </c>
      <c r="N141" t="s">
        <v>3457</v>
      </c>
      <c r="O141" t="s">
        <v>5869</v>
      </c>
    </row>
    <row r="142" spans="1:15" x14ac:dyDescent="0.25">
      <c r="A142" t="s">
        <v>6264</v>
      </c>
      <c r="B142" t="s">
        <v>4296</v>
      </c>
      <c r="C142" t="s">
        <v>5721</v>
      </c>
      <c r="D142">
        <v>0</v>
      </c>
      <c r="E142" t="s">
        <v>6265</v>
      </c>
      <c r="F142" t="s">
        <v>6757</v>
      </c>
      <c r="G142" t="s">
        <v>6266</v>
      </c>
      <c r="H142" t="s">
        <v>6415</v>
      </c>
      <c r="I142">
        <v>0</v>
      </c>
      <c r="J142" t="s">
        <v>6416</v>
      </c>
      <c r="K142" t="s">
        <v>6264</v>
      </c>
      <c r="L142" t="s">
        <v>90</v>
      </c>
      <c r="M142" t="s">
        <v>5495</v>
      </c>
      <c r="N142" t="s">
        <v>3457</v>
      </c>
      <c r="O142" t="s">
        <v>6758</v>
      </c>
    </row>
    <row r="143" spans="1:15" x14ac:dyDescent="0.25">
      <c r="A143" t="s">
        <v>6267</v>
      </c>
      <c r="B143" t="s">
        <v>3513</v>
      </c>
      <c r="C143" t="s">
        <v>5359</v>
      </c>
      <c r="D143">
        <v>2</v>
      </c>
      <c r="E143" s="8" t="s">
        <v>6268</v>
      </c>
      <c r="F143" t="s">
        <v>6759</v>
      </c>
      <c r="G143" s="8" t="s">
        <v>6269</v>
      </c>
      <c r="H143" t="s">
        <v>6760</v>
      </c>
      <c r="I143">
        <v>2</v>
      </c>
      <c r="J143" t="s">
        <v>3457</v>
      </c>
      <c r="K143" t="s">
        <v>6267</v>
      </c>
      <c r="L143" t="s">
        <v>90</v>
      </c>
      <c r="M143" t="s">
        <v>5495</v>
      </c>
      <c r="N143" t="s">
        <v>3457</v>
      </c>
      <c r="O143" t="s">
        <v>5936</v>
      </c>
    </row>
    <row r="144" spans="1:15" x14ac:dyDescent="0.25">
      <c r="A144" t="s">
        <v>6270</v>
      </c>
      <c r="B144" t="s">
        <v>41</v>
      </c>
      <c r="C144" t="s">
        <v>5359</v>
      </c>
      <c r="D144">
        <v>1</v>
      </c>
      <c r="E144" t="s">
        <v>6271</v>
      </c>
      <c r="F144" t="s">
        <v>6761</v>
      </c>
      <c r="G144" t="s">
        <v>6272</v>
      </c>
      <c r="H144" t="s">
        <v>6762</v>
      </c>
      <c r="I144">
        <v>1</v>
      </c>
      <c r="J144" t="s">
        <v>3457</v>
      </c>
      <c r="K144" t="s">
        <v>6273</v>
      </c>
      <c r="L144" t="s">
        <v>90</v>
      </c>
      <c r="M144" t="s">
        <v>3457</v>
      </c>
      <c r="N144" t="s">
        <v>3457</v>
      </c>
      <c r="O144" t="s">
        <v>6274</v>
      </c>
    </row>
    <row r="145" spans="1:15" x14ac:dyDescent="0.25">
      <c r="A145" t="s">
        <v>6275</v>
      </c>
      <c r="B145" t="s">
        <v>3513</v>
      </c>
      <c r="C145" t="s">
        <v>5721</v>
      </c>
      <c r="D145" t="s">
        <v>5945</v>
      </c>
      <c r="E145" t="s">
        <v>6276</v>
      </c>
      <c r="F145" t="s">
        <v>6763</v>
      </c>
      <c r="G145" t="s">
        <v>6277</v>
      </c>
      <c r="H145" t="s">
        <v>6764</v>
      </c>
      <c r="I145" t="s">
        <v>5945</v>
      </c>
      <c r="J145" t="s">
        <v>6765</v>
      </c>
      <c r="K145" t="s">
        <v>6275</v>
      </c>
      <c r="L145" t="s">
        <v>90</v>
      </c>
      <c r="M145" t="s">
        <v>3457</v>
      </c>
      <c r="N145" t="s">
        <v>3457</v>
      </c>
      <c r="O145" t="s">
        <v>5776</v>
      </c>
    </row>
    <row r="146" spans="1:15" x14ac:dyDescent="0.25">
      <c r="A146" t="s">
        <v>6278</v>
      </c>
      <c r="B146" t="s">
        <v>41</v>
      </c>
      <c r="C146" t="s">
        <v>5721</v>
      </c>
      <c r="D146">
        <v>0</v>
      </c>
      <c r="E146" s="8" t="s">
        <v>6279</v>
      </c>
      <c r="F146" t="s">
        <v>6766</v>
      </c>
      <c r="G146" s="8" t="s">
        <v>6280</v>
      </c>
      <c r="H146" t="s">
        <v>6767</v>
      </c>
      <c r="I146">
        <v>0</v>
      </c>
      <c r="J146" t="s">
        <v>6483</v>
      </c>
      <c r="K146" t="s">
        <v>6278</v>
      </c>
      <c r="L146" t="s">
        <v>90</v>
      </c>
      <c r="M146" t="s">
        <v>3457</v>
      </c>
      <c r="N146" t="s">
        <v>3457</v>
      </c>
      <c r="O146" t="s">
        <v>5776</v>
      </c>
    </row>
    <row r="147" spans="1:15" x14ac:dyDescent="0.25">
      <c r="A147" t="s">
        <v>6281</v>
      </c>
      <c r="B147" t="s">
        <v>4296</v>
      </c>
      <c r="C147" t="s">
        <v>3655</v>
      </c>
      <c r="D147">
        <v>1</v>
      </c>
      <c r="E147" t="s">
        <v>6282</v>
      </c>
      <c r="F147" t="s">
        <v>6768</v>
      </c>
      <c r="G147" t="s">
        <v>3457</v>
      </c>
      <c r="H147" t="s">
        <v>3457</v>
      </c>
      <c r="I147" t="s">
        <v>3457</v>
      </c>
      <c r="J147" t="s">
        <v>3457</v>
      </c>
      <c r="K147" t="s">
        <v>6281</v>
      </c>
      <c r="L147" t="s">
        <v>90</v>
      </c>
      <c r="M147" t="s">
        <v>5495</v>
      </c>
      <c r="N147" t="s">
        <v>3457</v>
      </c>
      <c r="O147" t="s">
        <v>6458</v>
      </c>
    </row>
    <row r="148" spans="1:15" x14ac:dyDescent="0.25">
      <c r="A148" t="s">
        <v>6283</v>
      </c>
      <c r="B148" t="s">
        <v>41</v>
      </c>
      <c r="C148" t="s">
        <v>5721</v>
      </c>
      <c r="D148">
        <v>2</v>
      </c>
      <c r="E148" s="8" t="s">
        <v>6284</v>
      </c>
      <c r="F148" t="s">
        <v>6769</v>
      </c>
      <c r="G148" s="8" t="s">
        <v>6285</v>
      </c>
      <c r="H148" t="s">
        <v>6770</v>
      </c>
      <c r="I148">
        <v>2</v>
      </c>
      <c r="J148" t="s">
        <v>6399</v>
      </c>
      <c r="K148" t="s">
        <v>6286</v>
      </c>
      <c r="L148" t="s">
        <v>90</v>
      </c>
      <c r="M148" t="s">
        <v>3457</v>
      </c>
      <c r="N148" t="s">
        <v>3457</v>
      </c>
      <c r="O148" t="s">
        <v>6024</v>
      </c>
    </row>
    <row r="149" spans="1:15" x14ac:dyDescent="0.25">
      <c r="A149" t="s">
        <v>6288</v>
      </c>
      <c r="B149" t="s">
        <v>3513</v>
      </c>
      <c r="C149" t="s">
        <v>5359</v>
      </c>
      <c r="D149">
        <v>1</v>
      </c>
      <c r="E149" s="8" t="s">
        <v>6289</v>
      </c>
      <c r="F149" t="s">
        <v>6771</v>
      </c>
      <c r="G149" s="8" t="s">
        <v>6290</v>
      </c>
      <c r="H149" t="s">
        <v>6772</v>
      </c>
      <c r="I149">
        <v>1</v>
      </c>
      <c r="J149" t="s">
        <v>3457</v>
      </c>
      <c r="K149" t="s">
        <v>6291</v>
      </c>
      <c r="L149" t="s">
        <v>90</v>
      </c>
      <c r="M149" t="s">
        <v>3457</v>
      </c>
      <c r="N149" t="s">
        <v>3457</v>
      </c>
      <c r="O149" t="s">
        <v>5926</v>
      </c>
    </row>
    <row r="150" spans="1:15" x14ac:dyDescent="0.25">
      <c r="A150" t="s">
        <v>6292</v>
      </c>
      <c r="B150" t="s">
        <v>3501</v>
      </c>
      <c r="C150" t="s">
        <v>5359</v>
      </c>
      <c r="D150">
        <v>1</v>
      </c>
      <c r="E150" t="s">
        <v>6293</v>
      </c>
      <c r="F150" t="s">
        <v>6773</v>
      </c>
      <c r="G150" t="s">
        <v>6294</v>
      </c>
      <c r="H150" t="s">
        <v>6774</v>
      </c>
      <c r="I150">
        <v>1</v>
      </c>
      <c r="J150" t="s">
        <v>3457</v>
      </c>
      <c r="K150" t="s">
        <v>6295</v>
      </c>
      <c r="L150" t="s">
        <v>90</v>
      </c>
      <c r="M150" t="s">
        <v>3457</v>
      </c>
      <c r="N150" t="s">
        <v>3457</v>
      </c>
      <c r="O150" t="s">
        <v>6296</v>
      </c>
    </row>
    <row r="151" spans="1:15" x14ac:dyDescent="0.25">
      <c r="A151" t="s">
        <v>6775</v>
      </c>
      <c r="B151" t="s">
        <v>3545</v>
      </c>
      <c r="C151" t="s">
        <v>5721</v>
      </c>
      <c r="D151">
        <v>1</v>
      </c>
      <c r="E151" t="s">
        <v>6279</v>
      </c>
      <c r="F151" t="s">
        <v>6766</v>
      </c>
      <c r="G151" t="s">
        <v>6280</v>
      </c>
      <c r="H151" t="s">
        <v>6767</v>
      </c>
      <c r="I151">
        <v>1</v>
      </c>
      <c r="J151" t="s">
        <v>6408</v>
      </c>
      <c r="K151" t="s">
        <v>6776</v>
      </c>
      <c r="L151" t="s">
        <v>90</v>
      </c>
      <c r="M151" t="s">
        <v>3457</v>
      </c>
      <c r="N151" t="s">
        <v>3457</v>
      </c>
      <c r="O151" t="s">
        <v>6777</v>
      </c>
    </row>
    <row r="152" spans="1:15" x14ac:dyDescent="0.25">
      <c r="A152" t="s">
        <v>6778</v>
      </c>
      <c r="B152" t="s">
        <v>3545</v>
      </c>
      <c r="C152" t="s">
        <v>5721</v>
      </c>
      <c r="D152">
        <v>1</v>
      </c>
      <c r="E152" t="s">
        <v>6279</v>
      </c>
      <c r="F152" t="s">
        <v>6766</v>
      </c>
      <c r="G152" t="s">
        <v>6280</v>
      </c>
      <c r="H152" t="s">
        <v>6767</v>
      </c>
      <c r="I152">
        <v>1</v>
      </c>
      <c r="J152" t="s">
        <v>6391</v>
      </c>
      <c r="K152" t="s">
        <v>6779</v>
      </c>
      <c r="L152" t="s">
        <v>90</v>
      </c>
      <c r="M152" t="s">
        <v>3457</v>
      </c>
      <c r="N152" t="s">
        <v>3457</v>
      </c>
      <c r="O152" t="s">
        <v>6777</v>
      </c>
    </row>
    <row r="153" spans="1:15" x14ac:dyDescent="0.25">
      <c r="A153" t="s">
        <v>6298</v>
      </c>
      <c r="B153" t="s">
        <v>41</v>
      </c>
      <c r="C153" t="s">
        <v>5721</v>
      </c>
      <c r="D153">
        <v>1</v>
      </c>
      <c r="E153" t="s">
        <v>6299</v>
      </c>
      <c r="F153" t="s">
        <v>6780</v>
      </c>
      <c r="G153" t="s">
        <v>6300</v>
      </c>
      <c r="H153" t="s">
        <v>6781</v>
      </c>
      <c r="I153">
        <v>1</v>
      </c>
      <c r="J153" t="s">
        <v>6391</v>
      </c>
      <c r="K153" t="s">
        <v>6301</v>
      </c>
      <c r="L153" t="s">
        <v>90</v>
      </c>
      <c r="M153" t="s">
        <v>3457</v>
      </c>
      <c r="N153" t="s">
        <v>3457</v>
      </c>
      <c r="O153" t="s">
        <v>5752</v>
      </c>
    </row>
    <row r="154" spans="1:15" x14ac:dyDescent="0.25">
      <c r="A154" t="s">
        <v>5695</v>
      </c>
      <c r="B154" t="s">
        <v>3545</v>
      </c>
      <c r="C154" t="s">
        <v>5359</v>
      </c>
      <c r="D154">
        <v>1</v>
      </c>
      <c r="E154" t="s">
        <v>6302</v>
      </c>
      <c r="F154" t="s">
        <v>6782</v>
      </c>
      <c r="G154" t="s">
        <v>6303</v>
      </c>
      <c r="H154" t="s">
        <v>6783</v>
      </c>
      <c r="I154">
        <v>1</v>
      </c>
      <c r="J154" t="s">
        <v>3457</v>
      </c>
      <c r="K154" t="s">
        <v>5695</v>
      </c>
      <c r="L154" t="s">
        <v>90</v>
      </c>
      <c r="M154" t="s">
        <v>3457</v>
      </c>
      <c r="N154" t="s">
        <v>3457</v>
      </c>
      <c r="O154" t="s">
        <v>6304</v>
      </c>
    </row>
    <row r="155" spans="1:15" x14ac:dyDescent="0.25">
      <c r="A155" t="s">
        <v>6305</v>
      </c>
      <c r="B155" t="s">
        <v>41</v>
      </c>
      <c r="C155" t="s">
        <v>5721</v>
      </c>
      <c r="D155">
        <v>1</v>
      </c>
      <c r="E155" t="s">
        <v>6306</v>
      </c>
      <c r="F155" t="s">
        <v>6784</v>
      </c>
      <c r="G155" t="s">
        <v>6307</v>
      </c>
      <c r="H155" t="s">
        <v>6785</v>
      </c>
      <c r="I155">
        <v>1</v>
      </c>
      <c r="J155" t="s">
        <v>6786</v>
      </c>
      <c r="K155" t="s">
        <v>6308</v>
      </c>
      <c r="L155" t="s">
        <v>90</v>
      </c>
      <c r="M155" t="s">
        <v>3457</v>
      </c>
      <c r="N155" t="s">
        <v>3457</v>
      </c>
      <c r="O155" t="s">
        <v>6309</v>
      </c>
    </row>
    <row r="156" spans="1:15" x14ac:dyDescent="0.25">
      <c r="A156" t="s">
        <v>6310</v>
      </c>
      <c r="B156" t="s">
        <v>41</v>
      </c>
      <c r="C156" t="s">
        <v>5721</v>
      </c>
      <c r="D156">
        <v>1</v>
      </c>
      <c r="E156" t="s">
        <v>6787</v>
      </c>
      <c r="F156" t="s">
        <v>6788</v>
      </c>
      <c r="G156" t="s">
        <v>6789</v>
      </c>
      <c r="H156" t="s">
        <v>6790</v>
      </c>
      <c r="I156">
        <v>1</v>
      </c>
      <c r="J156" t="s">
        <v>6791</v>
      </c>
      <c r="K156" t="s">
        <v>6313</v>
      </c>
      <c r="L156" t="s">
        <v>90</v>
      </c>
      <c r="M156" t="s">
        <v>5430</v>
      </c>
      <c r="N156" t="s">
        <v>3457</v>
      </c>
      <c r="O156" t="s">
        <v>5734</v>
      </c>
    </row>
    <row r="157" spans="1:15" x14ac:dyDescent="0.25">
      <c r="A157" t="s">
        <v>6314</v>
      </c>
      <c r="B157" t="s">
        <v>3513</v>
      </c>
      <c r="C157" t="s">
        <v>5359</v>
      </c>
      <c r="D157" t="s">
        <v>3996</v>
      </c>
      <c r="E157" t="s">
        <v>6315</v>
      </c>
      <c r="F157" t="s">
        <v>6792</v>
      </c>
      <c r="G157" t="s">
        <v>6316</v>
      </c>
      <c r="H157" t="s">
        <v>6743</v>
      </c>
      <c r="I157" t="s">
        <v>3996</v>
      </c>
      <c r="J157" t="s">
        <v>3457</v>
      </c>
      <c r="K157" t="s">
        <v>6314</v>
      </c>
      <c r="L157" t="s">
        <v>90</v>
      </c>
      <c r="M157" t="s">
        <v>5460</v>
      </c>
      <c r="N157" t="s">
        <v>3457</v>
      </c>
      <c r="O157" t="s">
        <v>6317</v>
      </c>
    </row>
    <row r="158" spans="1:15" x14ac:dyDescent="0.25">
      <c r="A158" t="s">
        <v>6322</v>
      </c>
      <c r="B158" t="s">
        <v>3513</v>
      </c>
      <c r="C158" t="s">
        <v>5359</v>
      </c>
      <c r="D158">
        <v>1</v>
      </c>
      <c r="E158" t="s">
        <v>6323</v>
      </c>
      <c r="F158" t="s">
        <v>6793</v>
      </c>
      <c r="G158" t="s">
        <v>6323</v>
      </c>
      <c r="H158" t="s">
        <v>6793</v>
      </c>
      <c r="I158">
        <v>0</v>
      </c>
      <c r="J158" t="s">
        <v>6449</v>
      </c>
      <c r="K158" t="s">
        <v>6322</v>
      </c>
      <c r="L158" t="s">
        <v>90</v>
      </c>
      <c r="M158" t="s">
        <v>5495</v>
      </c>
      <c r="N158" t="s">
        <v>3457</v>
      </c>
      <c r="O158" t="s">
        <v>6130</v>
      </c>
    </row>
    <row r="159" spans="1:15" x14ac:dyDescent="0.25">
      <c r="A159" t="s">
        <v>6324</v>
      </c>
      <c r="B159" t="s">
        <v>41</v>
      </c>
      <c r="C159" t="s">
        <v>5721</v>
      </c>
      <c r="D159">
        <v>1</v>
      </c>
      <c r="E159" t="s">
        <v>6794</v>
      </c>
      <c r="F159" t="s">
        <v>6795</v>
      </c>
      <c r="G159" t="s">
        <v>6796</v>
      </c>
      <c r="H159" t="s">
        <v>6797</v>
      </c>
      <c r="I159">
        <v>1</v>
      </c>
      <c r="J159" t="s">
        <v>6798</v>
      </c>
      <c r="K159" t="s">
        <v>6324</v>
      </c>
      <c r="L159" t="s">
        <v>90</v>
      </c>
      <c r="M159" t="s">
        <v>3457</v>
      </c>
      <c r="N159" t="s">
        <v>5390</v>
      </c>
      <c r="O159" t="s">
        <v>6799</v>
      </c>
    </row>
    <row r="160" spans="1:15" x14ac:dyDescent="0.25">
      <c r="A160" t="s">
        <v>6330</v>
      </c>
      <c r="B160" t="s">
        <v>41</v>
      </c>
      <c r="C160" t="s">
        <v>5359</v>
      </c>
      <c r="D160">
        <v>1</v>
      </c>
      <c r="E160" s="8" t="s">
        <v>6331</v>
      </c>
      <c r="F160" t="s">
        <v>6800</v>
      </c>
      <c r="G160" s="8" t="s">
        <v>6332</v>
      </c>
      <c r="H160" t="s">
        <v>6801</v>
      </c>
      <c r="I160">
        <v>1</v>
      </c>
      <c r="J160" t="s">
        <v>3457</v>
      </c>
      <c r="K160" t="s">
        <v>6333</v>
      </c>
      <c r="L160" t="s">
        <v>90</v>
      </c>
      <c r="M160" t="s">
        <v>3457</v>
      </c>
      <c r="N160" t="s">
        <v>3457</v>
      </c>
      <c r="O160" t="s">
        <v>5998</v>
      </c>
    </row>
    <row r="161" spans="1:15" x14ac:dyDescent="0.25">
      <c r="A161" t="s">
        <v>6334</v>
      </c>
      <c r="B161" t="s">
        <v>41</v>
      </c>
      <c r="C161" t="s">
        <v>5721</v>
      </c>
      <c r="D161">
        <v>1</v>
      </c>
      <c r="E161" t="s">
        <v>6335</v>
      </c>
      <c r="F161" t="s">
        <v>6802</v>
      </c>
      <c r="G161" t="s">
        <v>6336</v>
      </c>
      <c r="H161" t="s">
        <v>6803</v>
      </c>
      <c r="I161">
        <v>1</v>
      </c>
      <c r="J161" t="s">
        <v>6408</v>
      </c>
      <c r="K161" t="s">
        <v>6337</v>
      </c>
      <c r="L161" t="s">
        <v>90</v>
      </c>
      <c r="M161" t="s">
        <v>3457</v>
      </c>
      <c r="N161" t="s">
        <v>3457</v>
      </c>
      <c r="O161" t="s">
        <v>6804</v>
      </c>
    </row>
    <row r="162" spans="1:15" x14ac:dyDescent="0.25">
      <c r="A162" t="s">
        <v>6338</v>
      </c>
      <c r="B162" t="s">
        <v>3501</v>
      </c>
      <c r="C162" t="s">
        <v>5721</v>
      </c>
      <c r="D162">
        <v>1</v>
      </c>
      <c r="E162" s="8" t="s">
        <v>6339</v>
      </c>
      <c r="F162" t="s">
        <v>6805</v>
      </c>
      <c r="G162" s="8" t="s">
        <v>6340</v>
      </c>
      <c r="H162" t="s">
        <v>6806</v>
      </c>
      <c r="I162">
        <v>1</v>
      </c>
      <c r="J162" t="s">
        <v>6514</v>
      </c>
      <c r="K162" t="s">
        <v>6338</v>
      </c>
      <c r="L162" t="s">
        <v>90</v>
      </c>
      <c r="M162" t="s">
        <v>3457</v>
      </c>
      <c r="N162" t="s">
        <v>3457</v>
      </c>
      <c r="O162" t="s">
        <v>5981</v>
      </c>
    </row>
    <row r="163" spans="1:15" x14ac:dyDescent="0.25">
      <c r="A163" t="s">
        <v>6341</v>
      </c>
      <c r="B163" t="s">
        <v>3513</v>
      </c>
      <c r="C163" t="s">
        <v>5721</v>
      </c>
      <c r="D163">
        <v>2</v>
      </c>
      <c r="E163" t="s">
        <v>6342</v>
      </c>
      <c r="F163" t="s">
        <v>6807</v>
      </c>
      <c r="G163" t="s">
        <v>6343</v>
      </c>
      <c r="H163" t="s">
        <v>6808</v>
      </c>
      <c r="I163">
        <v>2</v>
      </c>
      <c r="J163" t="s">
        <v>6391</v>
      </c>
      <c r="K163" t="s">
        <v>6341</v>
      </c>
      <c r="L163" t="s">
        <v>90</v>
      </c>
      <c r="M163" t="s">
        <v>3457</v>
      </c>
      <c r="N163" t="s">
        <v>3457</v>
      </c>
      <c r="O163" t="s">
        <v>5866</v>
      </c>
    </row>
    <row r="164" spans="1:15" x14ac:dyDescent="0.25">
      <c r="A164" t="s">
        <v>6345</v>
      </c>
      <c r="B164" t="s">
        <v>41</v>
      </c>
      <c r="C164" t="s">
        <v>5359</v>
      </c>
      <c r="D164">
        <v>0</v>
      </c>
      <c r="E164" t="s">
        <v>6346</v>
      </c>
      <c r="F164" t="s">
        <v>6809</v>
      </c>
      <c r="G164" t="s">
        <v>6347</v>
      </c>
      <c r="H164" t="s">
        <v>6810</v>
      </c>
      <c r="I164">
        <v>0</v>
      </c>
      <c r="J164" t="s">
        <v>3457</v>
      </c>
      <c r="K164" t="s">
        <v>6345</v>
      </c>
      <c r="L164" t="s">
        <v>90</v>
      </c>
      <c r="M164" t="s">
        <v>5495</v>
      </c>
      <c r="N164" t="s">
        <v>3457</v>
      </c>
      <c r="O164" t="s">
        <v>5762</v>
      </c>
    </row>
    <row r="165" spans="1:15" x14ac:dyDescent="0.25">
      <c r="A165" t="s">
        <v>5290</v>
      </c>
      <c r="B165" t="s">
        <v>3513</v>
      </c>
      <c r="C165" t="s">
        <v>4596</v>
      </c>
      <c r="D165">
        <v>1</v>
      </c>
      <c r="E165" s="8" t="s">
        <v>6811</v>
      </c>
      <c r="F165" t="s">
        <v>6812</v>
      </c>
      <c r="G165" s="8" t="s">
        <v>6813</v>
      </c>
      <c r="H165" t="s">
        <v>6814</v>
      </c>
      <c r="I165">
        <v>1</v>
      </c>
      <c r="J165" t="s">
        <v>3457</v>
      </c>
      <c r="K165" t="s">
        <v>5292</v>
      </c>
      <c r="L165" t="s">
        <v>90</v>
      </c>
      <c r="M165" t="s">
        <v>3457</v>
      </c>
      <c r="N165" t="s">
        <v>3457</v>
      </c>
      <c r="O165" t="s">
        <v>6815</v>
      </c>
    </row>
    <row r="166" spans="1:15" x14ac:dyDescent="0.25">
      <c r="A166" t="s">
        <v>6351</v>
      </c>
      <c r="B166" t="s">
        <v>3513</v>
      </c>
      <c r="C166" t="s">
        <v>5721</v>
      </c>
      <c r="D166" t="s">
        <v>5945</v>
      </c>
      <c r="E166" t="s">
        <v>6816</v>
      </c>
      <c r="F166" t="s">
        <v>6817</v>
      </c>
      <c r="G166" t="s">
        <v>6818</v>
      </c>
      <c r="H166" t="s">
        <v>6819</v>
      </c>
      <c r="I166" t="s">
        <v>5945</v>
      </c>
      <c r="J166" t="s">
        <v>6488</v>
      </c>
      <c r="K166" t="s">
        <v>6351</v>
      </c>
      <c r="L166" t="s">
        <v>90</v>
      </c>
      <c r="M166" t="s">
        <v>3457</v>
      </c>
      <c r="N166" t="s">
        <v>3457</v>
      </c>
      <c r="O166" t="s">
        <v>5858</v>
      </c>
    </row>
    <row r="167" spans="1:15" x14ac:dyDescent="0.25">
      <c r="A167" t="s">
        <v>6354</v>
      </c>
      <c r="B167" t="s">
        <v>3513</v>
      </c>
      <c r="C167" t="s">
        <v>5359</v>
      </c>
      <c r="D167">
        <v>1</v>
      </c>
      <c r="E167" s="8" t="s">
        <v>6355</v>
      </c>
      <c r="F167" t="s">
        <v>6820</v>
      </c>
      <c r="G167" s="8" t="s">
        <v>6355</v>
      </c>
      <c r="H167" t="s">
        <v>6820</v>
      </c>
      <c r="I167">
        <v>0</v>
      </c>
      <c r="J167" t="s">
        <v>3457</v>
      </c>
      <c r="K167" t="s">
        <v>6356</v>
      </c>
      <c r="L167" t="s">
        <v>90</v>
      </c>
      <c r="M167" t="s">
        <v>5495</v>
      </c>
      <c r="N167" t="s">
        <v>3457</v>
      </c>
      <c r="O167" t="s">
        <v>6821</v>
      </c>
    </row>
    <row r="168" spans="1:15" x14ac:dyDescent="0.25">
      <c r="A168" t="s">
        <v>6358</v>
      </c>
      <c r="B168" t="s">
        <v>41</v>
      </c>
      <c r="C168" t="s">
        <v>5721</v>
      </c>
      <c r="D168">
        <v>1</v>
      </c>
      <c r="E168" s="8" t="s">
        <v>6359</v>
      </c>
      <c r="F168" t="s">
        <v>6822</v>
      </c>
      <c r="G168" s="8" t="s">
        <v>6360</v>
      </c>
      <c r="H168" t="s">
        <v>6823</v>
      </c>
      <c r="I168">
        <v>1</v>
      </c>
      <c r="J168" t="s">
        <v>6449</v>
      </c>
      <c r="K168" t="s">
        <v>6361</v>
      </c>
      <c r="L168" t="s">
        <v>90</v>
      </c>
      <c r="M168" t="s">
        <v>3457</v>
      </c>
      <c r="N168" t="s">
        <v>3457</v>
      </c>
      <c r="O168" t="s">
        <v>6218</v>
      </c>
    </row>
    <row r="169" spans="1:15" x14ac:dyDescent="0.25">
      <c r="A169" t="s">
        <v>6362</v>
      </c>
      <c r="B169" t="s">
        <v>4296</v>
      </c>
      <c r="C169" t="s">
        <v>3655</v>
      </c>
      <c r="D169" t="s">
        <v>3996</v>
      </c>
      <c r="E169" s="8" t="s">
        <v>6087</v>
      </c>
      <c r="F169" t="s">
        <v>4214</v>
      </c>
      <c r="G169" s="8" t="s">
        <v>3457</v>
      </c>
      <c r="H169" t="s">
        <v>3457</v>
      </c>
      <c r="I169" t="s">
        <v>3457</v>
      </c>
      <c r="J169" t="s">
        <v>3457</v>
      </c>
      <c r="K169" t="s">
        <v>6362</v>
      </c>
      <c r="L169" t="s">
        <v>90</v>
      </c>
      <c r="M169" t="s">
        <v>3457</v>
      </c>
      <c r="N169" t="s">
        <v>3457</v>
      </c>
      <c r="O169" t="s">
        <v>6458</v>
      </c>
    </row>
    <row r="170" spans="1:15" x14ac:dyDescent="0.25">
      <c r="A170" t="s">
        <v>6363</v>
      </c>
      <c r="B170" t="s">
        <v>3501</v>
      </c>
      <c r="C170" t="s">
        <v>4596</v>
      </c>
      <c r="D170">
        <v>3</v>
      </c>
      <c r="E170" s="8" t="s">
        <v>6824</v>
      </c>
      <c r="F170" t="s">
        <v>6825</v>
      </c>
      <c r="G170" s="8" t="s">
        <v>6826</v>
      </c>
      <c r="H170" t="s">
        <v>6827</v>
      </c>
      <c r="I170" t="s">
        <v>3457</v>
      </c>
      <c r="J170" t="s">
        <v>3457</v>
      </c>
      <c r="K170" t="s">
        <v>6366</v>
      </c>
      <c r="L170" t="s">
        <v>90</v>
      </c>
      <c r="M170" t="s">
        <v>3457</v>
      </c>
      <c r="N170" t="s">
        <v>3457</v>
      </c>
      <c r="O170" t="s">
        <v>5716</v>
      </c>
    </row>
    <row r="171" spans="1:15" x14ac:dyDescent="0.25">
      <c r="A171" t="s">
        <v>6367</v>
      </c>
      <c r="B171" t="s">
        <v>4296</v>
      </c>
      <c r="C171" t="s">
        <v>4244</v>
      </c>
      <c r="D171" t="s">
        <v>3996</v>
      </c>
      <c r="E171" t="s">
        <v>6368</v>
      </c>
      <c r="F171" t="s">
        <v>4214</v>
      </c>
      <c r="G171" t="s">
        <v>3457</v>
      </c>
      <c r="H171" t="s">
        <v>3457</v>
      </c>
      <c r="I171" t="s">
        <v>3457</v>
      </c>
      <c r="J171" t="s">
        <v>3457</v>
      </c>
      <c r="K171" t="s">
        <v>6367</v>
      </c>
      <c r="L171" t="s">
        <v>90</v>
      </c>
      <c r="M171" t="s">
        <v>5462</v>
      </c>
      <c r="N171" t="s">
        <v>3457</v>
      </c>
      <c r="O171" t="s">
        <v>5869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6828</v>
      </c>
      <c r="C1" t="s">
        <v>6829</v>
      </c>
      <c r="D1" t="s">
        <v>3452</v>
      </c>
      <c r="E1" t="s">
        <v>3495</v>
      </c>
      <c r="F1" t="s">
        <v>6830</v>
      </c>
    </row>
    <row r="2" spans="1:6" ht="15" customHeight="1" x14ac:dyDescent="0.25">
      <c r="A2" t="s">
        <v>6831</v>
      </c>
      <c r="B2" t="s">
        <v>4692</v>
      </c>
      <c r="C2" t="s">
        <v>6832</v>
      </c>
      <c r="D2" t="s">
        <v>6833</v>
      </c>
      <c r="E2" t="s">
        <v>6834</v>
      </c>
      <c r="F2" t="s">
        <v>6835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3452</v>
      </c>
      <c r="C1" t="s">
        <v>6836</v>
      </c>
      <c r="D1" t="s">
        <v>171</v>
      </c>
      <c r="E1" t="s">
        <v>4448</v>
      </c>
      <c r="F1" t="s">
        <v>6</v>
      </c>
    </row>
    <row r="2" spans="1:6" ht="15" customHeight="1" x14ac:dyDescent="0.25">
      <c r="A2" t="s">
        <v>6837</v>
      </c>
      <c r="B2" t="s">
        <v>6838</v>
      </c>
      <c r="C2" t="s">
        <v>5172</v>
      </c>
      <c r="D2" t="s">
        <v>3655</v>
      </c>
      <c r="E2" t="s">
        <v>3457</v>
      </c>
      <c r="F2" t="s">
        <v>3457</v>
      </c>
    </row>
    <row r="3" spans="1:6" ht="15" customHeight="1" x14ac:dyDescent="0.25">
      <c r="A3" t="s">
        <v>6839</v>
      </c>
      <c r="B3" t="s">
        <v>6840</v>
      </c>
      <c r="C3" t="s">
        <v>6841</v>
      </c>
      <c r="D3" t="s">
        <v>3655</v>
      </c>
      <c r="E3" t="s">
        <v>3457</v>
      </c>
      <c r="F3" t="s">
        <v>3457</v>
      </c>
    </row>
    <row r="4" spans="1:6" ht="15" customHeight="1" x14ac:dyDescent="0.25">
      <c r="A4" t="s">
        <v>6842</v>
      </c>
      <c r="B4" t="s">
        <v>6843</v>
      </c>
      <c r="C4" t="s">
        <v>5175</v>
      </c>
      <c r="D4" t="s">
        <v>6842</v>
      </c>
      <c r="E4" t="s">
        <v>3981</v>
      </c>
      <c r="F4" t="s">
        <v>3501</v>
      </c>
    </row>
    <row r="5" spans="1:6" ht="15" customHeight="1" x14ac:dyDescent="0.25">
      <c r="A5" t="s">
        <v>6844</v>
      </c>
      <c r="B5" t="s">
        <v>6845</v>
      </c>
      <c r="C5" t="s">
        <v>6846</v>
      </c>
      <c r="D5" t="s">
        <v>3511</v>
      </c>
      <c r="E5" t="s">
        <v>3998</v>
      </c>
      <c r="F5" t="s">
        <v>41</v>
      </c>
    </row>
    <row r="6" spans="1:6" ht="15" customHeight="1" x14ac:dyDescent="0.25">
      <c r="A6" t="s">
        <v>6847</v>
      </c>
      <c r="B6" t="s">
        <v>6848</v>
      </c>
      <c r="C6" t="s">
        <v>6846</v>
      </c>
      <c r="D6" t="s">
        <v>3655</v>
      </c>
      <c r="E6" t="s">
        <v>3457</v>
      </c>
      <c r="F6" t="s">
        <v>3513</v>
      </c>
    </row>
    <row r="7" spans="1:6" ht="15" customHeight="1" x14ac:dyDescent="0.25">
      <c r="A7" t="s">
        <v>6849</v>
      </c>
      <c r="B7" t="s">
        <v>6850</v>
      </c>
      <c r="C7" t="s">
        <v>6841</v>
      </c>
      <c r="D7" t="s">
        <v>3655</v>
      </c>
      <c r="E7" t="s">
        <v>3457</v>
      </c>
    </row>
    <row r="8" spans="1:6" ht="15" customHeight="1" x14ac:dyDescent="0.25">
      <c r="A8" t="s">
        <v>6851</v>
      </c>
      <c r="B8" t="s">
        <v>6852</v>
      </c>
      <c r="C8" t="s">
        <v>5172</v>
      </c>
      <c r="D8" t="s">
        <v>3655</v>
      </c>
      <c r="E8" t="s">
        <v>3457</v>
      </c>
      <c r="F8" t="s">
        <v>3457</v>
      </c>
    </row>
    <row r="9" spans="1:6" ht="15" customHeight="1" x14ac:dyDescent="0.25">
      <c r="A9" t="s">
        <v>6853</v>
      </c>
      <c r="B9" t="s">
        <v>6854</v>
      </c>
      <c r="C9" t="s">
        <v>5175</v>
      </c>
      <c r="D9" t="s">
        <v>5721</v>
      </c>
      <c r="E9" t="s">
        <v>3981</v>
      </c>
      <c r="F9" t="s">
        <v>41</v>
      </c>
    </row>
    <row r="10" spans="1:6" ht="15" customHeight="1" x14ac:dyDescent="0.25">
      <c r="A10" t="s">
        <v>6855</v>
      </c>
      <c r="B10" t="s">
        <v>6856</v>
      </c>
      <c r="C10" t="s">
        <v>6841</v>
      </c>
      <c r="D10" t="s">
        <v>3655</v>
      </c>
      <c r="E10" t="s">
        <v>5022</v>
      </c>
      <c r="F10" t="s">
        <v>41</v>
      </c>
    </row>
    <row r="11" spans="1:6" ht="15" customHeight="1" x14ac:dyDescent="0.25">
      <c r="A11" t="s">
        <v>6857</v>
      </c>
      <c r="B11" t="s">
        <v>6858</v>
      </c>
      <c r="C11" t="s">
        <v>6846</v>
      </c>
      <c r="D11" t="s">
        <v>3440</v>
      </c>
      <c r="E11" t="s">
        <v>3457</v>
      </c>
      <c r="F11" t="s">
        <v>3513</v>
      </c>
    </row>
    <row r="12" spans="1:6" ht="15" customHeight="1" x14ac:dyDescent="0.25">
      <c r="A12" t="s">
        <v>6859</v>
      </c>
      <c r="B12" t="s">
        <v>6860</v>
      </c>
      <c r="C12" t="s">
        <v>5175</v>
      </c>
      <c r="D12" t="s">
        <v>3655</v>
      </c>
      <c r="E12" t="s">
        <v>5022</v>
      </c>
      <c r="F12" t="s">
        <v>41</v>
      </c>
    </row>
    <row r="13" spans="1:6" ht="15" customHeight="1" x14ac:dyDescent="0.25">
      <c r="A13" t="s">
        <v>6861</v>
      </c>
      <c r="B13" t="s">
        <v>6862</v>
      </c>
      <c r="C13" t="s">
        <v>6841</v>
      </c>
      <c r="D13" t="s">
        <v>3655</v>
      </c>
      <c r="E13" t="s">
        <v>3457</v>
      </c>
      <c r="F13" t="s">
        <v>3457</v>
      </c>
    </row>
    <row r="14" spans="1:6" ht="15" customHeight="1" x14ac:dyDescent="0.25">
      <c r="A14" t="s">
        <v>6863</v>
      </c>
      <c r="B14" t="s">
        <v>6864</v>
      </c>
      <c r="C14" t="s">
        <v>6841</v>
      </c>
      <c r="D14" t="s">
        <v>3655</v>
      </c>
      <c r="E14" t="s">
        <v>3457</v>
      </c>
      <c r="F14" t="s">
        <v>3457</v>
      </c>
    </row>
    <row r="15" spans="1:6" ht="15" customHeight="1" x14ac:dyDescent="0.25">
      <c r="A15" t="s">
        <v>6865</v>
      </c>
      <c r="B15" t="s">
        <v>6866</v>
      </c>
      <c r="C15" t="s">
        <v>5175</v>
      </c>
      <c r="D15" t="s">
        <v>5721</v>
      </c>
      <c r="E15" t="s">
        <v>6867</v>
      </c>
      <c r="F15" t="s">
        <v>3501</v>
      </c>
    </row>
    <row r="16" spans="1:6" ht="15" customHeight="1" x14ac:dyDescent="0.25">
      <c r="A16" t="s">
        <v>6868</v>
      </c>
      <c r="B16" t="s">
        <v>6869</v>
      </c>
      <c r="C16" t="s">
        <v>6841</v>
      </c>
      <c r="D16" t="s">
        <v>6868</v>
      </c>
      <c r="E16" t="s">
        <v>3457</v>
      </c>
      <c r="F16" t="s">
        <v>41</v>
      </c>
    </row>
    <row r="17" spans="1:6" ht="15" customHeight="1" x14ac:dyDescent="0.25">
      <c r="A17" t="s">
        <v>6159</v>
      </c>
      <c r="B17" t="s">
        <v>6870</v>
      </c>
      <c r="C17" t="s">
        <v>6841</v>
      </c>
      <c r="D17" t="s">
        <v>3655</v>
      </c>
      <c r="E17" t="s">
        <v>3981</v>
      </c>
      <c r="F17" t="s">
        <v>3457</v>
      </c>
    </row>
    <row r="18" spans="1:6" ht="15" customHeight="1" x14ac:dyDescent="0.25">
      <c r="A18" t="s">
        <v>5674</v>
      </c>
      <c r="B18" t="s">
        <v>6871</v>
      </c>
      <c r="C18" t="s">
        <v>6841</v>
      </c>
      <c r="D18" t="s">
        <v>3655</v>
      </c>
      <c r="E18" t="s">
        <v>5022</v>
      </c>
      <c r="F18" t="s">
        <v>3501</v>
      </c>
    </row>
    <row r="19" spans="1:6" ht="15" customHeight="1" x14ac:dyDescent="0.25">
      <c r="A19" t="s">
        <v>6872</v>
      </c>
      <c r="B19" t="s">
        <v>6873</v>
      </c>
      <c r="C19" t="s">
        <v>6841</v>
      </c>
      <c r="D19" t="s">
        <v>3655</v>
      </c>
      <c r="E19" t="s">
        <v>3457</v>
      </c>
      <c r="F19" t="s">
        <v>3457</v>
      </c>
    </row>
    <row r="20" spans="1:6" ht="15" customHeight="1" x14ac:dyDescent="0.25">
      <c r="A20" t="s">
        <v>6874</v>
      </c>
      <c r="B20" t="s">
        <v>6875</v>
      </c>
      <c r="C20" t="s">
        <v>5172</v>
      </c>
      <c r="D20" t="s">
        <v>3655</v>
      </c>
      <c r="E20" t="s">
        <v>3457</v>
      </c>
      <c r="F20" t="s">
        <v>3457</v>
      </c>
    </row>
    <row r="21" spans="1:6" ht="15" customHeight="1" x14ac:dyDescent="0.25">
      <c r="A21" t="s">
        <v>6876</v>
      </c>
      <c r="B21" t="s">
        <v>6877</v>
      </c>
      <c r="C21" t="s">
        <v>6846</v>
      </c>
      <c r="D21" t="s">
        <v>6876</v>
      </c>
      <c r="E21" t="s">
        <v>6867</v>
      </c>
      <c r="F21" t="s">
        <v>3501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5697</v>
      </c>
      <c r="C1" t="s">
        <v>6</v>
      </c>
      <c r="D1" t="s">
        <v>3452</v>
      </c>
      <c r="E1" t="s">
        <v>6376</v>
      </c>
      <c r="F1" t="s">
        <v>6878</v>
      </c>
      <c r="G1" t="s">
        <v>1</v>
      </c>
      <c r="H1" t="s">
        <v>6377</v>
      </c>
      <c r="I1" t="s">
        <v>171</v>
      </c>
    </row>
    <row r="2" spans="1:9" ht="15" customHeight="1" x14ac:dyDescent="0.25">
      <c r="A2" t="s">
        <v>6879</v>
      </c>
      <c r="B2">
        <v>6</v>
      </c>
      <c r="C2" t="s">
        <v>3501</v>
      </c>
      <c r="D2" t="s">
        <v>6880</v>
      </c>
      <c r="E2" t="s">
        <v>3457</v>
      </c>
      <c r="F2" t="s">
        <v>3996</v>
      </c>
      <c r="G2" t="s">
        <v>2361</v>
      </c>
      <c r="H2" t="s">
        <v>5385</v>
      </c>
      <c r="I2" t="s">
        <v>6879</v>
      </c>
    </row>
    <row r="3" spans="1:9" ht="15" customHeight="1" x14ac:dyDescent="0.25">
      <c r="A3" t="s">
        <v>6881</v>
      </c>
      <c r="B3">
        <v>3</v>
      </c>
      <c r="C3" t="s">
        <v>3513</v>
      </c>
      <c r="D3" t="s">
        <v>6882</v>
      </c>
      <c r="E3" t="s">
        <v>3457</v>
      </c>
      <c r="F3" t="s">
        <v>187</v>
      </c>
      <c r="G3" t="s">
        <v>2361</v>
      </c>
      <c r="H3" t="s">
        <v>3457</v>
      </c>
      <c r="I3" t="s">
        <v>6881</v>
      </c>
    </row>
    <row r="4" spans="1:9" ht="15" customHeight="1" x14ac:dyDescent="0.25">
      <c r="A4" t="s">
        <v>6883</v>
      </c>
      <c r="B4">
        <v>3</v>
      </c>
      <c r="C4" t="s">
        <v>3501</v>
      </c>
      <c r="D4" t="s">
        <v>6884</v>
      </c>
      <c r="E4" t="s">
        <v>5413</v>
      </c>
      <c r="F4" t="s">
        <v>187</v>
      </c>
      <c r="G4" t="s">
        <v>2361</v>
      </c>
      <c r="H4" t="s">
        <v>3457</v>
      </c>
      <c r="I4" t="s">
        <v>6883</v>
      </c>
    </row>
    <row r="5" spans="1:9" ht="15" customHeight="1" x14ac:dyDescent="0.25">
      <c r="A5" t="s">
        <v>6885</v>
      </c>
      <c r="B5">
        <v>6</v>
      </c>
      <c r="C5" t="s">
        <v>3501</v>
      </c>
      <c r="D5" t="s">
        <v>6886</v>
      </c>
      <c r="E5" t="s">
        <v>3457</v>
      </c>
      <c r="F5" t="s">
        <v>187</v>
      </c>
      <c r="G5" t="s">
        <v>2361</v>
      </c>
      <c r="H5" t="s">
        <v>4260</v>
      </c>
      <c r="I5" t="s">
        <v>6885</v>
      </c>
    </row>
    <row r="6" spans="1:9" ht="15" customHeight="1" x14ac:dyDescent="0.25">
      <c r="A6" t="s">
        <v>4001</v>
      </c>
      <c r="B6">
        <v>1</v>
      </c>
      <c r="C6" t="s">
        <v>3513</v>
      </c>
      <c r="D6" t="s">
        <v>6887</v>
      </c>
      <c r="E6" t="s">
        <v>3457</v>
      </c>
      <c r="F6" t="s">
        <v>187</v>
      </c>
      <c r="G6" t="s">
        <v>2361</v>
      </c>
      <c r="H6" t="s">
        <v>4260</v>
      </c>
      <c r="I6" t="s">
        <v>4001</v>
      </c>
    </row>
    <row r="7" spans="1:9" ht="15" customHeight="1" x14ac:dyDescent="0.25">
      <c r="A7" t="s">
        <v>6888</v>
      </c>
      <c r="B7">
        <v>3</v>
      </c>
      <c r="C7" t="s">
        <v>3501</v>
      </c>
      <c r="D7" t="s">
        <v>6889</v>
      </c>
      <c r="E7" t="s">
        <v>3457</v>
      </c>
      <c r="F7" t="s">
        <v>187</v>
      </c>
      <c r="G7" t="s">
        <v>2361</v>
      </c>
      <c r="H7" t="s">
        <v>3457</v>
      </c>
      <c r="I7" t="s">
        <v>6888</v>
      </c>
    </row>
    <row r="8" spans="1:9" ht="15" customHeight="1" x14ac:dyDescent="0.25">
      <c r="A8" t="s">
        <v>6890</v>
      </c>
      <c r="B8">
        <v>1</v>
      </c>
      <c r="C8" t="s">
        <v>3513</v>
      </c>
      <c r="D8" t="s">
        <v>6891</v>
      </c>
      <c r="E8" t="s">
        <v>5411</v>
      </c>
      <c r="F8" t="s">
        <v>187</v>
      </c>
      <c r="G8" t="s">
        <v>2361</v>
      </c>
      <c r="H8" t="s">
        <v>3457</v>
      </c>
      <c r="I8" t="s">
        <v>6890</v>
      </c>
    </row>
    <row r="9" spans="1:9" ht="15" customHeight="1" x14ac:dyDescent="0.25">
      <c r="A9" t="s">
        <v>6892</v>
      </c>
      <c r="B9">
        <v>2</v>
      </c>
      <c r="C9" t="s">
        <v>41</v>
      </c>
      <c r="D9" t="s">
        <v>4557</v>
      </c>
      <c r="E9" t="s">
        <v>5428</v>
      </c>
      <c r="F9" t="s">
        <v>3996</v>
      </c>
      <c r="G9" t="s">
        <v>2361</v>
      </c>
      <c r="H9" t="s">
        <v>3457</v>
      </c>
      <c r="I9" t="s">
        <v>6892</v>
      </c>
    </row>
    <row r="10" spans="1:9" ht="15" customHeight="1" x14ac:dyDescent="0.25">
      <c r="A10" t="s">
        <v>6893</v>
      </c>
      <c r="B10">
        <v>1</v>
      </c>
      <c r="C10" t="s">
        <v>3501</v>
      </c>
      <c r="D10" t="s">
        <v>6894</v>
      </c>
      <c r="E10" t="s">
        <v>5411</v>
      </c>
      <c r="F10" t="s">
        <v>3996</v>
      </c>
      <c r="G10" t="s">
        <v>2361</v>
      </c>
      <c r="H10" t="s">
        <v>5382</v>
      </c>
      <c r="I10" t="s">
        <v>6893</v>
      </c>
    </row>
    <row r="11" spans="1:9" ht="15" customHeight="1" x14ac:dyDescent="0.25">
      <c r="A11" t="s">
        <v>6895</v>
      </c>
      <c r="B11">
        <v>15</v>
      </c>
      <c r="C11" t="s">
        <v>3501</v>
      </c>
      <c r="D11" t="s">
        <v>6896</v>
      </c>
      <c r="E11" t="s">
        <v>3457</v>
      </c>
      <c r="F11" t="s">
        <v>3996</v>
      </c>
      <c r="G11" t="s">
        <v>2361</v>
      </c>
      <c r="H11" t="s">
        <v>5385</v>
      </c>
      <c r="I11" t="s">
        <v>6895</v>
      </c>
    </row>
    <row r="12" spans="1:9" ht="15" customHeight="1" x14ac:dyDescent="0.25">
      <c r="A12" t="s">
        <v>6897</v>
      </c>
      <c r="B12">
        <v>2</v>
      </c>
      <c r="C12" t="s">
        <v>41</v>
      </c>
      <c r="D12" t="s">
        <v>6898</v>
      </c>
      <c r="E12" t="s">
        <v>3457</v>
      </c>
      <c r="F12" t="s">
        <v>3996</v>
      </c>
      <c r="G12" t="s">
        <v>2361</v>
      </c>
      <c r="H12" t="s">
        <v>5382</v>
      </c>
      <c r="I12" t="s">
        <v>6897</v>
      </c>
    </row>
    <row r="13" spans="1:9" ht="15" customHeight="1" x14ac:dyDescent="0.25">
      <c r="A13" t="s">
        <v>6899</v>
      </c>
      <c r="B13">
        <v>3</v>
      </c>
      <c r="C13" t="s">
        <v>3501</v>
      </c>
      <c r="D13" t="s">
        <v>6900</v>
      </c>
      <c r="E13" t="s">
        <v>3457</v>
      </c>
      <c r="F13" t="s">
        <v>187</v>
      </c>
      <c r="G13" t="s">
        <v>2361</v>
      </c>
      <c r="H13" t="s">
        <v>5253</v>
      </c>
      <c r="I13" t="s">
        <v>6899</v>
      </c>
    </row>
    <row r="14" spans="1:9" ht="15" customHeight="1" x14ac:dyDescent="0.25">
      <c r="A14" t="s">
        <v>6901</v>
      </c>
      <c r="B14">
        <v>1</v>
      </c>
      <c r="C14" t="s">
        <v>41</v>
      </c>
      <c r="D14" t="s">
        <v>6902</v>
      </c>
      <c r="E14" t="s">
        <v>5411</v>
      </c>
      <c r="F14" t="s">
        <v>187</v>
      </c>
      <c r="G14" t="s">
        <v>2361</v>
      </c>
      <c r="H14" t="s">
        <v>3457</v>
      </c>
      <c r="I14" t="s">
        <v>6901</v>
      </c>
    </row>
    <row r="15" spans="1:9" ht="15" customHeight="1" x14ac:dyDescent="0.25">
      <c r="A15" t="s">
        <v>6903</v>
      </c>
      <c r="B15">
        <v>2</v>
      </c>
      <c r="C15" t="s">
        <v>41</v>
      </c>
      <c r="D15" t="s">
        <v>6904</v>
      </c>
      <c r="E15" t="s">
        <v>5458</v>
      </c>
      <c r="F15" t="s">
        <v>187</v>
      </c>
      <c r="G15" t="s">
        <v>2361</v>
      </c>
      <c r="H15" t="s">
        <v>5388</v>
      </c>
      <c r="I15" t="s">
        <v>6903</v>
      </c>
    </row>
    <row r="16" spans="1:9" ht="15" customHeight="1" x14ac:dyDescent="0.25">
      <c r="A16" t="s">
        <v>6905</v>
      </c>
      <c r="B16">
        <v>2</v>
      </c>
      <c r="C16" t="s">
        <v>41</v>
      </c>
      <c r="D16" t="s">
        <v>6906</v>
      </c>
      <c r="E16" t="s">
        <v>5458</v>
      </c>
      <c r="F16" t="s">
        <v>187</v>
      </c>
      <c r="G16" t="s">
        <v>2361</v>
      </c>
      <c r="H16" t="s">
        <v>5388</v>
      </c>
      <c r="I16" t="s">
        <v>6905</v>
      </c>
    </row>
    <row r="17" spans="1:9" ht="15" customHeight="1" x14ac:dyDescent="0.25">
      <c r="A17" t="s">
        <v>6907</v>
      </c>
      <c r="B17">
        <v>3</v>
      </c>
      <c r="C17" t="s">
        <v>3513</v>
      </c>
      <c r="D17" t="s">
        <v>6908</v>
      </c>
      <c r="E17" t="s">
        <v>3457</v>
      </c>
      <c r="F17" t="s">
        <v>187</v>
      </c>
      <c r="G17" t="s">
        <v>2361</v>
      </c>
      <c r="H17" t="s">
        <v>5397</v>
      </c>
      <c r="I17" t="s">
        <v>6907</v>
      </c>
    </row>
    <row r="18" spans="1:9" ht="15" customHeight="1" x14ac:dyDescent="0.25">
      <c r="A18" t="s">
        <v>6909</v>
      </c>
      <c r="B18">
        <v>3</v>
      </c>
      <c r="C18" t="s">
        <v>41</v>
      </c>
      <c r="D18" t="s">
        <v>6910</v>
      </c>
      <c r="E18" t="s">
        <v>5458</v>
      </c>
      <c r="F18" t="s">
        <v>187</v>
      </c>
      <c r="G18" t="s">
        <v>2361</v>
      </c>
      <c r="H18" t="s">
        <v>4260</v>
      </c>
      <c r="I18" t="s">
        <v>6909</v>
      </c>
    </row>
    <row r="19" spans="1:9" ht="15" customHeight="1" x14ac:dyDescent="0.25">
      <c r="A19" t="s">
        <v>6911</v>
      </c>
      <c r="B19">
        <v>4</v>
      </c>
      <c r="C19" t="s">
        <v>41</v>
      </c>
      <c r="D19" t="s">
        <v>6912</v>
      </c>
      <c r="E19" t="s">
        <v>5406</v>
      </c>
      <c r="F19" t="s">
        <v>187</v>
      </c>
      <c r="G19" t="s">
        <v>2361</v>
      </c>
      <c r="H19" t="s">
        <v>5388</v>
      </c>
      <c r="I19" t="s">
        <v>6911</v>
      </c>
    </row>
    <row r="20" spans="1:9" ht="15" customHeight="1" x14ac:dyDescent="0.25">
      <c r="A20" t="s">
        <v>6913</v>
      </c>
      <c r="B20">
        <v>2</v>
      </c>
      <c r="C20" t="s">
        <v>3513</v>
      </c>
      <c r="D20" t="s">
        <v>6914</v>
      </c>
      <c r="E20" t="s">
        <v>5411</v>
      </c>
      <c r="F20" t="s">
        <v>3996</v>
      </c>
      <c r="G20" t="s">
        <v>2361</v>
      </c>
      <c r="H20" t="s">
        <v>5390</v>
      </c>
      <c r="I20" t="s">
        <v>6913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6915</v>
      </c>
      <c r="D1" t="s">
        <v>1</v>
      </c>
      <c r="E1" t="s">
        <v>7</v>
      </c>
    </row>
    <row r="2" spans="1:5" ht="15" customHeight="1" x14ac:dyDescent="0.25">
      <c r="A2" t="s">
        <v>6916</v>
      </c>
      <c r="B2" t="s">
        <v>41</v>
      </c>
      <c r="C2" t="s">
        <v>4374</v>
      </c>
      <c r="D2" t="s">
        <v>1294</v>
      </c>
      <c r="E2" t="s">
        <v>6917</v>
      </c>
    </row>
    <row r="3" spans="1:5" ht="15" customHeight="1" x14ac:dyDescent="0.25">
      <c r="A3" t="s">
        <v>6918</v>
      </c>
      <c r="B3" t="s">
        <v>3513</v>
      </c>
      <c r="C3" t="s">
        <v>4374</v>
      </c>
      <c r="D3" t="s">
        <v>1294</v>
      </c>
      <c r="E3" t="s">
        <v>6919</v>
      </c>
    </row>
    <row r="4" spans="1:5" ht="15" customHeight="1" x14ac:dyDescent="0.25">
      <c r="A4" t="s">
        <v>6920</v>
      </c>
      <c r="B4" t="s">
        <v>3501</v>
      </c>
      <c r="C4" t="s">
        <v>4374</v>
      </c>
      <c r="D4" t="s">
        <v>1294</v>
      </c>
      <c r="E4" t="s">
        <v>6921</v>
      </c>
    </row>
    <row r="5" spans="1:5" ht="15" customHeight="1" x14ac:dyDescent="0.25">
      <c r="A5" t="s">
        <v>6922</v>
      </c>
      <c r="B5" t="s">
        <v>41</v>
      </c>
      <c r="C5" t="s">
        <v>4372</v>
      </c>
      <c r="D5" t="s">
        <v>1294</v>
      </c>
      <c r="E5" t="s">
        <v>6923</v>
      </c>
    </row>
    <row r="6" spans="1:5" ht="15" customHeight="1" x14ac:dyDescent="0.25">
      <c r="A6" t="s">
        <v>6924</v>
      </c>
      <c r="B6" t="s">
        <v>3513</v>
      </c>
      <c r="C6" t="s">
        <v>4372</v>
      </c>
      <c r="D6" t="s">
        <v>1294</v>
      </c>
      <c r="E6" t="s">
        <v>6925</v>
      </c>
    </row>
    <row r="7" spans="1:5" ht="15" customHeight="1" x14ac:dyDescent="0.25">
      <c r="A7" t="s">
        <v>6926</v>
      </c>
      <c r="B7" t="s">
        <v>3501</v>
      </c>
      <c r="C7" t="s">
        <v>4372</v>
      </c>
      <c r="D7" t="s">
        <v>1294</v>
      </c>
      <c r="E7" t="s">
        <v>6927</v>
      </c>
    </row>
    <row r="8" spans="1:5" ht="15" customHeight="1" x14ac:dyDescent="0.25">
      <c r="A8" t="s">
        <v>6928</v>
      </c>
      <c r="B8" t="s">
        <v>41</v>
      </c>
      <c r="C8" t="s">
        <v>4381</v>
      </c>
      <c r="D8" t="s">
        <v>1294</v>
      </c>
      <c r="E8" t="s">
        <v>6929</v>
      </c>
    </row>
    <row r="9" spans="1:5" ht="15" customHeight="1" x14ac:dyDescent="0.25">
      <c r="A9" t="s">
        <v>6930</v>
      </c>
      <c r="B9" t="s">
        <v>3513</v>
      </c>
      <c r="C9" t="s">
        <v>4381</v>
      </c>
      <c r="D9" t="s">
        <v>1294</v>
      </c>
      <c r="E9" t="s">
        <v>6931</v>
      </c>
    </row>
    <row r="10" spans="1:5" ht="15" customHeight="1" x14ac:dyDescent="0.25">
      <c r="A10" t="s">
        <v>6932</v>
      </c>
      <c r="B10" t="s">
        <v>3501</v>
      </c>
      <c r="C10" t="s">
        <v>4381</v>
      </c>
      <c r="D10" t="s">
        <v>1294</v>
      </c>
      <c r="E10" t="s">
        <v>6933</v>
      </c>
    </row>
    <row r="11" spans="1:5" ht="15" customHeight="1" x14ac:dyDescent="0.25">
      <c r="A11" t="s">
        <v>6934</v>
      </c>
      <c r="B11" t="s">
        <v>41</v>
      </c>
      <c r="C11" t="s">
        <v>4363</v>
      </c>
      <c r="D11" t="s">
        <v>1294</v>
      </c>
      <c r="E11" t="s">
        <v>6935</v>
      </c>
    </row>
    <row r="12" spans="1:5" ht="15" customHeight="1" x14ac:dyDescent="0.25">
      <c r="A12" t="s">
        <v>6936</v>
      </c>
      <c r="B12" t="s">
        <v>3513</v>
      </c>
      <c r="C12" t="s">
        <v>4363</v>
      </c>
      <c r="D12" t="s">
        <v>1294</v>
      </c>
      <c r="E12" t="s">
        <v>6937</v>
      </c>
    </row>
    <row r="13" spans="1:5" ht="15" customHeight="1" x14ac:dyDescent="0.25">
      <c r="A13" t="s">
        <v>6938</v>
      </c>
      <c r="B13" t="s">
        <v>3501</v>
      </c>
      <c r="C13" t="s">
        <v>4363</v>
      </c>
      <c r="D13" t="s">
        <v>1294</v>
      </c>
      <c r="E13" t="s">
        <v>6939</v>
      </c>
    </row>
    <row r="14" spans="1:5" ht="15" customHeight="1" x14ac:dyDescent="0.25">
      <c r="A14" t="s">
        <v>6940</v>
      </c>
      <c r="B14" t="s">
        <v>41</v>
      </c>
      <c r="C14" t="s">
        <v>4388</v>
      </c>
      <c r="D14" t="s">
        <v>1294</v>
      </c>
      <c r="E14" t="s">
        <v>6941</v>
      </c>
    </row>
    <row r="15" spans="1:5" ht="15" customHeight="1" x14ac:dyDescent="0.25">
      <c r="A15" t="s">
        <v>6942</v>
      </c>
      <c r="B15" t="s">
        <v>3513</v>
      </c>
      <c r="C15" t="s">
        <v>4388</v>
      </c>
      <c r="D15" t="s">
        <v>1294</v>
      </c>
      <c r="E15" t="s">
        <v>6943</v>
      </c>
    </row>
    <row r="16" spans="1:5" ht="15" customHeight="1" x14ac:dyDescent="0.25">
      <c r="A16" t="s">
        <v>6944</v>
      </c>
      <c r="B16" t="s">
        <v>3501</v>
      </c>
      <c r="C16" t="s">
        <v>4388</v>
      </c>
      <c r="D16" t="s">
        <v>1294</v>
      </c>
      <c r="E16" t="s">
        <v>6945</v>
      </c>
    </row>
    <row r="17" spans="1:5" ht="15" customHeight="1" x14ac:dyDescent="0.25">
      <c r="A17" t="s">
        <v>6946</v>
      </c>
      <c r="B17" t="s">
        <v>41</v>
      </c>
      <c r="C17" t="s">
        <v>4395</v>
      </c>
      <c r="D17" t="s">
        <v>1294</v>
      </c>
      <c r="E17" t="s">
        <v>6947</v>
      </c>
    </row>
    <row r="18" spans="1:5" ht="15" customHeight="1" x14ac:dyDescent="0.25">
      <c r="A18" t="s">
        <v>6948</v>
      </c>
      <c r="B18" t="s">
        <v>3513</v>
      </c>
      <c r="C18" t="s">
        <v>4395</v>
      </c>
      <c r="D18" t="s">
        <v>1294</v>
      </c>
      <c r="E18" t="s">
        <v>6949</v>
      </c>
    </row>
    <row r="19" spans="1:5" ht="15" customHeight="1" x14ac:dyDescent="0.25">
      <c r="A19" t="s">
        <v>6950</v>
      </c>
      <c r="B19" t="s">
        <v>3501</v>
      </c>
      <c r="C19" t="s">
        <v>4395</v>
      </c>
      <c r="D19" t="s">
        <v>1294</v>
      </c>
      <c r="E19" t="s">
        <v>6951</v>
      </c>
    </row>
    <row r="20" spans="1:5" ht="15" customHeight="1" x14ac:dyDescent="0.25">
      <c r="A20" t="s">
        <v>6952</v>
      </c>
      <c r="B20" t="s">
        <v>41</v>
      </c>
      <c r="C20" t="s">
        <v>4395</v>
      </c>
      <c r="D20" t="s">
        <v>709</v>
      </c>
      <c r="E20" t="s">
        <v>6953</v>
      </c>
    </row>
    <row r="21" spans="1:5" ht="15" customHeight="1" x14ac:dyDescent="0.25">
      <c r="A21" t="s">
        <v>6954</v>
      </c>
      <c r="B21" t="s">
        <v>41</v>
      </c>
      <c r="C21" t="s">
        <v>4395</v>
      </c>
      <c r="D21" t="s">
        <v>709</v>
      </c>
      <c r="E21" t="s">
        <v>6955</v>
      </c>
    </row>
    <row r="22" spans="1:5" ht="15" customHeight="1" x14ac:dyDescent="0.25">
      <c r="A22" t="s">
        <v>6956</v>
      </c>
      <c r="B22" t="s">
        <v>3513</v>
      </c>
      <c r="C22" t="s">
        <v>4395</v>
      </c>
      <c r="D22" t="s">
        <v>709</v>
      </c>
      <c r="E22" t="s">
        <v>6957</v>
      </c>
    </row>
    <row r="23" spans="1:5" ht="15" customHeight="1" x14ac:dyDescent="0.25">
      <c r="A23" t="s">
        <v>6958</v>
      </c>
      <c r="B23" t="s">
        <v>3513</v>
      </c>
      <c r="C23" t="s">
        <v>4395</v>
      </c>
      <c r="D23" t="s">
        <v>709</v>
      </c>
      <c r="E23" t="s">
        <v>6959</v>
      </c>
    </row>
    <row r="24" spans="1:5" ht="15" customHeight="1" x14ac:dyDescent="0.25">
      <c r="A24" t="s">
        <v>6960</v>
      </c>
      <c r="B24" t="s">
        <v>3501</v>
      </c>
      <c r="C24" t="s">
        <v>4395</v>
      </c>
      <c r="D24" t="s">
        <v>709</v>
      </c>
      <c r="E24" t="s">
        <v>6961</v>
      </c>
    </row>
    <row r="25" spans="1:5" ht="15" customHeight="1" x14ac:dyDescent="0.25">
      <c r="A25" t="s">
        <v>6962</v>
      </c>
      <c r="B25" t="s">
        <v>3501</v>
      </c>
      <c r="C25" t="s">
        <v>4395</v>
      </c>
      <c r="D25" t="s">
        <v>709</v>
      </c>
      <c r="E25" t="s">
        <v>6963</v>
      </c>
    </row>
    <row r="26" spans="1:5" ht="15" customHeight="1" x14ac:dyDescent="0.25">
      <c r="A26" t="s">
        <v>6964</v>
      </c>
      <c r="B26" t="s">
        <v>3501</v>
      </c>
      <c r="C26" t="s">
        <v>4395</v>
      </c>
      <c r="D26" t="s">
        <v>709</v>
      </c>
      <c r="E26" t="s">
        <v>6965</v>
      </c>
    </row>
    <row r="27" spans="1:5" ht="15" customHeight="1" x14ac:dyDescent="0.25">
      <c r="A27" t="s">
        <v>6966</v>
      </c>
      <c r="B27" t="s">
        <v>3501</v>
      </c>
      <c r="C27" t="s">
        <v>4395</v>
      </c>
      <c r="D27" t="s">
        <v>709</v>
      </c>
      <c r="E27" t="s">
        <v>6967</v>
      </c>
    </row>
    <row r="28" spans="1:5" ht="15" customHeight="1" x14ac:dyDescent="0.25">
      <c r="A28" t="s">
        <v>6968</v>
      </c>
      <c r="B28" t="s">
        <v>3501</v>
      </c>
      <c r="C28" t="s">
        <v>4395</v>
      </c>
      <c r="D28" t="s">
        <v>709</v>
      </c>
      <c r="E28" t="s">
        <v>6969</v>
      </c>
    </row>
    <row r="29" spans="1:5" ht="15" customHeight="1" x14ac:dyDescent="0.25">
      <c r="A29" t="s">
        <v>6970</v>
      </c>
      <c r="B29" t="s">
        <v>3513</v>
      </c>
      <c r="C29" t="s">
        <v>4372</v>
      </c>
      <c r="D29" t="s">
        <v>918</v>
      </c>
      <c r="E29" t="s">
        <v>6971</v>
      </c>
    </row>
    <row r="30" spans="1:5" ht="15" customHeight="1" x14ac:dyDescent="0.25">
      <c r="A30" t="s">
        <v>6972</v>
      </c>
      <c r="B30" t="s">
        <v>3513</v>
      </c>
      <c r="C30" t="s">
        <v>6973</v>
      </c>
      <c r="D30" t="s">
        <v>918</v>
      </c>
      <c r="E30" t="s">
        <v>6974</v>
      </c>
    </row>
    <row r="31" spans="1:5" ht="15" customHeight="1" x14ac:dyDescent="0.25">
      <c r="A31" t="s">
        <v>6975</v>
      </c>
      <c r="B31" t="s">
        <v>41</v>
      </c>
      <c r="C31" t="s">
        <v>4401</v>
      </c>
      <c r="D31" t="s">
        <v>918</v>
      </c>
      <c r="E31" t="s">
        <v>6976</v>
      </c>
    </row>
    <row r="32" spans="1:5" ht="15" customHeight="1" x14ac:dyDescent="0.25">
      <c r="A32" t="s">
        <v>6977</v>
      </c>
      <c r="B32" t="s">
        <v>3501</v>
      </c>
      <c r="C32" t="s">
        <v>4395</v>
      </c>
      <c r="D32" t="s">
        <v>918</v>
      </c>
      <c r="E32" t="s">
        <v>6978</v>
      </c>
    </row>
    <row r="33" spans="1:5" ht="15" customHeight="1" x14ac:dyDescent="0.25">
      <c r="A33" t="s">
        <v>6979</v>
      </c>
      <c r="B33" t="s">
        <v>41</v>
      </c>
      <c r="C33" t="s">
        <v>4401</v>
      </c>
      <c r="D33" t="s">
        <v>918</v>
      </c>
      <c r="E33" t="s">
        <v>6980</v>
      </c>
    </row>
    <row r="34" spans="1:5" ht="15" customHeight="1" x14ac:dyDescent="0.25">
      <c r="A34" t="s">
        <v>6981</v>
      </c>
      <c r="B34" t="s">
        <v>3513</v>
      </c>
      <c r="C34" t="s">
        <v>4395</v>
      </c>
      <c r="D34" t="s">
        <v>918</v>
      </c>
      <c r="E34" t="s">
        <v>6982</v>
      </c>
    </row>
    <row r="35" spans="1:5" ht="15" customHeight="1" x14ac:dyDescent="0.25">
      <c r="A35" t="s">
        <v>6983</v>
      </c>
      <c r="B35" t="s">
        <v>41</v>
      </c>
      <c r="C35" t="s">
        <v>4395</v>
      </c>
      <c r="D35" t="s">
        <v>918</v>
      </c>
      <c r="E35" t="s">
        <v>6984</v>
      </c>
    </row>
    <row r="36" spans="1:5" ht="15" customHeight="1" x14ac:dyDescent="0.25">
      <c r="A36" t="s">
        <v>6985</v>
      </c>
      <c r="B36" t="s">
        <v>41</v>
      </c>
      <c r="C36" t="s">
        <v>4395</v>
      </c>
      <c r="D36" t="s">
        <v>918</v>
      </c>
      <c r="E36" t="s">
        <v>6986</v>
      </c>
    </row>
    <row r="37" spans="1:5" ht="15" customHeight="1" x14ac:dyDescent="0.25">
      <c r="A37" t="s">
        <v>6987</v>
      </c>
      <c r="B37" t="s">
        <v>41</v>
      </c>
      <c r="C37" t="s">
        <v>4374</v>
      </c>
      <c r="D37" t="s">
        <v>1298</v>
      </c>
      <c r="E37" t="s">
        <v>6988</v>
      </c>
    </row>
    <row r="38" spans="1:5" ht="15" customHeight="1" x14ac:dyDescent="0.25">
      <c r="A38" t="s">
        <v>6989</v>
      </c>
      <c r="B38" t="s">
        <v>3513</v>
      </c>
      <c r="C38" t="s">
        <v>4374</v>
      </c>
      <c r="D38" t="s">
        <v>1298</v>
      </c>
      <c r="E38" t="s">
        <v>6990</v>
      </c>
    </row>
    <row r="39" spans="1:5" ht="15" customHeight="1" x14ac:dyDescent="0.25">
      <c r="A39" t="s">
        <v>6991</v>
      </c>
      <c r="B39" t="s">
        <v>3501</v>
      </c>
      <c r="C39" t="s">
        <v>4374</v>
      </c>
      <c r="D39" t="s">
        <v>1298</v>
      </c>
      <c r="E39" t="s">
        <v>6992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3733</v>
      </c>
      <c r="D1" t="s">
        <v>5016</v>
      </c>
      <c r="E1" s="9" t="s">
        <v>5017</v>
      </c>
      <c r="F1" s="9" t="s">
        <v>5018</v>
      </c>
      <c r="G1" t="s">
        <v>3738</v>
      </c>
      <c r="H1" t="s">
        <v>1</v>
      </c>
      <c r="I1" t="s">
        <v>5019</v>
      </c>
      <c r="J1" t="s">
        <v>6993</v>
      </c>
      <c r="K1" t="s">
        <v>171</v>
      </c>
      <c r="L1" t="s">
        <v>5021</v>
      </c>
      <c r="M1" t="s">
        <v>3739</v>
      </c>
    </row>
    <row r="2" spans="1:13" ht="15" customHeight="1" x14ac:dyDescent="0.25">
      <c r="A2" t="s">
        <v>6994</v>
      </c>
      <c r="B2" t="s">
        <v>3981</v>
      </c>
      <c r="C2" t="s">
        <v>4362</v>
      </c>
      <c r="D2">
        <v>2</v>
      </c>
      <c r="E2" s="9">
        <v>30</v>
      </c>
      <c r="F2" s="9">
        <v>34</v>
      </c>
      <c r="G2" t="s">
        <v>6995</v>
      </c>
      <c r="H2" t="s">
        <v>2132</v>
      </c>
      <c r="I2" t="s">
        <v>4395</v>
      </c>
      <c r="J2" t="s">
        <v>6996</v>
      </c>
      <c r="K2" t="s">
        <v>6994</v>
      </c>
      <c r="L2" t="s">
        <v>3457</v>
      </c>
    </row>
    <row r="3" spans="1:13" ht="15" customHeight="1" x14ac:dyDescent="0.25">
      <c r="A3" t="s">
        <v>6997</v>
      </c>
      <c r="B3" t="s">
        <v>3981</v>
      </c>
      <c r="C3" t="s">
        <v>4366</v>
      </c>
      <c r="D3">
        <v>2</v>
      </c>
      <c r="E3" s="9">
        <v>64</v>
      </c>
      <c r="F3" s="9">
        <v>70</v>
      </c>
      <c r="G3" t="s">
        <v>6995</v>
      </c>
      <c r="H3" t="s">
        <v>2132</v>
      </c>
      <c r="I3" t="s">
        <v>4395</v>
      </c>
      <c r="J3" t="s">
        <v>6998</v>
      </c>
      <c r="K3" t="s">
        <v>6999</v>
      </c>
      <c r="L3" t="s">
        <v>3457</v>
      </c>
    </row>
    <row r="4" spans="1:13" ht="15" customHeight="1" x14ac:dyDescent="0.25">
      <c r="A4" t="s">
        <v>7000</v>
      </c>
      <c r="B4" t="s">
        <v>3981</v>
      </c>
      <c r="C4" t="s">
        <v>5025</v>
      </c>
      <c r="D4">
        <v>7</v>
      </c>
      <c r="E4" s="9">
        <v>150</v>
      </c>
      <c r="F4" s="9">
        <v>160</v>
      </c>
      <c r="G4" t="s">
        <v>6995</v>
      </c>
      <c r="H4" t="s">
        <v>2132</v>
      </c>
      <c r="I4" t="s">
        <v>4395</v>
      </c>
      <c r="J4" t="s">
        <v>7001</v>
      </c>
      <c r="K4" t="s">
        <v>7002</v>
      </c>
      <c r="L4" t="s">
        <v>3457</v>
      </c>
    </row>
    <row r="5" spans="1:13" ht="15" customHeight="1" x14ac:dyDescent="0.25">
      <c r="A5" t="s">
        <v>5081</v>
      </c>
      <c r="B5" t="s">
        <v>3981</v>
      </c>
      <c r="C5" t="s">
        <v>4362</v>
      </c>
      <c r="D5" t="s">
        <v>3457</v>
      </c>
      <c r="E5" s="9">
        <v>20</v>
      </c>
      <c r="F5" s="9">
        <v>24</v>
      </c>
      <c r="G5" t="s">
        <v>3457</v>
      </c>
      <c r="H5" t="s">
        <v>160</v>
      </c>
      <c r="I5" t="s">
        <v>4395</v>
      </c>
      <c r="J5" t="s">
        <v>7003</v>
      </c>
      <c r="K5" t="s">
        <v>5081</v>
      </c>
      <c r="L5" t="s">
        <v>3457</v>
      </c>
    </row>
    <row r="6" spans="1:13" ht="15" customHeight="1" x14ac:dyDescent="0.25">
      <c r="A6" t="s">
        <v>5072</v>
      </c>
      <c r="B6" t="s">
        <v>3981</v>
      </c>
      <c r="C6" t="s">
        <v>4362</v>
      </c>
      <c r="D6">
        <v>2</v>
      </c>
      <c r="E6" s="9">
        <v>20</v>
      </c>
      <c r="F6" s="9">
        <v>24</v>
      </c>
      <c r="G6" t="s">
        <v>7004</v>
      </c>
      <c r="H6" t="s">
        <v>160</v>
      </c>
      <c r="I6" t="s">
        <v>4395</v>
      </c>
      <c r="J6" t="s">
        <v>7005</v>
      </c>
      <c r="K6" t="s">
        <v>5072</v>
      </c>
      <c r="L6" t="s">
        <v>3457</v>
      </c>
    </row>
    <row r="7" spans="1:13" ht="15" customHeight="1" x14ac:dyDescent="0.25">
      <c r="A7" t="s">
        <v>5079</v>
      </c>
      <c r="B7" t="s">
        <v>3981</v>
      </c>
      <c r="C7" t="s">
        <v>4362</v>
      </c>
      <c r="D7" t="s">
        <v>3457</v>
      </c>
      <c r="E7" s="9">
        <v>20</v>
      </c>
      <c r="F7" s="9">
        <v>24</v>
      </c>
      <c r="G7" t="s">
        <v>3457</v>
      </c>
      <c r="H7" t="s">
        <v>160</v>
      </c>
      <c r="I7" t="s">
        <v>4395</v>
      </c>
      <c r="J7" t="s">
        <v>7006</v>
      </c>
      <c r="K7" t="s">
        <v>5079</v>
      </c>
      <c r="L7" t="s">
        <v>3457</v>
      </c>
    </row>
    <row r="8" spans="1:13" ht="15" customHeight="1" x14ac:dyDescent="0.25">
      <c r="A8" t="s">
        <v>7007</v>
      </c>
      <c r="B8" t="s">
        <v>3981</v>
      </c>
      <c r="C8" t="s">
        <v>4366</v>
      </c>
      <c r="D8">
        <v>3</v>
      </c>
      <c r="E8" s="9">
        <v>48</v>
      </c>
      <c r="F8" s="9">
        <v>54</v>
      </c>
      <c r="G8" t="s">
        <v>3457</v>
      </c>
      <c r="H8" t="s">
        <v>160</v>
      </c>
      <c r="I8" t="s">
        <v>4395</v>
      </c>
      <c r="J8" t="s">
        <v>7008</v>
      </c>
      <c r="K8" t="s">
        <v>7009</v>
      </c>
      <c r="L8" t="s">
        <v>3457</v>
      </c>
    </row>
    <row r="9" spans="1:13" ht="15" customHeight="1" x14ac:dyDescent="0.25">
      <c r="A9" t="s">
        <v>7010</v>
      </c>
      <c r="B9" t="s">
        <v>3981</v>
      </c>
      <c r="C9" t="s">
        <v>5025</v>
      </c>
      <c r="D9">
        <v>7</v>
      </c>
      <c r="E9" s="9">
        <v>130</v>
      </c>
      <c r="F9" s="9">
        <v>140</v>
      </c>
      <c r="G9" t="s">
        <v>7011</v>
      </c>
      <c r="H9" t="s">
        <v>160</v>
      </c>
      <c r="I9" t="s">
        <v>4395</v>
      </c>
      <c r="J9" t="s">
        <v>7012</v>
      </c>
      <c r="K9" t="s">
        <v>7013</v>
      </c>
      <c r="L9" t="s">
        <v>3457</v>
      </c>
      <c r="M9" t="s">
        <v>4632</v>
      </c>
    </row>
    <row r="10" spans="1:13" ht="15" customHeight="1" x14ac:dyDescent="0.25">
      <c r="A10" t="s">
        <v>3843</v>
      </c>
      <c r="B10" t="s">
        <v>6867</v>
      </c>
      <c r="C10" t="s">
        <v>4362</v>
      </c>
      <c r="D10">
        <v>1</v>
      </c>
      <c r="E10" s="9">
        <v>20</v>
      </c>
      <c r="F10" s="9">
        <v>24</v>
      </c>
      <c r="G10" t="s">
        <v>5246</v>
      </c>
      <c r="H10" t="s">
        <v>501</v>
      </c>
      <c r="I10" t="s">
        <v>4398</v>
      </c>
      <c r="J10" t="s">
        <v>7014</v>
      </c>
      <c r="K10" t="s">
        <v>3843</v>
      </c>
      <c r="L10" t="s">
        <v>3457</v>
      </c>
    </row>
    <row r="11" spans="1:13" ht="15" customHeight="1" x14ac:dyDescent="0.25">
      <c r="A11" t="s">
        <v>7015</v>
      </c>
      <c r="B11" t="s">
        <v>6867</v>
      </c>
      <c r="C11" t="s">
        <v>4362</v>
      </c>
      <c r="D11">
        <v>2</v>
      </c>
      <c r="E11" s="9">
        <v>30</v>
      </c>
      <c r="F11" s="9">
        <v>34</v>
      </c>
      <c r="G11" t="s">
        <v>5246</v>
      </c>
      <c r="H11" t="s">
        <v>501</v>
      </c>
      <c r="I11" t="s">
        <v>4398</v>
      </c>
      <c r="J11" t="s">
        <v>7016</v>
      </c>
      <c r="K11" t="s">
        <v>7017</v>
      </c>
      <c r="L11" t="s">
        <v>3457</v>
      </c>
    </row>
    <row r="12" spans="1:13" ht="15" customHeight="1" x14ac:dyDescent="0.25">
      <c r="A12" t="s">
        <v>7018</v>
      </c>
      <c r="B12" t="s">
        <v>6867</v>
      </c>
      <c r="C12" t="s">
        <v>4362</v>
      </c>
      <c r="D12">
        <v>3</v>
      </c>
      <c r="E12" s="9">
        <v>40</v>
      </c>
      <c r="F12" s="9">
        <v>44</v>
      </c>
      <c r="G12" t="s">
        <v>7019</v>
      </c>
      <c r="H12" t="s">
        <v>501</v>
      </c>
      <c r="I12" t="s">
        <v>4398</v>
      </c>
      <c r="J12" t="s">
        <v>7020</v>
      </c>
      <c r="K12" t="s">
        <v>7021</v>
      </c>
      <c r="L12" t="s">
        <v>3457</v>
      </c>
    </row>
    <row r="13" spans="1:13" ht="15" customHeight="1" x14ac:dyDescent="0.25">
      <c r="A13" t="s">
        <v>7022</v>
      </c>
      <c r="B13" t="s">
        <v>6867</v>
      </c>
      <c r="C13" t="s">
        <v>4362</v>
      </c>
      <c r="D13" t="s">
        <v>3457</v>
      </c>
      <c r="E13" s="9">
        <v>12</v>
      </c>
      <c r="F13" s="9">
        <v>14</v>
      </c>
      <c r="G13" t="s">
        <v>5246</v>
      </c>
      <c r="H13" t="s">
        <v>501</v>
      </c>
      <c r="I13" t="s">
        <v>4398</v>
      </c>
      <c r="J13" t="s">
        <v>7023</v>
      </c>
      <c r="K13" t="s">
        <v>7022</v>
      </c>
      <c r="L13" t="s">
        <v>3457</v>
      </c>
    </row>
    <row r="14" spans="1:13" ht="15" customHeight="1" x14ac:dyDescent="0.25">
      <c r="A14" t="s">
        <v>3851</v>
      </c>
      <c r="B14" t="s">
        <v>6867</v>
      </c>
      <c r="C14" t="s">
        <v>4366</v>
      </c>
      <c r="D14">
        <v>3</v>
      </c>
      <c r="E14" s="9">
        <v>130</v>
      </c>
      <c r="F14" s="9">
        <v>140</v>
      </c>
      <c r="G14" t="s">
        <v>7024</v>
      </c>
      <c r="H14" t="s">
        <v>501</v>
      </c>
      <c r="I14" t="s">
        <v>4381</v>
      </c>
      <c r="J14" t="s">
        <v>7025</v>
      </c>
      <c r="K14" t="s">
        <v>3851</v>
      </c>
      <c r="L14" t="s">
        <v>3457</v>
      </c>
    </row>
    <row r="15" spans="1:13" ht="15" customHeight="1" x14ac:dyDescent="0.25">
      <c r="A15" t="s">
        <v>7026</v>
      </c>
      <c r="B15" t="s">
        <v>6867</v>
      </c>
      <c r="C15" t="s">
        <v>4366</v>
      </c>
      <c r="D15" t="s">
        <v>3457</v>
      </c>
      <c r="E15" s="9">
        <v>130</v>
      </c>
      <c r="F15" s="9">
        <v>140</v>
      </c>
      <c r="G15" t="s">
        <v>7024</v>
      </c>
      <c r="H15" t="s">
        <v>501</v>
      </c>
      <c r="I15" t="s">
        <v>4381</v>
      </c>
      <c r="J15" t="s">
        <v>7027</v>
      </c>
      <c r="K15" t="s">
        <v>7028</v>
      </c>
      <c r="L15" t="s">
        <v>3851</v>
      </c>
    </row>
    <row r="16" spans="1:13" ht="15" customHeight="1" x14ac:dyDescent="0.25">
      <c r="A16" t="s">
        <v>7029</v>
      </c>
      <c r="B16" t="s">
        <v>6867</v>
      </c>
      <c r="C16" t="s">
        <v>5025</v>
      </c>
      <c r="D16">
        <v>5</v>
      </c>
      <c r="E16" s="9">
        <v>100</v>
      </c>
      <c r="F16" s="9">
        <v>110</v>
      </c>
      <c r="G16" t="s">
        <v>7030</v>
      </c>
      <c r="H16" t="s">
        <v>501</v>
      </c>
      <c r="I16" t="s">
        <v>4388</v>
      </c>
      <c r="J16" t="s">
        <v>7031</v>
      </c>
      <c r="K16" t="s">
        <v>7032</v>
      </c>
      <c r="L16" t="s">
        <v>3457</v>
      </c>
    </row>
    <row r="17" spans="1:13" ht="15" customHeight="1" x14ac:dyDescent="0.25">
      <c r="A17" t="s">
        <v>7033</v>
      </c>
      <c r="B17" t="s">
        <v>3998</v>
      </c>
      <c r="C17" t="s">
        <v>4362</v>
      </c>
      <c r="D17">
        <v>1</v>
      </c>
      <c r="E17" s="9">
        <v>30</v>
      </c>
      <c r="F17" s="9">
        <v>34</v>
      </c>
      <c r="G17" t="s">
        <v>5259</v>
      </c>
      <c r="H17" t="s">
        <v>2154</v>
      </c>
      <c r="I17" t="s">
        <v>4395</v>
      </c>
      <c r="J17" t="s">
        <v>7034</v>
      </c>
      <c r="K17" t="s">
        <v>7033</v>
      </c>
      <c r="L17" t="s">
        <v>3457</v>
      </c>
      <c r="M17" t="s">
        <v>3842</v>
      </c>
    </row>
    <row r="18" spans="1:13" ht="15" customHeight="1" x14ac:dyDescent="0.25">
      <c r="A18" t="s">
        <v>7035</v>
      </c>
      <c r="B18" t="s">
        <v>3998</v>
      </c>
      <c r="C18" t="s">
        <v>4366</v>
      </c>
      <c r="D18">
        <v>3</v>
      </c>
      <c r="E18" s="9">
        <v>40</v>
      </c>
      <c r="F18" s="9">
        <v>46</v>
      </c>
      <c r="G18" t="s">
        <v>7036</v>
      </c>
      <c r="H18" t="s">
        <v>2154</v>
      </c>
      <c r="I18" t="s">
        <v>4395</v>
      </c>
      <c r="J18" t="s">
        <v>7037</v>
      </c>
      <c r="K18" t="s">
        <v>7035</v>
      </c>
      <c r="L18" t="s">
        <v>3457</v>
      </c>
    </row>
    <row r="19" spans="1:13" ht="15" customHeight="1" x14ac:dyDescent="0.25">
      <c r="A19" t="s">
        <v>7038</v>
      </c>
      <c r="B19" t="s">
        <v>3998</v>
      </c>
      <c r="C19" t="s">
        <v>4366</v>
      </c>
      <c r="D19">
        <v>4</v>
      </c>
      <c r="E19" s="9">
        <v>60</v>
      </c>
      <c r="F19" s="9">
        <v>66</v>
      </c>
      <c r="G19" t="s">
        <v>5259</v>
      </c>
      <c r="H19" t="s">
        <v>2154</v>
      </c>
      <c r="I19" t="s">
        <v>4395</v>
      </c>
      <c r="J19" t="s">
        <v>7039</v>
      </c>
      <c r="K19" t="s">
        <v>7038</v>
      </c>
      <c r="L19" t="s">
        <v>3457</v>
      </c>
    </row>
    <row r="20" spans="1:13" ht="15" customHeight="1" x14ac:dyDescent="0.25">
      <c r="A20" t="s">
        <v>3970</v>
      </c>
      <c r="B20" t="s">
        <v>3998</v>
      </c>
      <c r="C20" t="s">
        <v>5025</v>
      </c>
      <c r="D20">
        <v>9</v>
      </c>
      <c r="E20" s="9">
        <v>250</v>
      </c>
      <c r="F20" s="9">
        <v>270</v>
      </c>
      <c r="G20" t="s">
        <v>7040</v>
      </c>
      <c r="H20" t="s">
        <v>2154</v>
      </c>
      <c r="I20" t="s">
        <v>4395</v>
      </c>
      <c r="J20" t="s">
        <v>7041</v>
      </c>
      <c r="K20" t="s">
        <v>3970</v>
      </c>
      <c r="L20" t="s">
        <v>3457</v>
      </c>
      <c r="M20" t="s">
        <v>7042</v>
      </c>
    </row>
    <row r="21" spans="1:13" ht="15" customHeight="1" x14ac:dyDescent="0.25">
      <c r="A21" t="s">
        <v>3801</v>
      </c>
      <c r="B21" t="s">
        <v>5022</v>
      </c>
      <c r="C21" t="s">
        <v>4362</v>
      </c>
      <c r="D21">
        <v>2</v>
      </c>
      <c r="E21" s="9">
        <v>48</v>
      </c>
      <c r="F21" s="9">
        <v>54</v>
      </c>
      <c r="G21" t="s">
        <v>3457</v>
      </c>
      <c r="H21" t="s">
        <v>90</v>
      </c>
      <c r="I21" t="s">
        <v>4395</v>
      </c>
      <c r="J21" t="s">
        <v>7043</v>
      </c>
      <c r="K21" t="s">
        <v>3801</v>
      </c>
      <c r="L21" t="s">
        <v>3457</v>
      </c>
    </row>
    <row r="22" spans="1:13" ht="15" customHeight="1" x14ac:dyDescent="0.25">
      <c r="A22" t="s">
        <v>3830</v>
      </c>
      <c r="B22" t="s">
        <v>5022</v>
      </c>
      <c r="C22" t="s">
        <v>4366</v>
      </c>
      <c r="D22">
        <v>6</v>
      </c>
      <c r="E22" s="9">
        <v>114</v>
      </c>
      <c r="F22" s="9">
        <v>120</v>
      </c>
      <c r="G22" t="s">
        <v>3457</v>
      </c>
      <c r="H22" t="s">
        <v>90</v>
      </c>
      <c r="I22" t="s">
        <v>4395</v>
      </c>
      <c r="J22" t="s">
        <v>7044</v>
      </c>
      <c r="K22" t="s">
        <v>3830</v>
      </c>
      <c r="L22" t="s">
        <v>3457</v>
      </c>
    </row>
    <row r="23" spans="1:13" ht="15" customHeight="1" x14ac:dyDescent="0.25">
      <c r="A23" t="s">
        <v>3836</v>
      </c>
      <c r="B23" t="s">
        <v>5022</v>
      </c>
      <c r="C23" t="s">
        <v>5025</v>
      </c>
      <c r="D23">
        <v>9</v>
      </c>
      <c r="E23" s="9">
        <v>999</v>
      </c>
      <c r="F23" s="9">
        <v>999</v>
      </c>
      <c r="G23" t="s">
        <v>5026</v>
      </c>
      <c r="H23" t="s">
        <v>90</v>
      </c>
      <c r="I23" t="s">
        <v>4395</v>
      </c>
      <c r="J23" t="s">
        <v>7045</v>
      </c>
      <c r="K23" t="s">
        <v>3836</v>
      </c>
      <c r="L23" t="s">
        <v>3457</v>
      </c>
    </row>
    <row r="24" spans="1:13" ht="15" customHeight="1" x14ac:dyDescent="0.25">
      <c r="A24" t="s">
        <v>7046</v>
      </c>
      <c r="B24" t="s">
        <v>6867</v>
      </c>
      <c r="C24" t="s">
        <v>4362</v>
      </c>
      <c r="D24">
        <v>1</v>
      </c>
      <c r="E24" s="9">
        <v>20</v>
      </c>
      <c r="F24" s="9">
        <v>24</v>
      </c>
      <c r="G24" t="s">
        <v>7047</v>
      </c>
      <c r="H24" t="s">
        <v>2361</v>
      </c>
      <c r="I24" t="s">
        <v>4374</v>
      </c>
      <c r="J24" t="s">
        <v>7048</v>
      </c>
      <c r="K24" t="s">
        <v>7046</v>
      </c>
      <c r="L24" t="s">
        <v>3457</v>
      </c>
      <c r="M24" t="s">
        <v>3761</v>
      </c>
    </row>
    <row r="25" spans="1:13" ht="15" customHeight="1" x14ac:dyDescent="0.25">
      <c r="A25" t="s">
        <v>7049</v>
      </c>
      <c r="B25" t="s">
        <v>6867</v>
      </c>
      <c r="C25" t="s">
        <v>4366</v>
      </c>
      <c r="D25">
        <v>3</v>
      </c>
      <c r="E25" s="9">
        <v>48</v>
      </c>
      <c r="F25" s="9">
        <v>54</v>
      </c>
      <c r="G25" t="s">
        <v>3457</v>
      </c>
      <c r="H25" t="s">
        <v>2361</v>
      </c>
      <c r="I25" t="s">
        <v>4395</v>
      </c>
      <c r="J25" t="s">
        <v>7050</v>
      </c>
      <c r="K25" t="s">
        <v>7049</v>
      </c>
      <c r="L25" t="s">
        <v>3457</v>
      </c>
    </row>
    <row r="26" spans="1:13" ht="15" customHeight="1" x14ac:dyDescent="0.25">
      <c r="A26" t="s">
        <v>7051</v>
      </c>
      <c r="B26" t="s">
        <v>6867</v>
      </c>
      <c r="C26" t="s">
        <v>5025</v>
      </c>
      <c r="D26">
        <v>3</v>
      </c>
      <c r="E26" s="9">
        <v>60</v>
      </c>
      <c r="F26" s="9">
        <v>66</v>
      </c>
      <c r="G26" t="s">
        <v>7052</v>
      </c>
      <c r="H26" t="s">
        <v>2361</v>
      </c>
      <c r="I26" t="s">
        <v>4395</v>
      </c>
      <c r="J26" t="s">
        <v>7053</v>
      </c>
      <c r="K26" t="s">
        <v>7051</v>
      </c>
      <c r="L26" t="s">
        <v>3457</v>
      </c>
    </row>
    <row r="27" spans="1:13" ht="15" customHeight="1" x14ac:dyDescent="0.25">
      <c r="A27" t="s">
        <v>5028</v>
      </c>
      <c r="B27" t="s">
        <v>5022</v>
      </c>
      <c r="C27" t="s">
        <v>4362</v>
      </c>
      <c r="D27">
        <v>3</v>
      </c>
      <c r="E27" s="9">
        <v>40</v>
      </c>
      <c r="F27" s="9">
        <v>44</v>
      </c>
      <c r="G27" t="s">
        <v>3457</v>
      </c>
      <c r="H27" t="s">
        <v>90</v>
      </c>
      <c r="I27" t="s">
        <v>4395</v>
      </c>
      <c r="J27" t="s">
        <v>7054</v>
      </c>
      <c r="K27" t="s">
        <v>5030</v>
      </c>
      <c r="L27" t="s">
        <v>3457</v>
      </c>
    </row>
    <row r="28" spans="1:13" ht="15" customHeight="1" x14ac:dyDescent="0.25">
      <c r="A28" t="s">
        <v>5031</v>
      </c>
      <c r="B28" t="s">
        <v>5022</v>
      </c>
      <c r="C28" t="s">
        <v>4362</v>
      </c>
      <c r="D28">
        <v>1</v>
      </c>
      <c r="E28" s="9">
        <v>10</v>
      </c>
      <c r="F28" s="9">
        <v>15</v>
      </c>
      <c r="G28" t="s">
        <v>5032</v>
      </c>
      <c r="H28" t="s">
        <v>90</v>
      </c>
      <c r="I28" t="s">
        <v>4395</v>
      </c>
      <c r="J28" t="s">
        <v>7055</v>
      </c>
      <c r="K28" t="s">
        <v>5034</v>
      </c>
      <c r="L28" t="s">
        <v>3457</v>
      </c>
      <c r="M28" t="s">
        <v>4632</v>
      </c>
    </row>
    <row r="29" spans="1:13" ht="15" customHeight="1" x14ac:dyDescent="0.25">
      <c r="A29" t="s">
        <v>5035</v>
      </c>
      <c r="B29" t="s">
        <v>5022</v>
      </c>
      <c r="C29" t="s">
        <v>4362</v>
      </c>
      <c r="D29">
        <v>1</v>
      </c>
      <c r="E29" s="9">
        <v>11</v>
      </c>
      <c r="F29" s="9">
        <v>17</v>
      </c>
      <c r="G29" t="s">
        <v>5032</v>
      </c>
      <c r="H29" t="s">
        <v>90</v>
      </c>
      <c r="I29" t="s">
        <v>4395</v>
      </c>
      <c r="J29" t="s">
        <v>7056</v>
      </c>
      <c r="K29" t="s">
        <v>5037</v>
      </c>
      <c r="L29" t="s">
        <v>3457</v>
      </c>
      <c r="M29" t="s">
        <v>4632</v>
      </c>
    </row>
    <row r="30" spans="1:13" ht="15" customHeight="1" x14ac:dyDescent="0.25">
      <c r="A30" t="s">
        <v>5038</v>
      </c>
      <c r="B30" t="s">
        <v>5022</v>
      </c>
      <c r="C30" t="s">
        <v>4362</v>
      </c>
      <c r="D30">
        <v>4</v>
      </c>
      <c r="E30" s="9">
        <v>65</v>
      </c>
      <c r="F30" s="9">
        <v>69</v>
      </c>
      <c r="G30" t="s">
        <v>5039</v>
      </c>
      <c r="H30" t="s">
        <v>90</v>
      </c>
      <c r="I30" t="s">
        <v>4395</v>
      </c>
      <c r="J30" t="s">
        <v>7057</v>
      </c>
      <c r="K30" t="s">
        <v>5041</v>
      </c>
      <c r="L30" t="s">
        <v>3457</v>
      </c>
      <c r="M30" t="s">
        <v>3826</v>
      </c>
    </row>
    <row r="31" spans="1:13" ht="15" customHeight="1" x14ac:dyDescent="0.25">
      <c r="A31" t="s">
        <v>5042</v>
      </c>
      <c r="B31" t="s">
        <v>5022</v>
      </c>
      <c r="C31" t="s">
        <v>4362</v>
      </c>
      <c r="D31">
        <v>2</v>
      </c>
      <c r="E31" s="9">
        <v>28</v>
      </c>
      <c r="F31" s="9">
        <v>32</v>
      </c>
      <c r="G31" t="s">
        <v>3457</v>
      </c>
      <c r="H31" t="s">
        <v>90</v>
      </c>
      <c r="I31" t="s">
        <v>4395</v>
      </c>
      <c r="J31" t="s">
        <v>7058</v>
      </c>
      <c r="K31" t="s">
        <v>5044</v>
      </c>
      <c r="L31" t="s">
        <v>3457</v>
      </c>
      <c r="M31" t="s">
        <v>3826</v>
      </c>
    </row>
    <row r="32" spans="1:13" ht="15" customHeight="1" x14ac:dyDescent="0.25">
      <c r="A32" t="s">
        <v>5045</v>
      </c>
      <c r="B32" t="s">
        <v>5022</v>
      </c>
      <c r="C32" t="s">
        <v>4362</v>
      </c>
      <c r="D32">
        <v>1</v>
      </c>
      <c r="E32" s="9">
        <v>8</v>
      </c>
      <c r="F32" s="9">
        <v>12</v>
      </c>
      <c r="G32" t="s">
        <v>3457</v>
      </c>
      <c r="H32" t="s">
        <v>90</v>
      </c>
      <c r="I32" t="s">
        <v>4395</v>
      </c>
      <c r="J32" t="s">
        <v>7059</v>
      </c>
      <c r="K32" t="s">
        <v>5047</v>
      </c>
      <c r="L32" t="s">
        <v>3457</v>
      </c>
      <c r="M32" t="s">
        <v>3826</v>
      </c>
    </row>
    <row r="33" spans="1:13" ht="15" customHeight="1" x14ac:dyDescent="0.25">
      <c r="A33" t="s">
        <v>3823</v>
      </c>
      <c r="B33" t="s">
        <v>5022</v>
      </c>
      <c r="C33" t="s">
        <v>4362</v>
      </c>
      <c r="D33">
        <v>4</v>
      </c>
      <c r="E33" s="9">
        <v>64</v>
      </c>
      <c r="F33" s="9">
        <v>70</v>
      </c>
      <c r="G33" t="s">
        <v>5048</v>
      </c>
      <c r="H33" t="s">
        <v>90</v>
      </c>
      <c r="I33" t="s">
        <v>4395</v>
      </c>
      <c r="J33" t="s">
        <v>7060</v>
      </c>
      <c r="K33" t="s">
        <v>3825</v>
      </c>
      <c r="L33" t="s">
        <v>3457</v>
      </c>
      <c r="M33" t="s">
        <v>3826</v>
      </c>
    </row>
    <row r="34" spans="1:13" ht="15" customHeight="1" x14ac:dyDescent="0.25">
      <c r="A34" t="s">
        <v>5050</v>
      </c>
      <c r="B34" t="s">
        <v>5022</v>
      </c>
      <c r="C34" t="s">
        <v>4362</v>
      </c>
      <c r="D34">
        <v>2</v>
      </c>
      <c r="E34" s="9">
        <v>28</v>
      </c>
      <c r="F34" s="9">
        <v>32</v>
      </c>
      <c r="G34" t="s">
        <v>3457</v>
      </c>
      <c r="H34" t="s">
        <v>90</v>
      </c>
      <c r="I34" t="s">
        <v>4395</v>
      </c>
      <c r="J34" t="s">
        <v>7061</v>
      </c>
      <c r="K34" t="s">
        <v>5052</v>
      </c>
      <c r="L34" t="s">
        <v>3457</v>
      </c>
      <c r="M34" t="s">
        <v>3826</v>
      </c>
    </row>
    <row r="35" spans="1:13" ht="15" customHeight="1" x14ac:dyDescent="0.25">
      <c r="A35" t="s">
        <v>5053</v>
      </c>
      <c r="B35" t="s">
        <v>5022</v>
      </c>
      <c r="C35" t="s">
        <v>4362</v>
      </c>
      <c r="D35">
        <v>1</v>
      </c>
      <c r="E35" s="9">
        <v>10</v>
      </c>
      <c r="F35" s="9">
        <v>14</v>
      </c>
      <c r="G35" t="s">
        <v>3457</v>
      </c>
      <c r="H35" t="s">
        <v>90</v>
      </c>
      <c r="I35" t="s">
        <v>4395</v>
      </c>
      <c r="J35" t="s">
        <v>7062</v>
      </c>
      <c r="K35" t="s">
        <v>5055</v>
      </c>
      <c r="L35" t="s">
        <v>3457</v>
      </c>
      <c r="M35" t="s">
        <v>3826</v>
      </c>
    </row>
    <row r="36" spans="1:13" ht="15" customHeight="1" x14ac:dyDescent="0.25">
      <c r="A36" t="s">
        <v>7063</v>
      </c>
      <c r="B36" t="s">
        <v>6867</v>
      </c>
      <c r="C36" t="s">
        <v>5025</v>
      </c>
      <c r="D36">
        <v>1</v>
      </c>
      <c r="E36" s="9">
        <v>20</v>
      </c>
      <c r="F36" s="9">
        <v>24</v>
      </c>
      <c r="G36" t="s">
        <v>3457</v>
      </c>
      <c r="H36" t="s">
        <v>1649</v>
      </c>
      <c r="I36" t="s">
        <v>4374</v>
      </c>
      <c r="J36" t="s">
        <v>7064</v>
      </c>
      <c r="K36" t="s">
        <v>7063</v>
      </c>
      <c r="L36" t="s">
        <v>3457</v>
      </c>
      <c r="M36" t="s">
        <v>7065</v>
      </c>
    </row>
    <row r="37" spans="1:13" ht="15" customHeight="1" x14ac:dyDescent="0.25">
      <c r="A37" t="s">
        <v>7066</v>
      </c>
      <c r="B37" t="s">
        <v>6867</v>
      </c>
      <c r="C37" t="s">
        <v>4362</v>
      </c>
      <c r="D37">
        <v>0.5</v>
      </c>
      <c r="E37" s="9">
        <v>4</v>
      </c>
      <c r="F37" s="9">
        <v>6</v>
      </c>
      <c r="G37" t="s">
        <v>3457</v>
      </c>
      <c r="H37" t="s">
        <v>1649</v>
      </c>
      <c r="I37" t="s">
        <v>3457</v>
      </c>
      <c r="J37" t="s">
        <v>7067</v>
      </c>
      <c r="K37" t="s">
        <v>7066</v>
      </c>
      <c r="L37" t="s">
        <v>3457</v>
      </c>
      <c r="M37" t="s">
        <v>4632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5056</v>
      </c>
      <c r="C1" t="s">
        <v>3733</v>
      </c>
      <c r="D1" t="s">
        <v>5016</v>
      </c>
      <c r="E1" t="s">
        <v>1</v>
      </c>
      <c r="F1" t="s">
        <v>3739</v>
      </c>
      <c r="G1" t="s">
        <v>5017</v>
      </c>
      <c r="H1" t="s">
        <v>5018</v>
      </c>
      <c r="I1" t="s">
        <v>3986</v>
      </c>
      <c r="J1" t="s">
        <v>7068</v>
      </c>
      <c r="K1" t="s">
        <v>5060</v>
      </c>
      <c r="L1" t="s">
        <v>171</v>
      </c>
      <c r="M1" t="s">
        <v>7069</v>
      </c>
      <c r="N1" t="s">
        <v>7070</v>
      </c>
      <c r="O1" t="s">
        <v>3441</v>
      </c>
      <c r="P1" t="s">
        <v>7071</v>
      </c>
      <c r="Q1" t="s">
        <v>3738</v>
      </c>
    </row>
    <row r="2" spans="1:17" ht="15" customHeight="1" x14ac:dyDescent="0.25">
      <c r="A2" t="s">
        <v>7033</v>
      </c>
      <c r="B2" t="s">
        <v>7072</v>
      </c>
      <c r="C2" t="s">
        <v>4362</v>
      </c>
      <c r="D2">
        <v>2</v>
      </c>
      <c r="E2" t="s">
        <v>2154</v>
      </c>
      <c r="G2">
        <v>20</v>
      </c>
      <c r="H2">
        <v>24</v>
      </c>
      <c r="I2">
        <v>0</v>
      </c>
      <c r="J2" t="s">
        <v>7073</v>
      </c>
      <c r="K2" t="s">
        <v>7074</v>
      </c>
      <c r="M2">
        <v>1</v>
      </c>
      <c r="N2">
        <v>3</v>
      </c>
      <c r="O2" t="s">
        <v>7075</v>
      </c>
      <c r="P2" t="s">
        <v>7076</v>
      </c>
    </row>
    <row r="3" spans="1:17" ht="15" customHeight="1" x14ac:dyDescent="0.25">
      <c r="A3" t="s">
        <v>7077</v>
      </c>
      <c r="B3" t="s">
        <v>7078</v>
      </c>
      <c r="C3" t="s">
        <v>4366</v>
      </c>
      <c r="D3">
        <v>2</v>
      </c>
      <c r="E3" t="s">
        <v>2154</v>
      </c>
      <c r="F3" t="s">
        <v>4947</v>
      </c>
      <c r="G3">
        <v>12</v>
      </c>
      <c r="H3">
        <v>18</v>
      </c>
      <c r="I3">
        <v>4</v>
      </c>
      <c r="J3" t="s">
        <v>7079</v>
      </c>
      <c r="K3" t="s">
        <v>7080</v>
      </c>
      <c r="M3">
        <v>2</v>
      </c>
      <c r="N3">
        <v>3</v>
      </c>
      <c r="O3" t="s">
        <v>7081</v>
      </c>
      <c r="P3" t="s">
        <v>7082</v>
      </c>
    </row>
    <row r="4" spans="1:17" ht="15" customHeight="1" x14ac:dyDescent="0.25">
      <c r="A4" t="s">
        <v>7083</v>
      </c>
      <c r="B4" t="s">
        <v>7084</v>
      </c>
      <c r="C4" t="s">
        <v>4362</v>
      </c>
      <c r="D4">
        <v>1</v>
      </c>
      <c r="E4" t="s">
        <v>1795</v>
      </c>
      <c r="F4" t="s">
        <v>7085</v>
      </c>
      <c r="G4">
        <v>5</v>
      </c>
      <c r="H4">
        <v>5</v>
      </c>
      <c r="I4">
        <v>4</v>
      </c>
      <c r="J4" t="s">
        <v>7079</v>
      </c>
      <c r="K4" t="s">
        <v>7086</v>
      </c>
      <c r="L4" t="s">
        <v>7083</v>
      </c>
      <c r="M4">
        <v>1</v>
      </c>
      <c r="N4">
        <v>4</v>
      </c>
      <c r="O4" t="s">
        <v>7087</v>
      </c>
      <c r="P4" t="s">
        <v>7088</v>
      </c>
    </row>
    <row r="5" spans="1:17" ht="15" customHeight="1" x14ac:dyDescent="0.25">
      <c r="A5" t="s">
        <v>7089</v>
      </c>
      <c r="B5" t="s">
        <v>4947</v>
      </c>
      <c r="C5" t="s">
        <v>4362</v>
      </c>
      <c r="D5">
        <v>1</v>
      </c>
      <c r="E5" t="s">
        <v>2154</v>
      </c>
      <c r="F5" t="s">
        <v>4947</v>
      </c>
      <c r="G5">
        <v>8</v>
      </c>
      <c r="H5">
        <v>11</v>
      </c>
      <c r="I5">
        <v>4</v>
      </c>
      <c r="J5" t="s">
        <v>7090</v>
      </c>
      <c r="K5" t="s">
        <v>7091</v>
      </c>
      <c r="M5">
        <v>1</v>
      </c>
      <c r="N5">
        <v>4</v>
      </c>
      <c r="O5" t="s">
        <v>7092</v>
      </c>
      <c r="P5" t="s">
        <v>7093</v>
      </c>
    </row>
    <row r="6" spans="1:17" ht="15" customHeight="1" x14ac:dyDescent="0.25">
      <c r="A6" t="s">
        <v>7038</v>
      </c>
      <c r="B6" t="s">
        <v>7094</v>
      </c>
      <c r="C6" t="s">
        <v>4366</v>
      </c>
      <c r="D6">
        <v>5</v>
      </c>
      <c r="E6" t="s">
        <v>2154</v>
      </c>
      <c r="G6">
        <v>60</v>
      </c>
      <c r="H6">
        <v>66</v>
      </c>
      <c r="I6">
        <v>-4</v>
      </c>
      <c r="J6" t="s">
        <v>7095</v>
      </c>
      <c r="K6" t="s">
        <v>7096</v>
      </c>
      <c r="M6">
        <v>4</v>
      </c>
      <c r="N6">
        <v>1</v>
      </c>
      <c r="O6" t="s">
        <v>7097</v>
      </c>
      <c r="P6" t="s">
        <v>7098</v>
      </c>
      <c r="Q6" t="s">
        <v>7099</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7100</v>
      </c>
      <c r="C1" t="s">
        <v>7101</v>
      </c>
      <c r="D1" t="s">
        <v>7102</v>
      </c>
      <c r="E1" t="s">
        <v>7103</v>
      </c>
      <c r="F1" t="s">
        <v>7104</v>
      </c>
      <c r="G1" t="s">
        <v>7105</v>
      </c>
      <c r="H1" t="s">
        <v>7106</v>
      </c>
      <c r="I1" t="s">
        <v>1</v>
      </c>
    </row>
    <row r="2" spans="1:9" ht="15" customHeight="1" x14ac:dyDescent="0.25">
      <c r="A2" t="s">
        <v>5867</v>
      </c>
      <c r="B2">
        <v>6</v>
      </c>
      <c r="C2" t="s">
        <v>7107</v>
      </c>
      <c r="D2" t="s">
        <v>7108</v>
      </c>
      <c r="E2" t="s">
        <v>7109</v>
      </c>
      <c r="F2" t="s">
        <v>7109</v>
      </c>
      <c r="G2" t="s">
        <v>7107</v>
      </c>
      <c r="H2" t="s">
        <v>7108</v>
      </c>
      <c r="I2" t="s">
        <v>2361</v>
      </c>
    </row>
    <row r="3" spans="1:9" ht="15" customHeight="1" x14ac:dyDescent="0.25">
      <c r="A3" t="s">
        <v>5890</v>
      </c>
      <c r="B3">
        <v>6</v>
      </c>
      <c r="C3" t="s">
        <v>7110</v>
      </c>
      <c r="D3" t="s">
        <v>7111</v>
      </c>
      <c r="E3" t="s">
        <v>7112</v>
      </c>
      <c r="F3" t="s">
        <v>7112</v>
      </c>
      <c r="G3" t="s">
        <v>7113</v>
      </c>
      <c r="H3" t="s">
        <v>4216</v>
      </c>
      <c r="I3" t="s">
        <v>2361</v>
      </c>
    </row>
    <row r="4" spans="1:9" ht="15" customHeight="1" x14ac:dyDescent="0.25">
      <c r="A4" t="s">
        <v>5917</v>
      </c>
      <c r="B4">
        <v>6</v>
      </c>
      <c r="C4" t="s">
        <v>7114</v>
      </c>
      <c r="D4" t="s">
        <v>7115</v>
      </c>
      <c r="E4" t="s">
        <v>7116</v>
      </c>
      <c r="F4" t="s">
        <v>7116</v>
      </c>
      <c r="G4" t="s">
        <v>7117</v>
      </c>
      <c r="H4" t="s">
        <v>5945</v>
      </c>
      <c r="I4" t="s">
        <v>2361</v>
      </c>
    </row>
    <row r="5" spans="1:9" ht="15" customHeight="1" x14ac:dyDescent="0.25">
      <c r="A5" t="s">
        <v>5958</v>
      </c>
      <c r="B5">
        <v>6</v>
      </c>
      <c r="C5" t="s">
        <v>7118</v>
      </c>
      <c r="D5" t="s">
        <v>7119</v>
      </c>
      <c r="E5" t="s">
        <v>7120</v>
      </c>
      <c r="F5" t="s">
        <v>7120</v>
      </c>
      <c r="G5" t="s">
        <v>7121</v>
      </c>
      <c r="H5" t="s">
        <v>5945</v>
      </c>
      <c r="I5" t="s">
        <v>2361</v>
      </c>
    </row>
    <row r="6" spans="1:9" ht="15" customHeight="1" x14ac:dyDescent="0.25">
      <c r="A6" t="s">
        <v>6004</v>
      </c>
      <c r="B6">
        <v>6</v>
      </c>
      <c r="C6" t="s">
        <v>7122</v>
      </c>
      <c r="D6" t="s">
        <v>7122</v>
      </c>
      <c r="E6" t="s">
        <v>7116</v>
      </c>
      <c r="F6" t="s">
        <v>7116</v>
      </c>
      <c r="G6" t="s">
        <v>7117</v>
      </c>
      <c r="H6" t="s">
        <v>7117</v>
      </c>
      <c r="I6" t="s">
        <v>2361</v>
      </c>
    </row>
    <row r="7" spans="1:9" ht="15" customHeight="1" x14ac:dyDescent="0.25">
      <c r="A7" t="s">
        <v>6027</v>
      </c>
      <c r="B7">
        <v>6</v>
      </c>
      <c r="C7" t="s">
        <v>7123</v>
      </c>
      <c r="D7" t="s">
        <v>7111</v>
      </c>
      <c r="E7" t="s">
        <v>5945</v>
      </c>
      <c r="F7" t="s">
        <v>5945</v>
      </c>
      <c r="G7" t="s">
        <v>7124</v>
      </c>
      <c r="H7" t="s">
        <v>5945</v>
      </c>
      <c r="I7" t="s">
        <v>2361</v>
      </c>
    </row>
    <row r="8" spans="1:9" ht="15" customHeight="1" x14ac:dyDescent="0.25">
      <c r="A8" t="s">
        <v>6032</v>
      </c>
      <c r="B8">
        <v>6</v>
      </c>
      <c r="C8" t="s">
        <v>7125</v>
      </c>
      <c r="D8" t="s">
        <v>7126</v>
      </c>
      <c r="E8" t="s">
        <v>7127</v>
      </c>
      <c r="F8" t="s">
        <v>7127</v>
      </c>
      <c r="G8" t="s">
        <v>7115</v>
      </c>
      <c r="H8" t="s">
        <v>5945</v>
      </c>
      <c r="I8" t="s">
        <v>2361</v>
      </c>
    </row>
    <row r="9" spans="1:9" ht="15" customHeight="1" x14ac:dyDescent="0.25">
      <c r="A9" t="s">
        <v>6051</v>
      </c>
      <c r="B9">
        <v>6</v>
      </c>
      <c r="C9" t="s">
        <v>7120</v>
      </c>
      <c r="D9" t="s">
        <v>7128</v>
      </c>
      <c r="E9" t="s">
        <v>7129</v>
      </c>
      <c r="F9" t="s">
        <v>7129</v>
      </c>
      <c r="G9" t="s">
        <v>7128</v>
      </c>
      <c r="H9" t="s">
        <v>5945</v>
      </c>
      <c r="I9" t="s">
        <v>2361</v>
      </c>
    </row>
    <row r="10" spans="1:9" ht="15" customHeight="1" x14ac:dyDescent="0.25">
      <c r="A10" t="s">
        <v>5686</v>
      </c>
      <c r="B10">
        <v>6</v>
      </c>
      <c r="C10" t="s">
        <v>7130</v>
      </c>
      <c r="D10" t="s">
        <v>7131</v>
      </c>
      <c r="E10" t="s">
        <v>7132</v>
      </c>
      <c r="F10" t="s">
        <v>7133</v>
      </c>
      <c r="G10" t="s">
        <v>7134</v>
      </c>
      <c r="H10" t="s">
        <v>7135</v>
      </c>
      <c r="I10" t="s">
        <v>160</v>
      </c>
    </row>
    <row r="11" spans="1:9" ht="15" customHeight="1" x14ac:dyDescent="0.25">
      <c r="A11" t="s">
        <v>6097</v>
      </c>
      <c r="B11">
        <v>6</v>
      </c>
      <c r="C11" t="s">
        <v>7110</v>
      </c>
      <c r="D11" t="s">
        <v>7136</v>
      </c>
      <c r="E11" t="s">
        <v>7137</v>
      </c>
      <c r="F11" t="s">
        <v>7137</v>
      </c>
      <c r="G11" t="s">
        <v>7138</v>
      </c>
      <c r="H11" t="s">
        <v>5945</v>
      </c>
      <c r="I11" t="s">
        <v>2361</v>
      </c>
    </row>
    <row r="12" spans="1:9" ht="15" customHeight="1" x14ac:dyDescent="0.25">
      <c r="A12" t="s">
        <v>6104</v>
      </c>
      <c r="B12">
        <v>6</v>
      </c>
      <c r="C12" t="s">
        <v>7139</v>
      </c>
      <c r="D12" t="s">
        <v>7139</v>
      </c>
      <c r="E12" t="s">
        <v>7107</v>
      </c>
      <c r="F12" t="s">
        <v>7107</v>
      </c>
      <c r="G12" t="s">
        <v>7108</v>
      </c>
      <c r="H12" t="s">
        <v>5945</v>
      </c>
      <c r="I12" t="s">
        <v>2361</v>
      </c>
    </row>
    <row r="13" spans="1:9" ht="15" customHeight="1" x14ac:dyDescent="0.25">
      <c r="A13" t="s">
        <v>6105</v>
      </c>
      <c r="B13">
        <v>6</v>
      </c>
      <c r="C13" t="s">
        <v>7111</v>
      </c>
      <c r="D13" t="s">
        <v>5651</v>
      </c>
      <c r="E13" t="s">
        <v>5945</v>
      </c>
      <c r="F13" t="s">
        <v>5945</v>
      </c>
      <c r="G13" t="s">
        <v>5945</v>
      </c>
      <c r="H13" t="s">
        <v>5945</v>
      </c>
      <c r="I13" t="s">
        <v>2361</v>
      </c>
    </row>
    <row r="14" spans="1:9" ht="15" customHeight="1" x14ac:dyDescent="0.25">
      <c r="A14" t="s">
        <v>6124</v>
      </c>
      <c r="B14">
        <v>6</v>
      </c>
      <c r="C14" t="s">
        <v>7120</v>
      </c>
      <c r="D14" t="s">
        <v>7120</v>
      </c>
      <c r="E14" t="s">
        <v>7128</v>
      </c>
      <c r="F14" t="s">
        <v>7128</v>
      </c>
      <c r="G14" t="s">
        <v>5945</v>
      </c>
      <c r="H14" t="s">
        <v>5945</v>
      </c>
      <c r="I14" t="s">
        <v>2361</v>
      </c>
    </row>
    <row r="15" spans="1:9" ht="15" customHeight="1" x14ac:dyDescent="0.25">
      <c r="A15" t="s">
        <v>6141</v>
      </c>
      <c r="B15">
        <v>6</v>
      </c>
      <c r="C15" t="s">
        <v>7140</v>
      </c>
      <c r="D15" t="s">
        <v>7141</v>
      </c>
      <c r="E15" t="s">
        <v>7141</v>
      </c>
      <c r="F15" t="s">
        <v>7141</v>
      </c>
      <c r="G15" t="s">
        <v>7128</v>
      </c>
      <c r="H15" t="s">
        <v>5945</v>
      </c>
      <c r="I15" t="s">
        <v>2361</v>
      </c>
    </row>
    <row r="16" spans="1:9" ht="15" customHeight="1" x14ac:dyDescent="0.25">
      <c r="A16" t="s">
        <v>6210</v>
      </c>
      <c r="B16">
        <v>6</v>
      </c>
      <c r="C16" t="s">
        <v>7142</v>
      </c>
      <c r="D16" t="s">
        <v>7143</v>
      </c>
      <c r="E16" t="s">
        <v>7143</v>
      </c>
      <c r="F16" t="s">
        <v>7143</v>
      </c>
      <c r="G16" t="s">
        <v>7144</v>
      </c>
      <c r="H16" t="s">
        <v>5945</v>
      </c>
      <c r="I16" t="s">
        <v>2361</v>
      </c>
    </row>
    <row r="17" spans="1:9" ht="15" customHeight="1" x14ac:dyDescent="0.25">
      <c r="A17" t="s">
        <v>6287</v>
      </c>
      <c r="B17">
        <v>6</v>
      </c>
      <c r="C17" t="s">
        <v>7112</v>
      </c>
      <c r="D17" t="s">
        <v>7112</v>
      </c>
      <c r="E17" t="s">
        <v>7122</v>
      </c>
      <c r="F17" t="s">
        <v>7122</v>
      </c>
      <c r="G17" t="s">
        <v>7115</v>
      </c>
      <c r="H17" t="s">
        <v>7115</v>
      </c>
      <c r="I17" t="s">
        <v>2361</v>
      </c>
    </row>
    <row r="18" spans="1:9" ht="15" customHeight="1" x14ac:dyDescent="0.25">
      <c r="A18" t="s">
        <v>6344</v>
      </c>
      <c r="B18">
        <v>6</v>
      </c>
      <c r="C18" t="s">
        <v>7111</v>
      </c>
      <c r="D18" t="s">
        <v>7111</v>
      </c>
      <c r="E18" t="s">
        <v>7112</v>
      </c>
      <c r="F18" t="s">
        <v>7112</v>
      </c>
      <c r="G18" t="s">
        <v>7114</v>
      </c>
      <c r="H18" t="s">
        <v>7114</v>
      </c>
      <c r="I18" t="s">
        <v>2361</v>
      </c>
    </row>
    <row r="19" spans="1:9" ht="15" customHeight="1" x14ac:dyDescent="0.25">
      <c r="A19" t="s">
        <v>6348</v>
      </c>
      <c r="B19">
        <v>6</v>
      </c>
      <c r="C19" t="s">
        <v>5651</v>
      </c>
      <c r="D19" t="s">
        <v>7114</v>
      </c>
      <c r="E19" t="s">
        <v>7122</v>
      </c>
      <c r="F19" t="s">
        <v>7122</v>
      </c>
      <c r="G19" t="s">
        <v>7115</v>
      </c>
      <c r="H19" t="s">
        <v>7117</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7145</v>
      </c>
      <c r="D1" t="s">
        <v>171</v>
      </c>
      <c r="E1" t="s">
        <v>7146</v>
      </c>
    </row>
    <row r="2" spans="1:5" ht="15" customHeight="1" x14ac:dyDescent="0.25">
      <c r="A2" t="s">
        <v>7147</v>
      </c>
      <c r="B2">
        <v>2022</v>
      </c>
      <c r="C2" t="s">
        <v>2619</v>
      </c>
      <c r="D2" t="s">
        <v>7148</v>
      </c>
    </row>
    <row r="3" spans="1:5" ht="15" customHeight="1" x14ac:dyDescent="0.25">
      <c r="A3" t="s">
        <v>7149</v>
      </c>
      <c r="B3">
        <v>2022</v>
      </c>
      <c r="C3" t="s">
        <v>90</v>
      </c>
      <c r="D3" t="s">
        <v>7150</v>
      </c>
    </row>
    <row r="4" spans="1:5" ht="15" customHeight="1" x14ac:dyDescent="0.25">
      <c r="A4" t="s">
        <v>7151</v>
      </c>
      <c r="B4">
        <v>2024</v>
      </c>
      <c r="C4" t="s">
        <v>353</v>
      </c>
      <c r="D4" t="s">
        <v>7152</v>
      </c>
    </row>
    <row r="5" spans="1:5" ht="15" customHeight="1" x14ac:dyDescent="0.25">
      <c r="A5" t="s">
        <v>7153</v>
      </c>
      <c r="B5">
        <v>2020</v>
      </c>
      <c r="C5" t="s">
        <v>2132</v>
      </c>
      <c r="D5" t="s">
        <v>7154</v>
      </c>
    </row>
    <row r="6" spans="1:5" ht="15" customHeight="1" x14ac:dyDescent="0.25">
      <c r="A6" t="s">
        <v>7155</v>
      </c>
      <c r="B6">
        <v>2021</v>
      </c>
      <c r="C6" t="s">
        <v>2136</v>
      </c>
      <c r="D6" t="s">
        <v>7156</v>
      </c>
    </row>
    <row r="7" spans="1:5" ht="15" customHeight="1" x14ac:dyDescent="0.25">
      <c r="A7" t="s">
        <v>7157</v>
      </c>
      <c r="B7">
        <v>2024</v>
      </c>
      <c r="C7" t="s">
        <v>353</v>
      </c>
      <c r="D7" t="s">
        <v>7158</v>
      </c>
    </row>
    <row r="8" spans="1:5" x14ac:dyDescent="0.25">
      <c r="A8" t="s">
        <v>7159</v>
      </c>
      <c r="B8">
        <v>2024</v>
      </c>
      <c r="C8" t="s">
        <v>353</v>
      </c>
      <c r="E8" s="10" t="s">
        <v>7160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3452</v>
      </c>
      <c r="C1" t="s">
        <v>167</v>
      </c>
    </row>
    <row r="2" spans="1:3" ht="15" customHeight="1" x14ac:dyDescent="0.25">
      <c r="A2" t="s">
        <v>7161</v>
      </c>
      <c r="B2" t="s">
        <v>7162</v>
      </c>
      <c r="C2" t="s">
        <v>4013</v>
      </c>
    </row>
    <row r="3" spans="1:3" ht="15" customHeight="1" x14ac:dyDescent="0.25">
      <c r="A3" t="s">
        <v>7163</v>
      </c>
      <c r="B3" t="s">
        <v>7164</v>
      </c>
      <c r="C3" t="s">
        <v>4013</v>
      </c>
    </row>
    <row r="4" spans="1:3" ht="15" customHeight="1" x14ac:dyDescent="0.25">
      <c r="A4" t="s">
        <v>4386</v>
      </c>
      <c r="B4" t="s">
        <v>7165</v>
      </c>
      <c r="C4" t="s">
        <v>4030</v>
      </c>
    </row>
    <row r="5" spans="1:3" ht="15" customHeight="1" x14ac:dyDescent="0.25">
      <c r="A5" t="s">
        <v>3990</v>
      </c>
      <c r="B5" t="s">
        <v>7166</v>
      </c>
      <c r="C5" t="s">
        <v>4013</v>
      </c>
    </row>
    <row r="6" spans="1:3" ht="15" customHeight="1" x14ac:dyDescent="0.25">
      <c r="A6" t="s">
        <v>7167</v>
      </c>
      <c r="B6" t="s">
        <v>7168</v>
      </c>
      <c r="C6" t="s">
        <v>4030</v>
      </c>
    </row>
    <row r="7" spans="1:3" ht="15" customHeight="1" x14ac:dyDescent="0.25">
      <c r="A7" t="s">
        <v>7169</v>
      </c>
      <c r="B7" t="s">
        <v>7170</v>
      </c>
      <c r="C7" t="s">
        <v>4013</v>
      </c>
    </row>
    <row r="8" spans="1:3" ht="15" customHeight="1" x14ac:dyDescent="0.25">
      <c r="A8" t="s">
        <v>7171</v>
      </c>
      <c r="B8" t="s">
        <v>7172</v>
      </c>
      <c r="C8" t="s">
        <v>4013</v>
      </c>
    </row>
    <row r="9" spans="1:3" ht="15" customHeight="1" x14ac:dyDescent="0.25">
      <c r="A9" t="s">
        <v>7173</v>
      </c>
      <c r="B9" t="s">
        <v>7174</v>
      </c>
      <c r="C9" t="s">
        <v>4013</v>
      </c>
    </row>
    <row r="10" spans="1:3" ht="15" customHeight="1" x14ac:dyDescent="0.25">
      <c r="A10" t="s">
        <v>7175</v>
      </c>
      <c r="B10" t="s">
        <v>7176</v>
      </c>
      <c r="C10" t="s">
        <v>4041</v>
      </c>
    </row>
    <row r="11" spans="1:3" ht="15" customHeight="1" x14ac:dyDescent="0.25">
      <c r="A11" t="s">
        <v>7177</v>
      </c>
      <c r="B11" t="s">
        <v>7178</v>
      </c>
      <c r="C11" t="s">
        <v>4013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7179</v>
      </c>
      <c r="C1" t="s">
        <v>4596</v>
      </c>
      <c r="D1" t="s">
        <v>7180</v>
      </c>
      <c r="E1" t="s">
        <v>3452</v>
      </c>
      <c r="F1" t="s">
        <v>167</v>
      </c>
    </row>
    <row r="2" spans="1:6" ht="15" customHeight="1" x14ac:dyDescent="0.25">
      <c r="A2" t="s">
        <v>7181</v>
      </c>
      <c r="B2" t="s">
        <v>5022</v>
      </c>
      <c r="C2" t="s">
        <v>4362</v>
      </c>
      <c r="D2" t="s">
        <v>7182</v>
      </c>
      <c r="E2" t="s">
        <v>7183</v>
      </c>
      <c r="F2" t="s">
        <v>7184</v>
      </c>
    </row>
    <row r="3" spans="1:6" ht="15" customHeight="1" x14ac:dyDescent="0.25">
      <c r="A3" t="s">
        <v>7185</v>
      </c>
      <c r="B3" t="s">
        <v>5022</v>
      </c>
      <c r="C3" t="s">
        <v>4366</v>
      </c>
      <c r="D3" t="s">
        <v>7182</v>
      </c>
      <c r="E3" t="s">
        <v>7186</v>
      </c>
      <c r="F3" t="s">
        <v>7184</v>
      </c>
    </row>
    <row r="4" spans="1:6" ht="15" customHeight="1" x14ac:dyDescent="0.25">
      <c r="A4" t="s">
        <v>7187</v>
      </c>
      <c r="B4" t="s">
        <v>5022</v>
      </c>
      <c r="C4" t="s">
        <v>5025</v>
      </c>
      <c r="D4" t="s">
        <v>7182</v>
      </c>
      <c r="E4" t="s">
        <v>7188</v>
      </c>
      <c r="F4" t="s">
        <v>7184</v>
      </c>
    </row>
    <row r="5" spans="1:6" ht="15" customHeight="1" x14ac:dyDescent="0.25">
      <c r="A5" t="s">
        <v>7189</v>
      </c>
      <c r="B5" t="s">
        <v>5022</v>
      </c>
      <c r="C5" t="s">
        <v>4362</v>
      </c>
      <c r="D5" t="s">
        <v>7182</v>
      </c>
      <c r="E5" t="s">
        <v>7190</v>
      </c>
      <c r="F5" t="s">
        <v>7184</v>
      </c>
    </row>
    <row r="6" spans="1:6" ht="15" customHeight="1" x14ac:dyDescent="0.25">
      <c r="A6" t="s">
        <v>7191</v>
      </c>
      <c r="B6" t="s">
        <v>5022</v>
      </c>
      <c r="C6" t="s">
        <v>4366</v>
      </c>
      <c r="D6" t="s">
        <v>7182</v>
      </c>
      <c r="E6" t="s">
        <v>7192</v>
      </c>
      <c r="F6" t="s">
        <v>7184</v>
      </c>
    </row>
    <row r="7" spans="1:6" ht="15" customHeight="1" x14ac:dyDescent="0.25">
      <c r="A7" t="s">
        <v>7193</v>
      </c>
      <c r="B7" t="s">
        <v>5022</v>
      </c>
      <c r="C7" t="s">
        <v>5025</v>
      </c>
      <c r="D7" t="s">
        <v>7182</v>
      </c>
      <c r="E7" t="s">
        <v>7194</v>
      </c>
      <c r="F7" t="s">
        <v>7184</v>
      </c>
    </row>
    <row r="8" spans="1:6" ht="15" customHeight="1" x14ac:dyDescent="0.25">
      <c r="A8" t="s">
        <v>7195</v>
      </c>
      <c r="B8" t="s">
        <v>5022</v>
      </c>
      <c r="C8" t="s">
        <v>4362</v>
      </c>
      <c r="D8" t="s">
        <v>7196</v>
      </c>
      <c r="E8" t="s">
        <v>7197</v>
      </c>
      <c r="F8" t="s">
        <v>7184</v>
      </c>
    </row>
    <row r="9" spans="1:6" ht="15" customHeight="1" x14ac:dyDescent="0.25">
      <c r="A9" t="s">
        <v>7198</v>
      </c>
      <c r="B9" t="s">
        <v>5022</v>
      </c>
      <c r="C9" t="s">
        <v>4366</v>
      </c>
      <c r="D9" t="s">
        <v>7182</v>
      </c>
      <c r="E9" t="s">
        <v>7197</v>
      </c>
      <c r="F9" t="s">
        <v>7184</v>
      </c>
    </row>
    <row r="10" spans="1:6" ht="15" customHeight="1" x14ac:dyDescent="0.25">
      <c r="A10" t="s">
        <v>7199</v>
      </c>
      <c r="B10" t="s">
        <v>5022</v>
      </c>
      <c r="C10" t="s">
        <v>5025</v>
      </c>
      <c r="D10" t="s">
        <v>7200</v>
      </c>
      <c r="E10" t="s">
        <v>7197</v>
      </c>
      <c r="F10" t="s">
        <v>7184</v>
      </c>
    </row>
    <row r="11" spans="1:6" ht="15" customHeight="1" x14ac:dyDescent="0.25">
      <c r="A11" t="s">
        <v>7201</v>
      </c>
      <c r="B11" t="s">
        <v>3998</v>
      </c>
      <c r="C11" t="s">
        <v>4362</v>
      </c>
      <c r="D11" t="s">
        <v>7196</v>
      </c>
      <c r="E11" t="s">
        <v>7202</v>
      </c>
      <c r="F11" t="s">
        <v>7184</v>
      </c>
    </row>
    <row r="12" spans="1:6" ht="15" customHeight="1" x14ac:dyDescent="0.25">
      <c r="A12" t="s">
        <v>7203</v>
      </c>
      <c r="B12" t="s">
        <v>3998</v>
      </c>
      <c r="C12" t="s">
        <v>4366</v>
      </c>
      <c r="D12" t="s">
        <v>7196</v>
      </c>
      <c r="E12" t="s">
        <v>7204</v>
      </c>
      <c r="F12" t="s">
        <v>7184</v>
      </c>
    </row>
    <row r="13" spans="1:6" ht="15" customHeight="1" x14ac:dyDescent="0.25">
      <c r="A13" t="s">
        <v>7205</v>
      </c>
      <c r="B13" t="s">
        <v>3998</v>
      </c>
      <c r="C13" t="s">
        <v>5025</v>
      </c>
      <c r="D13" t="s">
        <v>7196</v>
      </c>
      <c r="E13" t="s">
        <v>7206</v>
      </c>
      <c r="F13" t="s">
        <v>7184</v>
      </c>
    </row>
    <row r="14" spans="1:6" ht="15" customHeight="1" x14ac:dyDescent="0.25">
      <c r="A14" t="s">
        <v>7207</v>
      </c>
      <c r="B14" t="s">
        <v>6867</v>
      </c>
      <c r="C14" t="s">
        <v>4362</v>
      </c>
      <c r="D14" t="s">
        <v>7208</v>
      </c>
      <c r="E14" t="s">
        <v>7209</v>
      </c>
      <c r="F14" t="s">
        <v>3831</v>
      </c>
    </row>
    <row r="15" spans="1:6" ht="15" customHeight="1" x14ac:dyDescent="0.25">
      <c r="A15" t="s">
        <v>7210</v>
      </c>
      <c r="B15" t="s">
        <v>6867</v>
      </c>
      <c r="C15" t="s">
        <v>4366</v>
      </c>
      <c r="D15" t="s">
        <v>7211</v>
      </c>
      <c r="E15" t="s">
        <v>7209</v>
      </c>
      <c r="F15" t="s">
        <v>3831</v>
      </c>
    </row>
    <row r="16" spans="1:6" ht="15" customHeight="1" x14ac:dyDescent="0.25">
      <c r="A16" t="s">
        <v>7212</v>
      </c>
      <c r="B16" t="s">
        <v>6867</v>
      </c>
      <c r="C16" t="s">
        <v>5025</v>
      </c>
      <c r="D16" t="s">
        <v>7213</v>
      </c>
      <c r="E16" t="s">
        <v>7209</v>
      </c>
      <c r="F16" t="s">
        <v>3831</v>
      </c>
    </row>
    <row r="17" spans="1:6" ht="15" customHeight="1" x14ac:dyDescent="0.25">
      <c r="A17" t="s">
        <v>7214</v>
      </c>
      <c r="B17" t="s">
        <v>6867</v>
      </c>
      <c r="C17" t="s">
        <v>4362</v>
      </c>
      <c r="D17" t="s">
        <v>7215</v>
      </c>
      <c r="E17" t="s">
        <v>7216</v>
      </c>
      <c r="F17" t="s">
        <v>7217</v>
      </c>
    </row>
    <row r="18" spans="1:6" ht="15" customHeight="1" x14ac:dyDescent="0.25">
      <c r="A18" t="s">
        <v>7218</v>
      </c>
      <c r="B18" t="s">
        <v>6867</v>
      </c>
      <c r="C18" t="s">
        <v>4366</v>
      </c>
      <c r="D18" t="s">
        <v>7215</v>
      </c>
      <c r="E18" t="s">
        <v>7219</v>
      </c>
      <c r="F18" t="s">
        <v>7217</v>
      </c>
    </row>
    <row r="19" spans="1:6" ht="15" customHeight="1" x14ac:dyDescent="0.25">
      <c r="A19" t="s">
        <v>7220</v>
      </c>
      <c r="B19" t="s">
        <v>6867</v>
      </c>
      <c r="C19" t="s">
        <v>5025</v>
      </c>
      <c r="D19" t="s">
        <v>7215</v>
      </c>
      <c r="E19" t="s">
        <v>7221</v>
      </c>
      <c r="F19" t="s">
        <v>7217</v>
      </c>
    </row>
    <row r="20" spans="1:6" ht="15" customHeight="1" x14ac:dyDescent="0.25">
      <c r="A20" t="s">
        <v>7222</v>
      </c>
      <c r="B20" t="s">
        <v>6867</v>
      </c>
      <c r="C20" t="s">
        <v>4362</v>
      </c>
      <c r="D20" t="s">
        <v>7223</v>
      </c>
      <c r="E20" t="s">
        <v>7224</v>
      </c>
      <c r="F20" t="s">
        <v>7217</v>
      </c>
    </row>
    <row r="21" spans="1:6" ht="15" customHeight="1" x14ac:dyDescent="0.25">
      <c r="A21" t="s">
        <v>7225</v>
      </c>
      <c r="B21" t="s">
        <v>6867</v>
      </c>
      <c r="C21" t="s">
        <v>4366</v>
      </c>
      <c r="D21" t="s">
        <v>7226</v>
      </c>
      <c r="E21" t="s">
        <v>7224</v>
      </c>
      <c r="F21" t="s">
        <v>7217</v>
      </c>
    </row>
    <row r="22" spans="1:6" ht="15" customHeight="1" x14ac:dyDescent="0.25">
      <c r="A22" t="s">
        <v>7227</v>
      </c>
      <c r="B22" t="s">
        <v>6867</v>
      </c>
      <c r="C22" t="s">
        <v>5025</v>
      </c>
      <c r="D22" t="s">
        <v>7228</v>
      </c>
      <c r="E22" t="s">
        <v>7224</v>
      </c>
      <c r="F22" t="s">
        <v>7217</v>
      </c>
    </row>
    <row r="23" spans="1:6" ht="15" customHeight="1" x14ac:dyDescent="0.25">
      <c r="A23" t="s">
        <v>7229</v>
      </c>
      <c r="B23" t="s">
        <v>3981</v>
      </c>
      <c r="C23" t="s">
        <v>4362</v>
      </c>
      <c r="D23" t="s">
        <v>7208</v>
      </c>
      <c r="E23" t="s">
        <v>7230</v>
      </c>
      <c r="F23" t="s">
        <v>3831</v>
      </c>
    </row>
    <row r="24" spans="1:6" ht="15" customHeight="1" x14ac:dyDescent="0.25">
      <c r="A24" t="s">
        <v>7231</v>
      </c>
      <c r="B24" t="s">
        <v>3981</v>
      </c>
      <c r="C24" t="s">
        <v>4366</v>
      </c>
      <c r="D24" t="s">
        <v>7208</v>
      </c>
      <c r="E24" t="s">
        <v>7232</v>
      </c>
      <c r="F24" t="s">
        <v>3831</v>
      </c>
    </row>
    <row r="25" spans="1:6" ht="15" customHeight="1" x14ac:dyDescent="0.25">
      <c r="A25" t="s">
        <v>7233</v>
      </c>
      <c r="B25" t="s">
        <v>3981</v>
      </c>
      <c r="C25" t="s">
        <v>5025</v>
      </c>
      <c r="D25" t="s">
        <v>7208</v>
      </c>
      <c r="E25" t="s">
        <v>7234</v>
      </c>
      <c r="F25" t="s">
        <v>3831</v>
      </c>
    </row>
    <row r="26" spans="1:6" ht="15" customHeight="1" x14ac:dyDescent="0.25">
      <c r="A26" t="s">
        <v>7235</v>
      </c>
      <c r="B26" t="s">
        <v>3981</v>
      </c>
      <c r="C26" t="s">
        <v>4362</v>
      </c>
      <c r="D26" t="s">
        <v>7236</v>
      </c>
      <c r="E26" t="s">
        <v>7237</v>
      </c>
      <c r="F26" t="s">
        <v>7217</v>
      </c>
    </row>
    <row r="27" spans="1:6" ht="15" customHeight="1" x14ac:dyDescent="0.25">
      <c r="A27" t="s">
        <v>7238</v>
      </c>
      <c r="B27" t="s">
        <v>3981</v>
      </c>
      <c r="C27" t="s">
        <v>4366</v>
      </c>
      <c r="D27" t="s">
        <v>7239</v>
      </c>
      <c r="E27" t="s">
        <v>7237</v>
      </c>
      <c r="F27" t="s">
        <v>7217</v>
      </c>
    </row>
    <row r="28" spans="1:6" ht="15" customHeight="1" x14ac:dyDescent="0.25">
      <c r="A28" t="s">
        <v>7240</v>
      </c>
      <c r="B28" t="s">
        <v>3981</v>
      </c>
      <c r="C28" t="s">
        <v>5025</v>
      </c>
      <c r="D28" t="s">
        <v>7241</v>
      </c>
      <c r="E28" t="s">
        <v>7237</v>
      </c>
      <c r="F28" t="s">
        <v>7217</v>
      </c>
    </row>
    <row r="29" spans="1:6" ht="15" customHeight="1" x14ac:dyDescent="0.25">
      <c r="A29" t="s">
        <v>7242</v>
      </c>
      <c r="B29" t="s">
        <v>3981</v>
      </c>
      <c r="C29" t="s">
        <v>4362</v>
      </c>
      <c r="D29" t="s">
        <v>7243</v>
      </c>
      <c r="E29" t="s">
        <v>7244</v>
      </c>
      <c r="F29" t="s">
        <v>7217</v>
      </c>
    </row>
    <row r="30" spans="1:6" ht="15" customHeight="1" x14ac:dyDescent="0.25">
      <c r="A30" t="s">
        <v>7245</v>
      </c>
      <c r="B30" t="s">
        <v>3981</v>
      </c>
      <c r="C30" t="s">
        <v>4366</v>
      </c>
      <c r="D30" t="s">
        <v>7246</v>
      </c>
      <c r="E30" t="s">
        <v>7244</v>
      </c>
      <c r="F30" t="s">
        <v>7217</v>
      </c>
    </row>
    <row r="31" spans="1:6" ht="15" customHeight="1" x14ac:dyDescent="0.25">
      <c r="A31" t="s">
        <v>7247</v>
      </c>
      <c r="B31" t="s">
        <v>3981</v>
      </c>
      <c r="C31" t="s">
        <v>5025</v>
      </c>
      <c r="D31" t="s">
        <v>7248</v>
      </c>
      <c r="E31" t="s">
        <v>7244</v>
      </c>
      <c r="F31" t="s">
        <v>7217</v>
      </c>
    </row>
    <row r="32" spans="1:6" ht="15" customHeight="1" x14ac:dyDescent="0.25">
      <c r="A32" t="s">
        <v>7249</v>
      </c>
      <c r="B32" t="s">
        <v>3998</v>
      </c>
      <c r="C32" t="s">
        <v>4362</v>
      </c>
      <c r="D32" t="s">
        <v>7250</v>
      </c>
      <c r="E32" t="s">
        <v>7251</v>
      </c>
      <c r="F32" t="s">
        <v>7217</v>
      </c>
    </row>
    <row r="33" spans="1:6" ht="15" customHeight="1" x14ac:dyDescent="0.25">
      <c r="A33" t="s">
        <v>7252</v>
      </c>
      <c r="B33" t="s">
        <v>3998</v>
      </c>
      <c r="C33" t="s">
        <v>4366</v>
      </c>
      <c r="D33" t="s">
        <v>7250</v>
      </c>
      <c r="E33" t="s">
        <v>7251</v>
      </c>
      <c r="F33" t="s">
        <v>7217</v>
      </c>
    </row>
    <row r="34" spans="1:6" ht="15" customHeight="1" x14ac:dyDescent="0.25">
      <c r="A34" t="s">
        <v>7253</v>
      </c>
      <c r="B34" t="s">
        <v>3998</v>
      </c>
      <c r="C34" t="s">
        <v>5025</v>
      </c>
      <c r="D34" t="s">
        <v>7250</v>
      </c>
      <c r="E34" t="s">
        <v>7251</v>
      </c>
      <c r="F34" t="s">
        <v>7217</v>
      </c>
    </row>
    <row r="35" spans="1:6" ht="15" customHeight="1" x14ac:dyDescent="0.25">
      <c r="A35" t="s">
        <v>7254</v>
      </c>
      <c r="B35" t="s">
        <v>5022</v>
      </c>
      <c r="C35" t="s">
        <v>4362</v>
      </c>
      <c r="D35" t="s">
        <v>7196</v>
      </c>
      <c r="E35" t="s">
        <v>7255</v>
      </c>
      <c r="F35" t="s">
        <v>7184</v>
      </c>
    </row>
    <row r="36" spans="1:6" ht="15" customHeight="1" x14ac:dyDescent="0.25">
      <c r="A36" t="s">
        <v>7256</v>
      </c>
      <c r="B36" t="s">
        <v>5022</v>
      </c>
      <c r="C36" t="s">
        <v>4366</v>
      </c>
      <c r="D36" t="s">
        <v>7182</v>
      </c>
      <c r="E36" t="s">
        <v>7255</v>
      </c>
      <c r="F36" t="s">
        <v>7184</v>
      </c>
    </row>
    <row r="37" spans="1:6" ht="15" customHeight="1" x14ac:dyDescent="0.25">
      <c r="A37" t="s">
        <v>7257</v>
      </c>
      <c r="B37" t="s">
        <v>5022</v>
      </c>
      <c r="C37" t="s">
        <v>5025</v>
      </c>
      <c r="D37" t="s">
        <v>7200</v>
      </c>
      <c r="E37" t="s">
        <v>7255</v>
      </c>
      <c r="F37" t="s">
        <v>7184</v>
      </c>
    </row>
    <row r="38" spans="1:6" ht="15" customHeight="1" x14ac:dyDescent="0.25">
      <c r="A38" t="s">
        <v>7258</v>
      </c>
      <c r="B38" t="s">
        <v>3998</v>
      </c>
      <c r="C38" t="s">
        <v>4362</v>
      </c>
      <c r="D38" t="s">
        <v>7196</v>
      </c>
      <c r="E38" t="s">
        <v>7259</v>
      </c>
      <c r="F38" t="s">
        <v>7184</v>
      </c>
    </row>
    <row r="39" spans="1:6" ht="15" customHeight="1" x14ac:dyDescent="0.25">
      <c r="A39" t="s">
        <v>7260</v>
      </c>
      <c r="B39" t="s">
        <v>3998</v>
      </c>
      <c r="C39" t="s">
        <v>4366</v>
      </c>
      <c r="D39" t="s">
        <v>7182</v>
      </c>
      <c r="E39" t="s">
        <v>7259</v>
      </c>
      <c r="F39" t="s">
        <v>7184</v>
      </c>
    </row>
    <row r="40" spans="1:6" ht="15" customHeight="1" x14ac:dyDescent="0.25">
      <c r="A40" t="s">
        <v>7261</v>
      </c>
      <c r="B40" t="s">
        <v>3998</v>
      </c>
      <c r="C40" t="s">
        <v>5025</v>
      </c>
      <c r="D40" t="s">
        <v>7200</v>
      </c>
      <c r="E40" t="s">
        <v>7259</v>
      </c>
      <c r="F40" t="s">
        <v>7184</v>
      </c>
    </row>
    <row r="41" spans="1:6" ht="15" customHeight="1" x14ac:dyDescent="0.25">
      <c r="A41" t="s">
        <v>7262</v>
      </c>
      <c r="B41" t="s">
        <v>5022</v>
      </c>
      <c r="C41" t="s">
        <v>4362</v>
      </c>
      <c r="D41" t="s">
        <v>7200</v>
      </c>
      <c r="E41" t="s">
        <v>7263</v>
      </c>
      <c r="F41" t="s">
        <v>7184</v>
      </c>
    </row>
    <row r="42" spans="1:6" ht="15" customHeight="1" x14ac:dyDescent="0.25">
      <c r="A42" t="s">
        <v>7264</v>
      </c>
      <c r="B42" t="s">
        <v>5022</v>
      </c>
      <c r="C42" t="s">
        <v>4366</v>
      </c>
      <c r="D42" t="s">
        <v>7200</v>
      </c>
      <c r="E42" t="s">
        <v>7265</v>
      </c>
      <c r="F42" t="s">
        <v>7184</v>
      </c>
    </row>
    <row r="43" spans="1:6" ht="15" customHeight="1" x14ac:dyDescent="0.25">
      <c r="A43" t="s">
        <v>7266</v>
      </c>
      <c r="B43" t="s">
        <v>5022</v>
      </c>
      <c r="C43" t="s">
        <v>5025</v>
      </c>
      <c r="D43" t="s">
        <v>7200</v>
      </c>
      <c r="E43" t="s">
        <v>7267</v>
      </c>
      <c r="F43" t="s">
        <v>7184</v>
      </c>
    </row>
    <row r="44" spans="1:6" ht="15" customHeight="1" x14ac:dyDescent="0.25">
      <c r="A44" t="s">
        <v>7268</v>
      </c>
      <c r="B44" t="s">
        <v>6867</v>
      </c>
      <c r="C44" t="s">
        <v>4362</v>
      </c>
      <c r="D44" t="s">
        <v>7196</v>
      </c>
      <c r="E44" t="s">
        <v>7269</v>
      </c>
      <c r="F44" t="s">
        <v>7184</v>
      </c>
    </row>
    <row r="45" spans="1:6" ht="15" customHeight="1" x14ac:dyDescent="0.25">
      <c r="A45" t="s">
        <v>7270</v>
      </c>
      <c r="B45" t="s">
        <v>6867</v>
      </c>
      <c r="C45" t="s">
        <v>4366</v>
      </c>
      <c r="D45" t="s">
        <v>7182</v>
      </c>
      <c r="E45" t="s">
        <v>7269</v>
      </c>
      <c r="F45" t="s">
        <v>7184</v>
      </c>
    </row>
    <row r="46" spans="1:6" ht="15" customHeight="1" x14ac:dyDescent="0.25">
      <c r="A46" t="s">
        <v>7271</v>
      </c>
      <c r="B46" t="s">
        <v>6867</v>
      </c>
      <c r="C46" t="s">
        <v>5025</v>
      </c>
      <c r="D46" t="s">
        <v>7200</v>
      </c>
      <c r="E46" t="s">
        <v>7269</v>
      </c>
      <c r="F46" t="s">
        <v>7184</v>
      </c>
    </row>
    <row r="47" spans="1:6" ht="15" customHeight="1" x14ac:dyDescent="0.25">
      <c r="A47" t="s">
        <v>7272</v>
      </c>
      <c r="B47" t="s">
        <v>3981</v>
      </c>
      <c r="C47" t="s">
        <v>4362</v>
      </c>
      <c r="D47" t="s">
        <v>7243</v>
      </c>
      <c r="E47" t="s">
        <v>7273</v>
      </c>
      <c r="F47" t="s">
        <v>7217</v>
      </c>
    </row>
    <row r="48" spans="1:6" ht="15" customHeight="1" x14ac:dyDescent="0.25">
      <c r="A48" t="s">
        <v>7274</v>
      </c>
      <c r="B48" t="s">
        <v>3981</v>
      </c>
      <c r="C48" t="s">
        <v>4366</v>
      </c>
      <c r="D48" t="s">
        <v>7246</v>
      </c>
      <c r="E48" t="s">
        <v>7275</v>
      </c>
      <c r="F48" t="s">
        <v>7217</v>
      </c>
    </row>
    <row r="49" spans="1:6" ht="15" customHeight="1" x14ac:dyDescent="0.25">
      <c r="A49" t="s">
        <v>7276</v>
      </c>
      <c r="B49" t="s">
        <v>3981</v>
      </c>
      <c r="C49" t="s">
        <v>5025</v>
      </c>
      <c r="D49" t="s">
        <v>7248</v>
      </c>
      <c r="E49" t="s">
        <v>7277</v>
      </c>
      <c r="F49" t="s">
        <v>7217</v>
      </c>
    </row>
    <row r="50" spans="1:6" ht="15" customHeight="1" x14ac:dyDescent="0.25">
      <c r="A50" t="s">
        <v>7278</v>
      </c>
      <c r="B50" t="s">
        <v>3998</v>
      </c>
      <c r="C50" t="s">
        <v>4362</v>
      </c>
      <c r="D50" t="s">
        <v>7196</v>
      </c>
      <c r="E50" t="s">
        <v>7279</v>
      </c>
      <c r="F50" t="s">
        <v>7184</v>
      </c>
    </row>
    <row r="51" spans="1:6" ht="15" customHeight="1" x14ac:dyDescent="0.25">
      <c r="A51" t="s">
        <v>7280</v>
      </c>
      <c r="B51" t="s">
        <v>3998</v>
      </c>
      <c r="C51" t="s">
        <v>4366</v>
      </c>
      <c r="D51" t="s">
        <v>7182</v>
      </c>
      <c r="E51" t="s">
        <v>7279</v>
      </c>
      <c r="F51" t="s">
        <v>7184</v>
      </c>
    </row>
    <row r="52" spans="1:6" ht="15" customHeight="1" x14ac:dyDescent="0.25">
      <c r="A52" t="s">
        <v>7281</v>
      </c>
      <c r="B52" t="s">
        <v>3998</v>
      </c>
      <c r="C52" t="s">
        <v>5025</v>
      </c>
      <c r="D52" t="s">
        <v>7200</v>
      </c>
      <c r="E52" t="s">
        <v>7279</v>
      </c>
      <c r="F52" t="s">
        <v>7184</v>
      </c>
    </row>
    <row r="53" spans="1:6" ht="15" customHeight="1" x14ac:dyDescent="0.25">
      <c r="A53" t="s">
        <v>7282</v>
      </c>
      <c r="B53" t="s">
        <v>3981</v>
      </c>
      <c r="C53" t="s">
        <v>4362</v>
      </c>
      <c r="D53" t="s">
        <v>7283</v>
      </c>
      <c r="E53" t="s">
        <v>7284</v>
      </c>
      <c r="F53" t="s">
        <v>7217</v>
      </c>
    </row>
    <row r="54" spans="1:6" ht="15" customHeight="1" x14ac:dyDescent="0.25">
      <c r="A54" t="s">
        <v>7285</v>
      </c>
      <c r="B54" t="s">
        <v>3981</v>
      </c>
      <c r="C54" t="s">
        <v>4366</v>
      </c>
      <c r="D54" t="s">
        <v>7286</v>
      </c>
      <c r="E54" t="s">
        <v>7284</v>
      </c>
      <c r="F54" t="s">
        <v>7217</v>
      </c>
    </row>
    <row r="55" spans="1:6" ht="15" customHeight="1" x14ac:dyDescent="0.25">
      <c r="A55" t="s">
        <v>7287</v>
      </c>
      <c r="B55" t="s">
        <v>3981</v>
      </c>
      <c r="C55" t="s">
        <v>5025</v>
      </c>
      <c r="D55" t="s">
        <v>7288</v>
      </c>
      <c r="E55" t="s">
        <v>7284</v>
      </c>
      <c r="F55" t="s">
        <v>7217</v>
      </c>
    </row>
    <row r="56" spans="1:6" ht="15" customHeight="1" x14ac:dyDescent="0.25">
      <c r="A56" t="s">
        <v>7289</v>
      </c>
      <c r="B56" t="s">
        <v>5022</v>
      </c>
      <c r="C56" t="s">
        <v>4362</v>
      </c>
      <c r="D56" t="s">
        <v>7290</v>
      </c>
      <c r="E56" t="s">
        <v>7291</v>
      </c>
      <c r="F56" t="s">
        <v>7217</v>
      </c>
    </row>
    <row r="57" spans="1:6" ht="15" customHeight="1" x14ac:dyDescent="0.25">
      <c r="A57" t="s">
        <v>7292</v>
      </c>
      <c r="B57" t="s">
        <v>5022</v>
      </c>
      <c r="C57" t="s">
        <v>4366</v>
      </c>
      <c r="D57" t="s">
        <v>7293</v>
      </c>
      <c r="E57" t="s">
        <v>7291</v>
      </c>
      <c r="F57" t="s">
        <v>7217</v>
      </c>
    </row>
    <row r="58" spans="1:6" ht="15" customHeight="1" x14ac:dyDescent="0.25">
      <c r="A58" t="s">
        <v>7294</v>
      </c>
      <c r="B58" t="s">
        <v>5022</v>
      </c>
      <c r="C58" t="s">
        <v>5025</v>
      </c>
      <c r="D58" t="s">
        <v>7295</v>
      </c>
      <c r="E58" t="s">
        <v>7291</v>
      </c>
      <c r="F58" t="s">
        <v>7217</v>
      </c>
    </row>
    <row r="59" spans="1:6" ht="15" customHeight="1" x14ac:dyDescent="0.25">
      <c r="A59" t="s">
        <v>7296</v>
      </c>
      <c r="B59" t="s">
        <v>5022</v>
      </c>
      <c r="C59" t="s">
        <v>4362</v>
      </c>
      <c r="D59" t="s">
        <v>7196</v>
      </c>
      <c r="E59" t="s">
        <v>7297</v>
      </c>
      <c r="F59" t="s">
        <v>3831</v>
      </c>
    </row>
    <row r="60" spans="1:6" ht="15" customHeight="1" x14ac:dyDescent="0.25">
      <c r="A60" t="s">
        <v>7298</v>
      </c>
      <c r="B60" t="s">
        <v>5022</v>
      </c>
      <c r="C60" t="s">
        <v>4366</v>
      </c>
      <c r="D60" t="s">
        <v>7182</v>
      </c>
      <c r="E60" t="s">
        <v>7297</v>
      </c>
      <c r="F60" t="s">
        <v>3831</v>
      </c>
    </row>
    <row r="61" spans="1:6" ht="15" customHeight="1" x14ac:dyDescent="0.25">
      <c r="A61" t="s">
        <v>7299</v>
      </c>
      <c r="B61" t="s">
        <v>5022</v>
      </c>
      <c r="C61" t="s">
        <v>5025</v>
      </c>
      <c r="D61" t="s">
        <v>7200</v>
      </c>
      <c r="E61" t="s">
        <v>7297</v>
      </c>
      <c r="F61" t="s">
        <v>3831</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3737</v>
      </c>
      <c r="B1" t="s">
        <v>3733</v>
      </c>
    </row>
    <row r="2" spans="1:2" ht="15" customHeight="1" x14ac:dyDescent="0.25">
      <c r="A2" t="s">
        <v>7300</v>
      </c>
      <c r="B2" t="s">
        <v>4944</v>
      </c>
    </row>
    <row r="3" spans="1:2" ht="15" customHeight="1" x14ac:dyDescent="0.25">
      <c r="A3" t="s">
        <v>7301</v>
      </c>
      <c r="B3" t="s">
        <v>4944</v>
      </c>
    </row>
    <row r="4" spans="1:2" ht="15" customHeight="1" x14ac:dyDescent="0.25">
      <c r="A4" t="s">
        <v>7302</v>
      </c>
      <c r="B4" t="s">
        <v>4944</v>
      </c>
    </row>
    <row r="5" spans="1:2" ht="15" customHeight="1" x14ac:dyDescent="0.25">
      <c r="A5" t="s">
        <v>7303</v>
      </c>
      <c r="B5" t="s">
        <v>4944</v>
      </c>
    </row>
    <row r="6" spans="1:2" ht="15" customHeight="1" x14ac:dyDescent="0.25">
      <c r="A6" t="s">
        <v>3956</v>
      </c>
      <c r="B6" t="s">
        <v>4944</v>
      </c>
    </row>
    <row r="7" spans="1:2" ht="15" customHeight="1" x14ac:dyDescent="0.25">
      <c r="A7" t="s">
        <v>7304</v>
      </c>
      <c r="B7" t="s">
        <v>4944</v>
      </c>
    </row>
    <row r="8" spans="1:2" ht="15" customHeight="1" x14ac:dyDescent="0.25">
      <c r="A8" t="s">
        <v>7305</v>
      </c>
      <c r="B8" t="s">
        <v>4944</v>
      </c>
    </row>
    <row r="9" spans="1:2" ht="15" customHeight="1" x14ac:dyDescent="0.25">
      <c r="A9" t="s">
        <v>7306</v>
      </c>
      <c r="B9" t="s">
        <v>4944</v>
      </c>
    </row>
    <row r="10" spans="1:2" ht="15" customHeight="1" x14ac:dyDescent="0.25">
      <c r="A10" t="s">
        <v>7307</v>
      </c>
      <c r="B10" t="s">
        <v>4944</v>
      </c>
    </row>
    <row r="11" spans="1:2" ht="15" customHeight="1" x14ac:dyDescent="0.25">
      <c r="A11" t="s">
        <v>7308</v>
      </c>
      <c r="B11" t="s">
        <v>4944</v>
      </c>
    </row>
    <row r="12" spans="1:2" ht="15" customHeight="1" x14ac:dyDescent="0.25">
      <c r="A12" t="s">
        <v>7309</v>
      </c>
      <c r="B12" t="s">
        <v>4371</v>
      </c>
    </row>
    <row r="13" spans="1:2" ht="15" customHeight="1" x14ac:dyDescent="0.25">
      <c r="A13" t="s">
        <v>7310</v>
      </c>
      <c r="B13" t="s">
        <v>4371</v>
      </c>
    </row>
    <row r="14" spans="1:2" ht="15" customHeight="1" x14ac:dyDescent="0.25">
      <c r="A14" t="s">
        <v>7311</v>
      </c>
      <c r="B14" t="s">
        <v>4371</v>
      </c>
    </row>
    <row r="15" spans="1:2" ht="15" customHeight="1" x14ac:dyDescent="0.25">
      <c r="A15" t="s">
        <v>7312</v>
      </c>
      <c r="B15" t="s">
        <v>4371</v>
      </c>
    </row>
    <row r="16" spans="1:2" ht="15" customHeight="1" x14ac:dyDescent="0.25">
      <c r="A16" t="s">
        <v>7313</v>
      </c>
      <c r="B16" t="s">
        <v>4371</v>
      </c>
    </row>
    <row r="17" spans="1:2" ht="15" customHeight="1" x14ac:dyDescent="0.25">
      <c r="A17" t="s">
        <v>7314</v>
      </c>
      <c r="B17" t="s">
        <v>4371</v>
      </c>
    </row>
    <row r="18" spans="1:2" ht="15" customHeight="1" x14ac:dyDescent="0.25">
      <c r="A18" t="s">
        <v>7315</v>
      </c>
      <c r="B18" t="s">
        <v>7316</v>
      </c>
    </row>
    <row r="19" spans="1:2" ht="15" customHeight="1" x14ac:dyDescent="0.25">
      <c r="A19" t="s">
        <v>7317</v>
      </c>
      <c r="B19" t="s">
        <v>7316</v>
      </c>
    </row>
    <row r="20" spans="1:2" ht="15" customHeight="1" x14ac:dyDescent="0.25">
      <c r="A20" t="s">
        <v>7318</v>
      </c>
      <c r="B20" t="s">
        <v>7316</v>
      </c>
    </row>
    <row r="21" spans="1:2" ht="15" customHeight="1" x14ac:dyDescent="0.25">
      <c r="A21" t="s">
        <v>7319</v>
      </c>
      <c r="B21" t="s">
        <v>7316</v>
      </c>
    </row>
    <row r="22" spans="1:2" ht="15" customHeight="1" x14ac:dyDescent="0.25">
      <c r="A22" t="s">
        <v>7320</v>
      </c>
      <c r="B22" t="s">
        <v>7316</v>
      </c>
    </row>
    <row r="23" spans="1:2" ht="15" customHeight="1" x14ac:dyDescent="0.25">
      <c r="A23" t="s">
        <v>3953</v>
      </c>
      <c r="B23" t="s">
        <v>7316</v>
      </c>
    </row>
    <row r="24" spans="1:2" ht="15" customHeight="1" x14ac:dyDescent="0.25">
      <c r="A24" t="s">
        <v>7321</v>
      </c>
      <c r="B24" t="s">
        <v>7316</v>
      </c>
    </row>
    <row r="25" spans="1:2" ht="15" customHeight="1" x14ac:dyDescent="0.25">
      <c r="A25" t="s">
        <v>7322</v>
      </c>
      <c r="B25" t="s">
        <v>7316</v>
      </c>
    </row>
    <row r="26" spans="1:2" ht="15" customHeight="1" x14ac:dyDescent="0.25">
      <c r="A26" t="s">
        <v>7323</v>
      </c>
      <c r="B26" t="s">
        <v>7316</v>
      </c>
    </row>
    <row r="27" spans="1:2" ht="15" customHeight="1" x14ac:dyDescent="0.25">
      <c r="A27" t="s">
        <v>7324</v>
      </c>
      <c r="B27" t="s">
        <v>7316</v>
      </c>
    </row>
    <row r="28" spans="1:2" ht="15" customHeight="1" x14ac:dyDescent="0.25">
      <c r="A28" t="s">
        <v>7325</v>
      </c>
      <c r="B28" t="s">
        <v>7316</v>
      </c>
    </row>
    <row r="29" spans="1:2" ht="15" customHeight="1" x14ac:dyDescent="0.25">
      <c r="A29" t="s">
        <v>7326</v>
      </c>
      <c r="B29" t="s">
        <v>7316</v>
      </c>
    </row>
    <row r="30" spans="1:2" ht="15" customHeight="1" x14ac:dyDescent="0.25">
      <c r="A30" t="s">
        <v>7327</v>
      </c>
      <c r="B30" t="s">
        <v>7316</v>
      </c>
    </row>
    <row r="31" spans="1:2" ht="15" customHeight="1" x14ac:dyDescent="0.25">
      <c r="A31" t="s">
        <v>7328</v>
      </c>
      <c r="B31" t="s">
        <v>7316</v>
      </c>
    </row>
    <row r="32" spans="1:2" ht="15" customHeight="1" x14ac:dyDescent="0.25">
      <c r="A32" t="s">
        <v>7329</v>
      </c>
      <c r="B32" t="s">
        <v>7316</v>
      </c>
    </row>
    <row r="33" spans="1:2" ht="15" customHeight="1" x14ac:dyDescent="0.25">
      <c r="A33" t="s">
        <v>7330</v>
      </c>
      <c r="B33" t="s">
        <v>7316</v>
      </c>
    </row>
    <row r="34" spans="1:2" ht="15" customHeight="1" x14ac:dyDescent="0.25">
      <c r="A34" t="s">
        <v>7331</v>
      </c>
      <c r="B34" t="s">
        <v>7316</v>
      </c>
    </row>
    <row r="35" spans="1:2" ht="15" customHeight="1" x14ac:dyDescent="0.25">
      <c r="A35" t="s">
        <v>7332</v>
      </c>
      <c r="B35" t="s">
        <v>7316</v>
      </c>
    </row>
    <row r="36" spans="1:2" ht="15" customHeight="1" x14ac:dyDescent="0.25">
      <c r="A36" t="s">
        <v>7333</v>
      </c>
      <c r="B36" t="s">
        <v>7316</v>
      </c>
    </row>
    <row r="37" spans="1:2" ht="15" customHeight="1" x14ac:dyDescent="0.25">
      <c r="A37" t="s">
        <v>7334</v>
      </c>
      <c r="B37" t="s">
        <v>7316</v>
      </c>
    </row>
    <row r="38" spans="1:2" ht="15" customHeight="1" x14ac:dyDescent="0.25">
      <c r="A38" t="s">
        <v>7335</v>
      </c>
      <c r="B38" t="s">
        <v>7316</v>
      </c>
    </row>
    <row r="39" spans="1:2" ht="15" customHeight="1" x14ac:dyDescent="0.25">
      <c r="A39" t="s">
        <v>7336</v>
      </c>
      <c r="B39" t="s">
        <v>4371</v>
      </c>
    </row>
    <row r="40" spans="1:2" ht="15" customHeight="1" x14ac:dyDescent="0.25">
      <c r="A40" t="s">
        <v>7337</v>
      </c>
      <c r="B40" t="s">
        <v>7316</v>
      </c>
    </row>
    <row r="41" spans="1:2" ht="15" customHeight="1" x14ac:dyDescent="0.25">
      <c r="A41" t="s">
        <v>7338</v>
      </c>
      <c r="B41" t="s">
        <v>7316</v>
      </c>
    </row>
    <row r="42" spans="1:2" ht="15" customHeight="1" x14ac:dyDescent="0.25">
      <c r="A42" t="s">
        <v>7339</v>
      </c>
      <c r="B42" t="s">
        <v>7316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4306</v>
      </c>
      <c r="E1" s="14" t="s">
        <v>7340</v>
      </c>
      <c r="F1" s="14" t="s">
        <v>7341</v>
      </c>
      <c r="G1" s="14" t="s">
        <v>7342</v>
      </c>
      <c r="H1" s="14" t="s">
        <v>7343</v>
      </c>
      <c r="I1" s="14" t="s">
        <v>7344</v>
      </c>
      <c r="J1" s="14" t="s">
        <v>7345</v>
      </c>
      <c r="K1" s="14" t="s">
        <v>7346</v>
      </c>
      <c r="L1" s="14" t="s">
        <v>7347</v>
      </c>
      <c r="M1" s="14" t="s">
        <v>7348</v>
      </c>
      <c r="N1" s="14" t="s">
        <v>7349</v>
      </c>
      <c r="O1" s="14" t="s">
        <v>7350</v>
      </c>
      <c r="P1" s="14" t="s">
        <v>172</v>
      </c>
      <c r="Q1" s="14" t="s">
        <v>7351</v>
      </c>
      <c r="R1" s="14" t="s">
        <v>4308</v>
      </c>
      <c r="T1" s="14" t="s">
        <v>7352</v>
      </c>
      <c r="U1" s="14" t="s">
        <v>7353</v>
      </c>
      <c r="V1" s="14" t="s">
        <v>7354</v>
      </c>
    </row>
    <row r="2" spans="1:22" x14ac:dyDescent="0.25">
      <c r="A2" t="str">
        <f>IF(games!$A2="","",games!$A2)</f>
        <v>[Redacted]</v>
      </c>
      <c r="B2">
        <f>IF($A2="","",games!$B2)</f>
        <v>2024</v>
      </c>
      <c r="C2" t="str">
        <f>IF($A2="","",games!$C2)</f>
        <v>Action</v>
      </c>
      <c r="D2">
        <f>IF($A2="","",COUNTIF(connections!$A$2:$A$1496,$A2)+COUNTIF(connections!$B$2:$B$1496,$A2))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IF($A3="","",COUNTIF(connections!$A$2:$A$1496,$A3)+COUNTIF(connections!$B$2:$B$1496,$A3))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IF($A4="","",COUNTIF(connections!$A$2:$A$1496,$A4)+COUNTIF(connections!$B$2:$B$1496,$A4))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IF($A5="","",COUNTIF(connections!$A$2:$A$1496,$A5)+COUNTIF(connections!$B$2:$B$1496,$A5))</f>
        <v>7</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7.0000049999999998</v>
      </c>
      <c r="P5" t="str">
        <f>IF(OR($A5="",games!$H5=""),"",games!$H5)</f>
        <v>Yes</v>
      </c>
      <c r="Q5">
        <f t="shared" si="11"/>
        <v>7.0000049999999998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IF($A6="","",COUNTIF(connections!$A$2:$A$1496,$A6)+COUNTIF(connections!$B$2:$B$1496,$A6))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2021</v>
      </c>
      <c r="U6">
        <f>IF(connections!$A6="","",IFERROR(INDEX(games!$B$2:$B$950,MATCH(connections!$B6,games!$A$2:$A$950,0)),""))</f>
        <v>2022</v>
      </c>
      <c r="V6">
        <f t="shared" si="12"/>
        <v>1</v>
      </c>
    </row>
    <row r="7" spans="1:22" x14ac:dyDescent="0.25">
      <c r="A7" t="str">
        <f>IF(games!$A7="","",games!$A7)</f>
        <v>30XX</v>
      </c>
      <c r="B7">
        <f>IF($A7="","",games!$B7)</f>
        <v>2021</v>
      </c>
      <c r="C7" t="str">
        <f>IF($A7="","",games!$C7)</f>
        <v>Action</v>
      </c>
      <c r="D7">
        <f>IF($A7="","",COUNTIF(connections!$A$2:$A$1496,$A7)+COUNTIF(connections!$B$2:$B$1496,$A7))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2017</v>
      </c>
      <c r="V7">
        <f t="shared" si="12"/>
        <v>2</v>
      </c>
    </row>
    <row r="8" spans="1:22" x14ac:dyDescent="0.25">
      <c r="A8" t="str">
        <f>IF(games!$A8="","",games!$A8)</f>
        <v>33 Immortals</v>
      </c>
      <c r="B8">
        <f>IF($A8="","",games!$B8)</f>
        <v>2026</v>
      </c>
      <c r="C8" t="str">
        <f>IF($A8="","",games!$C8)</f>
        <v>Action</v>
      </c>
      <c r="D8">
        <f>IF($A8="","",COUNTIF(connections!$A$2:$A$1496,$A8)+COUNTIF(connections!$B$2:$B$1496,$A8))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2011</v>
      </c>
      <c r="U8">
        <f>IF(connections!$A8="","",IFERROR(INDEX(games!$B$2:$B$950,MATCH(connections!$B8,games!$A$2:$A$950,0)),""))</f>
        <v>2017</v>
      </c>
      <c r="V8">
        <f t="shared" si="12"/>
        <v>6</v>
      </c>
    </row>
    <row r="9" spans="1:22" x14ac:dyDescent="0.25">
      <c r="A9" t="str">
        <f>IF(games!$A9="","",games!$A9)</f>
        <v>868-Back</v>
      </c>
      <c r="B9">
        <f>IF($A9="","",games!$B9)</f>
        <v>2026</v>
      </c>
      <c r="C9" t="str">
        <f>IF($A9="","",games!$C9)</f>
        <v>Traditional</v>
      </c>
      <c r="D9">
        <f>IF($A9="","",COUNTIF(connections!$A$2:$A$1496,$A9)+COUNTIF(connections!$B$2:$B$1496,$A9))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IF($A10="","",COUNTIF(connections!$A$2:$A$1496,$A10)+COUNTIF(connections!$B$2:$B$1496,$A10))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2010</v>
      </c>
      <c r="U10">
        <f>IF(connections!$A10="","",IFERROR(INDEX(games!$B$2:$B$950,MATCH(connections!$B10,games!$A$2:$A$950,0)),""))</f>
        <v>2026</v>
      </c>
      <c r="V10">
        <f t="shared" si="12"/>
        <v>16</v>
      </c>
    </row>
    <row r="11" spans="1:22" x14ac:dyDescent="0.25">
      <c r="A11" t="str">
        <f>IF(games!$A11="","",games!$A11)</f>
        <v>9 Kings</v>
      </c>
      <c r="B11">
        <f>IF($A11="","",games!$B11)</f>
        <v>2024</v>
      </c>
      <c r="C11" t="str">
        <f>IF($A11="","",games!$C11)</f>
        <v>Deckbuilder</v>
      </c>
      <c r="D11">
        <f>IF($A11="","",COUNTIF(connections!$A$2:$A$1496,$A11)+COUNTIF(connections!$B$2:$B$1496,$A11))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2017</v>
      </c>
      <c r="U11">
        <f>IF(connections!$A11="","",IFERROR(INDEX(games!$B$2:$B$950,MATCH(connections!$B11,games!$A$2:$A$950,0)),""))</f>
        <v>2026</v>
      </c>
      <c r="V11">
        <f t="shared" si="12"/>
        <v>9</v>
      </c>
    </row>
    <row r="12" spans="1:22" x14ac:dyDescent="0.25">
      <c r="A12" t="str">
        <f>IF(games!$A12="","",games!$A12)</f>
        <v>99 Levels to Hell</v>
      </c>
      <c r="B12">
        <f>IF($A12="","",games!$B12)</f>
        <v>2013</v>
      </c>
      <c r="C12" t="str">
        <f>IF($A12="","",games!$C12)</f>
        <v>Action</v>
      </c>
      <c r="D12">
        <f>IF($A12="","",COUNTIF(connections!$A$2:$A$1496,$A12)+COUNTIF(connections!$B$2:$B$1496,$A12))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2015</v>
      </c>
      <c r="U12">
        <f>IF(connections!$A12="","",IFERROR(INDEX(games!$B$2:$B$950,MATCH(connections!$B12,games!$A$2:$A$950,0)),""))</f>
        <v>2026</v>
      </c>
      <c r="V12">
        <f t="shared" si="12"/>
        <v>11</v>
      </c>
    </row>
    <row r="13" spans="1:22" x14ac:dyDescent="0.25">
      <c r="A13" t="str">
        <f>IF(games!$A13="","",games!$A13)</f>
        <v>A la Card</v>
      </c>
      <c r="B13">
        <f>IF($A13="","",games!$B13)</f>
        <v>2025</v>
      </c>
      <c r="C13" t="str">
        <f>IF($A13="","",games!$C13)</f>
        <v>Deckbuilder</v>
      </c>
      <c r="D13">
        <f>IF($A13="","",COUNTIF(connections!$A$2:$A$1496,$A13)+COUNTIF(connections!$B$2:$B$1496,$A13))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1980</v>
      </c>
      <c r="U13">
        <f>IF(connections!$A13="","",IFERROR(INDEX(games!$B$2:$B$950,MATCH(connections!$B13,games!$A$2:$A$950,0)),""))</f>
        <v>2015</v>
      </c>
      <c r="V13">
        <f t="shared" si="12"/>
        <v>35</v>
      </c>
    </row>
    <row r="14" spans="1:22" x14ac:dyDescent="0.25">
      <c r="A14" t="str">
        <f>IF(games!$A14="","",games!$A14)</f>
        <v>A Robot Named Fight!</v>
      </c>
      <c r="B14">
        <f>IF($A14="","",games!$B14)</f>
        <v>2017</v>
      </c>
      <c r="C14" t="str">
        <f>IF($A14="","",games!$C14)</f>
        <v>Action</v>
      </c>
      <c r="D14">
        <f>IF($A14="","",COUNTIF(connections!$A$2:$A$1496,$A14)+COUNTIF(connections!$B$2:$B$1496,$A14))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2022</v>
      </c>
      <c r="U14">
        <f>IF(connections!$A14="","",IFERROR(INDEX(games!$B$2:$B$950,MATCH(connections!$B14,games!$A$2:$A$950,0)),""))</f>
        <v>2024</v>
      </c>
      <c r="V14">
        <f t="shared" si="12"/>
        <v>2</v>
      </c>
    </row>
    <row r="15" spans="1:22" x14ac:dyDescent="0.25">
      <c r="A15" t="str">
        <f>IF(games!$A15="","",games!$A15)</f>
        <v>Abandon Ship</v>
      </c>
      <c r="B15">
        <f>IF($A15="","",games!$B15)</f>
        <v>2019</v>
      </c>
      <c r="C15" t="str">
        <f>IF($A15="","",games!$C15)</f>
        <v>Strategy</v>
      </c>
      <c r="D15">
        <f>IF($A15="","",COUNTIF(connections!$A$2:$A$1496,$A15)+COUNTIF(connections!$B$2:$B$1496,$A15))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2017</v>
      </c>
      <c r="U15">
        <f>IF(connections!$A15="","",IFERROR(INDEX(games!$B$2:$B$950,MATCH(connections!$B15,games!$A$2:$A$950,0)),""))</f>
        <v>2024</v>
      </c>
      <c r="V15">
        <f t="shared" si="12"/>
        <v>7</v>
      </c>
    </row>
    <row r="16" spans="1:22" x14ac:dyDescent="0.25">
      <c r="A16" t="str">
        <f>IF(games!$A16="","",games!$A16)</f>
        <v>Abandoned Archive</v>
      </c>
      <c r="B16">
        <f>IF($A16="","",games!$B16)</f>
        <v>2025</v>
      </c>
      <c r="C16" t="str">
        <f>IF($A16="","",games!$C16)</f>
        <v>Action</v>
      </c>
      <c r="D16">
        <f>IF($A16="","",COUNTIF(connections!$A$2:$A$1496,$A16)+COUNTIF(connections!$B$2:$B$1496,$A16))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2008</v>
      </c>
      <c r="U16">
        <f>IF(connections!$A16="","",IFERROR(INDEX(games!$B$2:$B$950,MATCH(connections!$B16,games!$A$2:$A$950,0)),""))</f>
        <v>2013</v>
      </c>
      <c r="V16">
        <f t="shared" si="12"/>
        <v>5</v>
      </c>
    </row>
    <row r="17" spans="1:22" x14ac:dyDescent="0.25">
      <c r="A17" t="str">
        <f>IF(games!$A17="","",games!$A17)</f>
        <v>Absolum</v>
      </c>
      <c r="B17">
        <f>IF($A17="","",games!$B17)</f>
        <v>2025</v>
      </c>
      <c r="C17" t="str">
        <f>IF($A17="","",games!$C17)</f>
        <v>Action</v>
      </c>
      <c r="D17">
        <f>IF($A17="","",COUNTIF(connections!$A$2:$A$1496,$A17)+COUNTIF(connections!$B$2:$B$1496,$A17))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2011</v>
      </c>
      <c r="U17">
        <f>IF(connections!$A17="","",IFERROR(INDEX(games!$B$2:$B$950,MATCH(connections!$B17,games!$A$2:$A$950,0)),""))</f>
        <v>2013</v>
      </c>
      <c r="V17">
        <f t="shared" si="12"/>
        <v>2</v>
      </c>
    </row>
    <row r="18" spans="1:22" x14ac:dyDescent="0.25">
      <c r="A18" t="str">
        <f>IF(games!$A18="","",games!$A18)</f>
        <v>Abyssus</v>
      </c>
      <c r="B18">
        <f>IF($A18="","",games!$B18)</f>
        <v>2025</v>
      </c>
      <c r="C18" t="str">
        <f>IF($A18="","",games!$C18)</f>
        <v>Action</v>
      </c>
      <c r="D18">
        <f>IF($A18="","",COUNTIF(connections!$A$2:$A$1496,$A18)+COUNTIF(connections!$B$2:$B$1496,$A18))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2017</v>
      </c>
      <c r="U18">
        <f>IF(connections!$A18="","",IFERROR(INDEX(games!$B$2:$B$950,MATCH(connections!$B18,games!$A$2:$A$950,0)),""))</f>
        <v>2025</v>
      </c>
      <c r="V18">
        <f t="shared" si="12"/>
        <v>8</v>
      </c>
    </row>
    <row r="19" spans="1:22" x14ac:dyDescent="0.25">
      <c r="A19" t="str">
        <f>IF(games!$A19="","",games!$A19)</f>
        <v>Aces &amp; Adventures</v>
      </c>
      <c r="B19">
        <f>IF($A19="","",games!$B19)</f>
        <v>2023</v>
      </c>
      <c r="C19" t="str">
        <f>IF($A19="","",games!$C19)</f>
        <v>Deckbuilder</v>
      </c>
      <c r="D19">
        <f>IF($A19="","",COUNTIF(connections!$A$2:$A$1496,$A19)+COUNTIF(connections!$B$2:$B$1496,$A19))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2011</v>
      </c>
      <c r="U19">
        <f>IF(connections!$A19="","",IFERROR(INDEX(games!$B$2:$B$950,MATCH(connections!$B19,games!$A$2:$A$950,0)),""))</f>
        <v>2017</v>
      </c>
      <c r="V19">
        <f t="shared" si="12"/>
        <v>6</v>
      </c>
    </row>
    <row r="20" spans="1:22" x14ac:dyDescent="0.25">
      <c r="A20" t="str">
        <f>IF(games!$A20="","",games!$A20)</f>
        <v>Across the Obelisk</v>
      </c>
      <c r="B20">
        <f>IF($A20="","",games!$B20)</f>
        <v>2021</v>
      </c>
      <c r="C20" t="str">
        <f>IF($A20="","",games!$C20)</f>
        <v>Deckbuilder</v>
      </c>
      <c r="D20">
        <f>IF($A20="","",COUNTIF(connections!$A$2:$A$1496,$A20)+COUNTIF(connections!$B$2:$B$1496,$A20))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2012</v>
      </c>
      <c r="U20">
        <f>IF(connections!$A20="","",IFERROR(INDEX(games!$B$2:$B$950,MATCH(connections!$B20,games!$A$2:$A$950,0)),""))</f>
        <v>2019</v>
      </c>
      <c r="V20">
        <f t="shared" si="12"/>
        <v>7</v>
      </c>
    </row>
    <row r="21" spans="1:22" x14ac:dyDescent="0.25">
      <c r="A21" t="str">
        <f>IF(games!$A21="","",games!$A21)</f>
        <v>Aethermancer</v>
      </c>
      <c r="B21">
        <f>IF($A21="","",games!$B21)</f>
        <v>2025</v>
      </c>
      <c r="C21" t="str">
        <f>IF($A21="","",games!$C21)</f>
        <v>Strategy</v>
      </c>
      <c r="D21">
        <f>IF($A21="","",COUNTIF(connections!$A$2:$A$1496,$A21)+COUNTIF(connections!$B$2:$B$1496,$A21))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2016</v>
      </c>
      <c r="U21">
        <f>IF(connections!$A21="","",IFERROR(INDEX(games!$B$2:$B$950,MATCH(connections!$B21,games!$A$2:$A$950,0)),""))</f>
        <v>2025</v>
      </c>
      <c r="V21">
        <f t="shared" si="12"/>
        <v>9</v>
      </c>
    </row>
    <row r="22" spans="1:22" x14ac:dyDescent="0.25">
      <c r="A22" t="str">
        <f>IF(games!$A22="","",games!$A22)</f>
        <v>AK-xolotl</v>
      </c>
      <c r="B22">
        <f>IF($A22="","",games!$B22)</f>
        <v>2023</v>
      </c>
      <c r="C22" t="str">
        <f>IF($A22="","",games!$C22)</f>
        <v>Action</v>
      </c>
      <c r="D22">
        <f>IF($A22="","",COUNTIF(connections!$A$2:$A$1496,$A22)+COUNTIF(connections!$B$2:$B$1496,$A22))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2018</v>
      </c>
      <c r="U22">
        <f>IF(connections!$A22="","",IFERROR(INDEX(games!$B$2:$B$950,MATCH(connections!$B22,games!$A$2:$A$950,0)),""))</f>
        <v>2025</v>
      </c>
      <c r="V22">
        <f t="shared" si="12"/>
        <v>7</v>
      </c>
    </row>
    <row r="23" spans="1:22" x14ac:dyDescent="0.25">
      <c r="A23" t="str">
        <f>IF(games!$A23="","",games!$A23)</f>
        <v>Alina of the Arena</v>
      </c>
      <c r="B23">
        <f>IF($A23="","",games!$B23)</f>
        <v>2022</v>
      </c>
      <c r="C23" t="str">
        <f>IF($A23="","",games!$C23)</f>
        <v>Deckbuilder</v>
      </c>
      <c r="D23">
        <f>IF($A23="","",COUNTIF(connections!$A$2:$A$1496,$A23)+COUNTIF(connections!$B$2:$B$1496,$A23))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IF($A24="","",COUNTIF(connections!$A$2:$A$1496,$A24)+COUNTIF(connections!$B$2:$B$1496,$A24))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2020</v>
      </c>
      <c r="U24">
        <f>IF(connections!$A24="","",IFERROR(INDEX(games!$B$2:$B$950,MATCH(connections!$B24,games!$A$2:$A$950,0)),""))</f>
        <v>2025</v>
      </c>
      <c r="V24">
        <f t="shared" si="12"/>
        <v>5</v>
      </c>
    </row>
    <row r="25" spans="1:22" x14ac:dyDescent="0.25">
      <c r="A25" t="str">
        <f>IF(games!$A25="","",games!$A25)</f>
        <v>Ancient Domains of Mystery</v>
      </c>
      <c r="B25">
        <f>IF($A25="","",games!$B25)</f>
        <v>1994</v>
      </c>
      <c r="C25" t="str">
        <f>IF($A25="","",games!$C25)</f>
        <v>Traditional</v>
      </c>
      <c r="D25">
        <f>IF($A25="","",COUNTIF(connections!$A$2:$A$1496,$A25)+COUNTIF(connections!$B$2:$B$1496,$A25))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2015</v>
      </c>
      <c r="U25">
        <f>IF(connections!$A25="","",IFERROR(INDEX(games!$B$2:$B$950,MATCH(connections!$B25,games!$A$2:$A$950,0)),""))</f>
        <v>2025</v>
      </c>
      <c r="V25">
        <f t="shared" si="12"/>
        <v>10</v>
      </c>
    </row>
    <row r="26" spans="1:22" x14ac:dyDescent="0.25">
      <c r="A26" t="str">
        <f>IF(games!$A26="","",games!$A26)</f>
        <v>Angband</v>
      </c>
      <c r="B26">
        <f>IF($A26="","",games!$B26)</f>
        <v>1990</v>
      </c>
      <c r="C26" t="str">
        <f>IF($A26="","",games!$C26)</f>
        <v>Traditional</v>
      </c>
      <c r="D26">
        <f>IF($A26="","",COUNTIF(connections!$A$2:$A$1496,$A26)+COUNTIF(connections!$B$2:$B$1496,$A26))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2020</v>
      </c>
      <c r="U26">
        <f>IF(connections!$A26="","",IFERROR(INDEX(games!$B$2:$B$950,MATCH(connections!$B26,games!$A$2:$A$950,0)),""))</f>
        <v>2025</v>
      </c>
      <c r="V26">
        <f t="shared" si="12"/>
        <v>5</v>
      </c>
    </row>
    <row r="27" spans="1:22" x14ac:dyDescent="0.25">
      <c r="A27" t="str">
        <f>IF(games!$A27="","",games!$A27)</f>
        <v>Anomaly Collapse</v>
      </c>
      <c r="B27">
        <f>IF($A27="","",games!$B27)</f>
        <v>2024</v>
      </c>
      <c r="C27" t="str">
        <f>IF($A27="","",games!$C27)</f>
        <v>Strategy</v>
      </c>
      <c r="D27">
        <f>IF($A27="","",COUNTIF(connections!$A$2:$A$1496,$A27)+COUNTIF(connections!$B$2:$B$1496,$A27))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2023</v>
      </c>
      <c r="V27">
        <f t="shared" si="12"/>
        <v>3</v>
      </c>
    </row>
    <row r="28" spans="1:22" x14ac:dyDescent="0.25">
      <c r="A28" t="str">
        <f>IF(games!$A28="","",games!$A28)</f>
        <v>Another Farm Roguelike</v>
      </c>
      <c r="B28">
        <f>IF($A28="","",games!$B28)</f>
        <v>2022</v>
      </c>
      <c r="C28" t="str">
        <f>IF($A28="","",games!$C28)</f>
        <v>Strategy</v>
      </c>
      <c r="D28">
        <f>IF($A28="","",COUNTIF(connections!$A$2:$A$1496,$A28)+COUNTIF(connections!$B$2:$B$1496,$A28))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2017</v>
      </c>
      <c r="U28">
        <f>IF(connections!$A28="","",IFERROR(INDEX(games!$B$2:$B$950,MATCH(connections!$B28,games!$A$2:$A$950,0)),""))</f>
        <v>2023</v>
      </c>
      <c r="V28">
        <f t="shared" si="12"/>
        <v>6</v>
      </c>
    </row>
    <row r="29" spans="1:22" x14ac:dyDescent="0.25">
      <c r="A29" t="str">
        <f>IF(games!$A29="","",games!$A29)</f>
        <v>Another Farm Roguelike: Rebirth</v>
      </c>
      <c r="B29">
        <f>IF($A29="","",games!$B29)</f>
        <v>2025</v>
      </c>
      <c r="C29" t="str">
        <f>IF($A29="","",games!$C29)</f>
        <v>Strategy</v>
      </c>
      <c r="D29">
        <f>IF($A29="","",COUNTIF(connections!$A$2:$A$1496,$A29)+COUNTIF(connections!$B$2:$B$1496,$A29))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2015</v>
      </c>
      <c r="U29">
        <f>IF(connections!$A29="","",IFERROR(INDEX(games!$B$2:$B$950,MATCH(connections!$B29,games!$A$2:$A$950,0)),""))</f>
        <v>2021</v>
      </c>
      <c r="V29">
        <f t="shared" si="12"/>
        <v>6</v>
      </c>
    </row>
    <row r="30" spans="1:22" x14ac:dyDescent="0.25">
      <c r="A30" t="str">
        <f>IF(games!$A30="","",games!$A30)</f>
        <v>Aotenjo: Infinite Hands</v>
      </c>
      <c r="B30">
        <f>IF($A30="","",games!$B30)</f>
        <v>2024</v>
      </c>
      <c r="C30" t="str">
        <f>IF($A30="","",games!$C30)</f>
        <v>Deckbuilder</v>
      </c>
      <c r="D30">
        <f>IF($A30="","",COUNTIF(connections!$A$2:$A$1496,$A30)+COUNTIF(connections!$B$2:$B$1496,$A30))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2017</v>
      </c>
      <c r="U30">
        <f>IF(connections!$A30="","",IFERROR(INDEX(games!$B$2:$B$950,MATCH(connections!$B30,games!$A$2:$A$950,0)),""))</f>
        <v>2021</v>
      </c>
      <c r="V30">
        <f t="shared" si="12"/>
        <v>4</v>
      </c>
    </row>
    <row r="31" spans="1:22" x14ac:dyDescent="0.25">
      <c r="A31" t="str">
        <f>IF(games!$A31="","",games!$A31)</f>
        <v>Approaching Infinity</v>
      </c>
      <c r="B31">
        <f>IF($A31="","",games!$B31)</f>
        <v>2020</v>
      </c>
      <c r="C31" t="str">
        <f>IF($A31="","",games!$C31)</f>
        <v>Traditional</v>
      </c>
      <c r="D31">
        <f>IF($A31="","",COUNTIF(connections!$A$2:$A$1496,$A31)+COUNTIF(connections!$B$2:$B$1496,$A31))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2018</v>
      </c>
      <c r="U31">
        <f>IF(connections!$A31="","",IFERROR(INDEX(games!$B$2:$B$950,MATCH(connections!$B31,games!$A$2:$A$950,0)),""))</f>
        <v>2025</v>
      </c>
      <c r="V31">
        <f t="shared" si="12"/>
        <v>7</v>
      </c>
    </row>
    <row r="32" spans="1:22" x14ac:dyDescent="0.25">
      <c r="A32" t="str">
        <f>IF(games!$A32="","",games!$A32)</f>
        <v>Arc Seed</v>
      </c>
      <c r="B32">
        <f>IF($A32="","",games!$B32)</f>
        <v>2024</v>
      </c>
      <c r="C32" t="str">
        <f>IF($A32="","",games!$C32)</f>
        <v>Deckbuilder</v>
      </c>
      <c r="D32">
        <f>IF($A32="","",COUNTIF(connections!$A$2:$A$1496,$A32)+COUNTIF(connections!$B$2:$B$1496,$A32))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2016</v>
      </c>
      <c r="U32">
        <f>IF(connections!$A32="","",IFERROR(INDEX(games!$B$2:$B$950,MATCH(connections!$B32,games!$A$2:$A$950,0)),""))</f>
        <v>2023</v>
      </c>
      <c r="V32">
        <f t="shared" si="12"/>
        <v>7</v>
      </c>
    </row>
    <row r="33" spans="1:22" x14ac:dyDescent="0.25">
      <c r="A33" t="str">
        <f>IF(games!$A33="","",games!$A33)</f>
        <v>Arcane Trigger</v>
      </c>
      <c r="B33">
        <f>IF($A33="","",games!$B33)</f>
        <v>2025</v>
      </c>
      <c r="C33" t="str">
        <f>IF($A33="","",games!$C33)</f>
        <v>Action</v>
      </c>
      <c r="D33">
        <f>IF($A33="","",COUNTIF(connections!$A$2:$A$1496,$A33)+COUNTIF(connections!$B$2:$B$1496,$A33))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2015</v>
      </c>
      <c r="U33">
        <f>IF(connections!$A33="","",IFERROR(INDEX(games!$B$2:$B$950,MATCH(connections!$B33,games!$A$2:$A$950,0)),""))</f>
        <v>2023</v>
      </c>
      <c r="V33">
        <f t="shared" si="12"/>
        <v>8</v>
      </c>
    </row>
    <row r="34" spans="1:22" x14ac:dyDescent="0.25">
      <c r="A34" t="str">
        <f>IF(games!$A34="","",games!$A34)</f>
        <v>Arcanium: Rise of Akhan</v>
      </c>
      <c r="B34">
        <f>IF($A34="","",games!$B34)</f>
        <v>2020</v>
      </c>
      <c r="C34" t="str">
        <f>IF($A34="","",games!$C34)</f>
        <v>Deckbuilder</v>
      </c>
      <c r="D34">
        <f>IF($A34="","",COUNTIF(connections!$A$2:$A$1496,$A34)+COUNTIF(connections!$B$2:$B$1496,$A34))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2018</v>
      </c>
      <c r="U34">
        <f>IF(connections!$A34="","",IFERROR(INDEX(games!$B$2:$B$950,MATCH(connections!$B34,games!$A$2:$A$950,0)),""))</f>
        <v>2022</v>
      </c>
      <c r="V34">
        <f t="shared" si="12"/>
        <v>4</v>
      </c>
    </row>
    <row r="35" spans="1:22" x14ac:dyDescent="0.25">
      <c r="A35" t="str">
        <f>IF(games!$A35="","",games!$A35)</f>
        <v>Archon Soul</v>
      </c>
      <c r="B35">
        <f>IF($A35="","",games!$B35)</f>
        <v>2026</v>
      </c>
      <c r="C35" t="str">
        <f>IF($A35="","",games!$C35)</f>
        <v>Deckbuilder</v>
      </c>
      <c r="D35">
        <f>IF($A35="","",COUNTIF(connections!$A$2:$A$1496,$A35)+COUNTIF(connections!$B$2:$B$1496,$A35))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2017</v>
      </c>
      <c r="U35">
        <f>IF(connections!$A35="","",IFERROR(INDEX(games!$B$2:$B$950,MATCH(connections!$B35,games!$A$2:$A$950,0)),""))</f>
        <v>2022</v>
      </c>
      <c r="V35">
        <f t="shared" si="12"/>
        <v>5</v>
      </c>
    </row>
    <row r="36" spans="1:22" x14ac:dyDescent="0.25">
      <c r="A36" t="str">
        <f>IF(games!$A36="","",games!$A36)</f>
        <v>Archons</v>
      </c>
      <c r="B36">
        <f>IF($A36="","",games!$B36)</f>
        <v>2024</v>
      </c>
      <c r="C36" t="str">
        <f>IF($A36="","",games!$C36)</f>
        <v>Action</v>
      </c>
      <c r="D36">
        <f>IF($A36="","",COUNTIF(connections!$A$2:$A$1496,$A36)+COUNTIF(connections!$B$2:$B$1496,$A36))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2018</v>
      </c>
      <c r="U36">
        <f>IF(connections!$A36="","",IFERROR(INDEX(games!$B$2:$B$950,MATCH(connections!$B36,games!$A$2:$A$950,0)),""))</f>
        <v>2025</v>
      </c>
      <c r="V36">
        <f t="shared" si="12"/>
        <v>7</v>
      </c>
    </row>
    <row r="37" spans="1:22" x14ac:dyDescent="0.25">
      <c r="A37" t="str">
        <f>IF(games!$A37="","",games!$A37)</f>
        <v>Arms of God</v>
      </c>
      <c r="B37">
        <f>IF($A37="","",games!$B37)</f>
        <v>2026</v>
      </c>
      <c r="C37" t="str">
        <f>IF($A37="","",games!$C37)</f>
        <v>Action</v>
      </c>
      <c r="D37">
        <f>IF($A37="","",COUNTIF(connections!$A$2:$A$1496,$A37)+COUNTIF(connections!$B$2:$B$1496,$A37))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2019</v>
      </c>
      <c r="U37">
        <f>IF(connections!$A37="","",IFERROR(INDEX(games!$B$2:$B$950,MATCH(connections!$B37,games!$A$2:$A$950,0)),""))</f>
        <v>2025</v>
      </c>
      <c r="V37">
        <f t="shared" si="12"/>
        <v>6</v>
      </c>
    </row>
    <row r="38" spans="1:22" x14ac:dyDescent="0.25">
      <c r="A38" t="str">
        <f>IF(games!$A38="","",games!$A38)</f>
        <v>Army of Ruin</v>
      </c>
      <c r="B38">
        <f>IF($A38="","",games!$B38)</f>
        <v>2022</v>
      </c>
      <c r="C38" t="str">
        <f>IF($A38="","",games!$C38)</f>
        <v>Action</v>
      </c>
      <c r="D38">
        <f>IF($A38="","",COUNTIF(connections!$A$2:$A$1496,$A38)+COUNTIF(connections!$B$2:$B$1496,$A38))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2011</v>
      </c>
      <c r="U38">
        <f>IF(connections!$A38="","",IFERROR(INDEX(games!$B$2:$B$950,MATCH(connections!$B38,games!$A$2:$A$950,0)),""))</f>
        <v>2025</v>
      </c>
      <c r="V38">
        <f t="shared" si="12"/>
        <v>14</v>
      </c>
    </row>
    <row r="39" spans="1:22" x14ac:dyDescent="0.25">
      <c r="A39" t="str">
        <f>IF(games!$A39="","",games!$A39)</f>
        <v>Arrogue</v>
      </c>
      <c r="B39">
        <f>IF($A39="","",games!$B39)</f>
        <v>2025</v>
      </c>
      <c r="C39" t="str">
        <f>IF($A39="","",games!$C39)</f>
        <v>Deckbuilder</v>
      </c>
      <c r="D39">
        <f>IF($A39="","",COUNTIF(connections!$A$2:$A$1496,$A39)+COUNTIF(connections!$B$2:$B$1496,$A39))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1984</v>
      </c>
      <c r="U39">
        <f>IF(connections!$A39="","",IFERROR(INDEX(games!$B$2:$B$950,MATCH(connections!$B39,games!$A$2:$A$950,0)),""))</f>
        <v>1994</v>
      </c>
      <c r="V39">
        <f t="shared" si="12"/>
        <v>10</v>
      </c>
    </row>
    <row r="40" spans="1:22" x14ac:dyDescent="0.25">
      <c r="A40" t="str">
        <f>IF(games!$A40="","",games!$A40)</f>
        <v>As We Descend</v>
      </c>
      <c r="B40">
        <f>IF($A40="","",games!$B40)</f>
        <v>2025</v>
      </c>
      <c r="C40" t="str">
        <f>IF($A40="","",games!$C40)</f>
        <v>Deckbuilder</v>
      </c>
      <c r="D40">
        <f>IF($A40="","",COUNTIF(connections!$A$2:$A$1496,$A40)+COUNTIF(connections!$B$2:$B$1496,$A40))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1987</v>
      </c>
      <c r="U40">
        <f>IF(connections!$A40="","",IFERROR(INDEX(games!$B$2:$B$950,MATCH(connections!$B40,games!$A$2:$A$950,0)),""))</f>
        <v>1994</v>
      </c>
      <c r="V40">
        <f t="shared" si="12"/>
        <v>7</v>
      </c>
    </row>
    <row r="41" spans="1:22" x14ac:dyDescent="0.25">
      <c r="A41" t="str">
        <f>IF(games!$A41="","",games!$A41)</f>
        <v>Asgard's Fall: Viking Survivors</v>
      </c>
      <c r="B41">
        <f>IF($A41="","",games!$B41)</f>
        <v>2025</v>
      </c>
      <c r="C41" t="str">
        <f>IF($A41="","",games!$C41)</f>
        <v>Action</v>
      </c>
      <c r="D41">
        <f>IF($A41="","",COUNTIF(connections!$A$2:$A$1496,$A41)+COUNTIF(connections!$B$2:$B$1496,$A41))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1980</v>
      </c>
      <c r="U41">
        <f>IF(connections!$A41="","",IFERROR(INDEX(games!$B$2:$B$950,MATCH(connections!$B41,games!$A$2:$A$950,0)),""))</f>
        <v>1994</v>
      </c>
      <c r="V41">
        <f t="shared" si="12"/>
        <v>14</v>
      </c>
    </row>
    <row r="42" spans="1:22" x14ac:dyDescent="0.25">
      <c r="A42" t="str">
        <f>IF(games!$A42="","",games!$A42)</f>
        <v>Asterogues</v>
      </c>
      <c r="B42">
        <f>IF($A42="","",games!$B42)</f>
        <v>2023</v>
      </c>
      <c r="C42" t="str">
        <f>IF($A42="","",games!$C42)</f>
        <v>Action</v>
      </c>
      <c r="D42">
        <f>IF($A42="","",COUNTIF(connections!$A$2:$A$1496,$A42)+COUNTIF(connections!$B$2:$B$1496,$A42))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1983</v>
      </c>
      <c r="U42">
        <f>IF(connections!$A42="","",IFERROR(INDEX(games!$B$2:$B$950,MATCH(connections!$B42,games!$A$2:$A$950,0)),""))</f>
        <v>1990</v>
      </c>
      <c r="V42">
        <f t="shared" si="12"/>
        <v>7</v>
      </c>
    </row>
    <row r="43" spans="1:22" x14ac:dyDescent="0.25">
      <c r="A43" t="str">
        <f>IF(games!$A43="","",games!$A43)</f>
        <v>Astral Ascent</v>
      </c>
      <c r="B43">
        <f>IF($A43="","",games!$B43)</f>
        <v>2022</v>
      </c>
      <c r="C43" t="str">
        <f>IF($A43="","",games!$C43)</f>
        <v>Action</v>
      </c>
      <c r="D43">
        <f>IF($A43="","",COUNTIF(connections!$A$2:$A$1496,$A43)+COUNTIF(connections!$B$2:$B$1496,$A43))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2015</v>
      </c>
      <c r="U43">
        <f>IF(connections!$A43="","",IFERROR(INDEX(games!$B$2:$B$950,MATCH(connections!$B43,games!$A$2:$A$950,0)),""))</f>
        <v>2024</v>
      </c>
      <c r="V43">
        <f t="shared" si="12"/>
        <v>9</v>
      </c>
    </row>
    <row r="44" spans="1:22" x14ac:dyDescent="0.25">
      <c r="A44" t="str">
        <f>IF(games!$A44="","",games!$A44)</f>
        <v>Astrea: Six-Sided Oracles</v>
      </c>
      <c r="B44">
        <f>IF($A44="","",games!$B44)</f>
        <v>2023</v>
      </c>
      <c r="C44" t="str">
        <f>IF($A44="","",games!$C44)</f>
        <v>Deckbuilder</v>
      </c>
      <c r="D44">
        <f>IF($A44="","",COUNTIF(connections!$A$2:$A$1496,$A44)+COUNTIF(connections!$B$2:$B$1496,$A44))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2018</v>
      </c>
      <c r="U44">
        <f>IF(connections!$A44="","",IFERROR(INDEX(games!$B$2:$B$950,MATCH(connections!$B44,games!$A$2:$A$950,0)),""))</f>
        <v>2024</v>
      </c>
      <c r="V44">
        <f t="shared" si="12"/>
        <v>6</v>
      </c>
    </row>
    <row r="45" spans="1:22" x14ac:dyDescent="0.25">
      <c r="A45" t="str">
        <f>IF(games!$A45="","",games!$A45)</f>
        <v>Astro Prospector</v>
      </c>
      <c r="B45">
        <f>IF($A45="","",games!$B45)</f>
        <v>2025</v>
      </c>
      <c r="C45" t="str">
        <f>IF($A45="","",games!$C45)</f>
        <v>Action</v>
      </c>
      <c r="D45">
        <f>IF($A45="","",COUNTIF(connections!$A$2:$A$1496,$A45)+COUNTIF(connections!$B$2:$B$1496,$A45))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2022</v>
      </c>
      <c r="U45">
        <f>IF(connections!$A45="","",IFERROR(INDEX(games!$B$2:$B$950,MATCH(connections!$B45,games!$A$2:$A$950,0)),""))</f>
        <v>2025</v>
      </c>
      <c r="V45">
        <f t="shared" si="12"/>
        <v>3</v>
      </c>
    </row>
    <row r="46" spans="1:22" x14ac:dyDescent="0.25">
      <c r="A46" t="str">
        <f>IF(games!$A46="","",games!$A46)</f>
        <v>Astronarch</v>
      </c>
      <c r="B46">
        <f>IF($A46="","",games!$B46)</f>
        <v>2020</v>
      </c>
      <c r="C46" t="str">
        <f>IF($A46="","",games!$C46)</f>
        <v>Strategy</v>
      </c>
      <c r="D46">
        <f>IF($A46="","",COUNTIF(connections!$A$2:$A$1496,$A46)+COUNTIF(connections!$B$2:$B$1496,$A46))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2023</v>
      </c>
      <c r="U46">
        <f>IF(connections!$A46="","",IFERROR(INDEX(games!$B$2:$B$950,MATCH(connections!$B46,games!$A$2:$A$950,0)),""))</f>
        <v>2024</v>
      </c>
      <c r="V46">
        <f t="shared" si="12"/>
        <v>1</v>
      </c>
    </row>
    <row r="47" spans="1:22" x14ac:dyDescent="0.25">
      <c r="A47" t="str">
        <f>IF(games!$A47="","",games!$A47)</f>
        <v>Atai no Gensoukyou</v>
      </c>
      <c r="B47">
        <f>IF($A47="","",games!$B47)</f>
        <v>2010</v>
      </c>
      <c r="C47" t="str">
        <f>IF($A47="","",games!$C47)</f>
        <v>Traditional</v>
      </c>
      <c r="D47">
        <f>IF($A47="","",COUNTIF(connections!$A$2:$A$1496,$A47)+COUNTIF(connections!$B$2:$B$1496,$A47))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2021</v>
      </c>
      <c r="U47">
        <f>IF(connections!$A47="","",IFERROR(INDEX(games!$B$2:$B$950,MATCH(connections!$B47,games!$A$2:$A$950,0)),""))</f>
        <v>2024</v>
      </c>
      <c r="V47">
        <f t="shared" si="12"/>
        <v>3</v>
      </c>
    </row>
    <row r="48" spans="1:22" x14ac:dyDescent="0.25">
      <c r="A48" t="str">
        <f>IF(games!$A48="","",games!$A48)</f>
        <v>Atomic Owl</v>
      </c>
      <c r="B48">
        <f>IF($A48="","",games!$B48)</f>
        <v>2025</v>
      </c>
      <c r="C48" t="str">
        <f>IF($A48="","",games!$C48)</f>
        <v>Action</v>
      </c>
      <c r="D48">
        <f>IF($A48="","",COUNTIF(connections!$A$2:$A$1496,$A48)+COUNTIF(connections!$B$2:$B$1496,$A48))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IF($A49="","",COUNTIF(connections!$A$2:$A$1496,$A49)+COUNTIF(connections!$B$2:$B$1496,$A49))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2017</v>
      </c>
      <c r="U49">
        <f>IF(connections!$A49="","",IFERROR(INDEX(games!$B$2:$B$950,MATCH(connections!$B49,games!$A$2:$A$950,0)),""))</f>
        <v>2024</v>
      </c>
      <c r="V49">
        <f t="shared" si="12"/>
        <v>7</v>
      </c>
    </row>
    <row r="50" spans="1:22" x14ac:dyDescent="0.25">
      <c r="A50" t="str">
        <f>IF(games!$A50="","",games!$A50)</f>
        <v>Auro: A Monster-Bumping Adventure</v>
      </c>
      <c r="B50">
        <f>IF($A50="","",games!$B50)</f>
        <v>2014</v>
      </c>
      <c r="C50" t="str">
        <f>IF($A50="","",games!$C50)</f>
        <v>Strategy</v>
      </c>
      <c r="D50">
        <f>IF($A50="","",COUNTIF(connections!$A$2:$A$1496,$A50)+COUNTIF(connections!$B$2:$B$1496,$A50))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2010</v>
      </c>
      <c r="U50">
        <f>IF(connections!$A50="","",IFERROR(INDEX(games!$B$2:$B$950,MATCH(connections!$B50,games!$A$2:$A$950,0)),""))</f>
        <v>2020</v>
      </c>
      <c r="V50">
        <f t="shared" si="12"/>
        <v>10</v>
      </c>
    </row>
    <row r="51" spans="1:22" x14ac:dyDescent="0.25">
      <c r="A51" t="str">
        <f>IF(games!$A51="","",games!$A51)</f>
        <v>Auto Rogue</v>
      </c>
      <c r="B51">
        <f>IF($A51="","",games!$B51)</f>
        <v>2025</v>
      </c>
      <c r="C51" t="str">
        <f>IF($A51="","",games!$C51)</f>
        <v>Strategy</v>
      </c>
      <c r="D51">
        <f>IF($A51="","",COUNTIF(connections!$A$2:$A$1496,$A51)+COUNTIF(connections!$B$2:$B$1496,$A51))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2020</v>
      </c>
      <c r="U51">
        <f>IF(connections!$A51="","",IFERROR(INDEX(games!$B$2:$B$950,MATCH(connections!$B51,games!$A$2:$A$950,0)),""))</f>
        <v>2024</v>
      </c>
      <c r="V51">
        <f t="shared" si="12"/>
        <v>4</v>
      </c>
    </row>
    <row r="52" spans="1:22" x14ac:dyDescent="0.25">
      <c r="A52" t="str">
        <f>IF(games!$A52="","",games!$A52)</f>
        <v>Azure Dreams</v>
      </c>
      <c r="B52">
        <f>IF($A52="","",games!$B52)</f>
        <v>1997</v>
      </c>
      <c r="C52" t="str">
        <f>IF($A52="","",games!$C52)</f>
        <v>Traditional</v>
      </c>
      <c r="D52">
        <f>IF($A52="","",COUNTIF(connections!$A$2:$A$1496,$A52)+COUNTIF(connections!$B$2:$B$1496,$A52))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2018</v>
      </c>
      <c r="U52">
        <f>IF(connections!$A52="","",IFERROR(INDEX(games!$B$2:$B$950,MATCH(connections!$B52,games!$A$2:$A$950,0)),""))</f>
        <v>2024</v>
      </c>
      <c r="V52">
        <f t="shared" si="12"/>
        <v>6</v>
      </c>
    </row>
    <row r="53" spans="1:22" x14ac:dyDescent="0.25">
      <c r="A53" t="str">
        <f>IF(games!$A53="","",games!$A53)</f>
        <v>Backpack Battles</v>
      </c>
      <c r="B53">
        <f>IF($A53="","",games!$B53)</f>
        <v>2023</v>
      </c>
      <c r="C53" t="str">
        <f>IF($A53="","",games!$C53)</f>
        <v>Strategy</v>
      </c>
      <c r="D53">
        <f>IF($A53="","",COUNTIF(connections!$A$2:$A$1496,$A53)+COUNTIF(connections!$B$2:$B$1496,$A53))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IF($A54="","",COUNTIF(connections!$A$2:$A$1496,$A54)+COUNTIF(connections!$B$2:$B$1496,$A54))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2012</v>
      </c>
      <c r="U54">
        <f>IF(connections!$A54="","",IFERROR(INDEX(games!$B$2:$B$950,MATCH(connections!$B54,games!$A$2:$A$950,0)),""))</f>
        <v>2020</v>
      </c>
      <c r="V54">
        <f t="shared" si="12"/>
        <v>8</v>
      </c>
    </row>
    <row r="55" spans="1:22" x14ac:dyDescent="0.25">
      <c r="A55" t="str">
        <f>IF(games!$A55="","",games!$A55)</f>
        <v>Bad North</v>
      </c>
      <c r="B55">
        <f>IF($A55="","",games!$B55)</f>
        <v>2018</v>
      </c>
      <c r="C55" t="str">
        <f>IF($A55="","",games!$C55)</f>
        <v>Strategy</v>
      </c>
      <c r="D55">
        <f>IF($A55="","",COUNTIF(connections!$A$2:$A$1496,$A55)+COUNTIF(connections!$B$2:$B$1496,$A55))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2017</v>
      </c>
      <c r="U55">
        <f>IF(connections!$A55="","",IFERROR(INDEX(games!$B$2:$B$950,MATCH(connections!$B55,games!$A$2:$A$950,0)),""))</f>
        <v>2020</v>
      </c>
      <c r="V55">
        <f t="shared" si="12"/>
        <v>3</v>
      </c>
    </row>
    <row r="56" spans="1:22" x14ac:dyDescent="0.25">
      <c r="A56" t="str">
        <f>IF(games!$A56="","",games!$A56)</f>
        <v>Balatro</v>
      </c>
      <c r="B56">
        <f>IF($A56="","",games!$B56)</f>
        <v>2023</v>
      </c>
      <c r="C56" t="str">
        <f>IF($A56="","",games!$C56)</f>
        <v>Deckbuilder</v>
      </c>
      <c r="D56">
        <f>IF($A56="","",COUNTIF(connections!$A$2:$A$1496,$A56)+COUNTIF(connections!$B$2:$B$1496,$A56))</f>
        <v>61</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61.000056000000001</v>
      </c>
      <c r="P56" t="str">
        <f>IF(OR($A56="",games!$H56=""),"",games!$H56)</f>
        <v>Yes</v>
      </c>
      <c r="Q56">
        <f t="shared" si="11"/>
        <v>61.000056000000001</v>
      </c>
      <c r="T56">
        <f>IF(connections!$A56="","",IFERROR(INDEX(games!$B$2:$B$950,MATCH(connections!$A56,games!$A$2:$A$950,0)),""))</f>
        <v>2019</v>
      </c>
      <c r="U56">
        <f>IF(connections!$A56="","",IFERROR(INDEX(games!$B$2:$B$950,MATCH(connections!$B56,games!$A$2:$A$950,0)),""))</f>
        <v>2026</v>
      </c>
      <c r="V56">
        <f t="shared" si="12"/>
        <v>7</v>
      </c>
    </row>
    <row r="57" spans="1:22" x14ac:dyDescent="0.25">
      <c r="A57" t="str">
        <f>IF(games!$A57="","",games!$A57)</f>
        <v>Baldi's Basics Plus</v>
      </c>
      <c r="B57">
        <f>IF($A57="","",games!$B57)</f>
        <v>2020</v>
      </c>
      <c r="C57" t="str">
        <f>IF($A57="","",games!$C57)</f>
        <v>Strategy</v>
      </c>
      <c r="D57">
        <f>IF($A57="","",COUNTIF(connections!$A$2:$A$1496,$A57)+COUNTIF(connections!$B$2:$B$1496,$A57))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2017</v>
      </c>
      <c r="U57">
        <f>IF(connections!$A57="","",IFERROR(INDEX(games!$B$2:$B$950,MATCH(connections!$B57,games!$A$2:$A$950,0)),""))</f>
        <v>2026</v>
      </c>
      <c r="V57">
        <f t="shared" si="12"/>
        <v>9</v>
      </c>
    </row>
    <row r="58" spans="1:22" x14ac:dyDescent="0.25">
      <c r="A58" t="str">
        <f>IF(games!$A58="","",games!$A58)</f>
        <v>Ball x Pit</v>
      </c>
      <c r="B58">
        <f>IF($A58="","",games!$B58)</f>
        <v>2025</v>
      </c>
      <c r="C58" t="str">
        <f>IF($A58="","",games!$C58)</f>
        <v>Action</v>
      </c>
      <c r="D58">
        <f>IF($A58="","",COUNTIF(connections!$A$2:$A$1496,$A58)+COUNTIF(connections!$B$2:$B$1496,$A58))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2021</v>
      </c>
      <c r="U58">
        <f>IF(connections!$A58="","",IFERROR(INDEX(games!$B$2:$B$950,MATCH(connections!$B58,games!$A$2:$A$950,0)),""))</f>
        <v>2024</v>
      </c>
      <c r="V58">
        <f t="shared" si="12"/>
        <v>3</v>
      </c>
    </row>
    <row r="59" spans="1:22" x14ac:dyDescent="0.25">
      <c r="A59" t="str">
        <f>IF(games!$A59="","",games!$A59)</f>
        <v>Ballionaire</v>
      </c>
      <c r="B59">
        <f>IF($A59="","",games!$B59)</f>
        <v>2024</v>
      </c>
      <c r="C59" t="str">
        <f>IF($A59="","",games!$C59)</f>
        <v>Deckbuilder</v>
      </c>
      <c r="D59">
        <f>IF($A59="","",COUNTIF(connections!$A$2:$A$1496,$A59)+COUNTIF(connections!$B$2:$B$1496,$A59))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IF($A60="","",COUNTIF(connections!$A$2:$A$1496,$A60)+COUNTIF(connections!$B$2:$B$1496,$A60))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1996</v>
      </c>
      <c r="U60">
        <f>IF(connections!$A60="","",IFERROR(INDEX(games!$B$2:$B$950,MATCH(connections!$B60,games!$A$2:$A$950,0)),""))</f>
        <v>2026</v>
      </c>
      <c r="V60">
        <f t="shared" si="12"/>
        <v>30</v>
      </c>
    </row>
    <row r="61" spans="1:22" x14ac:dyDescent="0.25">
      <c r="A61" t="str">
        <f>IF(games!$A61="","",games!$A61)</f>
        <v>Barda</v>
      </c>
      <c r="B61">
        <f>IF($A61="","",games!$B61)</f>
        <v>2026</v>
      </c>
      <c r="C61" t="str">
        <f>IF($A61="","",games!$C61)</f>
        <v>Strategy</v>
      </c>
      <c r="D61">
        <f>IF($A61="","",COUNTIF(connections!$A$2:$A$1496,$A61)+COUNTIF(connections!$B$2:$B$1496,$A61))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2021</v>
      </c>
      <c r="U61">
        <f>IF(connections!$A61="","",IFERROR(INDEX(games!$B$2:$B$950,MATCH(connections!$B61,games!$A$2:$A$950,0)),""))</f>
        <v>2026</v>
      </c>
      <c r="V61">
        <f t="shared" si="12"/>
        <v>5</v>
      </c>
    </row>
    <row r="62" spans="1:22" x14ac:dyDescent="0.25">
      <c r="A62" t="str">
        <f>IF(games!$A62="","",games!$A62)</f>
        <v>Barony</v>
      </c>
      <c r="B62">
        <f>IF($A62="","",games!$B62)</f>
        <v>2015</v>
      </c>
      <c r="C62" t="str">
        <f>IF($A62="","",games!$C62)</f>
        <v>Action</v>
      </c>
      <c r="D62">
        <f>IF($A62="","",COUNTIF(connections!$A$2:$A$1496,$A62)+COUNTIF(connections!$B$2:$B$1496,$A62))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2022</v>
      </c>
      <c r="V62">
        <f t="shared" si="12"/>
        <v>1</v>
      </c>
    </row>
    <row r="63" spans="1:22" x14ac:dyDescent="0.25">
      <c r="A63" t="str">
        <f>IF(games!$A63="","",games!$A63)</f>
        <v>Baroque</v>
      </c>
      <c r="B63">
        <f>IF($A63="","",games!$B63)</f>
        <v>1998</v>
      </c>
      <c r="C63" t="str">
        <f>IF($A63="","",games!$C63)</f>
        <v>Action</v>
      </c>
      <c r="D63">
        <f>IF($A63="","",COUNTIF(connections!$A$2:$A$1496,$A63)+COUNTIF(connections!$B$2:$B$1496,$A63))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2025</v>
      </c>
      <c r="V63">
        <f t="shared" si="12"/>
        <v>3</v>
      </c>
    </row>
    <row r="64" spans="1:22" x14ac:dyDescent="0.25">
      <c r="A64" t="str">
        <f>IF(games!$A64="","",games!$A64)</f>
        <v>Baroque (2007)</v>
      </c>
      <c r="B64">
        <f>IF($A64="","",games!$B64)</f>
        <v>2007</v>
      </c>
      <c r="C64" t="str">
        <f>IF($A64="","",games!$C64)</f>
        <v>Action</v>
      </c>
      <c r="D64">
        <f>IF($A64="","",COUNTIF(connections!$A$2:$A$1496,$A64)+COUNTIF(connections!$B$2:$B$1496,$A64))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2017</v>
      </c>
      <c r="U64">
        <f>IF(connections!$A64="","",IFERROR(INDEX(games!$B$2:$B$950,MATCH(connections!$B64,games!$A$2:$A$950,0)),""))</f>
        <v>2025</v>
      </c>
      <c r="V64">
        <f t="shared" si="12"/>
        <v>8</v>
      </c>
    </row>
    <row r="65" spans="1:22" x14ac:dyDescent="0.25">
      <c r="A65" t="str">
        <f>IF(games!$A65="","",games!$A65)</f>
        <v>Batomon Showdown</v>
      </c>
      <c r="B65">
        <f>IF($A65="","",games!$B65)</f>
        <v>2026</v>
      </c>
      <c r="C65" t="str">
        <f>IF($A65="","",games!$C65)</f>
        <v>Strategy</v>
      </c>
      <c r="D65">
        <f>IF($A65="","",COUNTIF(connections!$A$2:$A$1496,$A65)+COUNTIF(connections!$B$2:$B$1496,$A65))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2015</v>
      </c>
      <c r="U65">
        <f>IF(connections!$A65="","",IFERROR(INDEX(games!$B$2:$B$950,MATCH(connections!$B65,games!$A$2:$A$950,0)),""))</f>
        <v>2025</v>
      </c>
      <c r="V65">
        <f t="shared" si="12"/>
        <v>10</v>
      </c>
    </row>
    <row r="66" spans="1:22" x14ac:dyDescent="0.25">
      <c r="A66" t="str">
        <f>IF(games!$A66="","",games!$A66)</f>
        <v>Battle Brothers</v>
      </c>
      <c r="B66">
        <f>IF($A66="","",games!$B66)</f>
        <v>2017</v>
      </c>
      <c r="C66" t="str">
        <f>IF($A66="","",games!$C66)</f>
        <v>Strategy</v>
      </c>
      <c r="D66">
        <f>IF($A66="","",COUNTIF(connections!$A$2:$A$1496,$A66)+COUNTIF(connections!$B$2:$B$1496,$A66))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2017</v>
      </c>
      <c r="U66">
        <f>IF(connections!$A66="","",IFERROR(INDEX(games!$B$2:$B$950,MATCH(connections!$B66,games!$A$2:$A$950,0)),""))</f>
        <v>2025</v>
      </c>
      <c r="V66">
        <f t="shared" ref="V66:V129" si="25">IF(OR($T66="",$U66=""),"",$U66-$T66)</f>
        <v>8</v>
      </c>
    </row>
    <row r="67" spans="1:22" x14ac:dyDescent="0.25">
      <c r="A67" t="str">
        <f>IF(games!$A67="","",games!$A67)</f>
        <v>Battle Shapers</v>
      </c>
      <c r="B67">
        <f>IF($A67="","",games!$B67)</f>
        <v>2023</v>
      </c>
      <c r="C67" t="str">
        <f>IF($A67="","",games!$C67)</f>
        <v>Action</v>
      </c>
      <c r="D67">
        <f>IF($A67="","",COUNTIF(connections!$A$2:$A$1496,$A67)+COUNTIF(connections!$B$2:$B$1496,$A67))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2019</v>
      </c>
      <c r="U67">
        <f>IF(connections!$A67="","",IFERROR(INDEX(games!$B$2:$B$950,MATCH(connections!$B67,games!$A$2:$A$950,0)),""))</f>
        <v>2025</v>
      </c>
      <c r="V67">
        <f t="shared" si="25"/>
        <v>6</v>
      </c>
    </row>
    <row r="68" spans="1:22" x14ac:dyDescent="0.25">
      <c r="A68" t="str">
        <f>IF(games!$A68="","",games!$A68)</f>
        <v>BAZR</v>
      </c>
      <c r="B68">
        <f>IF($A68="","",games!$B68)</f>
        <v>2025</v>
      </c>
      <c r="C68" t="str">
        <f>IF($A68="","",games!$C68)</f>
        <v>Deckbuilder</v>
      </c>
      <c r="D68">
        <f>IF($A68="","",COUNTIF(connections!$A$2:$A$1496,$A68)+COUNTIF(connections!$B$2:$B$1496,$A68))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2021</v>
      </c>
      <c r="U68">
        <f>IF(connections!$A68="","",IFERROR(INDEX(games!$B$2:$B$950,MATCH(connections!$B68,games!$A$2:$A$950,0)),""))</f>
        <v>2025</v>
      </c>
      <c r="V68">
        <f t="shared" si="25"/>
        <v>4</v>
      </c>
    </row>
    <row r="69" spans="1:22" x14ac:dyDescent="0.25">
      <c r="A69" t="str">
        <f>IF(games!$A69="","",games!$A69)</f>
        <v>Be My Horde</v>
      </c>
      <c r="B69">
        <f>IF($A69="","",games!$B69)</f>
        <v>2024</v>
      </c>
      <c r="C69" t="str">
        <f>IF($A69="","",games!$C69)</f>
        <v>Action</v>
      </c>
      <c r="D69">
        <f>IF($A69="","",COUNTIF(connections!$A$2:$A$1496,$A69)+COUNTIF(connections!$B$2:$B$1496,$A69))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2016</v>
      </c>
      <c r="U69">
        <f>IF(connections!$A69="","",IFERROR(INDEX(games!$B$2:$B$950,MATCH(connections!$B69,games!$A$2:$A$950,0)),""))</f>
        <v>2023</v>
      </c>
      <c r="V69">
        <f t="shared" si="25"/>
        <v>7</v>
      </c>
    </row>
    <row r="70" spans="1:22" x14ac:dyDescent="0.25">
      <c r="A70" t="str">
        <f>IF(games!$A70="","",games!$A70)</f>
        <v>Beat Blast</v>
      </c>
      <c r="B70">
        <f>IF($A70="","",games!$B70)</f>
        <v>2020</v>
      </c>
      <c r="C70" t="str">
        <f>IF($A70="","",games!$C70)</f>
        <v>Action</v>
      </c>
      <c r="D70">
        <f>IF($A70="","",COUNTIF(connections!$A$2:$A$1496,$A70)+COUNTIF(connections!$B$2:$B$1496,$A70))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2011</v>
      </c>
      <c r="U70">
        <f>IF(connections!$A70="","",IFERROR(INDEX(games!$B$2:$B$950,MATCH(connections!$B70,games!$A$2:$A$950,0)),""))</f>
        <v>2023</v>
      </c>
      <c r="V70">
        <f t="shared" si="25"/>
        <v>12</v>
      </c>
    </row>
    <row r="71" spans="1:22" x14ac:dyDescent="0.25">
      <c r="A71" t="str">
        <f>IF(games!$A71="","",games!$A71)</f>
        <v>Bella Wants Blood</v>
      </c>
      <c r="B71">
        <f>IF($A71="","",games!$B71)</f>
        <v>2024</v>
      </c>
      <c r="C71" t="str">
        <f>IF($A71="","",games!$C71)</f>
        <v>Strategy</v>
      </c>
      <c r="D71">
        <f>IF($A71="","",COUNTIF(connections!$A$2:$A$1496,$A71)+COUNTIF(connections!$B$2:$B$1496,$A71))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2019</v>
      </c>
      <c r="U71">
        <f>IF(connections!$A71="","",IFERROR(INDEX(games!$B$2:$B$950,MATCH(connections!$B71,games!$A$2:$A$950,0)),""))</f>
        <v>2022</v>
      </c>
      <c r="V71">
        <f t="shared" si="25"/>
        <v>3</v>
      </c>
    </row>
    <row r="72" spans="1:22" x14ac:dyDescent="0.25">
      <c r="A72" t="str">
        <f>IF(games!$A72="","",games!$A72)</f>
        <v>Beneath Apple Manor</v>
      </c>
      <c r="B72">
        <f>IF($A72="","",games!$B72)</f>
        <v>1978</v>
      </c>
      <c r="C72" t="str">
        <f>IF($A72="","",games!$C72)</f>
        <v>Traditional</v>
      </c>
      <c r="D72">
        <f>IF($A72="","",COUNTIF(connections!$A$2:$A$1496,$A72)+COUNTIF(connections!$B$2:$B$1496,$A72))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IF($A73="","",COUNTIF(connections!$A$2:$A$1496,$A73)+COUNTIF(connections!$B$2:$B$1496,$A73))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2018</v>
      </c>
      <c r="U73">
        <f>IF(connections!$A73="","",IFERROR(INDEX(games!$B$2:$B$950,MATCH(connections!$B73,games!$A$2:$A$950,0)),""))</f>
        <v>2022</v>
      </c>
      <c r="V73">
        <f t="shared" si="25"/>
        <v>4</v>
      </c>
    </row>
    <row r="74" spans="1:22" x14ac:dyDescent="0.25">
      <c r="A74" t="str">
        <f>IF(games!$A74="","",games!$A74)</f>
        <v>Beyond the Long Night</v>
      </c>
      <c r="B74">
        <f>IF($A74="","",games!$B74)</f>
        <v>2023</v>
      </c>
      <c r="C74" t="str">
        <f>IF($A74="","",games!$C74)</f>
        <v>Action</v>
      </c>
      <c r="D74">
        <f>IF($A74="","",COUNTIF(connections!$A$2:$A$1496,$A74)+COUNTIF(connections!$B$2:$B$1496,$A74))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2019</v>
      </c>
      <c r="U74">
        <f>IF(connections!$A74="","",IFERROR(INDEX(games!$B$2:$B$950,MATCH(connections!$B74,games!$A$2:$A$950,0)),""))</f>
        <v>2022</v>
      </c>
      <c r="V74">
        <f t="shared" si="25"/>
        <v>3</v>
      </c>
    </row>
    <row r="75" spans="1:22" x14ac:dyDescent="0.25">
      <c r="A75" t="str">
        <f>IF(games!$A75="","",games!$A75)</f>
        <v>Beyond Words</v>
      </c>
      <c r="B75">
        <f>IF($A75="","",games!$B75)</f>
        <v>2026</v>
      </c>
      <c r="C75" t="str">
        <f>IF($A75="","",games!$C75)</f>
        <v>Deckbuilder</v>
      </c>
      <c r="D75">
        <f>IF($A75="","",COUNTIF(connections!$A$2:$A$1496,$A75)+COUNTIF(connections!$B$2:$B$1496,$A75))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2017</v>
      </c>
      <c r="U75">
        <f>IF(connections!$A75="","",IFERROR(INDEX(games!$B$2:$B$950,MATCH(connections!$B75,games!$A$2:$A$950,0)),""))</f>
        <v>2022</v>
      </c>
      <c r="V75">
        <f t="shared" si="25"/>
        <v>5</v>
      </c>
    </row>
    <row r="76" spans="1:22" x14ac:dyDescent="0.25">
      <c r="A76" t="str">
        <f>IF(games!$A76="","",games!$A76)</f>
        <v>Bingle Bingle</v>
      </c>
      <c r="B76">
        <f>IF($A76="","",games!$B76)</f>
        <v>2024</v>
      </c>
      <c r="C76" t="str">
        <f>IF($A76="","",games!$C76)</f>
        <v>Deckbuilder</v>
      </c>
      <c r="D76">
        <f>IF($A76="","",COUNTIF(connections!$A$2:$A$1496,$A76)+COUNTIF(connections!$B$2:$B$1496,$A76))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2018</v>
      </c>
      <c r="U76">
        <f>IF(connections!$A76="","",IFERROR(INDEX(games!$B$2:$B$950,MATCH(connections!$B76,games!$A$2:$A$950,0)),""))</f>
        <v>2022</v>
      </c>
      <c r="V76">
        <f t="shared" si="25"/>
        <v>4</v>
      </c>
    </row>
    <row r="77" spans="1:22" x14ac:dyDescent="0.25">
      <c r="A77" t="str">
        <f>IF(games!$A77="","",games!$A77)</f>
        <v>Bioprototype</v>
      </c>
      <c r="B77">
        <f>IF($A77="","",games!$B77)</f>
        <v>2022</v>
      </c>
      <c r="C77" t="str">
        <f>IF($A77="","",games!$C77)</f>
        <v>Action</v>
      </c>
      <c r="D77">
        <f>IF($A77="","",COUNTIF(connections!$A$2:$A$1496,$A77)+COUNTIF(connections!$B$2:$B$1496,$A77))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2017</v>
      </c>
      <c r="U77">
        <f>IF(connections!$A77="","",IFERROR(INDEX(games!$B$2:$B$950,MATCH(connections!$B77,games!$A$2:$A$950,0)),""))</f>
        <v>2023</v>
      </c>
      <c r="V77">
        <f t="shared" si="25"/>
        <v>6</v>
      </c>
    </row>
    <row r="78" spans="1:22" x14ac:dyDescent="0.25">
      <c r="A78" t="str">
        <f>IF(games!$A78="","",games!$A78)</f>
        <v>Black Jacket</v>
      </c>
      <c r="B78">
        <f>IF($A78="","",games!$B78)</f>
        <v>2026</v>
      </c>
      <c r="C78" t="str">
        <f>IF($A78="","",games!$C78)</f>
        <v>Deckbuilder</v>
      </c>
      <c r="D78">
        <f>IF($A78="","",COUNTIF(connections!$A$2:$A$1496,$A78)+COUNTIF(connections!$B$2:$B$1496,$A78))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2022</v>
      </c>
      <c r="U78">
        <f>IF(connections!$A78="","",IFERROR(INDEX(games!$B$2:$B$950,MATCH(connections!$B78,games!$A$2:$A$950,0)),""))</f>
        <v>2025</v>
      </c>
      <c r="V78">
        <f t="shared" si="25"/>
        <v>3</v>
      </c>
    </row>
    <row r="79" spans="1:22" x14ac:dyDescent="0.25">
      <c r="A79" t="str">
        <f>IF(games!$A79="","",games!$A79)</f>
        <v>Blazing Beaks</v>
      </c>
      <c r="B79">
        <f>IF($A79="","",games!$B79)</f>
        <v>2019</v>
      </c>
      <c r="C79" t="str">
        <f>IF($A79="","",games!$C79)</f>
        <v>Action</v>
      </c>
      <c r="D79">
        <f>IF($A79="","",COUNTIF(connections!$A$2:$A$1496,$A79)+COUNTIF(connections!$B$2:$B$1496,$A79))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2016</v>
      </c>
      <c r="U79">
        <f>IF(connections!$A79="","",IFERROR(INDEX(games!$B$2:$B$950,MATCH(connections!$B79,games!$A$2:$A$950,0)),""))</f>
        <v>2025</v>
      </c>
      <c r="V79">
        <f t="shared" si="25"/>
        <v>9</v>
      </c>
    </row>
    <row r="80" spans="1:22" x14ac:dyDescent="0.25">
      <c r="A80" t="str">
        <f>IF(games!$A80="","",games!$A80)</f>
        <v>Bleak Sword</v>
      </c>
      <c r="B80">
        <f>IF($A80="","",games!$B80)</f>
        <v>2019</v>
      </c>
      <c r="C80" t="str">
        <f>IF($A80="","",games!$C80)</f>
        <v>Action</v>
      </c>
      <c r="D80">
        <f>IF($A80="","",COUNTIF(connections!$A$2:$A$1496,$A80)+COUNTIF(connections!$B$2:$B$1496,$A80))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IF($A81="","",COUNTIF(connections!$A$2:$A$1496,$A81)+COUNTIF(connections!$B$2:$B$1496,$A81))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2015</v>
      </c>
      <c r="U81">
        <f>IF(connections!$A81="","",IFERROR(INDEX(games!$B$2:$B$950,MATCH(connections!$B81,games!$A$2:$A$950,0)),""))</f>
        <v>2025</v>
      </c>
      <c r="V81">
        <f t="shared" si="25"/>
        <v>10</v>
      </c>
    </row>
    <row r="82" spans="1:22" x14ac:dyDescent="0.25">
      <c r="A82" t="str">
        <f>IF(games!$A82="","",games!$A82)</f>
        <v>Block Tower TD 2</v>
      </c>
      <c r="B82">
        <f>IF($A82="","",games!$B82)</f>
        <v>2024</v>
      </c>
      <c r="C82" t="str">
        <f>IF($A82="","",games!$C82)</f>
        <v>Strategy</v>
      </c>
      <c r="D82">
        <f>IF($A82="","",COUNTIF(connections!$A$2:$A$1496,$A82)+COUNTIF(connections!$B$2:$B$1496,$A82))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2021</v>
      </c>
      <c r="U82">
        <f>IF(connections!$A82="","",IFERROR(INDEX(games!$B$2:$B$950,MATCH(connections!$B82,games!$A$2:$A$950,0)),""))</f>
        <v>2025</v>
      </c>
      <c r="V82">
        <f t="shared" si="25"/>
        <v>4</v>
      </c>
    </row>
    <row r="83" spans="1:22" x14ac:dyDescent="0.25">
      <c r="A83" t="str">
        <f>IF(games!$A83="","",games!$A83)</f>
        <v>BloodDome99</v>
      </c>
      <c r="B83">
        <f>IF($A83="","",games!$B83)</f>
        <v>2023</v>
      </c>
      <c r="C83" t="str">
        <f>IF($A83="","",games!$C83)</f>
        <v>Action</v>
      </c>
      <c r="D83">
        <f>IF($A83="","",COUNTIF(connections!$A$2:$A$1496,$A83)+COUNTIF(connections!$B$2:$B$1496,$A83))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2010</v>
      </c>
      <c r="U83">
        <f>IF(connections!$A83="","",IFERROR(INDEX(games!$B$2:$B$950,MATCH(connections!$B83,games!$A$2:$A$950,0)),""))</f>
        <v>2010</v>
      </c>
      <c r="V83">
        <f t="shared" si="25"/>
        <v>0</v>
      </c>
    </row>
    <row r="84" spans="1:22" x14ac:dyDescent="0.25">
      <c r="A84" t="str">
        <f>IF(games!$A84="","",games!$A84)</f>
        <v>Bloodshed</v>
      </c>
      <c r="B84">
        <f>IF($A84="","",games!$B84)</f>
        <v>2024</v>
      </c>
      <c r="C84" t="str">
        <f>IF($A84="","",games!$C84)</f>
        <v>Action</v>
      </c>
      <c r="D84">
        <f>IF($A84="","",COUNTIF(connections!$A$2:$A$1496,$A84)+COUNTIF(connections!$B$2:$B$1496,$A84))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2018</v>
      </c>
      <c r="U84">
        <f>IF(connections!$A84="","",IFERROR(INDEX(games!$B$2:$B$950,MATCH(connections!$B84,games!$A$2:$A$950,0)),""))</f>
        <v>2025</v>
      </c>
      <c r="V84">
        <f t="shared" si="25"/>
        <v>7</v>
      </c>
    </row>
    <row r="85" spans="1:22" x14ac:dyDescent="0.25">
      <c r="A85" t="str">
        <f>IF(games!$A85="","",games!$A85)</f>
        <v>Bloons TD 6: Rogue Legends</v>
      </c>
      <c r="B85">
        <f>IF($A85="","",games!$B85)</f>
        <v>2025</v>
      </c>
      <c r="C85" t="str">
        <f>IF($A85="","",games!$C85)</f>
        <v>Strategy</v>
      </c>
      <c r="D85">
        <f>IF($A85="","",COUNTIF(connections!$A$2:$A$1496,$A85)+COUNTIF(connections!$B$2:$B$1496,$A85))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2016</v>
      </c>
      <c r="U85">
        <f>IF(connections!$A85="","",IFERROR(INDEX(games!$B$2:$B$950,MATCH(connections!$B85,games!$A$2:$A$950,0)),""))</f>
        <v>2020</v>
      </c>
      <c r="V85">
        <f t="shared" si="25"/>
        <v>4</v>
      </c>
    </row>
    <row r="86" spans="1:22" x14ac:dyDescent="0.25">
      <c r="A86" t="str">
        <f>IF(games!$A86="","",games!$A86)</f>
        <v>Blue Prince</v>
      </c>
      <c r="B86">
        <f>IF($A86="","",games!$B86)</f>
        <v>2025</v>
      </c>
      <c r="C86" t="str">
        <f>IF($A86="","",games!$C86)</f>
        <v>Strategy</v>
      </c>
      <c r="D86">
        <f>IF($A86="","",COUNTIF(connections!$A$2:$A$1496,$A86)+COUNTIF(connections!$B$2:$B$1496,$A86))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2015</v>
      </c>
      <c r="U86">
        <f>IF(connections!$A86="","",IFERROR(INDEX(games!$B$2:$B$950,MATCH(connections!$B86,games!$A$2:$A$950,0)),""))</f>
        <v>2020</v>
      </c>
      <c r="V86">
        <f t="shared" si="25"/>
        <v>5</v>
      </c>
    </row>
    <row r="87" spans="1:22" x14ac:dyDescent="0.25">
      <c r="A87" t="str">
        <f>IF(games!$A87="","",games!$A87)</f>
        <v>Boneraiser Minions</v>
      </c>
      <c r="B87">
        <f>IF($A87="","",games!$B87)</f>
        <v>2022</v>
      </c>
      <c r="C87" t="str">
        <f>IF($A87="","",games!$C87)</f>
        <v>Action</v>
      </c>
      <c r="D87">
        <f>IF($A87="","",COUNTIF(connections!$A$2:$A$1496,$A87)+COUNTIF(connections!$B$2:$B$1496,$A87))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2017</v>
      </c>
      <c r="U87">
        <f>IF(connections!$A87="","",IFERROR(INDEX(games!$B$2:$B$950,MATCH(connections!$B87,games!$A$2:$A$950,0)),""))</f>
        <v>2020</v>
      </c>
      <c r="V87">
        <f t="shared" si="25"/>
        <v>3</v>
      </c>
    </row>
    <row r="88" spans="1:22" x14ac:dyDescent="0.25">
      <c r="A88" t="str">
        <f>IF(games!$A88="","",games!$A88)</f>
        <v>Book of Demons</v>
      </c>
      <c r="B88">
        <f>IF($A88="","",games!$B88)</f>
        <v>2018</v>
      </c>
      <c r="C88" t="str">
        <f>IF($A88="","",games!$C88)</f>
        <v>Deckbuilder</v>
      </c>
      <c r="D88">
        <f>IF($A88="","",COUNTIF(connections!$A$2:$A$1496,$A88)+COUNTIF(connections!$B$2:$B$1496,$A88))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2010</v>
      </c>
      <c r="U88">
        <f>IF(connections!$A88="","",IFERROR(INDEX(games!$B$2:$B$950,MATCH(connections!$B88,games!$A$2:$A$950,0)),""))</f>
        <v>2014</v>
      </c>
      <c r="V88">
        <f t="shared" si="25"/>
        <v>4</v>
      </c>
    </row>
    <row r="89" spans="1:22" x14ac:dyDescent="0.25">
      <c r="A89" t="str">
        <f>IF(games!$A89="","",games!$A89)</f>
        <v>Bounty of One</v>
      </c>
      <c r="B89">
        <f>IF($A89="","",games!$B89)</f>
        <v>2022</v>
      </c>
      <c r="C89" t="str">
        <f>IF($A89="","",games!$C89)</f>
        <v>Action</v>
      </c>
      <c r="D89">
        <f>IF($A89="","",COUNTIF(connections!$A$2:$A$1496,$A89)+COUNTIF(connections!$B$2:$B$1496,$A89))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1993</v>
      </c>
      <c r="U89">
        <f>IF(connections!$A89="","",IFERROR(INDEX(games!$B$2:$B$950,MATCH(connections!$B89,games!$A$2:$A$950,0)),""))</f>
        <v>1997</v>
      </c>
      <c r="V89">
        <f t="shared" si="25"/>
        <v>4</v>
      </c>
    </row>
    <row r="90" spans="1:22" x14ac:dyDescent="0.25">
      <c r="A90" t="str">
        <f>IF(games!$A90="","",games!$A90)</f>
        <v>Boyfriend Dungeon</v>
      </c>
      <c r="B90">
        <f>IF($A90="","",games!$B90)</f>
        <v>2021</v>
      </c>
      <c r="C90" t="str">
        <f>IF($A90="","",games!$C90)</f>
        <v>Action</v>
      </c>
      <c r="D90">
        <f>IF($A90="","",COUNTIF(connections!$A$2:$A$1496,$A90)+COUNTIF(connections!$B$2:$B$1496,$A90))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2022</v>
      </c>
      <c r="U90">
        <f>IF(connections!$A90="","",IFERROR(INDEX(games!$B$2:$B$950,MATCH(connections!$B90,games!$A$2:$A$950,0)),""))</f>
        <v>2023</v>
      </c>
      <c r="V90">
        <f t="shared" si="25"/>
        <v>1</v>
      </c>
    </row>
    <row r="91" spans="1:22" x14ac:dyDescent="0.25">
      <c r="A91" t="str">
        <f>IF(games!$A91="","",games!$A91)</f>
        <v>BPM: Bullets Per Minute</v>
      </c>
      <c r="B91">
        <f>IF($A91="","",games!$B91)</f>
        <v>2020</v>
      </c>
      <c r="C91" t="str">
        <f>IF($A91="","",games!$C91)</f>
        <v>Action</v>
      </c>
      <c r="D91">
        <f>IF($A91="","",COUNTIF(connections!$A$2:$A$1496,$A91)+COUNTIF(connections!$B$2:$B$1496,$A91))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2021</v>
      </c>
      <c r="U91">
        <f>IF(connections!$A91="","",IFERROR(INDEX(games!$B$2:$B$950,MATCH(connections!$B91,games!$A$2:$A$950,0)),""))</f>
        <v>2023</v>
      </c>
      <c r="V91">
        <f t="shared" si="25"/>
        <v>2</v>
      </c>
    </row>
    <row r="92" spans="1:22" x14ac:dyDescent="0.25">
      <c r="A92" t="str">
        <f>IF(games!$A92="","",games!$A92)</f>
        <v>Brawl Tactics: Origins</v>
      </c>
      <c r="B92">
        <f>IF($A92="","",games!$B92)</f>
        <v>2023</v>
      </c>
      <c r="C92" t="str">
        <f>IF($A92="","",games!$C92)</f>
        <v>Deckbuilder</v>
      </c>
      <c r="D92">
        <f>IF($A92="","",COUNTIF(connections!$A$2:$A$1496,$A92)+COUNTIF(connections!$B$2:$B$1496,$A92))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2019</v>
      </c>
      <c r="U92">
        <f>IF(connections!$A92="","",IFERROR(INDEX(games!$B$2:$B$950,MATCH(connections!$B92,games!$A$2:$A$950,0)),""))</f>
        <v>2022</v>
      </c>
      <c r="V92">
        <f t="shared" si="25"/>
        <v>3</v>
      </c>
    </row>
    <row r="93" spans="1:22" x14ac:dyDescent="0.25">
      <c r="A93" t="str">
        <f>IF(games!$A93="","",games!$A93)</f>
        <v>Breach Wanderers</v>
      </c>
      <c r="B93">
        <f>IF($A93="","",games!$B93)</f>
        <v>2021</v>
      </c>
      <c r="C93" t="str">
        <f>IF($A93="","",games!$C93)</f>
        <v>Deckbuilder</v>
      </c>
      <c r="D93">
        <f>IF($A93="","",COUNTIF(connections!$A$2:$A$1496,$A93)+COUNTIF(connections!$B$2:$B$1496,$A93))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2021</v>
      </c>
      <c r="U93">
        <f>IF(connections!$A93="","",IFERROR(INDEX(games!$B$2:$B$950,MATCH(connections!$B93,games!$A$2:$A$950,0)),""))</f>
        <v>2022</v>
      </c>
      <c r="V93">
        <f t="shared" si="25"/>
        <v>1</v>
      </c>
    </row>
    <row r="94" spans="1:22" x14ac:dyDescent="0.25">
      <c r="A94" t="str">
        <f>IF(games!$A94="","",games!$A94)</f>
        <v>Breachway</v>
      </c>
      <c r="B94">
        <f>IF($A94="","",games!$B94)</f>
        <v>2024</v>
      </c>
      <c r="C94" t="str">
        <f>IF($A94="","",games!$C94)</f>
        <v>Deckbuilder</v>
      </c>
      <c r="D94">
        <f>IF($A94="","",COUNTIF(connections!$A$2:$A$1496,$A94)+COUNTIF(connections!$B$2:$B$1496,$A94))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2018</v>
      </c>
      <c r="U94">
        <f>IF(connections!$A94="","",IFERROR(INDEX(games!$B$2:$B$950,MATCH(connections!$B94,games!$A$2:$A$950,0)),""))</f>
        <v>2022</v>
      </c>
      <c r="V94">
        <f t="shared" si="25"/>
        <v>4</v>
      </c>
    </row>
    <row r="95" spans="1:22" x14ac:dyDescent="0.25">
      <c r="A95" t="str">
        <f>IF(games!$A95="","",games!$A95)</f>
        <v>Brew</v>
      </c>
      <c r="B95">
        <f>IF($A95="","",games!$B95)</f>
        <v>2025</v>
      </c>
      <c r="C95" t="str">
        <f>IF($A95="","",games!$C95)</f>
        <v>Action</v>
      </c>
      <c r="D95">
        <f>IF($A95="","",COUNTIF(connections!$A$2:$A$1496,$A95)+COUNTIF(connections!$B$2:$B$1496,$A95))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2021</v>
      </c>
      <c r="U95">
        <f>IF(connections!$A95="","",IFERROR(INDEX(games!$B$2:$B$950,MATCH(connections!$B95,games!$A$2:$A$950,0)),""))</f>
        <v>2022</v>
      </c>
      <c r="V95">
        <f t="shared" si="25"/>
        <v>1</v>
      </c>
    </row>
    <row r="96" spans="1:22" x14ac:dyDescent="0.25">
      <c r="A96" t="str">
        <f>IF(games!$A96="","",games!$A96)</f>
        <v>Brogue</v>
      </c>
      <c r="B96">
        <f>IF($A96="","",games!$B96)</f>
        <v>2009</v>
      </c>
      <c r="C96" t="str">
        <f>IF($A96="","",games!$C96)</f>
        <v>Traditional</v>
      </c>
      <c r="D96">
        <f>IF($A96="","",COUNTIF(connections!$A$2:$A$1496,$A96)+COUNTIF(connections!$B$2:$B$1496,$A96))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2017</v>
      </c>
      <c r="U96">
        <f>IF(connections!$A96="","",IFERROR(INDEX(games!$B$2:$B$950,MATCH(connections!$B96,games!$A$2:$A$950,0)),""))</f>
        <v>2022</v>
      </c>
      <c r="V96">
        <f t="shared" si="25"/>
        <v>5</v>
      </c>
    </row>
    <row r="97" spans="1:22" x14ac:dyDescent="0.25">
      <c r="A97" t="str">
        <f>IF(games!$A97="","",games!$A97)</f>
        <v>BroomSweeper</v>
      </c>
      <c r="B97">
        <f>IF($A97="","",games!$B97)</f>
        <v>2026</v>
      </c>
      <c r="C97" t="str">
        <f>IF($A97="","",games!$C97)</f>
        <v>Strategy</v>
      </c>
      <c r="D97">
        <f>IF($A97="","",COUNTIF(connections!$A$2:$A$1496,$A97)+COUNTIF(connections!$B$2:$B$1496,$A97))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2021</v>
      </c>
      <c r="U97">
        <f>IF(connections!$A97="","",IFERROR(INDEX(games!$B$2:$B$950,MATCH(connections!$B97,games!$A$2:$A$950,0)),""))</f>
        <v>2023</v>
      </c>
      <c r="V97">
        <f t="shared" si="25"/>
        <v>2</v>
      </c>
    </row>
    <row r="98" spans="1:22" x14ac:dyDescent="0.25">
      <c r="A98" t="str">
        <f>IF(games!$A98="","",games!$A98)</f>
        <v>Brotato</v>
      </c>
      <c r="B98">
        <f>IF($A98="","",games!$B98)</f>
        <v>2022</v>
      </c>
      <c r="C98" t="str">
        <f>IF($A98="","",games!$C98)</f>
        <v>Action</v>
      </c>
      <c r="D98">
        <f>IF($A98="","",COUNTIF(connections!$A$2:$A$1496,$A98)+COUNTIF(connections!$B$2:$B$1496,$A98))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1991</v>
      </c>
      <c r="U98">
        <f>IF(connections!$A98="","",IFERROR(INDEX(games!$B$2:$B$950,MATCH(connections!$B98,games!$A$2:$A$950,0)),""))</f>
        <v>2020</v>
      </c>
      <c r="V98">
        <f t="shared" si="25"/>
        <v>29</v>
      </c>
    </row>
    <row r="99" spans="1:22" x14ac:dyDescent="0.25">
      <c r="A99" t="str">
        <f>IF(games!$A99="","",games!$A99)</f>
        <v>Brutal Orchestra</v>
      </c>
      <c r="B99">
        <f>IF($A99="","",games!$B99)</f>
        <v>2021</v>
      </c>
      <c r="C99" t="str">
        <f>IF($A99="","",games!$C99)</f>
        <v>Strategy</v>
      </c>
      <c r="D99">
        <f>IF($A99="","",COUNTIF(connections!$A$2:$A$1496,$A99)+COUNTIF(connections!$B$2:$B$1496,$A99))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2024</v>
      </c>
      <c r="U99">
        <f>IF(connections!$A99="","",IFERROR(INDEX(games!$B$2:$B$950,MATCH(connections!$B99,games!$A$2:$A$950,0)),""))</f>
        <v>2025</v>
      </c>
      <c r="V99">
        <f t="shared" si="25"/>
        <v>1</v>
      </c>
    </row>
    <row r="100" spans="1:22" x14ac:dyDescent="0.25">
      <c r="A100" t="str">
        <f>IF(games!$A100="","",games!$A100)</f>
        <v>Buckshot Roulette</v>
      </c>
      <c r="B100">
        <f>IF($A100="","",games!$B100)</f>
        <v>2023</v>
      </c>
      <c r="C100" t="str">
        <f>IF($A100="","",games!$C100)</f>
        <v>Strategy</v>
      </c>
      <c r="D100">
        <f>IF($A100="","",COUNTIF(connections!$A$2:$A$1496,$A100)+COUNTIF(connections!$B$2:$B$1496,$A100))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2021</v>
      </c>
      <c r="U100">
        <f>IF(connections!$A100="","",IFERROR(INDEX(games!$B$2:$B$950,MATCH(connections!$B100,games!$A$2:$A$950,0)),""))</f>
        <v>2025</v>
      </c>
      <c r="V100">
        <f t="shared" si="25"/>
        <v>4</v>
      </c>
    </row>
    <row r="101" spans="1:22" x14ac:dyDescent="0.25">
      <c r="A101" t="str">
        <f>IF(games!$A101="","",games!$A101)</f>
        <v>Cadence of Hyrule</v>
      </c>
      <c r="B101">
        <f>IF($A101="","",games!$B101)</f>
        <v>2019</v>
      </c>
      <c r="C101" t="str">
        <f>IF($A101="","",games!$C101)</f>
        <v>Traditional</v>
      </c>
      <c r="D101">
        <f>IF($A101="","",COUNTIF(connections!$A$2:$A$1496,$A101)+COUNTIF(connections!$B$2:$B$1496,$A101))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2021</v>
      </c>
      <c r="U101">
        <f>IF(connections!$A101="","",IFERROR(INDEX(games!$B$2:$B$950,MATCH(connections!$B101,games!$A$2:$A$950,0)),""))</f>
        <v>2024</v>
      </c>
      <c r="V101">
        <f t="shared" si="25"/>
        <v>3</v>
      </c>
    </row>
    <row r="102" spans="1:22" x14ac:dyDescent="0.25">
      <c r="A102" t="str">
        <f>IF(games!$A102="","",games!$A102)</f>
        <v>Candies 'n Curses</v>
      </c>
      <c r="B102">
        <f>IF($A102="","",games!$B102)</f>
        <v>2018</v>
      </c>
      <c r="C102" t="str">
        <f>IF($A102="","",games!$C102)</f>
        <v>Action</v>
      </c>
      <c r="D102">
        <f>IF($A102="","",COUNTIF(connections!$A$2:$A$1496,$A102)+COUNTIF(connections!$B$2:$B$1496,$A102))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2017</v>
      </c>
      <c r="U102">
        <f>IF(connections!$A102="","",IFERROR(INDEX(games!$B$2:$B$950,MATCH(connections!$B102,games!$A$2:$A$950,0)),""))</f>
        <v>2020</v>
      </c>
      <c r="V102">
        <f t="shared" si="25"/>
        <v>3</v>
      </c>
    </row>
    <row r="103" spans="1:22" x14ac:dyDescent="0.25">
      <c r="A103" t="str">
        <f>IF(games!$A103="","",games!$A103)</f>
        <v>Captain Forever Remix</v>
      </c>
      <c r="B103">
        <f>IF($A103="","",games!$B103)</f>
        <v>2016</v>
      </c>
      <c r="C103" t="str">
        <f>IF($A103="","",games!$C103)</f>
        <v>Action</v>
      </c>
      <c r="D103">
        <f>IF($A103="","",COUNTIF(connections!$A$2:$A$1496,$A103)+COUNTIF(connections!$B$2:$B$1496,$A103))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2022</v>
      </c>
      <c r="U103">
        <f>IF(connections!$A103="","",IFERROR(INDEX(games!$B$2:$B$950,MATCH(connections!$B103,games!$A$2:$A$950,0)),""))</f>
        <v>2026</v>
      </c>
      <c r="V103">
        <f t="shared" si="25"/>
        <v>4</v>
      </c>
    </row>
    <row r="104" spans="1:22" x14ac:dyDescent="0.25">
      <c r="A104" t="str">
        <f>IF(games!$A104="","",games!$A104)</f>
        <v>Cardinal Quest</v>
      </c>
      <c r="B104">
        <f>IF($A104="","",games!$B104)</f>
        <v>2010</v>
      </c>
      <c r="C104" t="str">
        <f>IF($A104="","",games!$C104)</f>
        <v>Traditional</v>
      </c>
      <c r="D104">
        <f>IF($A104="","",COUNTIF(connections!$A$2:$A$1496,$A104)+COUNTIF(connections!$B$2:$B$1496,$A104))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2017</v>
      </c>
      <c r="U104">
        <f>IF(connections!$A104="","",IFERROR(INDEX(games!$B$2:$B$950,MATCH(connections!$B104,games!$A$2:$A$950,0)),""))</f>
        <v>2026</v>
      </c>
      <c r="V104">
        <f t="shared" si="25"/>
        <v>9</v>
      </c>
    </row>
    <row r="105" spans="1:22" x14ac:dyDescent="0.25">
      <c r="A105" t="str">
        <f>IF(games!$A105="","",games!$A105)</f>
        <v>Cardinal Quest 2</v>
      </c>
      <c r="B105">
        <f>IF($A105="","",games!$B105)</f>
        <v>2014</v>
      </c>
      <c r="C105" t="str">
        <f>IF($A105="","",games!$C105)</f>
        <v>Traditional</v>
      </c>
      <c r="D105">
        <f>IF($A105="","",COUNTIF(connections!$A$2:$A$1496,$A105)+COUNTIF(connections!$B$2:$B$1496,$A105))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1987</v>
      </c>
      <c r="U105">
        <f>IF(connections!$A105="","",IFERROR(INDEX(games!$B$2:$B$950,MATCH(connections!$B105,games!$A$2:$A$950,0)),""))</f>
        <v>2015</v>
      </c>
      <c r="V105">
        <f t="shared" si="25"/>
        <v>28</v>
      </c>
    </row>
    <row r="106" spans="1:22" x14ac:dyDescent="0.25">
      <c r="A106" t="str">
        <f>IF(games!$A106="","",games!$A106)</f>
        <v>Castle of the Winds</v>
      </c>
      <c r="B106">
        <f>IF($A106="","",games!$B106)</f>
        <v>1994</v>
      </c>
      <c r="C106" t="str">
        <f>IF($A106="","",games!$C106)</f>
        <v>Traditional</v>
      </c>
      <c r="D106">
        <f>IF($A106="","",COUNTIF(connections!$A$2:$A$1496,$A106)+COUNTIF(connections!$B$2:$B$1496,$A106))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2008</v>
      </c>
      <c r="U106">
        <f>IF(connections!$A106="","",IFERROR(INDEX(games!$B$2:$B$950,MATCH(connections!$B106,games!$A$2:$A$950,0)),""))</f>
        <v>2015</v>
      </c>
      <c r="V106">
        <f t="shared" si="25"/>
        <v>7</v>
      </c>
    </row>
    <row r="107" spans="1:22" x14ac:dyDescent="0.25">
      <c r="A107" t="str">
        <f>IF(games!$A107="","",games!$A107)</f>
        <v>CastlevaniaRL</v>
      </c>
      <c r="B107">
        <f>IF($A107="","",games!$B107)</f>
        <v>2005</v>
      </c>
      <c r="C107" t="str">
        <f>IF($A107="","",games!$C107)</f>
        <v>Traditional</v>
      </c>
      <c r="D107">
        <f>IF($A107="","",COUNTIF(connections!$A$2:$A$1496,$A107)+COUNTIF(connections!$B$2:$B$1496,$A107))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1980</v>
      </c>
      <c r="U107">
        <f>IF(connections!$A107="","",IFERROR(INDEX(games!$B$2:$B$950,MATCH(connections!$B107,games!$A$2:$A$950,0)),""))</f>
        <v>1998</v>
      </c>
      <c r="V107">
        <f t="shared" si="25"/>
        <v>18</v>
      </c>
    </row>
    <row r="108" spans="1:22" x14ac:dyDescent="0.25">
      <c r="A108" t="str">
        <f>IF(games!$A108="","",games!$A108)</f>
        <v>Cat God Ranch</v>
      </c>
      <c r="B108">
        <f>IF($A108="","",games!$B108)</f>
        <v>2024</v>
      </c>
      <c r="C108" t="str">
        <f>IF($A108="","",games!$C108)</f>
        <v>Deckbuilder</v>
      </c>
      <c r="D108">
        <f>IF($A108="","",COUNTIF(connections!$A$2:$A$1496,$A108)+COUNTIF(connections!$B$2:$B$1496,$A108))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1993</v>
      </c>
      <c r="U108">
        <f>IF(connections!$A108="","",IFERROR(INDEX(games!$B$2:$B$950,MATCH(connections!$B108,games!$A$2:$A$950,0)),""))</f>
        <v>1998</v>
      </c>
      <c r="V108">
        <f t="shared" si="25"/>
        <v>5</v>
      </c>
    </row>
    <row r="109" spans="1:22" x14ac:dyDescent="0.25">
      <c r="A109" t="str">
        <f>IF(games!$A109="","",games!$A109)</f>
        <v>Cataclysm</v>
      </c>
      <c r="B109">
        <f>IF($A109="","",games!$B109)</f>
        <v>2010</v>
      </c>
      <c r="C109" t="str">
        <f>IF($A109="","",games!$C109)</f>
        <v>Traditional</v>
      </c>
      <c r="D109">
        <f>IF($A109="","",COUNTIF(connections!$A$2:$A$1496,$A109)+COUNTIF(connections!$B$2:$B$1496,$A109))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1998</v>
      </c>
      <c r="U109">
        <f>IF(connections!$A109="","",IFERROR(INDEX(games!$B$2:$B$950,MATCH(connections!$B109,games!$A$2:$A$950,0)),""))</f>
        <v>2007</v>
      </c>
      <c r="V109">
        <f t="shared" si="25"/>
        <v>9</v>
      </c>
    </row>
    <row r="110" spans="1:22" x14ac:dyDescent="0.25">
      <c r="A110" t="str">
        <f>IF(games!$A110="","",games!$A110)</f>
        <v>Cataclysm: Bright Nights</v>
      </c>
      <c r="B110">
        <f>IF($A110="","",games!$B110)</f>
        <v>2020</v>
      </c>
      <c r="C110" t="str">
        <f>IF($A110="","",games!$C110)</f>
        <v>Traditional</v>
      </c>
      <c r="D110">
        <f>IF($A110="","",COUNTIF(connections!$A$2:$A$1496,$A110)+COUNTIF(connections!$B$2:$B$1496,$A110))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2026</v>
      </c>
      <c r="U110">
        <f>IF(connections!$A110="","",IFERROR(INDEX(games!$B$2:$B$950,MATCH(connections!$B110,games!$A$2:$A$950,0)),""))</f>
        <v>2026</v>
      </c>
      <c r="V110">
        <f t="shared" si="25"/>
        <v>0</v>
      </c>
    </row>
    <row r="111" spans="1:22" x14ac:dyDescent="0.25">
      <c r="A111" t="str">
        <f>IF(games!$A111="","",games!$A111)</f>
        <v>Cataclysm: Dark Days Ahead</v>
      </c>
      <c r="B111">
        <f>IF($A111="","",games!$B111)</f>
        <v>2013</v>
      </c>
      <c r="C111" t="str">
        <f>IF($A111="","",games!$C111)</f>
        <v>Traditional</v>
      </c>
      <c r="D111">
        <f>IF($A111="","",COUNTIF(connections!$A$2:$A$1496,$A111)+COUNTIF(connections!$B$2:$B$1496,$A111))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2019</v>
      </c>
      <c r="U111">
        <f>IF(connections!$A111="","",IFERROR(INDEX(games!$B$2:$B$950,MATCH(connections!$B111,games!$A$2:$A$950,0)),""))</f>
        <v>2026</v>
      </c>
      <c r="V111">
        <f t="shared" si="25"/>
        <v>7</v>
      </c>
    </row>
    <row r="112" spans="1:22" x14ac:dyDescent="0.25">
      <c r="A112" t="str">
        <f>IF(games!$A112="","",games!$A112)</f>
        <v>Cataclysm: The Last Generation</v>
      </c>
      <c r="B112">
        <f>IF($A112="","",games!$B112)</f>
        <v>2025</v>
      </c>
      <c r="C112" t="str">
        <f>IF($A112="","",games!$C112)</f>
        <v>Traditional</v>
      </c>
      <c r="D112">
        <f>IF($A112="","",COUNTIF(connections!$A$2:$A$1496,$A112)+COUNTIF(connections!$B$2:$B$1496,$A112))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2025</v>
      </c>
      <c r="U112">
        <f>IF(connections!$A112="","",IFERROR(INDEX(games!$B$2:$B$950,MATCH(connections!$B112,games!$A$2:$A$950,0)),""))</f>
        <v>2026</v>
      </c>
      <c r="V112">
        <f t="shared" si="25"/>
        <v>1</v>
      </c>
    </row>
    <row r="113" spans="1:22" x14ac:dyDescent="0.25">
      <c r="A113" t="str">
        <f>IF(games!$A113="","",games!$A113)</f>
        <v>Catacomb Kids</v>
      </c>
      <c r="B113">
        <f>IF($A113="","",games!$B113)</f>
        <v>2015</v>
      </c>
      <c r="C113" t="str">
        <f>IF($A113="","",games!$C113)</f>
        <v>Action</v>
      </c>
      <c r="D113">
        <f>IF($A113="","",COUNTIF(connections!$A$2:$A$1496,$A113)+COUNTIF(connections!$B$2:$B$1496,$A113))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2018</v>
      </c>
      <c r="U113">
        <f>IF(connections!$A113="","",IFERROR(INDEX(games!$B$2:$B$950,MATCH(connections!$B113,games!$A$2:$A$950,0)),""))</f>
        <v>2023</v>
      </c>
      <c r="V113">
        <f t="shared" si="25"/>
        <v>5</v>
      </c>
    </row>
    <row r="114" spans="1:22" x14ac:dyDescent="0.25">
      <c r="A114" t="str">
        <f>IF(games!$A114="","",games!$A114)</f>
        <v>Cats &amp; Dice</v>
      </c>
      <c r="B114">
        <f>IF($A114="","",games!$B114)</f>
        <v>2025</v>
      </c>
      <c r="C114" t="str">
        <f>IF($A114="","",games!$C114)</f>
        <v>Deckbuilder</v>
      </c>
      <c r="D114">
        <f>IF($A114="","",COUNTIF(connections!$A$2:$A$1496,$A114)+COUNTIF(connections!$B$2:$B$1496,$A114))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2019</v>
      </c>
      <c r="U114">
        <f>IF(connections!$A114="","",IFERROR(INDEX(games!$B$2:$B$950,MATCH(connections!$B114,games!$A$2:$A$950,0)),""))</f>
        <v>2023</v>
      </c>
      <c r="V114">
        <f t="shared" si="25"/>
        <v>4</v>
      </c>
    </row>
    <row r="115" spans="1:22" x14ac:dyDescent="0.25">
      <c r="A115" t="str">
        <f>IF(games!$A115="","",games!$A115)</f>
        <v>Cave Noire</v>
      </c>
      <c r="B115">
        <f>IF($A115="","",games!$B115)</f>
        <v>1991</v>
      </c>
      <c r="C115" t="str">
        <f>IF($A115="","",games!$C115)</f>
        <v>Traditional</v>
      </c>
      <c r="D115">
        <f>IF($A115="","",COUNTIF(connections!$A$2:$A$1496,$A115)+COUNTIF(connections!$B$2:$B$1496,$A115))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IF($A116="","",COUNTIF(connections!$A$2:$A$1496,$A116)+COUNTIF(connections!$B$2:$B$1496,$A116))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Caves of Qud</v>
      </c>
      <c r="B117">
        <f>IF($A117="","",games!$B117)</f>
        <v>2010</v>
      </c>
      <c r="C117" t="str">
        <f>IF($A117="","",games!$C117)</f>
        <v>Traditional</v>
      </c>
      <c r="D117">
        <f>IF($A117="","",COUNTIF(connections!$A$2:$A$1496,$A117)+COUNTIF(connections!$B$2:$B$1496,$A117))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IF($A118="","",COUNTIF(connections!$A$2:$A$1496,$A118)+COUNTIF(connections!$B$2:$B$1496,$A118))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Cell Command</v>
      </c>
      <c r="B119">
        <f>IF($A119="","",games!$B119)</f>
        <v>2025</v>
      </c>
      <c r="C119" t="str">
        <f>IF($A119="","",games!$C119)</f>
        <v>Strategy</v>
      </c>
      <c r="D119">
        <f>IF($A119="","",COUNTIF(connections!$A$2:$A$1496,$A119)+COUNTIF(connections!$B$2:$B$1496,$A119))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Centipede Gun</v>
      </c>
      <c r="B120">
        <f>IF($A120="","",games!$B120)</f>
        <v>2023</v>
      </c>
      <c r="C120" t="str">
        <f>IF($A120="","",games!$C120)</f>
        <v>Action</v>
      </c>
      <c r="D120">
        <f>IF($A120="","",COUNTIF(connections!$A$2:$A$1496,$A120)+COUNTIF(connections!$B$2:$B$1496,$A120))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Chaos Zero Nightmare</v>
      </c>
      <c r="B121">
        <f>IF($A121="","",games!$B121)</f>
        <v>2025</v>
      </c>
      <c r="C121" t="str">
        <f>IF($A121="","",games!$C121)</f>
        <v>Deckbuilder</v>
      </c>
      <c r="D121">
        <f>IF($A121="","",COUNTIF(connections!$A$2:$A$1496,$A121)+COUNTIF(connections!$B$2:$B$1496,$A121))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2021</v>
      </c>
      <c r="U121">
        <f>IF(connections!$A121="","",IFERROR(INDEX(games!$B$2:$B$950,MATCH(connections!$B121,games!$A$2:$A$950,0)),""))</f>
        <v>2024</v>
      </c>
      <c r="V121">
        <f t="shared" si="25"/>
        <v>3</v>
      </c>
    </row>
    <row r="122" spans="1:22" x14ac:dyDescent="0.25">
      <c r="A122" t="str">
        <f>IF(games!$A122="","",games!$A122)</f>
        <v>Chess Survivors</v>
      </c>
      <c r="B122">
        <f>IF($A122="","",games!$B122)</f>
        <v>2022</v>
      </c>
      <c r="C122" t="str">
        <f>IF($A122="","",games!$C122)</f>
        <v>Action</v>
      </c>
      <c r="D122">
        <f>IF($A122="","",COUNTIF(connections!$A$2:$A$1496,$A122)+COUNTIF(connections!$B$2:$B$1496,$A122))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2020</v>
      </c>
      <c r="U122">
        <f>IF(connections!$A122="","",IFERROR(INDEX(games!$B$2:$B$950,MATCH(connections!$B122,games!$A$2:$A$950,0)),""))</f>
        <v>2024</v>
      </c>
      <c r="V122">
        <f t="shared" si="25"/>
        <v>4</v>
      </c>
    </row>
    <row r="123" spans="1:22" x14ac:dyDescent="0.25">
      <c r="A123" t="str">
        <f>IF(games!$A123="","",games!$A123)</f>
        <v>Children of Morta</v>
      </c>
      <c r="B123">
        <f>IF($A123="","",games!$B123)</f>
        <v>2019</v>
      </c>
      <c r="C123" t="str">
        <f>IF($A123="","",games!$C123)</f>
        <v>Action</v>
      </c>
      <c r="D123">
        <f>IF($A123="","",COUNTIF(connections!$A$2:$A$1496,$A123)+COUNTIF(connections!$B$2:$B$1496,$A123))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2017</v>
      </c>
      <c r="U123">
        <f>IF(connections!$A123="","",IFERROR(INDEX(games!$B$2:$B$950,MATCH(connections!$B123,games!$A$2:$A$950,0)),""))</f>
        <v>2024</v>
      </c>
      <c r="V123">
        <f t="shared" si="25"/>
        <v>7</v>
      </c>
    </row>
    <row r="124" spans="1:22" x14ac:dyDescent="0.25">
      <c r="A124" t="str">
        <f>IF(games!$A124="","",games!$A124)</f>
        <v>Chocobo's Dungeon 2</v>
      </c>
      <c r="B124">
        <f>IF($A124="","",games!$B124)</f>
        <v>1998</v>
      </c>
      <c r="C124" t="str">
        <f>IF($A124="","",games!$C124)</f>
        <v>Traditional</v>
      </c>
      <c r="D124">
        <f>IF($A124="","",COUNTIF(connections!$A$2:$A$1496,$A124)+COUNTIF(connections!$B$2:$B$1496,$A124))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2017</v>
      </c>
      <c r="U124">
        <f>IF(connections!$A124="","",IFERROR(INDEX(games!$B$2:$B$950,MATCH(connections!$B124,games!$A$2:$A$950,0)),""))</f>
        <v>2022</v>
      </c>
      <c r="V124">
        <f t="shared" si="25"/>
        <v>5</v>
      </c>
    </row>
    <row r="125" spans="1:22" x14ac:dyDescent="0.25">
      <c r="A125" t="str">
        <f>IF(games!$A125="","",games!$A125)</f>
        <v>Chocobo's Mysterious Dungeon</v>
      </c>
      <c r="B125">
        <f>IF($A125="","",games!$B125)</f>
        <v>1997</v>
      </c>
      <c r="C125" t="str">
        <f>IF($A125="","",games!$C125)</f>
        <v>Traditional</v>
      </c>
      <c r="D125">
        <f>IF($A125="","",COUNTIF(connections!$A$2:$A$1496,$A125)+COUNTIF(connections!$B$2:$B$1496,$A125))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2016</v>
      </c>
      <c r="U125">
        <f>IF(connections!$A125="","",IFERROR(INDEX(games!$B$2:$B$950,MATCH(connections!$B125,games!$A$2:$A$950,0)),""))</f>
        <v>2023</v>
      </c>
      <c r="V125">
        <f t="shared" si="25"/>
        <v>7</v>
      </c>
    </row>
    <row r="126" spans="1:22" x14ac:dyDescent="0.25">
      <c r="A126" t="str">
        <f>IF(games!$A126="","",games!$A126)</f>
        <v>Chocobo's Mystery Dungeon Every Buddy!</v>
      </c>
      <c r="B126">
        <f>IF($A126="","",games!$B126)</f>
        <v>2019</v>
      </c>
      <c r="C126" t="str">
        <f>IF($A126="","",games!$C126)</f>
        <v>Traditional</v>
      </c>
      <c r="D126">
        <f>IF($A126="","",COUNTIF(connections!$A$2:$A$1496,$A126)+COUNTIF(connections!$B$2:$B$1496,$A126))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2012</v>
      </c>
      <c r="U126">
        <f>IF(connections!$A126="","",IFERROR(INDEX(games!$B$2:$B$950,MATCH(connections!$B126,games!$A$2:$A$950,0)),""))</f>
        <v>2023</v>
      </c>
      <c r="V126">
        <f t="shared" si="25"/>
        <v>11</v>
      </c>
    </row>
    <row r="127" spans="1:22" x14ac:dyDescent="0.25">
      <c r="A127" t="str">
        <f>IF(games!$A127="","",games!$A127)</f>
        <v>Choo Choo Survivor</v>
      </c>
      <c r="B127">
        <f>IF($A127="","",games!$B127)</f>
        <v>2023</v>
      </c>
      <c r="C127" t="str">
        <f>IF($A127="","",games!$C127)</f>
        <v>Action</v>
      </c>
      <c r="D127">
        <f>IF($A127="","",COUNTIF(connections!$A$2:$A$1496,$A127)+COUNTIF(connections!$B$2:$B$1496,$A127))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2019</v>
      </c>
      <c r="U127">
        <f>IF(connections!$A127="","",IFERROR(INDEX(games!$B$2:$B$950,MATCH(connections!$B127,games!$A$2:$A$950,0)),""))</f>
        <v>2023</v>
      </c>
      <c r="V127">
        <f t="shared" si="25"/>
        <v>4</v>
      </c>
    </row>
    <row r="128" spans="1:22" x14ac:dyDescent="0.25">
      <c r="A128" t="str">
        <f>IF(games!$A128="","",games!$A128)</f>
        <v>Choo Choo Survivor 2</v>
      </c>
      <c r="B128">
        <f>IF($A128="","",games!$B128)</f>
        <v>2025</v>
      </c>
      <c r="C128" t="str">
        <f>IF($A128="","",games!$C128)</f>
        <v>Action</v>
      </c>
      <c r="D128">
        <f>IF($A128="","",COUNTIF(connections!$A$2:$A$1496,$A128)+COUNTIF(connections!$B$2:$B$1496,$A128))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2011</v>
      </c>
      <c r="U128">
        <f>IF(connections!$A128="","",IFERROR(INDEX(games!$B$2:$B$950,MATCH(connections!$B128,games!$A$2:$A$950,0)),""))</f>
        <v>2023</v>
      </c>
      <c r="V128">
        <f t="shared" si="25"/>
        <v>12</v>
      </c>
    </row>
    <row r="129" spans="1:22" x14ac:dyDescent="0.25">
      <c r="A129" t="str">
        <f>IF(games!$A129="","",games!$A129)</f>
        <v>Chosen Garden</v>
      </c>
      <c r="B129">
        <f>IF($A129="","",games!$B129)</f>
        <v>2026</v>
      </c>
      <c r="C129" t="str">
        <f>IF($A129="","",games!$C129)</f>
        <v>Deckbuilder</v>
      </c>
      <c r="D129">
        <f>IF($A129="","",COUNTIF(connections!$A$2:$A$1496,$A129)+COUNTIF(connections!$B$2:$B$1496,$A129))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IF($A130="","",COUNTIF(connections!$A$2:$A$1496,$A130)+COUNTIF(connections!$B$2:$B$1496,$A130))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2023</v>
      </c>
      <c r="U130">
        <f>IF(connections!$A130="","",IFERROR(INDEX(games!$B$2:$B$950,MATCH(connections!$B130,games!$A$2:$A$950,0)),""))</f>
        <v>2024</v>
      </c>
      <c r="V130">
        <f t="shared" ref="V130:V193" si="38">IF(OR($T130="",$U130=""),"",$U130-$T130)</f>
        <v>1</v>
      </c>
    </row>
    <row r="131" spans="1:22" x14ac:dyDescent="0.25">
      <c r="A131" t="str">
        <f>IF(games!$A131="","",games!$A131)</f>
        <v>Cinderia</v>
      </c>
      <c r="B131">
        <f>IF($A131="","",games!$B131)</f>
        <v>2026</v>
      </c>
      <c r="C131" t="str">
        <f>IF($A131="","",games!$C131)</f>
        <v>Action</v>
      </c>
      <c r="D131">
        <f>IF($A131="","",COUNTIF(connections!$A$2:$A$1496,$A131)+COUNTIF(connections!$B$2:$B$1496,$A131))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2021</v>
      </c>
      <c r="U131">
        <f>IF(connections!$A131="","",IFERROR(INDEX(games!$B$2:$B$950,MATCH(connections!$B131,games!$A$2:$A$950,0)),""))</f>
        <v>2024</v>
      </c>
      <c r="V131">
        <f t="shared" si="38"/>
        <v>3</v>
      </c>
    </row>
    <row r="132" spans="1:22" x14ac:dyDescent="0.25">
      <c r="A132" t="str">
        <f>IF(games!$A132="","",games!$A132)</f>
        <v>CleanFall</v>
      </c>
      <c r="B132">
        <f>IF($A132="","",games!$B132)</f>
        <v>2025</v>
      </c>
      <c r="C132" t="str">
        <f>IF($A132="","",games!$C132)</f>
        <v>Action</v>
      </c>
      <c r="D132">
        <f>IF($A132="","",COUNTIF(connections!$A$2:$A$1496,$A132)+COUNTIF(connections!$B$2:$B$1496,$A132))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2022</v>
      </c>
      <c r="U132">
        <f>IF(connections!$A132="","",IFERROR(INDEX(games!$B$2:$B$950,MATCH(connections!$B132,games!$A$2:$A$950,0)),""))</f>
        <v>2024</v>
      </c>
      <c r="V132">
        <f t="shared" si="38"/>
        <v>2</v>
      </c>
    </row>
    <row r="133" spans="1:22" x14ac:dyDescent="0.25">
      <c r="A133" t="str">
        <f>IF(games!$A133="","",games!$A133)</f>
        <v>CloverPit</v>
      </c>
      <c r="B133">
        <f>IF($A133="","",games!$B133)</f>
        <v>2025</v>
      </c>
      <c r="C133" t="str">
        <f>IF($A133="","",games!$C133)</f>
        <v>Strategy</v>
      </c>
      <c r="D133">
        <f>IF($A133="","",COUNTIF(connections!$A$2:$A$1496,$A133)+COUNTIF(connections!$B$2:$B$1496,$A133))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2021</v>
      </c>
      <c r="U133">
        <f>IF(connections!$A133="","",IFERROR(INDEX(games!$B$2:$B$950,MATCH(connections!$B133,games!$A$2:$A$950,0)),""))</f>
        <v>2022</v>
      </c>
      <c r="V133">
        <f t="shared" si="38"/>
        <v>1</v>
      </c>
    </row>
    <row r="134" spans="1:22" x14ac:dyDescent="0.25">
      <c r="A134" t="str">
        <f>IF(games!$A134="","",games!$A134)</f>
        <v>Cluckmech Oasis</v>
      </c>
      <c r="B134">
        <f>IF($A134="","",games!$B134)</f>
        <v>2024</v>
      </c>
      <c r="C134" t="str">
        <f>IF($A134="","",games!$C134)</f>
        <v>Strategy</v>
      </c>
      <c r="D134">
        <f>IF($A134="","",COUNTIF(connections!$A$2:$A$1496,$A134)+COUNTIF(connections!$B$2:$B$1496,$A134))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2023</v>
      </c>
      <c r="U134">
        <f>IF(connections!$A134="","",IFERROR(INDEX(games!$B$2:$B$950,MATCH(connections!$B134,games!$A$2:$A$950,0)),""))</f>
        <v>2026</v>
      </c>
      <c r="V134">
        <f t="shared" si="38"/>
        <v>3</v>
      </c>
    </row>
    <row r="135" spans="1:22" x14ac:dyDescent="0.25">
      <c r="A135" t="str">
        <f>IF(games!$A135="","",games!$A135)</f>
        <v>Clutchtime: Basketball Deckbuilder</v>
      </c>
      <c r="B135">
        <f>IF($A135="","",games!$B135)</f>
        <v>2025</v>
      </c>
      <c r="C135" t="str">
        <f>IF($A135="","",games!$C135)</f>
        <v>Deckbuilder</v>
      </c>
      <c r="D135">
        <f>IF($A135="","",COUNTIF(connections!$A$2:$A$1496,$A135)+COUNTIF(connections!$B$2:$B$1496,$A135))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2019</v>
      </c>
      <c r="U135">
        <f>IF(connections!$A135="","",IFERROR(INDEX(games!$B$2:$B$950,MATCH(connections!$B135,games!$A$2:$A$950,0)),""))</f>
        <v>2026</v>
      </c>
      <c r="V135">
        <f t="shared" si="38"/>
        <v>7</v>
      </c>
    </row>
    <row r="136" spans="1:22" x14ac:dyDescent="0.25">
      <c r="A136" t="str">
        <f>IF(games!$A136="","",games!$A136)</f>
        <v>Coal LLC</v>
      </c>
      <c r="B136">
        <f>IF($A136="","",games!$B136)</f>
        <v>2025</v>
      </c>
      <c r="C136" t="str">
        <f>IF($A136="","",games!$C136)</f>
        <v>Strategy</v>
      </c>
      <c r="D136">
        <f>IF($A136="","",COUNTIF(connections!$A$2:$A$1496,$A136)+COUNTIF(connections!$B$2:$B$1496,$A136))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2021</v>
      </c>
      <c r="U136">
        <f>IF(connections!$A136="","",IFERROR(INDEX(games!$B$2:$B$950,MATCH(connections!$B136,games!$A$2:$A$950,0)),""))</f>
        <v>2026</v>
      </c>
      <c r="V136">
        <f t="shared" si="38"/>
        <v>5</v>
      </c>
    </row>
    <row r="137" spans="1:22" x14ac:dyDescent="0.25">
      <c r="A137" t="str">
        <f>IF(games!$A137="","",games!$A137)</f>
        <v>Cobalt Core</v>
      </c>
      <c r="B137">
        <f>IF($A137="","",games!$B137)</f>
        <v>2023</v>
      </c>
      <c r="C137" t="str">
        <f>IF($A137="","",games!$C137)</f>
        <v>Deckbuilder</v>
      </c>
      <c r="D137">
        <f>IF($A137="","",COUNTIF(connections!$A$2:$A$1496,$A137)+COUNTIF(connections!$B$2:$B$1496,$A137))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2026</v>
      </c>
      <c r="V137">
        <f t="shared" si="38"/>
        <v>9</v>
      </c>
    </row>
    <row r="138" spans="1:22" x14ac:dyDescent="0.25">
      <c r="A138" t="str">
        <f>IF(games!$A138="","",games!$A138)</f>
        <v>Cogmind</v>
      </c>
      <c r="B138">
        <f>IF($A138="","",games!$B138)</f>
        <v>2017</v>
      </c>
      <c r="C138" t="str">
        <f>IF($A138="","",games!$C138)</f>
        <v>Traditional</v>
      </c>
      <c r="D138">
        <f>IF($A138="","",COUNTIF(connections!$A$2:$A$1496,$A138)+COUNTIF(connections!$B$2:$B$1496,$A138))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Coin Crypt</v>
      </c>
      <c r="B139">
        <f>IF($A139="","",games!$B139)</f>
        <v>2013</v>
      </c>
      <c r="C139" t="str">
        <f>IF($A139="","",games!$C139)</f>
        <v>Deckbuilder</v>
      </c>
      <c r="D139">
        <f>IF($A139="","",COUNTIF(connections!$A$2:$A$1496,$A139)+COUNTIF(connections!$B$2:$B$1496,$A139))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2015</v>
      </c>
      <c r="U139">
        <f>IF(connections!$A139="","",IFERROR(INDEX(games!$B$2:$B$950,MATCH(connections!$B139,games!$A$2:$A$950,0)),""))</f>
        <v>2019</v>
      </c>
      <c r="V139">
        <f t="shared" si="38"/>
        <v>4</v>
      </c>
    </row>
    <row r="140" spans="1:22" x14ac:dyDescent="0.25">
      <c r="A140" t="str">
        <f>IF(games!$A140="","",games!$A140)</f>
        <v>Colt Canyon</v>
      </c>
      <c r="B140">
        <f>IF($A140="","",games!$B140)</f>
        <v>2020</v>
      </c>
      <c r="C140" t="str">
        <f>IF($A140="","",games!$C140)</f>
        <v>Action</v>
      </c>
      <c r="D140">
        <f>IF($A140="","",COUNTIF(connections!$A$2:$A$1496,$A140)+COUNTIF(connections!$B$2:$B$1496,$A140))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2008</v>
      </c>
      <c r="U140">
        <f>IF(connections!$A140="","",IFERROR(INDEX(games!$B$2:$B$950,MATCH(connections!$B140,games!$A$2:$A$950,0)),""))</f>
        <v>2019</v>
      </c>
      <c r="V140">
        <f t="shared" si="38"/>
        <v>11</v>
      </c>
    </row>
    <row r="141" spans="1:22" x14ac:dyDescent="0.25">
      <c r="A141" t="str">
        <f>IF(games!$A141="","",games!$A141)</f>
        <v>Combolands</v>
      </c>
      <c r="B141">
        <f>IF($A141="","",games!$B141)</f>
        <v>2026</v>
      </c>
      <c r="C141" t="str">
        <f>IF($A141="","",games!$C141)</f>
        <v>Strategy</v>
      </c>
      <c r="D141">
        <f>IF($A141="","",COUNTIF(connections!$A$2:$A$1496,$A141)+COUNTIF(connections!$B$2:$B$1496,$A141))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2011</v>
      </c>
      <c r="U141">
        <f>IF(connections!$A141="","",IFERROR(INDEX(games!$B$2:$B$950,MATCH(connections!$B141,games!$A$2:$A$950,0)),""))</f>
        <v>2019</v>
      </c>
      <c r="V141">
        <f t="shared" si="38"/>
        <v>8</v>
      </c>
    </row>
    <row r="142" spans="1:22" x14ac:dyDescent="0.25">
      <c r="A142" t="str">
        <f>IF(games!$A142="","",games!$A142)</f>
        <v>Commander Quest</v>
      </c>
      <c r="B142">
        <f>IF($A142="","",games!$B142)</f>
        <v>2025</v>
      </c>
      <c r="C142" t="str">
        <f>IF($A142="","",games!$C142)</f>
        <v>Deckbuilder</v>
      </c>
      <c r="D142">
        <f>IF($A142="","",COUNTIF(connections!$A$2:$A$1496,$A142)+COUNTIF(connections!$B$2:$B$1496,$A142))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2023</v>
      </c>
      <c r="U142">
        <f>IF(connections!$A142="","",IFERROR(INDEX(games!$B$2:$B$950,MATCH(connections!$B142,games!$A$2:$A$950,0)),""))</f>
        <v>2024</v>
      </c>
      <c r="V142">
        <f t="shared" si="38"/>
        <v>1</v>
      </c>
    </row>
    <row r="143" spans="1:22" x14ac:dyDescent="0.25">
      <c r="A143" t="str">
        <f>IF(games!$A143="","",games!$A143)</f>
        <v>Conan Chop Chop</v>
      </c>
      <c r="B143">
        <f>IF($A143="","",games!$B143)</f>
        <v>2022</v>
      </c>
      <c r="C143" t="str">
        <f>IF($A143="","",games!$C143)</f>
        <v>Action</v>
      </c>
      <c r="D143">
        <f>IF($A143="","",COUNTIF(connections!$A$2:$A$1496,$A143)+COUNTIF(connections!$B$2:$B$1496,$A143))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2019</v>
      </c>
      <c r="U143">
        <f>IF(connections!$A143="","",IFERROR(INDEX(games!$B$2:$B$950,MATCH(connections!$B143,games!$A$2:$A$950,0)),""))</f>
        <v>2023</v>
      </c>
      <c r="V143">
        <f t="shared" si="38"/>
        <v>4</v>
      </c>
    </row>
    <row r="144" spans="1:22" x14ac:dyDescent="0.25">
      <c r="A144" t="str">
        <f>IF(games!$A144="","",games!$A144)</f>
        <v>Convoy</v>
      </c>
      <c r="B144">
        <f>IF($A144="","",games!$B144)</f>
        <v>2015</v>
      </c>
      <c r="C144" t="str">
        <f>IF($A144="","",games!$C144)</f>
        <v>Strategy</v>
      </c>
      <c r="D144">
        <f>IF($A144="","",COUNTIF(connections!$A$2:$A$1496,$A144)+COUNTIF(connections!$B$2:$B$1496,$A144))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2021</v>
      </c>
      <c r="U144">
        <f>IF(connections!$A144="","",IFERROR(INDEX(games!$B$2:$B$950,MATCH(connections!$B144,games!$A$2:$A$950,0)),""))</f>
        <v>2023</v>
      </c>
      <c r="V144">
        <f t="shared" si="38"/>
        <v>2</v>
      </c>
    </row>
    <row r="145" spans="1:22" x14ac:dyDescent="0.25">
      <c r="A145" t="str">
        <f>IF(games!$A145="","",games!$A145)</f>
        <v>Core Defense</v>
      </c>
      <c r="B145">
        <f>IF($A145="","",games!$B145)</f>
        <v>2020</v>
      </c>
      <c r="C145" t="str">
        <f>IF($A145="","",games!$C145)</f>
        <v>Strategy</v>
      </c>
      <c r="D145">
        <f>IF($A145="","",COUNTIF(connections!$A$2:$A$1496,$A145)+COUNTIF(connections!$B$2:$B$1496,$A145))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2021</v>
      </c>
      <c r="U145">
        <f>IF(connections!$A145="","",IFERROR(INDEX(games!$B$2:$B$950,MATCH(connections!$B145,games!$A$2:$A$950,0)),""))</f>
        <v>2024</v>
      </c>
      <c r="V145">
        <f t="shared" si="38"/>
        <v>3</v>
      </c>
    </row>
    <row r="146" spans="1:22" x14ac:dyDescent="0.25">
      <c r="A146" t="str">
        <f>IF(games!$A146="","",games!$A146)</f>
        <v>Corpse Keeper</v>
      </c>
      <c r="B146">
        <f>IF($A146="","",games!$B146)</f>
        <v>2023</v>
      </c>
      <c r="C146" t="str">
        <f>IF($A146="","",games!$C146)</f>
        <v>Action</v>
      </c>
      <c r="D146">
        <f>IF($A146="","",COUNTIF(connections!$A$2:$A$1496,$A146)+COUNTIF(connections!$B$2:$B$1496,$A146))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2019</v>
      </c>
      <c r="U146">
        <f>IF(connections!$A146="","",IFERROR(INDEX(games!$B$2:$B$950,MATCH(connections!$B146,games!$A$2:$A$950,0)),""))</f>
        <v>2022</v>
      </c>
      <c r="V146">
        <f t="shared" si="38"/>
        <v>3</v>
      </c>
    </row>
    <row r="147" spans="1:22" x14ac:dyDescent="0.25">
      <c r="A147" t="str">
        <f>IF(games!$A147="","",games!$A147)</f>
        <v>Crab Champions</v>
      </c>
      <c r="B147">
        <f>IF($A147="","",games!$B147)</f>
        <v>2023</v>
      </c>
      <c r="C147" t="str">
        <f>IF($A147="","",games!$C147)</f>
        <v>Action</v>
      </c>
      <c r="D147">
        <f>IF($A147="","",COUNTIF(connections!$A$2:$A$1496,$A147)+COUNTIF(connections!$B$2:$B$1496,$A147))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2021</v>
      </c>
      <c r="U147">
        <f>IF(connections!$A147="","",IFERROR(INDEX(games!$B$2:$B$950,MATCH(connections!$B147,games!$A$2:$A$950,0)),""))</f>
        <v>2022</v>
      </c>
      <c r="V147">
        <f t="shared" si="38"/>
        <v>1</v>
      </c>
    </row>
    <row r="148" spans="1:22" x14ac:dyDescent="0.25">
      <c r="A148" t="str">
        <f>IF(games!$A148="","",games!$A148)</f>
        <v>Crablike</v>
      </c>
      <c r="B148">
        <f>IF($A148="","",games!$B148)</f>
        <v>2025</v>
      </c>
      <c r="C148" t="str">
        <f>IF($A148="","",games!$C148)</f>
        <v>Traditional</v>
      </c>
      <c r="D148">
        <f>IF($A148="","",COUNTIF(connections!$A$2:$A$1496,$A148)+COUNTIF(connections!$B$2:$B$1496,$A148))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1996</v>
      </c>
      <c r="U148">
        <f>IF(connections!$A148="","",IFERROR(INDEX(games!$B$2:$B$950,MATCH(connections!$B148,games!$A$2:$A$950,0)),""))</f>
        <v>2018</v>
      </c>
      <c r="V148">
        <f t="shared" si="38"/>
        <v>22</v>
      </c>
    </row>
    <row r="149" spans="1:22" x14ac:dyDescent="0.25">
      <c r="A149" t="str">
        <f>IF(games!$A149="","",games!$A149)</f>
        <v>Crafty Survivors</v>
      </c>
      <c r="B149">
        <f>IF($A149="","",games!$B149)</f>
        <v>2023</v>
      </c>
      <c r="C149" t="str">
        <f>IF($A149="","",games!$C149)</f>
        <v>Action</v>
      </c>
      <c r="D149">
        <f>IF($A149="","",COUNTIF(connections!$A$2:$A$1496,$A149)+COUNTIF(connections!$B$2:$B$1496,$A149))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2017</v>
      </c>
      <c r="U149">
        <f>IF(connections!$A149="","",IFERROR(INDEX(games!$B$2:$B$950,MATCH(connections!$B149,games!$A$2:$A$950,0)),""))</f>
        <v>2022</v>
      </c>
      <c r="V149">
        <f t="shared" si="38"/>
        <v>5</v>
      </c>
    </row>
    <row r="150" spans="1:22" x14ac:dyDescent="0.25">
      <c r="A150" t="str">
        <f>IF(games!$A150="","",games!$A150)</f>
        <v>Crawl</v>
      </c>
      <c r="B150">
        <f>IF($A150="","",games!$B150)</f>
        <v>2017</v>
      </c>
      <c r="C150" t="str">
        <f>IF($A150="","",games!$C150)</f>
        <v>Action</v>
      </c>
      <c r="D150">
        <f>IF($A150="","",COUNTIF(connections!$A$2:$A$1496,$A150)+COUNTIF(connections!$B$2:$B$1496,$A150))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2021</v>
      </c>
      <c r="U150">
        <f>IF(connections!$A150="","",IFERROR(INDEX(games!$B$2:$B$950,MATCH(connections!$B150,games!$A$2:$A$950,0)),""))</f>
        <v>2022</v>
      </c>
      <c r="V150">
        <f t="shared" si="38"/>
        <v>1</v>
      </c>
    </row>
    <row r="151" spans="1:22" x14ac:dyDescent="0.25">
      <c r="A151" t="str">
        <f>IF(games!$A151="","",games!$A151)</f>
        <v>Crop Rotation</v>
      </c>
      <c r="B151">
        <f>IF($A151="","",games!$B151)</f>
        <v>2023</v>
      </c>
      <c r="C151" t="str">
        <f>IF($A151="","",games!$C151)</f>
        <v>Deckbuilder</v>
      </c>
      <c r="D151">
        <f>IF($A151="","",COUNTIF(connections!$A$2:$A$1496,$A151)+COUNTIF(connections!$B$2:$B$1496,$A151))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2016</v>
      </c>
      <c r="U151">
        <f>IF(connections!$A151="","",IFERROR(INDEX(games!$B$2:$B$950,MATCH(connections!$B151,games!$A$2:$A$950,0)),""))</f>
        <v>2021</v>
      </c>
      <c r="V151">
        <f t="shared" si="38"/>
        <v>5</v>
      </c>
    </row>
    <row r="152" spans="1:22" x14ac:dyDescent="0.25">
      <c r="A152" t="str">
        <f>IF(games!$A152="","",games!$A152)</f>
        <v>Cropdeck</v>
      </c>
      <c r="B152">
        <f>IF($A152="","",games!$B152)</f>
        <v>2026</v>
      </c>
      <c r="C152" t="str">
        <f>IF($A152="","",games!$C152)</f>
        <v>Deckbuilder</v>
      </c>
      <c r="D152">
        <f>IF($A152="","",COUNTIF(connections!$A$2:$A$1496,$A152)+COUNTIF(connections!$B$2:$B$1496,$A152))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2015</v>
      </c>
      <c r="U152">
        <f>IF(connections!$A152="","",IFERROR(INDEX(games!$B$2:$B$950,MATCH(connections!$B152,games!$A$2:$A$950,0)),""))</f>
        <v>2020</v>
      </c>
      <c r="V152">
        <f t="shared" si="38"/>
        <v>5</v>
      </c>
    </row>
    <row r="153" spans="1:22" x14ac:dyDescent="0.25">
      <c r="A153" t="str">
        <f>IF(games!$A153="","",games!$A153)</f>
        <v>Cross Blitz</v>
      </c>
      <c r="B153">
        <f>IF($A153="","",games!$B153)</f>
        <v>2023</v>
      </c>
      <c r="C153" t="str">
        <f>IF($A153="","",games!$C153)</f>
        <v>Deckbuilder</v>
      </c>
      <c r="D153">
        <f>IF($A153="","",COUNTIF(connections!$A$2:$A$1496,$A153)+COUNTIF(connections!$B$2:$B$1496,$A153))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2017</v>
      </c>
      <c r="U153">
        <f>IF(connections!$A153="","",IFERROR(INDEX(games!$B$2:$B$950,MATCH(connections!$B153,games!$A$2:$A$950,0)),""))</f>
        <v>2023</v>
      </c>
      <c r="V153">
        <f t="shared" si="38"/>
        <v>6</v>
      </c>
    </row>
    <row r="154" spans="1:22" x14ac:dyDescent="0.25">
      <c r="A154" t="str">
        <f>IF(games!$A154="","",games!$A154)</f>
        <v>Crown Trick</v>
      </c>
      <c r="B154">
        <f>IF($A154="","",games!$B154)</f>
        <v>2020</v>
      </c>
      <c r="C154" t="str">
        <f>IF($A154="","",games!$C154)</f>
        <v>Strategy</v>
      </c>
      <c r="D154">
        <f>IF($A154="","",COUNTIF(connections!$A$2:$A$1496,$A154)+COUNTIF(connections!$B$2:$B$1496,$A154))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2023</v>
      </c>
      <c r="V154">
        <f t="shared" si="38"/>
        <v>2</v>
      </c>
    </row>
    <row r="155" spans="1:22" x14ac:dyDescent="0.25">
      <c r="A155" t="str">
        <f>IF(games!$A155="","",games!$A155)</f>
        <v>Crush the Industry</v>
      </c>
      <c r="B155">
        <f>IF($A155="","",games!$B155)</f>
        <v>2025</v>
      </c>
      <c r="C155" t="str">
        <f>IF($A155="","",games!$C155)</f>
        <v>Deckbuilder</v>
      </c>
      <c r="D155">
        <f>IF($A155="","",COUNTIF(connections!$A$2:$A$1496,$A155)+COUNTIF(connections!$B$2:$B$1496,$A155))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2017</v>
      </c>
      <c r="U155">
        <f>IF(connections!$A155="","",IFERROR(INDEX(games!$B$2:$B$950,MATCH(connections!$B155,games!$A$2:$A$950,0)),""))</f>
        <v>2021</v>
      </c>
      <c r="V155">
        <f t="shared" si="38"/>
        <v>4</v>
      </c>
    </row>
    <row r="156" spans="1:22" x14ac:dyDescent="0.25">
      <c r="A156" t="str">
        <f>IF(games!$A156="","",games!$A156)</f>
        <v>Crying Suns</v>
      </c>
      <c r="B156">
        <f>IF($A156="","",games!$B156)</f>
        <v>2019</v>
      </c>
      <c r="C156" t="str">
        <f>IF($A156="","",games!$C156)</f>
        <v>Strategy</v>
      </c>
      <c r="D156">
        <f>IF($A156="","",COUNTIF(connections!$A$2:$A$1496,$A156)+COUNTIF(connections!$B$2:$B$1496,$A156))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2012</v>
      </c>
      <c r="U156">
        <f>IF(connections!$A156="","",IFERROR(INDEX(games!$B$2:$B$950,MATCH(connections!$B156,games!$A$2:$A$950,0)),""))</f>
        <v>2024</v>
      </c>
      <c r="V156">
        <f t="shared" si="38"/>
        <v>12</v>
      </c>
    </row>
    <row r="157" spans="1:22" x14ac:dyDescent="0.25">
      <c r="A157" t="str">
        <f>IF(games!$A157="","",games!$A157)</f>
        <v>Crypt of the NecroDancer</v>
      </c>
      <c r="B157">
        <f>IF($A157="","",games!$B157)</f>
        <v>2015</v>
      </c>
      <c r="C157" t="str">
        <f>IF($A157="","",games!$C157)</f>
        <v>Traditional</v>
      </c>
      <c r="D157">
        <f>IF($A157="","",COUNTIF(connections!$A$2:$A$1496,$A157)+COUNTIF(connections!$B$2:$B$1496,$A157))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2017</v>
      </c>
      <c r="U157">
        <f>IF(connections!$A157="","",IFERROR(INDEX(games!$B$2:$B$950,MATCH(connections!$B157,games!$A$2:$A$950,0)),""))</f>
        <v>2024</v>
      </c>
      <c r="V157">
        <f t="shared" si="38"/>
        <v>7</v>
      </c>
    </row>
    <row r="158" spans="1:22" x14ac:dyDescent="0.25">
      <c r="A158" t="str">
        <f>IF(games!$A158="","",games!$A158)</f>
        <v>Cryptark</v>
      </c>
      <c r="B158">
        <f>IF($A158="","",games!$B158)</f>
        <v>2017</v>
      </c>
      <c r="C158" t="str">
        <f>IF($A158="","",games!$C158)</f>
        <v>Action</v>
      </c>
      <c r="D158">
        <f>IF($A158="","",COUNTIF(connections!$A$2:$A$1496,$A158)+COUNTIF(connections!$B$2:$B$1496,$A158))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2020</v>
      </c>
      <c r="U158">
        <f>IF(connections!$A158="","",IFERROR(INDEX(games!$B$2:$B$950,MATCH(connections!$B158,games!$A$2:$A$950,0)),""))</f>
        <v>2025</v>
      </c>
      <c r="V158">
        <f t="shared" si="38"/>
        <v>5</v>
      </c>
    </row>
    <row r="159" spans="1:22" x14ac:dyDescent="0.25">
      <c r="A159" t="str">
        <f>IF(games!$A159="","",games!$A159)</f>
        <v>Cthangband</v>
      </c>
      <c r="B159">
        <f>IF($A159="","",games!$B159)</f>
        <v>1998</v>
      </c>
      <c r="C159" t="str">
        <f>IF($A159="","",games!$C159)</f>
        <v>Traditional</v>
      </c>
      <c r="D159">
        <f>IF($A159="","",COUNTIF(connections!$A$2:$A$1496,$A159)+COUNTIF(connections!$B$2:$B$1496,$A159))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2019</v>
      </c>
      <c r="U159">
        <f>IF(connections!$A159="","",IFERROR(INDEX(games!$B$2:$B$950,MATCH(connections!$B159,games!$A$2:$A$950,0)),""))</f>
        <v>2025</v>
      </c>
      <c r="V159">
        <f t="shared" si="38"/>
        <v>6</v>
      </c>
    </row>
    <row r="160" spans="1:22" x14ac:dyDescent="0.25">
      <c r="A160" t="str">
        <f>IF(games!$A160="","",games!$A160)</f>
        <v>Cube Chaos</v>
      </c>
      <c r="B160">
        <f>IF($A160="","",games!$B160)</f>
        <v>2023</v>
      </c>
      <c r="C160" t="str">
        <f>IF($A160="","",games!$C160)</f>
        <v>Deckbuilder</v>
      </c>
      <c r="D160">
        <f>IF($A160="","",COUNTIF(connections!$A$2:$A$1496,$A160)+COUNTIF(connections!$B$2:$B$1496,$A160))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2020</v>
      </c>
      <c r="U160">
        <f>IF(connections!$A160="","",IFERROR(INDEX(games!$B$2:$B$950,MATCH(connections!$B160,games!$A$2:$A$950,0)),""))</f>
        <v>2025</v>
      </c>
      <c r="V160">
        <f t="shared" si="38"/>
        <v>5</v>
      </c>
    </row>
    <row r="161" spans="1:22" x14ac:dyDescent="0.25">
      <c r="A161" t="str">
        <f>IF(games!$A161="","",games!$A161)</f>
        <v>Cubic Cosmos</v>
      </c>
      <c r="B161">
        <f>IF($A161="","",games!$B161)</f>
        <v>2025</v>
      </c>
      <c r="C161" t="str">
        <f>IF($A161="","",games!$C161)</f>
        <v>Deckbuilder</v>
      </c>
      <c r="D161">
        <f>IF($A161="","",COUNTIF(connections!$A$2:$A$1496,$A161)+COUNTIF(connections!$B$2:$B$1496,$A161))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1980</v>
      </c>
      <c r="U161">
        <f>IF(connections!$A161="","",IFERROR(INDEX(games!$B$2:$B$950,MATCH(connections!$B161,games!$A$2:$A$950,0)),""))</f>
        <v>2009</v>
      </c>
      <c r="V161">
        <f t="shared" si="38"/>
        <v>29</v>
      </c>
    </row>
    <row r="162" spans="1:22" x14ac:dyDescent="0.25">
      <c r="A162" t="str">
        <f>IF(games!$A162="","",games!$A162)</f>
        <v>Cult of PiN</v>
      </c>
      <c r="B162">
        <f>IF($A162="","",games!$B162)</f>
        <v>2026</v>
      </c>
      <c r="C162" t="str">
        <f>IF($A162="","",games!$C162)</f>
        <v>Deckbuilder</v>
      </c>
      <c r="D162">
        <f>IF($A162="","",COUNTIF(connections!$A$2:$A$1496,$A162)+COUNTIF(connections!$B$2:$B$1496,$A162))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2026</v>
      </c>
      <c r="V162">
        <f t="shared" si="38"/>
        <v>7</v>
      </c>
    </row>
    <row r="163" spans="1:22" x14ac:dyDescent="0.25">
      <c r="A163" t="str">
        <f>IF(games!$A163="","",games!$A163)</f>
        <v>Cult of the Lamb</v>
      </c>
      <c r="B163">
        <f>IF($A163="","",games!$B163)</f>
        <v>2022</v>
      </c>
      <c r="C163" t="str">
        <f>IF($A163="","",games!$C163)</f>
        <v>Action</v>
      </c>
      <c r="D163">
        <f>IF($A163="","",COUNTIF(connections!$A$2:$A$1496,$A163)+COUNTIF(connections!$B$2:$B$1496,$A163))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2012</v>
      </c>
      <c r="U163">
        <f>IF(connections!$A163="","",IFERROR(INDEX(games!$B$2:$B$950,MATCH(connections!$B163,games!$A$2:$A$950,0)),""))</f>
        <v>2026</v>
      </c>
      <c r="V163">
        <f t="shared" si="38"/>
        <v>14</v>
      </c>
    </row>
    <row r="164" spans="1:22" x14ac:dyDescent="0.25">
      <c r="A164" t="str">
        <f>IF(games!$A164="","",games!$A164)</f>
        <v>Cultist Simulator</v>
      </c>
      <c r="B164">
        <f>IF($A164="","",games!$B164)</f>
        <v>2018</v>
      </c>
      <c r="C164" t="str">
        <f>IF($A164="","",games!$C164)</f>
        <v>Strategy</v>
      </c>
      <c r="D164">
        <f>IF($A164="","",COUNTIF(connections!$A$2:$A$1496,$A164)+COUNTIF(connections!$B$2:$B$1496,$A164))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2021</v>
      </c>
      <c r="U164">
        <f>IF(connections!$A164="","",IFERROR(INDEX(games!$B$2:$B$950,MATCH(connections!$B164,games!$A$2:$A$950,0)),""))</f>
        <v>2026</v>
      </c>
      <c r="V164">
        <f t="shared" si="38"/>
        <v>5</v>
      </c>
    </row>
    <row r="165" spans="1:22" x14ac:dyDescent="0.25">
      <c r="A165" t="str">
        <f>IF(games!$A165="","",games!$A165)</f>
        <v>Cupiclaw</v>
      </c>
      <c r="B165">
        <f>IF($A165="","",games!$B165)</f>
        <v>2024</v>
      </c>
      <c r="C165" t="str">
        <f>IF($A165="","",games!$C165)</f>
        <v>Deckbuilder</v>
      </c>
      <c r="D165">
        <f>IF($A165="","",COUNTIF(connections!$A$2:$A$1496,$A165)+COUNTIF(connections!$B$2:$B$1496,$A165))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2017</v>
      </c>
      <c r="U165">
        <f>IF(connections!$A165="","",IFERROR(INDEX(games!$B$2:$B$950,MATCH(connections!$B165,games!$A$2:$A$950,0)),""))</f>
        <v>2026</v>
      </c>
      <c r="V165">
        <f t="shared" si="38"/>
        <v>9</v>
      </c>
    </row>
    <row r="166" spans="1:22" x14ac:dyDescent="0.25">
      <c r="A166" t="str">
        <f>IF(games!$A166="","",games!$A166)</f>
        <v>Curious Expedition</v>
      </c>
      <c r="B166">
        <f>IF($A166="","",games!$B166)</f>
        <v>2016</v>
      </c>
      <c r="C166" t="str">
        <f>IF($A166="","",games!$C166)</f>
        <v>Strategy</v>
      </c>
      <c r="D166">
        <f>IF($A166="","",COUNTIF(connections!$A$2:$A$1496,$A166)+COUNTIF(connections!$B$2:$B$1496,$A166))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2019</v>
      </c>
      <c r="U166">
        <f>IF(connections!$A166="","",IFERROR(INDEX(games!$B$2:$B$950,MATCH(connections!$B166,games!$A$2:$A$950,0)),""))</f>
        <v>2022</v>
      </c>
      <c r="V166">
        <f t="shared" si="38"/>
        <v>3</v>
      </c>
    </row>
    <row r="167" spans="1:22" x14ac:dyDescent="0.25">
      <c r="A167" t="str">
        <f>IF(games!$A167="","",games!$A167)</f>
        <v>Curious Expedition 2</v>
      </c>
      <c r="B167">
        <f>IF($A167="","",games!$B167)</f>
        <v>2020</v>
      </c>
      <c r="C167" t="str">
        <f>IF($A167="","",games!$C167)</f>
        <v>Strategy</v>
      </c>
      <c r="D167">
        <f>IF($A167="","",COUNTIF(connections!$A$2:$A$1496,$A167)+COUNTIF(connections!$B$2:$B$1496,$A167))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2021</v>
      </c>
      <c r="U167">
        <f>IF(connections!$A167="","",IFERROR(INDEX(games!$B$2:$B$950,MATCH(connections!$B167,games!$A$2:$A$950,0)),""))</f>
        <v>2022</v>
      </c>
      <c r="V167">
        <f t="shared" si="38"/>
        <v>1</v>
      </c>
    </row>
    <row r="168" spans="1:22" x14ac:dyDescent="0.25">
      <c r="A168" t="str">
        <f>IF(games!$A168="","",games!$A168)</f>
        <v>Curse of Pirates</v>
      </c>
      <c r="B168">
        <f>IF($A168="","",games!$B168)</f>
        <v>2026</v>
      </c>
      <c r="C168" t="str">
        <f>IF($A168="","",games!$C168)</f>
        <v>Action</v>
      </c>
      <c r="D168">
        <f>IF($A168="","",COUNTIF(connections!$A$2:$A$1496,$A168)+COUNTIF(connections!$B$2:$B$1496,$A168))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2016</v>
      </c>
      <c r="U168">
        <f>IF(connections!$A168="","",IFERROR(INDEX(games!$B$2:$B$950,MATCH(connections!$B168,games!$A$2:$A$950,0)),""))</f>
        <v>2021</v>
      </c>
      <c r="V168">
        <f t="shared" si="38"/>
        <v>5</v>
      </c>
    </row>
    <row r="169" spans="1:22" x14ac:dyDescent="0.25">
      <c r="A169" t="str">
        <f>IF(games!$A169="","",games!$A169)</f>
        <v>Curse of the Dead Gods</v>
      </c>
      <c r="B169">
        <f>IF($A169="","",games!$B169)</f>
        <v>2020</v>
      </c>
      <c r="C169" t="str">
        <f>IF($A169="","",games!$C169)</f>
        <v>Action</v>
      </c>
      <c r="D169">
        <f>IF($A169="","",COUNTIF(connections!$A$2:$A$1496,$A169)+COUNTIF(connections!$B$2:$B$1496,$A169))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2011</v>
      </c>
      <c r="U169">
        <f>IF(connections!$A169="","",IFERROR(INDEX(games!$B$2:$B$950,MATCH(connections!$B169,games!$A$2:$A$950,0)),""))</f>
        <v>2021</v>
      </c>
      <c r="V169">
        <f t="shared" si="38"/>
        <v>10</v>
      </c>
    </row>
    <row r="170" spans="1:22" x14ac:dyDescent="0.25">
      <c r="A170" t="str">
        <f>IF(games!$A170="","",games!$A170)</f>
        <v>Cursed Words</v>
      </c>
      <c r="B170">
        <f>IF($A170="","",games!$B170)</f>
        <v>2026</v>
      </c>
      <c r="C170" t="str">
        <f>IF($A170="","",games!$C170)</f>
        <v>Strategy</v>
      </c>
      <c r="D170">
        <f>IF($A170="","",COUNTIF(connections!$A$2:$A$1496,$A170)+COUNTIF(connections!$B$2:$B$1496,$A170))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2019</v>
      </c>
      <c r="U170">
        <f>IF(connections!$A170="","",IFERROR(INDEX(games!$B$2:$B$950,MATCH(connections!$B170,games!$A$2:$A$950,0)),""))</f>
        <v>2021</v>
      </c>
      <c r="V170">
        <f t="shared" si="38"/>
        <v>2</v>
      </c>
    </row>
    <row r="171" spans="1:22" x14ac:dyDescent="0.25">
      <c r="A171" t="str">
        <f>IF(games!$A171="","",games!$A171)</f>
        <v>Cursorblade</v>
      </c>
      <c r="B171">
        <f>IF($A171="","",games!$B171)</f>
        <v>2023</v>
      </c>
      <c r="C171" t="str">
        <f>IF($A171="","",games!$C171)</f>
        <v>Action</v>
      </c>
      <c r="D171">
        <f>IF($A171="","",COUNTIF(connections!$A$2:$A$1496,$A171)+COUNTIF(connections!$B$2:$B$1496,$A171))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2021</v>
      </c>
      <c r="U171">
        <f>IF(connections!$A171="","",IFERROR(INDEX(games!$B$2:$B$950,MATCH(connections!$B171,games!$A$2:$A$950,0)),""))</f>
        <v>2023</v>
      </c>
      <c r="V171">
        <f t="shared" si="38"/>
        <v>2</v>
      </c>
    </row>
    <row r="172" spans="1:22" x14ac:dyDescent="0.25">
      <c r="A172" t="str">
        <f>IF(games!$A172="","",games!$A172)</f>
        <v>Dark Devotion</v>
      </c>
      <c r="B172">
        <f>IF($A172="","",games!$B172)</f>
        <v>2019</v>
      </c>
      <c r="C172" t="str">
        <f>IF($A172="","",games!$C172)</f>
        <v>Action</v>
      </c>
      <c r="D172">
        <f>IF($A172="","",COUNTIF(connections!$A$2:$A$1496,$A172)+COUNTIF(connections!$B$2:$B$1496,$A172))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2019</v>
      </c>
      <c r="V172">
        <f t="shared" si="38"/>
        <v>4</v>
      </c>
    </row>
    <row r="173" spans="1:22" x14ac:dyDescent="0.25">
      <c r="A173" t="str">
        <f>IF(games!$A173="","",games!$A173)</f>
        <v>Dark Light: Survivor</v>
      </c>
      <c r="B173">
        <f>IF($A173="","",games!$B173)</f>
        <v>2026</v>
      </c>
      <c r="C173" t="str">
        <f>IF($A173="","",games!$C173)</f>
        <v>Action</v>
      </c>
      <c r="D173">
        <f>IF($A173="","",COUNTIF(connections!$A$2:$A$1496,$A173)+COUNTIF(connections!$B$2:$B$1496,$A173))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1990</v>
      </c>
      <c r="U173">
        <f>IF(connections!$A173="","",IFERROR(INDEX(games!$B$2:$B$950,MATCH(connections!$B173,games!$A$2:$A$950,0)),""))</f>
        <v>2010</v>
      </c>
      <c r="V173">
        <f t="shared" si="38"/>
        <v>20</v>
      </c>
    </row>
    <row r="174" spans="1:22" x14ac:dyDescent="0.25">
      <c r="A174" t="str">
        <f>IF(games!$A174="","",games!$A174)</f>
        <v>Darkblade Ascent</v>
      </c>
      <c r="B174">
        <f>IF($A174="","",games!$B174)</f>
        <v>2025</v>
      </c>
      <c r="C174" t="str">
        <f>IF($A174="","",games!$C174)</f>
        <v>Action</v>
      </c>
      <c r="D174">
        <f>IF($A174="","",COUNTIF(connections!$A$2:$A$1496,$A174)+COUNTIF(connections!$B$2:$B$1496,$A174))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2009</v>
      </c>
      <c r="U174">
        <f>IF(connections!$A174="","",IFERROR(INDEX(games!$B$2:$B$950,MATCH(connections!$B174,games!$A$2:$A$950,0)),""))</f>
        <v>2010</v>
      </c>
      <c r="V174">
        <f t="shared" si="38"/>
        <v>1</v>
      </c>
    </row>
    <row r="175" spans="1:22" x14ac:dyDescent="0.25">
      <c r="A175" t="str">
        <f>IF(games!$A175="","",games!$A175)</f>
        <v>Darkest Dungeon</v>
      </c>
      <c r="B175">
        <f>IF($A175="","",games!$B175)</f>
        <v>2015</v>
      </c>
      <c r="C175" t="str">
        <f>IF($A175="","",games!$C175)</f>
        <v>Strategy</v>
      </c>
      <c r="D175">
        <f>IF($A175="","",COUNTIF(connections!$A$2:$A$1496,$A175)+COUNTIF(connections!$B$2:$B$1496,$A175))</f>
        <v>29</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29.000174999999999</v>
      </c>
      <c r="P175" t="str">
        <f>IF(OR($A175="",games!$H175=""),"",games!$H175)</f>
        <v>Yes</v>
      </c>
      <c r="Q175">
        <f t="shared" si="37"/>
        <v>29.000174999999999</v>
      </c>
      <c r="T175">
        <f>IF(connections!$A175="","",IFERROR(INDEX(games!$B$2:$B$950,MATCH(connections!$A175,games!$A$2:$A$950,0)),""))</f>
        <v>2010</v>
      </c>
      <c r="U175">
        <f>IF(connections!$A175="","",IFERROR(INDEX(games!$B$2:$B$950,MATCH(connections!$B175,games!$A$2:$A$950,0)),""))</f>
        <v>2010</v>
      </c>
      <c r="V175">
        <f t="shared" si="38"/>
        <v>0</v>
      </c>
    </row>
    <row r="176" spans="1:22" x14ac:dyDescent="0.25">
      <c r="A176" t="str">
        <f>IF(games!$A176="","",games!$A176)</f>
        <v>Darkest Dungeon 2</v>
      </c>
      <c r="B176">
        <f>IF($A176="","",games!$B176)</f>
        <v>2023</v>
      </c>
      <c r="C176" t="str">
        <f>IF($A176="","",games!$C176)</f>
        <v>Strategy</v>
      </c>
      <c r="D176">
        <f>IF($A176="","",COUNTIF(connections!$A$2:$A$1496,$A176)+COUNTIF(connections!$B$2:$B$1496,$A176))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1996</v>
      </c>
      <c r="U176">
        <f>IF(connections!$A176="","",IFERROR(INDEX(games!$B$2:$B$950,MATCH(connections!$B176,games!$A$2:$A$950,0)),""))</f>
        <v>2010</v>
      </c>
      <c r="V176">
        <f t="shared" si="38"/>
        <v>14</v>
      </c>
    </row>
    <row r="177" spans="1:22" x14ac:dyDescent="0.25">
      <c r="A177" t="str">
        <f>IF(games!$A177="","",games!$A177)</f>
        <v>Dave the Diver</v>
      </c>
      <c r="B177">
        <f>IF($A177="","",games!$B177)</f>
        <v>2022</v>
      </c>
      <c r="C177" t="str">
        <f>IF($A177="","",games!$C177)</f>
        <v>Action</v>
      </c>
      <c r="D177">
        <f>IF($A177="","",COUNTIF(connections!$A$2:$A$1496,$A177)+COUNTIF(connections!$B$2:$B$1496,$A177))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2002</v>
      </c>
      <c r="U177">
        <f>IF(connections!$A177="","",IFERROR(INDEX(games!$B$2:$B$950,MATCH(connections!$B177,games!$A$2:$A$950,0)),""))</f>
        <v>2010</v>
      </c>
      <c r="V177">
        <f t="shared" si="38"/>
        <v>8</v>
      </c>
    </row>
    <row r="178" spans="1:22" x14ac:dyDescent="0.25">
      <c r="A178" t="str">
        <f>IF(games!$A178="","",games!$A178)</f>
        <v>Dead Cells</v>
      </c>
      <c r="B178">
        <f>IF($A178="","",games!$B178)</f>
        <v>2018</v>
      </c>
      <c r="C178" t="str">
        <f>IF($A178="","",games!$C178)</f>
        <v>Action</v>
      </c>
      <c r="D178">
        <f>IF($A178="","",COUNTIF(connections!$A$2:$A$1496,$A178)+COUNTIF(connections!$B$2:$B$1496,$A178))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2008</v>
      </c>
      <c r="U178">
        <f>IF(connections!$A178="","",IFERROR(INDEX(games!$B$2:$B$950,MATCH(connections!$B178,games!$A$2:$A$950,0)),""))</f>
        <v>2010</v>
      </c>
      <c r="V178">
        <f t="shared" si="38"/>
        <v>2</v>
      </c>
    </row>
    <row r="179" spans="1:22" x14ac:dyDescent="0.25">
      <c r="A179" t="str">
        <f>IF(games!$A179="","",games!$A179)</f>
        <v>Dead Estate</v>
      </c>
      <c r="B179">
        <f>IF($A179="","",games!$B179)</f>
        <v>2020</v>
      </c>
      <c r="C179" t="str">
        <f>IF($A179="","",games!$C179)</f>
        <v>Action</v>
      </c>
      <c r="D179">
        <f>IF($A179="","",COUNTIF(connections!$A$2:$A$1496,$A179)+COUNTIF(connections!$B$2:$B$1496,$A179))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1998</v>
      </c>
      <c r="U179">
        <f>IF(connections!$A179="","",IFERROR(INDEX(games!$B$2:$B$950,MATCH(connections!$B179,games!$A$2:$A$950,0)),""))</f>
        <v>2010</v>
      </c>
      <c r="V179">
        <f t="shared" si="38"/>
        <v>12</v>
      </c>
    </row>
    <row r="180" spans="1:22" x14ac:dyDescent="0.25">
      <c r="A180" t="str">
        <f>IF(games!$A180="","",games!$A180)</f>
        <v>Dead Finger Dice</v>
      </c>
      <c r="B180">
        <f>IF($A180="","",games!$B180)</f>
        <v>2025</v>
      </c>
      <c r="C180" t="str">
        <f>IF($A180="","",games!$C180)</f>
        <v>Deckbuilder</v>
      </c>
      <c r="D180">
        <f>IF($A180="","",COUNTIF(connections!$A$2:$A$1496,$A180)+COUNTIF(connections!$B$2:$B$1496,$A180))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2014</v>
      </c>
      <c r="V180">
        <f t="shared" si="38"/>
        <v>4</v>
      </c>
    </row>
    <row r="181" spans="1:22" x14ac:dyDescent="0.25">
      <c r="A181" t="str">
        <f>IF(games!$A181="","",games!$A181)</f>
        <v>Dead Weight</v>
      </c>
      <c r="B181">
        <f>IF($A181="","",games!$B181)</f>
        <v>2026</v>
      </c>
      <c r="C181" t="str">
        <f>IF($A181="","",games!$C181)</f>
        <v>Strategy</v>
      </c>
      <c r="D181">
        <f>IF($A181="","",COUNTIF(connections!$A$2:$A$1496,$A181)+COUNTIF(connections!$B$2:$B$1496,$A181))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1986</v>
      </c>
      <c r="U181">
        <f>IF(connections!$A181="","",IFERROR(INDEX(games!$B$2:$B$950,MATCH(connections!$B181,games!$A$2:$A$950,0)),""))</f>
        <v>1994</v>
      </c>
      <c r="V181">
        <f t="shared" si="38"/>
        <v>8</v>
      </c>
    </row>
    <row r="182" spans="1:22" x14ac:dyDescent="0.25">
      <c r="A182" t="str">
        <f>IF(games!$A182="","",games!$A182)</f>
        <v>Deadzone: Rogue</v>
      </c>
      <c r="B182">
        <f>IF($A182="","",games!$B182)</f>
        <v>2025</v>
      </c>
      <c r="C182" t="str">
        <f>IF($A182="","",games!$C182)</f>
        <v>Action</v>
      </c>
      <c r="D182">
        <f>IF($A182="","",COUNTIF(connections!$A$2:$A$1496,$A182)+COUNTIF(connections!$B$2:$B$1496,$A182))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1987</v>
      </c>
      <c r="U182">
        <f>IF(connections!$A182="","",IFERROR(INDEX(games!$B$2:$B$950,MATCH(connections!$B182,games!$A$2:$A$950,0)),""))</f>
        <v>1994</v>
      </c>
      <c r="V182">
        <f t="shared" si="38"/>
        <v>7</v>
      </c>
    </row>
    <row r="183" spans="1:22" x14ac:dyDescent="0.25">
      <c r="A183" t="str">
        <f>IF(games!$A183="","",games!$A183)</f>
        <v>Death by Scrolling</v>
      </c>
      <c r="B183">
        <f>IF($A183="","",games!$B183)</f>
        <v>2025</v>
      </c>
      <c r="C183" t="str">
        <f>IF($A183="","",games!$C183)</f>
        <v>Action</v>
      </c>
      <c r="D183">
        <f>IF($A183="","",COUNTIF(connections!$A$2:$A$1496,$A183)+COUNTIF(connections!$B$2:$B$1496,$A183))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1987</v>
      </c>
      <c r="U183">
        <f>IF(connections!$A183="","",IFERROR(INDEX(games!$B$2:$B$950,MATCH(connections!$B183,games!$A$2:$A$950,0)),""))</f>
        <v>1994</v>
      </c>
      <c r="V183">
        <f t="shared" si="38"/>
        <v>7</v>
      </c>
    </row>
    <row r="184" spans="1:22" x14ac:dyDescent="0.25">
      <c r="A184" t="str">
        <f>IF(games!$A184="","",games!$A184)</f>
        <v>Death Must Die</v>
      </c>
      <c r="B184">
        <f>IF($A184="","",games!$B184)</f>
        <v>2023</v>
      </c>
      <c r="C184" t="str">
        <f>IF($A184="","",games!$C184)</f>
        <v>Action</v>
      </c>
      <c r="D184">
        <f>IF($A184="","",COUNTIF(connections!$A$2:$A$1496,$A184)+COUNTIF(connections!$B$2:$B$1496,$A184))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1980</v>
      </c>
      <c r="U184">
        <f>IF(connections!$A184="","",IFERROR(INDEX(games!$B$2:$B$950,MATCH(connections!$B184,games!$A$2:$A$950,0)),""))</f>
        <v>1994</v>
      </c>
      <c r="V184">
        <f t="shared" si="38"/>
        <v>14</v>
      </c>
    </row>
    <row r="185" spans="1:22" x14ac:dyDescent="0.25">
      <c r="A185" t="str">
        <f>IF(games!$A185="","",games!$A185)</f>
        <v>Death Road to Canada</v>
      </c>
      <c r="B185">
        <f>IF($A185="","",games!$B185)</f>
        <v>2016</v>
      </c>
      <c r="C185" t="str">
        <f>IF($A185="","",games!$C185)</f>
        <v>Action</v>
      </c>
      <c r="D185">
        <f>IF($A185="","",COUNTIF(connections!$A$2:$A$1496,$A185)+COUNTIF(connections!$B$2:$B$1496,$A185))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2021</v>
      </c>
      <c r="U185">
        <f>IF(connections!$A185="","",IFERROR(INDEX(games!$B$2:$B$950,MATCH(connections!$B185,games!$A$2:$A$950,0)),""))</f>
        <v>2024</v>
      </c>
      <c r="V185">
        <f t="shared" si="38"/>
        <v>3</v>
      </c>
    </row>
    <row r="186" spans="1:22" x14ac:dyDescent="0.25">
      <c r="A186" t="str">
        <f>IF(games!$A186="","",games!$A186)</f>
        <v>Death Roads: Tournament</v>
      </c>
      <c r="B186">
        <f>IF($A186="","",games!$B186)</f>
        <v>2023</v>
      </c>
      <c r="C186" t="str">
        <f>IF($A186="","",games!$C186)</f>
        <v>Deckbuilder</v>
      </c>
      <c r="D186">
        <f>IF($A186="","",COUNTIF(connections!$A$2:$A$1496,$A186)+COUNTIF(connections!$B$2:$B$1496,$A186))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2002</v>
      </c>
      <c r="U186">
        <f>IF(connections!$A186="","",IFERROR(INDEX(games!$B$2:$B$950,MATCH(connections!$B186,games!$A$2:$A$950,0)),""))</f>
        <v>2010</v>
      </c>
      <c r="V186">
        <f t="shared" si="38"/>
        <v>8</v>
      </c>
    </row>
    <row r="187" spans="1:22" x14ac:dyDescent="0.25">
      <c r="A187" t="str">
        <f>IF(games!$A187="","",games!$A187)</f>
        <v>Death Skid Marks</v>
      </c>
      <c r="B187">
        <f>IF($A187="","",games!$B187)</f>
        <v>2014</v>
      </c>
      <c r="C187" t="str">
        <f>IF($A187="","",games!$C187)</f>
        <v>Action</v>
      </c>
      <c r="D187">
        <f>IF($A187="","",COUNTIF(connections!$A$2:$A$1496,$A187)+COUNTIF(connections!$B$2:$B$1496,$A187))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2006</v>
      </c>
      <c r="U187">
        <f>IF(connections!$A187="","",IFERROR(INDEX(games!$B$2:$B$950,MATCH(connections!$B187,games!$A$2:$A$950,0)),""))</f>
        <v>2010</v>
      </c>
      <c r="V187">
        <f t="shared" si="38"/>
        <v>4</v>
      </c>
    </row>
    <row r="188" spans="1:22" x14ac:dyDescent="0.25">
      <c r="A188" t="str">
        <f>IF(games!$A188="","",games!$A188)</f>
        <v>Deck of Ashes</v>
      </c>
      <c r="B188">
        <f>IF($A188="","",games!$B188)</f>
        <v>2019</v>
      </c>
      <c r="C188" t="str">
        <f>IF($A188="","",games!$C188)</f>
        <v>Deckbuilder</v>
      </c>
      <c r="D188">
        <f>IF($A188="","",COUNTIF(connections!$A$2:$A$1496,$A188)+COUNTIF(connections!$B$2:$B$1496,$A188))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2013</v>
      </c>
      <c r="U188">
        <f>IF(connections!$A188="","",IFERROR(INDEX(games!$B$2:$B$950,MATCH(connections!$B188,games!$A$2:$A$950,0)),""))</f>
        <v>2020</v>
      </c>
      <c r="V188">
        <f t="shared" si="38"/>
        <v>7</v>
      </c>
    </row>
    <row r="189" spans="1:22" x14ac:dyDescent="0.25">
      <c r="A189" t="str">
        <f>IF(games!$A189="","",games!$A189)</f>
        <v>Deck of Haunts</v>
      </c>
      <c r="B189">
        <f>IF($A189="","",games!$B189)</f>
        <v>2025</v>
      </c>
      <c r="C189" t="str">
        <f>IF($A189="","",games!$C189)</f>
        <v>Deckbuilder</v>
      </c>
      <c r="D189">
        <f>IF($A189="","",COUNTIF(connections!$A$2:$A$1496,$A189)+COUNTIF(connections!$B$2:$B$1496,$A189))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2010</v>
      </c>
      <c r="U189">
        <f>IF(connections!$A189="","",IFERROR(INDEX(games!$B$2:$B$950,MATCH(connections!$B189,games!$A$2:$A$950,0)),""))</f>
        <v>2013</v>
      </c>
      <c r="V189">
        <f t="shared" si="38"/>
        <v>3</v>
      </c>
    </row>
    <row r="190" spans="1:22" x14ac:dyDescent="0.25">
      <c r="A190" t="str">
        <f>IF(games!$A190="","",games!$A190)</f>
        <v>Decktamer</v>
      </c>
      <c r="B190">
        <f>IF($A190="","",games!$B190)</f>
        <v>2025</v>
      </c>
      <c r="C190" t="str">
        <f>IF($A190="","",games!$C190)</f>
        <v>Deckbuilder</v>
      </c>
      <c r="D190">
        <f>IF($A190="","",COUNTIF(connections!$A$2:$A$1496,$A190)+COUNTIF(connections!$B$2:$B$1496,$A190))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2013</v>
      </c>
      <c r="U190">
        <f>IF(connections!$A190="","",IFERROR(INDEX(games!$B$2:$B$950,MATCH(connections!$B190,games!$A$2:$A$950,0)),""))</f>
        <v>2025</v>
      </c>
      <c r="V190">
        <f t="shared" si="38"/>
        <v>12</v>
      </c>
    </row>
    <row r="191" spans="1:22" x14ac:dyDescent="0.25">
      <c r="A191" t="str">
        <f>IF(games!$A191="","",games!$A191)</f>
        <v>Deep Dungeons of Doom</v>
      </c>
      <c r="B191">
        <f>IF($A191="","",games!$B191)</f>
        <v>2014</v>
      </c>
      <c r="C191" t="str">
        <f>IF($A191="","",games!$C191)</f>
        <v>Action</v>
      </c>
      <c r="D191">
        <f>IF($A191="","",COUNTIF(connections!$A$2:$A$1496,$A191)+COUNTIF(connections!$B$2:$B$1496,$A191))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2001</v>
      </c>
      <c r="U191">
        <f>IF(connections!$A191="","",IFERROR(INDEX(games!$B$2:$B$950,MATCH(connections!$B191,games!$A$2:$A$950,0)),""))</f>
        <v>2015</v>
      </c>
      <c r="V191">
        <f t="shared" si="38"/>
        <v>14</v>
      </c>
    </row>
    <row r="192" spans="1:22" x14ac:dyDescent="0.25">
      <c r="A192" t="str">
        <f>IF(games!$A192="","",games!$A192)</f>
        <v>Deep Rock Galactic: Rogue Core</v>
      </c>
      <c r="B192">
        <f>IF($A192="","",games!$B192)</f>
        <v>2026</v>
      </c>
      <c r="C192" t="str">
        <f>IF($A192="","",games!$C192)</f>
        <v>Action</v>
      </c>
      <c r="D192">
        <f>IF($A192="","",COUNTIF(connections!$A$2:$A$1496,$A192)+COUNTIF(connections!$B$2:$B$1496,$A192))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2003</v>
      </c>
      <c r="U192">
        <f>IF(connections!$A192="","",IFERROR(INDEX(games!$B$2:$B$950,MATCH(connections!$B192,games!$A$2:$A$950,0)),""))</f>
        <v>2015</v>
      </c>
      <c r="V192">
        <f t="shared" si="38"/>
        <v>12</v>
      </c>
    </row>
    <row r="193" spans="1:22" x14ac:dyDescent="0.25">
      <c r="A193" t="str">
        <f>IF(games!$A193="","",games!$A193)</f>
        <v>Deep Rock Galactic: Survivor</v>
      </c>
      <c r="B193">
        <f>IF($A193="","",games!$B193)</f>
        <v>2024</v>
      </c>
      <c r="C193" t="str">
        <f>IF($A193="","",games!$C193)</f>
        <v>Action</v>
      </c>
      <c r="D193">
        <f>IF($A193="","",COUNTIF(connections!$A$2:$A$1496,$A193)+COUNTIF(connections!$B$2:$B$1496,$A193))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Yes</v>
      </c>
      <c r="Q193">
        <f t="shared" si="37"/>
        <v>5.0001930000000003</v>
      </c>
      <c r="T193">
        <f>IF(connections!$A193="","",IFERROR(INDEX(games!$B$2:$B$950,MATCH(connections!$A193,games!$A$2:$A$950,0)),""))</f>
        <v>2008</v>
      </c>
      <c r="U193">
        <f>IF(connections!$A193="","",IFERROR(INDEX(games!$B$2:$B$950,MATCH(connections!$B193,games!$A$2:$A$950,0)),""))</f>
        <v>2015</v>
      </c>
      <c r="V193">
        <f t="shared" si="38"/>
        <v>7</v>
      </c>
    </row>
    <row r="194" spans="1:22" x14ac:dyDescent="0.25">
      <c r="A194" t="str">
        <f>IF(games!$A194="","",games!$A194)</f>
        <v>Deep Sky Derelicts</v>
      </c>
      <c r="B194">
        <f>IF($A194="","",games!$B194)</f>
        <v>2018</v>
      </c>
      <c r="C194" t="str">
        <f>IF($A194="","",games!$C194)</f>
        <v>Deckbuilder</v>
      </c>
      <c r="D194">
        <f>IF($A194="","",COUNTIF(connections!$A$2:$A$1496,$A194)+COUNTIF(connections!$B$2:$B$1496,$A194))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2023</v>
      </c>
      <c r="U194">
        <f>IF(connections!$A194="","",IFERROR(INDEX(games!$B$2:$B$950,MATCH(connections!$B194,games!$A$2:$A$950,0)),""))</f>
        <v>2025</v>
      </c>
      <c r="V194">
        <f t="shared" ref="V194:V257" si="51">IF(OR($T194="",$U194=""),"",$U194-$T194)</f>
        <v>2</v>
      </c>
    </row>
    <row r="195" spans="1:22" x14ac:dyDescent="0.25">
      <c r="A195" t="str">
        <f>IF(games!$A195="","",games!$A195)</f>
        <v>Deepest Chamber: Resurrection</v>
      </c>
      <c r="B195">
        <f>IF($A195="","",games!$B195)</f>
        <v>2021</v>
      </c>
      <c r="C195" t="str">
        <f>IF($A195="","",games!$C195)</f>
        <v>Deckbuilder</v>
      </c>
      <c r="D195">
        <f>IF($A195="","",COUNTIF(connections!$A$2:$A$1496,$A195)+COUNTIF(connections!$B$2:$B$1496,$A195))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2018</v>
      </c>
      <c r="U195">
        <f>IF(connections!$A195="","",IFERROR(INDEX(games!$B$2:$B$950,MATCH(connections!$B195,games!$A$2:$A$950,0)),""))</f>
        <v>2025</v>
      </c>
      <c r="V195">
        <f t="shared" si="51"/>
        <v>7</v>
      </c>
    </row>
    <row r="196" spans="1:22" x14ac:dyDescent="0.25">
      <c r="A196" t="str">
        <f>IF(games!$A196="","",games!$A196)</f>
        <v>Delver</v>
      </c>
      <c r="B196">
        <f>IF($A196="","",games!$B196)</f>
        <v>2012</v>
      </c>
      <c r="C196" t="str">
        <f>IF($A196="","",games!$C196)</f>
        <v>Action</v>
      </c>
      <c r="D196">
        <f>IF($A196="","",COUNTIF(connections!$A$2:$A$1496,$A196)+COUNTIF(connections!$B$2:$B$1496,$A196))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1980</v>
      </c>
      <c r="U196">
        <f>IF(connections!$A196="","",IFERROR(INDEX(games!$B$2:$B$950,MATCH(connections!$B196,games!$A$2:$A$950,0)),""))</f>
        <v>1991</v>
      </c>
      <c r="V196">
        <f t="shared" si="51"/>
        <v>11</v>
      </c>
    </row>
    <row r="197" spans="1:22" x14ac:dyDescent="0.25">
      <c r="A197" t="str">
        <f>IF(games!$A197="","",games!$A197)</f>
        <v>Demon Lord: Just a Block</v>
      </c>
      <c r="B197">
        <f>IF($A197="","",games!$B197)</f>
        <v>2026</v>
      </c>
      <c r="C197" t="str">
        <f>IF($A197="","",games!$C197)</f>
        <v>Traditional</v>
      </c>
      <c r="D197">
        <f>IF($A197="","",COUNTIF(connections!$A$2:$A$1496,$A197)+COUNTIF(connections!$B$2:$B$1496,$A197))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2008</v>
      </c>
      <c r="U197">
        <f>IF(connections!$A197="","",IFERROR(INDEX(games!$B$2:$B$950,MATCH(connections!$B197,games!$A$2:$A$950,0)),""))</f>
        <v>2017</v>
      </c>
      <c r="V197">
        <f t="shared" si="51"/>
        <v>9</v>
      </c>
    </row>
    <row r="198" spans="1:22" x14ac:dyDescent="0.25">
      <c r="A198" t="str">
        <f>IF(games!$A198="","",games!$A198)</f>
        <v>DemonCrawl</v>
      </c>
      <c r="B198">
        <f>IF($A198="","",games!$B198)</f>
        <v>2019</v>
      </c>
      <c r="C198" t="str">
        <f>IF($A198="","",games!$C198)</f>
        <v>Strategy</v>
      </c>
      <c r="D198">
        <f>IF($A198="","",COUNTIF(connections!$A$2:$A$1496,$A198)+COUNTIF(connections!$B$2:$B$1496,$A198))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1994</v>
      </c>
      <c r="U198">
        <f>IF(connections!$A198="","",IFERROR(INDEX(games!$B$2:$B$950,MATCH(connections!$B198,games!$A$2:$A$950,0)),""))</f>
        <v>2010</v>
      </c>
      <c r="V198">
        <f t="shared" si="51"/>
        <v>16</v>
      </c>
    </row>
    <row r="199" spans="1:22" x14ac:dyDescent="0.25">
      <c r="A199" t="str">
        <f>IF(games!$A199="","",games!$A199)</f>
        <v>Demonic Mahjong</v>
      </c>
      <c r="B199">
        <f>IF($A199="","",games!$B199)</f>
        <v>2025</v>
      </c>
      <c r="C199" t="str">
        <f>IF($A199="","",games!$C199)</f>
        <v>Deckbuilder</v>
      </c>
      <c r="D199">
        <f>IF($A199="","",COUNTIF(connections!$A$2:$A$1496,$A199)+COUNTIF(connections!$B$2:$B$1496,$A199))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2006</v>
      </c>
      <c r="U199">
        <f>IF(connections!$A199="","",IFERROR(INDEX(games!$B$2:$B$950,MATCH(connections!$B199,games!$A$2:$A$950,0)),""))</f>
        <v>2010</v>
      </c>
      <c r="V199">
        <f t="shared" si="51"/>
        <v>4</v>
      </c>
    </row>
    <row r="200" spans="1:22" x14ac:dyDescent="0.25">
      <c r="A200" t="str">
        <f>IF(games!$A200="","",games!$A200)</f>
        <v>Demonlore</v>
      </c>
      <c r="B200">
        <f>IF($A200="","",games!$B200)</f>
        <v>2022</v>
      </c>
      <c r="C200" t="str">
        <f>IF($A200="","",games!$C200)</f>
        <v>Strategy</v>
      </c>
      <c r="D200">
        <f>IF($A200="","",COUNTIF(connections!$A$2:$A$1496,$A200)+COUNTIF(connections!$B$2:$B$1496,$A200))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1987</v>
      </c>
      <c r="U200">
        <f>IF(connections!$A200="","",IFERROR(INDEX(games!$B$2:$B$950,MATCH(connections!$B200,games!$A$2:$A$950,0)),""))</f>
        <v>2010</v>
      </c>
      <c r="V200">
        <f t="shared" si="51"/>
        <v>23</v>
      </c>
    </row>
    <row r="201" spans="1:22" x14ac:dyDescent="0.25">
      <c r="A201" t="str">
        <f>IF(games!$A201="","",games!$A201)</f>
        <v>Desktop Dungeons</v>
      </c>
      <c r="B201">
        <f>IF($A201="","",games!$B201)</f>
        <v>2010</v>
      </c>
      <c r="C201" t="str">
        <f>IF($A201="","",games!$C201)</f>
        <v>Traditional</v>
      </c>
      <c r="D201">
        <f>IF($A201="","",COUNTIF(connections!$A$2:$A$1496,$A201)+COUNTIF(connections!$B$2:$B$1496,$A201))</f>
        <v>5</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5.0002009999999997</v>
      </c>
      <c r="P201" t="str">
        <f>IF(OR($A201="",games!$H201=""),"",games!$H201)</f>
        <v/>
      </c>
      <c r="Q201" t="str">
        <f t="shared" si="50"/>
        <v/>
      </c>
      <c r="T201">
        <f>IF(connections!$A201="","",IFERROR(INDEX(games!$B$2:$B$950,MATCH(connections!$A201,games!$A$2:$A$950,0)),""))</f>
        <v>2016</v>
      </c>
      <c r="U201">
        <f>IF(connections!$A201="","",IFERROR(INDEX(games!$B$2:$B$950,MATCH(connections!$B201,games!$A$2:$A$950,0)),""))</f>
        <v>2020</v>
      </c>
      <c r="V201">
        <f t="shared" si="51"/>
        <v>4</v>
      </c>
    </row>
    <row r="202" spans="1:22" x14ac:dyDescent="0.25">
      <c r="A202" t="str">
        <f>IF(games!$A202="","",games!$A202)</f>
        <v>Desktop Survivors 98</v>
      </c>
      <c r="B202">
        <f>IF($A202="","",games!$B202)</f>
        <v>2025</v>
      </c>
      <c r="C202" t="str">
        <f>IF($A202="","",games!$C202)</f>
        <v>Action</v>
      </c>
      <c r="D202">
        <f>IF($A202="","",COUNTIF(connections!$A$2:$A$1496,$A202)+COUNTIF(connections!$B$2:$B$1496,$A202))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2011</v>
      </c>
      <c r="U202">
        <f>IF(connections!$A202="","",IFERROR(INDEX(games!$B$2:$B$950,MATCH(connections!$B202,games!$A$2:$A$950,0)),""))</f>
        <v>2020</v>
      </c>
      <c r="V202">
        <f t="shared" si="51"/>
        <v>9</v>
      </c>
    </row>
    <row r="203" spans="1:22" x14ac:dyDescent="0.25">
      <c r="A203" t="str">
        <f>IF(games!$A203="","",games!$A203)</f>
        <v>Despotism 3k</v>
      </c>
      <c r="B203">
        <f>IF($A203="","",games!$B203)</f>
        <v>2018</v>
      </c>
      <c r="C203" t="str">
        <f>IF($A203="","",games!$C203)</f>
        <v>Strategy</v>
      </c>
      <c r="D203">
        <f>IF($A203="","",COUNTIF(connections!$A$2:$A$1496,$A203)+COUNTIF(connections!$B$2:$B$1496,$A203))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2024</v>
      </c>
      <c r="U203">
        <f>IF(connections!$A203="","",IFERROR(INDEX(games!$B$2:$B$950,MATCH(connections!$B203,games!$A$2:$A$950,0)),""))</f>
        <v>2025</v>
      </c>
      <c r="V203">
        <f t="shared" si="51"/>
        <v>1</v>
      </c>
    </row>
    <row r="204" spans="1:22" x14ac:dyDescent="0.25">
      <c r="A204" t="str">
        <f>IF(games!$A204="","",games!$A204)</f>
        <v>Despot's Game</v>
      </c>
      <c r="B204">
        <f>IF($A204="","",games!$B204)</f>
        <v>2021</v>
      </c>
      <c r="C204" t="str">
        <f>IF($A204="","",games!$C204)</f>
        <v>Action</v>
      </c>
      <c r="D204">
        <f>IF($A204="","",COUNTIF(connections!$A$2:$A$1496,$A204)+COUNTIF(connections!$B$2:$B$1496,$A204))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Devil Slayer: Raksasi</v>
      </c>
      <c r="B205">
        <f>IF($A205="","",games!$B205)</f>
        <v>2019</v>
      </c>
      <c r="C205" t="str">
        <f>IF($A205="","",games!$C205)</f>
        <v>Action</v>
      </c>
      <c r="D205">
        <f>IF($A205="","",COUNTIF(connections!$A$2:$A$1496,$A205)+COUNTIF(connections!$B$2:$B$1496,$A205))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2022</v>
      </c>
      <c r="U205">
        <f>IF(connections!$A205="","",IFERROR(INDEX(games!$B$2:$B$950,MATCH(connections!$B205,games!$A$2:$A$950,0)),""))</f>
        <v>2023</v>
      </c>
      <c r="V205">
        <f t="shared" si="51"/>
        <v>1</v>
      </c>
    </row>
    <row r="206" spans="1:22" x14ac:dyDescent="0.25">
      <c r="A206" t="str">
        <f>IF(games!$A206="","",games!$A206)</f>
        <v>Diablo</v>
      </c>
      <c r="B206">
        <f>IF($A206="","",games!$B206)</f>
        <v>1996</v>
      </c>
      <c r="C206" t="str">
        <f>IF($A206="","",games!$C206)</f>
        <v>Action</v>
      </c>
      <c r="D206">
        <f>IF($A206="","",COUNTIF(connections!$A$2:$A$1496,$A206)+COUNTIF(connections!$B$2:$B$1496,$A206))</f>
        <v>34</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34.000205999999999</v>
      </c>
      <c r="P206" t="str">
        <f>IF(OR($A206="",games!$H206=""),"",games!$H206)</f>
        <v>Yes</v>
      </c>
      <c r="Q206">
        <f t="shared" si="50"/>
        <v>34.000205999999999</v>
      </c>
      <c r="T206">
        <f>IF(connections!$A206="","",IFERROR(INDEX(games!$B$2:$B$950,MATCH(connections!$A206,games!$A$2:$A$950,0)),""))</f>
        <v>2021</v>
      </c>
      <c r="U206">
        <f>IF(connections!$A206="","",IFERROR(INDEX(games!$B$2:$B$950,MATCH(connections!$B206,games!$A$2:$A$950,0)),""))</f>
        <v>2023</v>
      </c>
      <c r="V206">
        <f t="shared" si="51"/>
        <v>2</v>
      </c>
    </row>
    <row r="207" spans="1:22" x14ac:dyDescent="0.25">
      <c r="A207" t="str">
        <f>IF(games!$A207="","",games!$A207)</f>
        <v>Dice &amp; Fold</v>
      </c>
      <c r="B207">
        <f>IF($A207="","",games!$B207)</f>
        <v>2024</v>
      </c>
      <c r="C207" t="str">
        <f>IF($A207="","",games!$C207)</f>
        <v>Deckbuilder</v>
      </c>
      <c r="D207">
        <f>IF($A207="","",COUNTIF(connections!$A$2:$A$1496,$A207)+COUNTIF(connections!$B$2:$B$1496,$A207))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2017</v>
      </c>
      <c r="U207">
        <f>IF(connections!$A207="","",IFERROR(INDEX(games!$B$2:$B$950,MATCH(connections!$B207,games!$A$2:$A$950,0)),""))</f>
        <v>2025</v>
      </c>
      <c r="V207">
        <f t="shared" si="51"/>
        <v>8</v>
      </c>
    </row>
    <row r="208" spans="1:22" x14ac:dyDescent="0.25">
      <c r="A208" t="str">
        <f>IF(games!$A208="","",games!$A208)</f>
        <v>Dice A Million</v>
      </c>
      <c r="B208">
        <f>IF($A208="","",games!$B208)</f>
        <v>2026</v>
      </c>
      <c r="C208" t="str">
        <f>IF($A208="","",games!$C208)</f>
        <v>Deckbuilder</v>
      </c>
      <c r="D208">
        <f>IF($A208="","",COUNTIF(connections!$A$2:$A$1496,$A208)+COUNTIF(connections!$B$2:$B$1496,$A208))</f>
        <v>3</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2022</v>
      </c>
      <c r="V208">
        <f t="shared" si="51"/>
        <v>7</v>
      </c>
    </row>
    <row r="209" spans="1:22" x14ac:dyDescent="0.25">
      <c r="A209" t="str">
        <f>IF(games!$A209="","",games!$A209)</f>
        <v>Dice Legends</v>
      </c>
      <c r="B209">
        <f>IF($A209="","",games!$B209)</f>
        <v>2025</v>
      </c>
      <c r="C209" t="str">
        <f>IF($A209="","",games!$C209)</f>
        <v>Deckbuilder</v>
      </c>
      <c r="D209">
        <f>IF($A209="","",COUNTIF(connections!$A$2:$A$1496,$A209)+COUNTIF(connections!$B$2:$B$1496,$A209))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2022</v>
      </c>
      <c r="V209">
        <f t="shared" si="51"/>
        <v>0</v>
      </c>
    </row>
    <row r="210" spans="1:22" x14ac:dyDescent="0.25">
      <c r="A210" t="str">
        <f>IF(games!$A210="","",games!$A210)</f>
        <v>Dice With Death</v>
      </c>
      <c r="B210">
        <f>IF($A210="","",games!$B210)</f>
        <v>2025</v>
      </c>
      <c r="C210" t="str">
        <f>IF($A210="","",games!$C210)</f>
        <v>Strategy</v>
      </c>
      <c r="D210">
        <f>IF($A210="","",COUNTIF(connections!$A$2:$A$1496,$A210)+COUNTIF(connections!$B$2:$B$1496,$A210))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2017</v>
      </c>
      <c r="U210">
        <f>IF(connections!$A210="","",IFERROR(INDEX(games!$B$2:$B$950,MATCH(connections!$B210,games!$A$2:$A$950,0)),""))</f>
        <v>2022</v>
      </c>
      <c r="V210">
        <f t="shared" si="51"/>
        <v>5</v>
      </c>
    </row>
    <row r="211" spans="1:22" x14ac:dyDescent="0.25">
      <c r="A211" t="str">
        <f>IF(games!$A211="","",games!$A211)</f>
        <v>Dicealot</v>
      </c>
      <c r="B211">
        <f>IF($A211="","",games!$B211)</f>
        <v>2025</v>
      </c>
      <c r="C211" t="str">
        <f>IF($A211="","",games!$C211)</f>
        <v>Deckbuilder</v>
      </c>
      <c r="D211">
        <f>IF($A211="","",COUNTIF(connections!$A$2:$A$1496,$A211)+COUNTIF(connections!$B$2:$B$1496,$A211))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2021</v>
      </c>
      <c r="U211">
        <f>IF(connections!$A211="","",IFERROR(INDEX(games!$B$2:$B$950,MATCH(connections!$B211,games!$A$2:$A$950,0)),""))</f>
        <v>2022</v>
      </c>
      <c r="V211">
        <f t="shared" si="51"/>
        <v>1</v>
      </c>
    </row>
    <row r="212" spans="1:22" x14ac:dyDescent="0.25">
      <c r="A212" t="str">
        <f>IF(games!$A212="","",games!$A212)</f>
        <v>Dicefolk</v>
      </c>
      <c r="B212">
        <f>IF($A212="","",games!$B212)</f>
        <v>2024</v>
      </c>
      <c r="C212" t="str">
        <f>IF($A212="","",games!$C212)</f>
        <v>Deckbuilder</v>
      </c>
      <c r="D212">
        <f>IF($A212="","",COUNTIF(connections!$A$2:$A$1496,$A212)+COUNTIF(connections!$B$2:$B$1496,$A212))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2019</v>
      </c>
      <c r="V212">
        <f t="shared" si="51"/>
        <v>4</v>
      </c>
    </row>
    <row r="213" spans="1:22" x14ac:dyDescent="0.25">
      <c r="A213" t="str">
        <f>IF(games!$A213="","",games!$A213)</f>
        <v>Diceomancer</v>
      </c>
      <c r="B213">
        <f>IF($A213="","",games!$B213)</f>
        <v>2024</v>
      </c>
      <c r="C213" t="str">
        <f>IF($A213="","",games!$C213)</f>
        <v>Deckbuilder</v>
      </c>
      <c r="D213">
        <f>IF($A213="","",COUNTIF(connections!$A$2:$A$1496,$A213)+COUNTIF(connections!$B$2:$B$1496,$A213))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2013</v>
      </c>
      <c r="U213">
        <f>IF(connections!$A213="","",IFERROR(INDEX(games!$B$2:$B$950,MATCH(connections!$B213,games!$A$2:$A$950,0)),""))</f>
        <v>2019</v>
      </c>
      <c r="V213">
        <f t="shared" si="51"/>
        <v>6</v>
      </c>
    </row>
    <row r="214" spans="1:22" x14ac:dyDescent="0.25">
      <c r="A214" t="str">
        <f>IF(games!$A214="","",games!$A214)</f>
        <v>Dicevaders</v>
      </c>
      <c r="B214">
        <f>IF($A214="","",games!$B214)</f>
        <v>2026</v>
      </c>
      <c r="C214" t="str">
        <f>IF($A214="","",games!$C214)</f>
        <v>Deckbuilder</v>
      </c>
      <c r="D214">
        <f>IF($A214="","",COUNTIF(connections!$A$2:$A$1496,$A214)+COUNTIF(connections!$B$2:$B$1496,$A214))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2011</v>
      </c>
      <c r="U214">
        <f>IF(connections!$A214="","",IFERROR(INDEX(games!$B$2:$B$950,MATCH(connections!$B214,games!$A$2:$A$950,0)),""))</f>
        <v>2019</v>
      </c>
      <c r="V214">
        <f t="shared" si="51"/>
        <v>8</v>
      </c>
    </row>
    <row r="215" spans="1:22" x14ac:dyDescent="0.25">
      <c r="A215" t="str">
        <f>IF(games!$A215="","",games!$A215)</f>
        <v>Dicey Dungeons</v>
      </c>
      <c r="B215">
        <f>IF($A215="","",games!$B215)</f>
        <v>2019</v>
      </c>
      <c r="C215" t="str">
        <f>IF($A215="","",games!$C215)</f>
        <v>Deckbuilder</v>
      </c>
      <c r="D215">
        <f>IF($A215="","",COUNTIF(connections!$A$2:$A$1496,$A215)+COUNTIF(connections!$B$2:$B$1496,$A215))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1997</v>
      </c>
      <c r="U215">
        <f>IF(connections!$A215="","",IFERROR(INDEX(games!$B$2:$B$950,MATCH(connections!$B215,games!$A$2:$A$950,0)),""))</f>
        <v>1998</v>
      </c>
      <c r="V215">
        <f t="shared" si="51"/>
        <v>1</v>
      </c>
    </row>
    <row r="216" spans="1:22" x14ac:dyDescent="0.25">
      <c r="A216" t="str">
        <f>IF(games!$A216="","",games!$A216)</f>
        <v>Die For The Lich</v>
      </c>
      <c r="B216">
        <f>IF($A216="","",games!$B216)</f>
        <v>2025</v>
      </c>
      <c r="C216" t="str">
        <f>IF($A216="","",games!$C216)</f>
        <v>Deckbuilder</v>
      </c>
      <c r="D216">
        <f>IF($A216="","",COUNTIF(connections!$A$2:$A$1496,$A216)+COUNTIF(connections!$B$2:$B$1496,$A216))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1993</v>
      </c>
      <c r="U216">
        <f>IF(connections!$A216="","",IFERROR(INDEX(games!$B$2:$B$950,MATCH(connections!$B216,games!$A$2:$A$950,0)),""))</f>
        <v>1997</v>
      </c>
      <c r="V216">
        <f t="shared" si="51"/>
        <v>4</v>
      </c>
    </row>
    <row r="217" spans="1:22" x14ac:dyDescent="0.25">
      <c r="A217" t="str">
        <f>IF(games!$A217="","",games!$A217)</f>
        <v>Die in the Dungeon</v>
      </c>
      <c r="B217">
        <f>IF($A217="","",games!$B217)</f>
        <v>2025</v>
      </c>
      <c r="C217" t="str">
        <f>IF($A217="","",games!$C217)</f>
        <v>Deckbuilder</v>
      </c>
      <c r="D217">
        <f>IF($A217="","",COUNTIF(connections!$A$2:$A$1496,$A217)+COUNTIF(connections!$B$2:$B$1496,$A217))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2007</v>
      </c>
      <c r="U217">
        <f>IF(connections!$A217="","",IFERROR(INDEX(games!$B$2:$B$950,MATCH(connections!$B217,games!$A$2:$A$950,0)),""))</f>
        <v>2019</v>
      </c>
      <c r="V217">
        <f t="shared" si="51"/>
        <v>12</v>
      </c>
    </row>
    <row r="218" spans="1:22" x14ac:dyDescent="0.25">
      <c r="A218" t="str">
        <f>IF(games!$A218="","",games!$A218)</f>
        <v>DIG: Deep In Galaxies</v>
      </c>
      <c r="B218">
        <f>IF($A218="","",games!$B218)</f>
        <v>2021</v>
      </c>
      <c r="C218" t="str">
        <f>IF($A218="","",games!$C218)</f>
        <v>Action</v>
      </c>
      <c r="D218">
        <f>IF($A218="","",COUNTIF(connections!$A$2:$A$1496,$A218)+COUNTIF(connections!$B$2:$B$1496,$A218))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2022</v>
      </c>
      <c r="U218">
        <f>IF(connections!$A218="","",IFERROR(INDEX(games!$B$2:$B$950,MATCH(connections!$B218,games!$A$2:$A$950,0)),""))</f>
        <v>2023</v>
      </c>
      <c r="V218">
        <f t="shared" si="51"/>
        <v>1</v>
      </c>
    </row>
    <row r="219" spans="1:22" x14ac:dyDescent="0.25">
      <c r="A219" t="str">
        <f>IF(games!$A219="","",games!$A219)</f>
        <v>Dimensionals</v>
      </c>
      <c r="B219">
        <f>IF($A219="","",games!$B219)</f>
        <v>2024</v>
      </c>
      <c r="C219" t="str">
        <f>IF($A219="","",games!$C219)</f>
        <v>Deckbuilder</v>
      </c>
      <c r="D219">
        <f>IF($A219="","",COUNTIF(connections!$A$2:$A$1496,$A219)+COUNTIF(connections!$B$2:$B$1496,$A219))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2021</v>
      </c>
      <c r="U219">
        <f>IF(connections!$A219="","",IFERROR(INDEX(games!$B$2:$B$950,MATCH(connections!$B219,games!$A$2:$A$950,0)),""))</f>
        <v>2023</v>
      </c>
      <c r="V219">
        <f t="shared" si="51"/>
        <v>2</v>
      </c>
    </row>
    <row r="220" spans="1:22" x14ac:dyDescent="0.25">
      <c r="A220" t="str">
        <f>IF(games!$A220="","",games!$A220)</f>
        <v>Disfigure</v>
      </c>
      <c r="B220">
        <f>IF($A220="","",games!$B220)</f>
        <v>2023</v>
      </c>
      <c r="C220" t="str">
        <f>IF($A220="","",games!$C220)</f>
        <v>Action</v>
      </c>
      <c r="D220">
        <f>IF($A220="","",COUNTIF(connections!$A$2:$A$1496,$A220)+COUNTIF(connections!$B$2:$B$1496,$A220))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2023</v>
      </c>
      <c r="U220">
        <f>IF(connections!$A220="","",IFERROR(INDEX(games!$B$2:$B$950,MATCH(connections!$B220,games!$A$2:$A$950,0)),""))</f>
        <v>2025</v>
      </c>
      <c r="V220">
        <f t="shared" si="51"/>
        <v>2</v>
      </c>
    </row>
    <row r="221" spans="1:22" x14ac:dyDescent="0.25">
      <c r="A221" t="str">
        <f>IF(games!$A221="","",games!$A221)</f>
        <v>Dive or Die: Children of Rain</v>
      </c>
      <c r="B221">
        <f>IF($A221="","",games!$B221)</f>
        <v>2026</v>
      </c>
      <c r="C221" t="str">
        <f>IF($A221="","",games!$C221)</f>
        <v>Action</v>
      </c>
      <c r="D221">
        <f>IF($A221="","",COUNTIF(connections!$A$2:$A$1496,$A221)+COUNTIF(connections!$B$2:$B$1496,$A221))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2023</v>
      </c>
      <c r="U221">
        <f>IF(connections!$A221="","",IFERROR(INDEX(games!$B$2:$B$950,MATCH(connections!$B221,games!$A$2:$A$950,0)),""))</f>
        <v>2026</v>
      </c>
      <c r="V221">
        <f t="shared" si="51"/>
        <v>3</v>
      </c>
    </row>
    <row r="222" spans="1:22" x14ac:dyDescent="0.25">
      <c r="A222" t="str">
        <f>IF(games!$A222="","",games!$A222)</f>
        <v>Dog and Goblin</v>
      </c>
      <c r="B222">
        <f>IF($A222="","",games!$B222)</f>
        <v>2024</v>
      </c>
      <c r="C222" t="str">
        <f>IF($A222="","",games!$C222)</f>
        <v>Deckbuilder</v>
      </c>
      <c r="D222">
        <f>IF($A222="","",COUNTIF(connections!$A$2:$A$1496,$A222)+COUNTIF(connections!$B$2:$B$1496,$A222))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2021</v>
      </c>
      <c r="U222">
        <f>IF(connections!$A222="","",IFERROR(INDEX(games!$B$2:$B$950,MATCH(connections!$B222,games!$A$2:$A$950,0)),""))</f>
        <v>2026</v>
      </c>
      <c r="V222">
        <f t="shared" si="51"/>
        <v>5</v>
      </c>
    </row>
    <row r="223" spans="1:22" x14ac:dyDescent="0.25">
      <c r="A223" t="str">
        <f>IF(games!$A223="","",games!$A223)</f>
        <v>Dog Witch</v>
      </c>
      <c r="B223">
        <f>IF($A223="","",games!$B223)</f>
        <v>2025</v>
      </c>
      <c r="C223" t="str">
        <f>IF($A223="","",games!$C223)</f>
        <v>Deckbuilder</v>
      </c>
      <c r="D223">
        <f>IF($A223="","",COUNTIF(connections!$A$2:$A$1496,$A223)+COUNTIF(connections!$B$2:$B$1496,$A223))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IF($A224="","",COUNTIF(connections!$A$2:$A$1496,$A224)+COUNTIF(connections!$B$2:$B$1496,$A224))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2017</v>
      </c>
      <c r="U224">
        <f>IF(connections!$A224="","",IFERROR(INDEX(games!$B$2:$B$950,MATCH(connections!$B224,games!$A$2:$A$950,0)),""))</f>
        <v>2019</v>
      </c>
      <c r="V224">
        <f t="shared" si="51"/>
        <v>2</v>
      </c>
    </row>
    <row r="225" spans="1:22" x14ac:dyDescent="0.25">
      <c r="A225" t="str">
        <f>IF(games!$A225="","",games!$A225)</f>
        <v>Dome Keeper</v>
      </c>
      <c r="B225">
        <f>IF($A225="","",games!$B225)</f>
        <v>2022</v>
      </c>
      <c r="C225" t="str">
        <f>IF($A225="","",games!$C225)</f>
        <v>Strategy</v>
      </c>
      <c r="D225">
        <f>IF($A225="","",COUNTIF(connections!$A$2:$A$1496,$A225)+COUNTIF(connections!$B$2:$B$1496,$A225))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2022</v>
      </c>
      <c r="U225">
        <f>IF(connections!$A225="","",IFERROR(INDEX(games!$B$2:$B$950,MATCH(connections!$B225,games!$A$2:$A$950,0)),""))</f>
        <v>2026</v>
      </c>
      <c r="V225">
        <f t="shared" si="51"/>
        <v>4</v>
      </c>
    </row>
    <row r="226" spans="1:22" x14ac:dyDescent="0.25">
      <c r="A226" t="str">
        <f>IF(games!$A226="","",games!$A226)</f>
        <v>Don't Let It Starve</v>
      </c>
      <c r="B226">
        <f>IF($A226="","",games!$B226)</f>
        <v>2026</v>
      </c>
      <c r="C226" t="str">
        <f>IF($A226="","",games!$C226)</f>
        <v>Strategy</v>
      </c>
      <c r="D226">
        <f>IF($A226="","",COUNTIF(connections!$A$2:$A$1496,$A226)+COUNTIF(connections!$B$2:$B$1496,$A226))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2019</v>
      </c>
      <c r="U226">
        <f>IF(connections!$A226="","",IFERROR(INDEX(games!$B$2:$B$950,MATCH(connections!$B226,games!$A$2:$A$950,0)),""))</f>
        <v>2026</v>
      </c>
      <c r="V226">
        <f t="shared" si="51"/>
        <v>7</v>
      </c>
    </row>
    <row r="227" spans="1:22" x14ac:dyDescent="0.25">
      <c r="A227" t="str">
        <f>IF(games!$A227="","",games!$A227)</f>
        <v>Don't Lose Aggro</v>
      </c>
      <c r="B227">
        <f>IF($A227="","",games!$B227)</f>
        <v>2026</v>
      </c>
      <c r="C227" t="str">
        <f>IF($A227="","",games!$C227)</f>
        <v>Action</v>
      </c>
      <c r="D227">
        <f>IF($A227="","",COUNTIF(connections!$A$2:$A$1496,$A227)+COUNTIF(connections!$B$2:$B$1496,$A227))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2022</v>
      </c>
      <c r="U227">
        <f>IF(connections!$A227="","",IFERROR(INDEX(games!$B$2:$B$950,MATCH(connections!$B227,games!$A$2:$A$950,0)),""))</f>
        <v>2025</v>
      </c>
      <c r="V227">
        <f t="shared" si="51"/>
        <v>3</v>
      </c>
    </row>
    <row r="228" spans="1:22" x14ac:dyDescent="0.25">
      <c r="A228" t="str">
        <f>IF(games!$A228="","",games!$A228)</f>
        <v>Don't Starve</v>
      </c>
      <c r="B228">
        <f>IF($A228="","",games!$B228)</f>
        <v>2013</v>
      </c>
      <c r="C228" t="str">
        <f>IF($A228="","",games!$C228)</f>
        <v>Action</v>
      </c>
      <c r="D228">
        <f>IF($A228="","",COUNTIF(connections!$A$2:$A$1496,$A228)+COUNTIF(connections!$B$2:$B$1496,$A228))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2019</v>
      </c>
      <c r="U228">
        <f>IF(connections!$A228="","",IFERROR(INDEX(games!$B$2:$B$950,MATCH(connections!$B228,games!$A$2:$A$950,0)),""))</f>
        <v>2025</v>
      </c>
      <c r="V228">
        <f t="shared" si="51"/>
        <v>6</v>
      </c>
    </row>
    <row r="229" spans="1:22" x14ac:dyDescent="0.25">
      <c r="A229" t="str">
        <f>IF(games!$A229="","",games!$A229)</f>
        <v>Don't Starve Together</v>
      </c>
      <c r="B229">
        <f>IF($A229="","",games!$B229)</f>
        <v>2014</v>
      </c>
      <c r="C229" t="str">
        <f>IF($A229="","",games!$C229)</f>
        <v>Action</v>
      </c>
      <c r="D229">
        <f>IF($A229="","",COUNTIF(connections!$A$2:$A$1496,$A229)+COUNTIF(connections!$B$2:$B$1496,$A229))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2008</v>
      </c>
      <c r="U229">
        <f>IF(connections!$A229="","",IFERROR(INDEX(games!$B$2:$B$950,MATCH(connections!$B229,games!$A$2:$A$950,0)),""))</f>
        <v>2025</v>
      </c>
      <c r="V229">
        <f t="shared" si="51"/>
        <v>17</v>
      </c>
    </row>
    <row r="230" spans="1:22" x14ac:dyDescent="0.25">
      <c r="A230" t="str">
        <f>IF(games!$A230="","",games!$A230)</f>
        <v>DoomRL</v>
      </c>
      <c r="B230">
        <f>IF($A230="","",games!$B230)</f>
        <v>2002</v>
      </c>
      <c r="C230" t="str">
        <f>IF($A230="","",games!$C230)</f>
        <v>Traditional</v>
      </c>
      <c r="D230">
        <f>IF($A230="","",COUNTIF(connections!$A$2:$A$1496,$A230)+COUNTIF(connections!$B$2:$B$1496,$A230))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Dota Auto Chess</v>
      </c>
      <c r="B231">
        <f>IF($A231="","",games!$B231)</f>
        <v>2019</v>
      </c>
      <c r="C231" t="str">
        <f>IF($A231="","",games!$C231)</f>
        <v>Strategy</v>
      </c>
      <c r="D231">
        <f>IF($A231="","",COUNTIF(connections!$A$2:$A$1496,$A231)+COUNTIF(connections!$B$2:$B$1496,$A231))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Double Dragon Gaiden: Rise Of The Dragons</v>
      </c>
      <c r="B232">
        <f>IF($A232="","",games!$B232)</f>
        <v>2023</v>
      </c>
      <c r="C232" t="str">
        <f>IF($A232="","",games!$C232)</f>
        <v>Action</v>
      </c>
      <c r="D232">
        <f>IF($A232="","",COUNTIF(connections!$A$2:$A$1496,$A232)+COUNTIF(connections!$B$2:$B$1496,$A232))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2022</v>
      </c>
      <c r="U232">
        <f>IF(connections!$A232="","",IFERROR(INDEX(games!$B$2:$B$950,MATCH(connections!$B232,games!$A$2:$A$950,0)),""))</f>
        <v>2024</v>
      </c>
      <c r="V232">
        <f t="shared" si="51"/>
        <v>2</v>
      </c>
    </row>
    <row r="233" spans="1:22" x14ac:dyDescent="0.25">
      <c r="A233" t="str">
        <f>IF(games!$A233="","",games!$A233)</f>
        <v>Downwell</v>
      </c>
      <c r="B233">
        <f>IF($A233="","",games!$B233)</f>
        <v>2015</v>
      </c>
      <c r="C233" t="str">
        <f>IF($A233="","",games!$C233)</f>
        <v>Action</v>
      </c>
      <c r="D233">
        <f>IF($A233="","",COUNTIF(connections!$A$2:$A$1496,$A233)+COUNTIF(connections!$B$2:$B$1496,$A233))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2017</v>
      </c>
      <c r="U233">
        <f>IF(connections!$A233="","",IFERROR(INDEX(games!$B$2:$B$950,MATCH(connections!$B233,games!$A$2:$A$950,0)),""))</f>
        <v>2024</v>
      </c>
      <c r="V233">
        <f t="shared" si="51"/>
        <v>7</v>
      </c>
    </row>
    <row r="234" spans="1:22" x14ac:dyDescent="0.25">
      <c r="A234" t="str">
        <f>IF(games!$A234="","",games!$A234)</f>
        <v>Dragon Crystal</v>
      </c>
      <c r="B234">
        <f>IF($A234="","",games!$B234)</f>
        <v>1990</v>
      </c>
      <c r="C234" t="str">
        <f>IF($A234="","",games!$C234)</f>
        <v>Traditional</v>
      </c>
      <c r="D234">
        <f>IF($A234="","",COUNTIF(connections!$A$2:$A$1496,$A234)+COUNTIF(connections!$B$2:$B$1496,$A234))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2011</v>
      </c>
      <c r="U234">
        <f>IF(connections!$A234="","",IFERROR(INDEX(games!$B$2:$B$950,MATCH(connections!$B234,games!$A$2:$A$950,0)),""))</f>
        <v>2024</v>
      </c>
      <c r="V234">
        <f t="shared" si="51"/>
        <v>13</v>
      </c>
    </row>
    <row r="235" spans="1:22" x14ac:dyDescent="0.25">
      <c r="A235" t="str">
        <f>IF(games!$A235="","",games!$A235)</f>
        <v>Dragon Quest Heroes: Torneko‘s Mystery Dungeon Classic HD</v>
      </c>
      <c r="B235">
        <f>IF($A235="","",games!$B235)</f>
        <v>2026</v>
      </c>
      <c r="C235" t="str">
        <f>IF($A235="","",games!$C235)</f>
        <v>Traditional</v>
      </c>
      <c r="D235">
        <f>IF($A235="","",COUNTIF(connections!$A$2:$A$1496,$A235)+COUNTIF(connections!$B$2:$B$1496,$A235))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2023</v>
      </c>
      <c r="U235">
        <f>IF(connections!$A235="","",IFERROR(INDEX(games!$B$2:$B$950,MATCH(connections!$B235,games!$A$2:$A$950,0)),""))</f>
        <v>2025</v>
      </c>
      <c r="V235">
        <f t="shared" si="51"/>
        <v>2</v>
      </c>
    </row>
    <row r="236" spans="1:22" x14ac:dyDescent="0.25">
      <c r="A236" t="str">
        <f>IF(games!$A236="","",games!$A236)</f>
        <v>Dragon Quest: Young Yangus and the Mystery Dungeon</v>
      </c>
      <c r="B236">
        <f>IF($A236="","",games!$B236)</f>
        <v>2006</v>
      </c>
      <c r="C236" t="str">
        <f>IF($A236="","",games!$C236)</f>
        <v>Traditional</v>
      </c>
      <c r="D236">
        <f>IF($A236="","",COUNTIF(connections!$A$2:$A$1496,$A236)+COUNTIF(connections!$B$2:$B$1496,$A236))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2019</v>
      </c>
      <c r="U236">
        <f>IF(connections!$A236="","",IFERROR(INDEX(games!$B$2:$B$950,MATCH(connections!$B236,games!$A$2:$A$950,0)),""))</f>
        <v>2023</v>
      </c>
      <c r="V236">
        <f t="shared" si="51"/>
        <v>4</v>
      </c>
    </row>
    <row r="237" spans="1:22" x14ac:dyDescent="0.25">
      <c r="A237" t="str">
        <f>IF(games!$A237="","",games!$A237)</f>
        <v>Dragonslayer</v>
      </c>
      <c r="B237">
        <f>IF($A237="","",games!$B237)</f>
        <v>2003</v>
      </c>
      <c r="C237" t="str">
        <f>IF($A237="","",games!$C237)</f>
        <v>Traditional</v>
      </c>
      <c r="D237">
        <f>IF($A237="","",COUNTIF(connections!$A$2:$A$1496,$A237)+COUNTIF(connections!$B$2:$B$1496,$A237))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2021</v>
      </c>
      <c r="U237">
        <f>IF(connections!$A237="","",IFERROR(INDEX(games!$B$2:$B$950,MATCH(connections!$B237,games!$A$2:$A$950,0)),""))</f>
        <v>2023</v>
      </c>
      <c r="V237">
        <f t="shared" si="51"/>
        <v>2</v>
      </c>
    </row>
    <row r="238" spans="1:22" x14ac:dyDescent="0.25">
      <c r="A238" t="str">
        <f>IF(games!$A238="","",games!$A238)</f>
        <v>Drapline</v>
      </c>
      <c r="B238">
        <f>IF($A238="","",games!$B238)</f>
        <v>2025</v>
      </c>
      <c r="C238" t="str">
        <f>IF($A238="","",games!$C238)</f>
        <v>Strategy</v>
      </c>
      <c r="D238">
        <f>IF($A238="","",COUNTIF(connections!$A$2:$A$1496,$A238)+COUNTIF(connections!$B$2:$B$1496,$A238))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2023</v>
      </c>
      <c r="V238">
        <f t="shared" si="51"/>
        <v>5</v>
      </c>
    </row>
    <row r="239" spans="1:22" x14ac:dyDescent="0.25">
      <c r="A239" t="str">
        <f>IF(games!$A239="","",games!$A239)</f>
        <v>Dream Quest</v>
      </c>
      <c r="B239">
        <f>IF($A239="","",games!$B239)</f>
        <v>2014</v>
      </c>
      <c r="C239" t="str">
        <f>IF($A239="","",games!$C239)</f>
        <v>Deckbuilder</v>
      </c>
      <c r="D239">
        <f>IF($A239="","",COUNTIF(connections!$A$2:$A$1496,$A239)+COUNTIF(connections!$B$2:$B$1496,$A239))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2017</v>
      </c>
      <c r="U239">
        <f>IF(connections!$A239="","",IFERROR(INDEX(games!$B$2:$B$950,MATCH(connections!$B239,games!$A$2:$A$950,0)),""))</f>
        <v>2023</v>
      </c>
      <c r="V239">
        <f t="shared" si="51"/>
        <v>6</v>
      </c>
    </row>
    <row r="240" spans="1:22" x14ac:dyDescent="0.25">
      <c r="A240" t="str">
        <f>IF(games!$A240="","",games!$A240)</f>
        <v>Dreamscaper</v>
      </c>
      <c r="B240">
        <f>IF($A240="","",games!$B240)</f>
        <v>2020</v>
      </c>
      <c r="C240" t="str">
        <f>IF($A240="","",games!$C240)</f>
        <v>Action</v>
      </c>
      <c r="D240">
        <f>IF($A240="","",COUNTIF(connections!$A$2:$A$1496,$A240)+COUNTIF(connections!$B$2:$B$1496,$A240))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2006</v>
      </c>
      <c r="U240">
        <f>IF(connections!$A240="","",IFERROR(INDEX(games!$B$2:$B$950,MATCH(connections!$B240,games!$A$2:$A$950,0)),""))</f>
        <v>2017</v>
      </c>
      <c r="V240">
        <f t="shared" si="51"/>
        <v>11</v>
      </c>
    </row>
    <row r="241" spans="1:22" x14ac:dyDescent="0.25">
      <c r="A241" t="str">
        <f>IF(games!$A241="","",games!$A241)</f>
        <v>Drill Core</v>
      </c>
      <c r="B241">
        <f>IF($A241="","",games!$B241)</f>
        <v>2024</v>
      </c>
      <c r="C241" t="str">
        <f>IF($A241="","",games!$C241)</f>
        <v>Strategy</v>
      </c>
      <c r="D241">
        <f>IF($A241="","",COUNTIF(connections!$A$2:$A$1496,$A241)+COUNTIF(connections!$B$2:$B$1496,$A241))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2008</v>
      </c>
      <c r="U241">
        <f>IF(connections!$A241="","",IFERROR(INDEX(games!$B$2:$B$950,MATCH(connections!$B241,games!$A$2:$A$950,0)),""))</f>
        <v>2013</v>
      </c>
      <c r="V241">
        <f t="shared" si="51"/>
        <v>5</v>
      </c>
    </row>
    <row r="242" spans="1:22" x14ac:dyDescent="0.25">
      <c r="A242" t="str">
        <f>IF(games!$A242="","",games!$A242)</f>
        <v>Driving Rogue</v>
      </c>
      <c r="B242">
        <f>IF($A242="","",games!$B242)</f>
        <v>2026</v>
      </c>
      <c r="C242" t="str">
        <f>IF($A242="","",games!$C242)</f>
        <v>Action</v>
      </c>
      <c r="D242">
        <f>IF($A242="","",COUNTIF(connections!$A$2:$A$1496,$A242)+COUNTIF(connections!$B$2:$B$1496,$A242))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IF($A243="","",COUNTIF(connections!$A$2:$A$1496,$A243)+COUNTIF(connections!$B$2:$B$1496,$A243))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2026</v>
      </c>
      <c r="V243">
        <f t="shared" si="51"/>
        <v>3</v>
      </c>
    </row>
    <row r="244" spans="1:22" x14ac:dyDescent="0.25">
      <c r="A244" t="str">
        <f>IF(games!$A244="","",games!$A244)</f>
        <v>Drop Pockets</v>
      </c>
      <c r="B244">
        <f>IF($A244="","",games!$B244)</f>
        <v>2025</v>
      </c>
      <c r="C244" t="str">
        <f>IF($A244="","",games!$C244)</f>
        <v>Strategy</v>
      </c>
      <c r="D244">
        <f>IF($A244="","",COUNTIF(connections!$A$2:$A$1496,$A244)+COUNTIF(connections!$B$2:$B$1496,$A244))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2021</v>
      </c>
      <c r="U244">
        <f>IF(connections!$A244="","",IFERROR(INDEX(games!$B$2:$B$950,MATCH(connections!$B244,games!$A$2:$A$950,0)),""))</f>
        <v>2026</v>
      </c>
      <c r="V244">
        <f t="shared" si="51"/>
        <v>5</v>
      </c>
    </row>
    <row r="245" spans="1:22" x14ac:dyDescent="0.25">
      <c r="A245" t="str">
        <f>IF(games!$A245="","",games!$A245)</f>
        <v>Dungeon Clawler</v>
      </c>
      <c r="B245">
        <f>IF($A245="","",games!$B245)</f>
        <v>2024</v>
      </c>
      <c r="C245" t="str">
        <f>IF($A245="","",games!$C245)</f>
        <v>Deckbuilder</v>
      </c>
      <c r="D245">
        <f>IF($A245="","",COUNTIF(connections!$A$2:$A$1496,$A245)+COUNTIF(connections!$B$2:$B$1496,$A245))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2017</v>
      </c>
      <c r="U245">
        <f>IF(connections!$A245="","",IFERROR(INDEX(games!$B$2:$B$950,MATCH(connections!$B245,games!$A$2:$A$950,0)),""))</f>
        <v>2025</v>
      </c>
      <c r="V245">
        <f t="shared" si="51"/>
        <v>8</v>
      </c>
    </row>
    <row r="246" spans="1:22" x14ac:dyDescent="0.25">
      <c r="A246" t="str">
        <f>IF(games!$A246="","",games!$A246)</f>
        <v>Dungeon Crawl Stone Soup</v>
      </c>
      <c r="B246">
        <f>IF($A246="","",games!$B246)</f>
        <v>2006</v>
      </c>
      <c r="C246" t="str">
        <f>IF($A246="","",games!$C246)</f>
        <v>Traditional</v>
      </c>
      <c r="D246">
        <f>IF($A246="","",COUNTIF(connections!$A$2:$A$1496,$A246)+COUNTIF(connections!$B$2:$B$1496,$A246))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2011</v>
      </c>
      <c r="U246">
        <f>IF(connections!$A246="","",IFERROR(INDEX(games!$B$2:$B$950,MATCH(connections!$B246,games!$A$2:$A$950,0)),""))</f>
        <v>2022</v>
      </c>
      <c r="V246">
        <f t="shared" si="51"/>
        <v>11</v>
      </c>
    </row>
    <row r="247" spans="1:22" x14ac:dyDescent="0.25">
      <c r="A247" t="str">
        <f>IF(games!$A247="","",games!$A247)</f>
        <v>Dungeon Deathball</v>
      </c>
      <c r="B247">
        <f>IF($A247="","",games!$B247)</f>
        <v>2021</v>
      </c>
      <c r="C247" t="str">
        <f>IF($A247="","",games!$C247)</f>
        <v>Strategy</v>
      </c>
      <c r="D247">
        <f>IF($A247="","",COUNTIF(connections!$A$2:$A$1496,$A247)+COUNTIF(connections!$B$2:$B$1496,$A247))</f>
        <v>1</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2012</v>
      </c>
      <c r="U247">
        <f>IF(connections!$A247="","",IFERROR(INDEX(games!$B$2:$B$950,MATCH(connections!$B247,games!$A$2:$A$950,0)),""))</f>
        <v>2015</v>
      </c>
      <c r="V247">
        <f t="shared" si="51"/>
        <v>3</v>
      </c>
    </row>
    <row r="248" spans="1:22" x14ac:dyDescent="0.25">
      <c r="A248" t="str">
        <f>IF(games!$A248="","",games!$A248)</f>
        <v>Dungeon Drafters</v>
      </c>
      <c r="B248">
        <f>IF($A248="","",games!$B248)</f>
        <v>2023</v>
      </c>
      <c r="C248" t="str">
        <f>IF($A248="","",games!$C248)</f>
        <v>Traditional</v>
      </c>
      <c r="D248">
        <f>IF($A248="","",COUNTIF(connections!$A$2:$A$1496,$A248)+COUNTIF(connections!$B$2:$B$1496,$A248))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2017</v>
      </c>
      <c r="U248">
        <f>IF(connections!$A248="","",IFERROR(INDEX(games!$B$2:$B$950,MATCH(connections!$B248,games!$A$2:$A$950,0)),""))</f>
        <v>2020</v>
      </c>
      <c r="V248">
        <f t="shared" si="51"/>
        <v>3</v>
      </c>
    </row>
    <row r="249" spans="1:22" x14ac:dyDescent="0.25">
      <c r="A249" t="str">
        <f>IF(games!$A249="","",games!$A249)</f>
        <v>Dungeon Hack</v>
      </c>
      <c r="B249">
        <f>IF($A249="","",games!$B249)</f>
        <v>1993</v>
      </c>
      <c r="C249" t="str">
        <f>IF($A249="","",games!$C249)</f>
        <v>Action</v>
      </c>
      <c r="D249">
        <f>IF($A249="","",COUNTIF(connections!$A$2:$A$1496,$A249)+COUNTIF(connections!$B$2:$B$1496,$A249))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2015</v>
      </c>
      <c r="U249">
        <f>IF(connections!$A249="","",IFERROR(INDEX(games!$B$2:$B$950,MATCH(connections!$B249,games!$A$2:$A$950,0)),""))</f>
        <v>2023</v>
      </c>
      <c r="V249">
        <f t="shared" si="51"/>
        <v>8</v>
      </c>
    </row>
    <row r="250" spans="1:22" x14ac:dyDescent="0.25">
      <c r="A250" t="str">
        <f>IF(games!$A250="","",games!$A250)</f>
        <v>Dungeon of Windaria</v>
      </c>
      <c r="B250">
        <f>IF($A250="","",games!$B250)</f>
        <v>2008</v>
      </c>
      <c r="C250" t="str">
        <f>IF($A250="","",games!$C250)</f>
        <v>Traditional</v>
      </c>
      <c r="D250">
        <f>IF($A250="","",COUNTIF(connections!$A$2:$A$1496,$A250)+COUNTIF(connections!$B$2:$B$1496,$A250))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2020</v>
      </c>
      <c r="U250">
        <f>IF(connections!$A250="","",IFERROR(INDEX(games!$B$2:$B$950,MATCH(connections!$B250,games!$A$2:$A$950,0)),""))</f>
        <v>2023</v>
      </c>
      <c r="V250">
        <f t="shared" si="51"/>
        <v>3</v>
      </c>
    </row>
    <row r="251" spans="1:22" x14ac:dyDescent="0.25">
      <c r="A251" t="str">
        <f>IF(games!$A251="","",games!$A251)</f>
        <v>Dungeon Rushers</v>
      </c>
      <c r="B251">
        <f>IF($A251="","",games!$B251)</f>
        <v>2016</v>
      </c>
      <c r="C251" t="str">
        <f>IF($A251="","",games!$C251)</f>
        <v>Strategy</v>
      </c>
      <c r="D251">
        <f>IF($A251="","",COUNTIF(connections!$A$2:$A$1496,$A251)+COUNTIF(connections!$B$2:$B$1496,$A251))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2023</v>
      </c>
      <c r="V251">
        <f t="shared" si="51"/>
        <v>4</v>
      </c>
    </row>
    <row r="252" spans="1:22" x14ac:dyDescent="0.25">
      <c r="A252" t="str">
        <f>IF(games!$A252="","",games!$A252)</f>
        <v>Dungeonmans</v>
      </c>
      <c r="B252">
        <f>IF($A252="","",games!$B252)</f>
        <v>2010</v>
      </c>
      <c r="C252" t="str">
        <f>IF($A252="","",games!$C252)</f>
        <v>Traditional</v>
      </c>
      <c r="D252">
        <f>IF($A252="","",COUNTIF(connections!$A$2:$A$1496,$A252)+COUNTIF(connections!$B$2:$B$1496,$A252))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2019</v>
      </c>
      <c r="U252">
        <f>IF(connections!$A252="","",IFERROR(INDEX(games!$B$2:$B$950,MATCH(connections!$B252,games!$A$2:$A$950,0)),""))</f>
        <v>2023</v>
      </c>
      <c r="V252">
        <f t="shared" si="51"/>
        <v>4</v>
      </c>
    </row>
    <row r="253" spans="1:22" x14ac:dyDescent="0.25">
      <c r="A253" t="str">
        <f>IF(games!$A253="","",games!$A253)</f>
        <v>Dungeons &amp; Degenerate Gamblers</v>
      </c>
      <c r="B253">
        <f>IF($A253="","",games!$B253)</f>
        <v>2024</v>
      </c>
      <c r="C253" t="str">
        <f>IF($A253="","",games!$C253)</f>
        <v>Deckbuilder</v>
      </c>
      <c r="D253">
        <f>IF($A253="","",COUNTIF(connections!$A$2:$A$1496,$A253)+COUNTIF(connections!$B$2:$B$1496,$A253))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2020</v>
      </c>
      <c r="U253">
        <f>IF(connections!$A253="","",IFERROR(INDEX(games!$B$2:$B$950,MATCH(connections!$B253,games!$A$2:$A$950,0)),""))</f>
        <v>2023</v>
      </c>
      <c r="V253">
        <f t="shared" si="51"/>
        <v>3</v>
      </c>
    </row>
    <row r="254" spans="1:22" x14ac:dyDescent="0.25">
      <c r="A254" t="str">
        <f>IF(games!$A254="","",games!$A254)</f>
        <v>Dungeons of Blood and Dream</v>
      </c>
      <c r="B254">
        <f>IF($A254="","",games!$B254)</f>
        <v>2024</v>
      </c>
      <c r="C254" t="str">
        <f>IF($A254="","",games!$C254)</f>
        <v>Action</v>
      </c>
      <c r="D254">
        <f>IF($A254="","",COUNTIF(connections!$A$2:$A$1496,$A254)+COUNTIF(connections!$B$2:$B$1496,$A254))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2017</v>
      </c>
      <c r="U254">
        <f>IF(connections!$A254="","",IFERROR(INDEX(games!$B$2:$B$950,MATCH(connections!$B254,games!$A$2:$A$950,0)),""))</f>
        <v>2023</v>
      </c>
      <c r="V254">
        <f t="shared" si="51"/>
        <v>6</v>
      </c>
    </row>
    <row r="255" spans="1:22" x14ac:dyDescent="0.25">
      <c r="A255" t="str">
        <f>IF(games!$A255="","",games!$A255)</f>
        <v>Dungeons of Dredmor</v>
      </c>
      <c r="B255">
        <f>IF($A255="","",games!$B255)</f>
        <v>2011</v>
      </c>
      <c r="C255" t="str">
        <f>IF($A255="","",games!$C255)</f>
        <v>Traditional</v>
      </c>
      <c r="D255">
        <f>IF($A255="","",COUNTIF(connections!$A$2:$A$1496,$A255)+COUNTIF(connections!$B$2:$B$1496,$A255))</f>
        <v>8</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8.0002549999999992</v>
      </c>
      <c r="P255" t="str">
        <f>IF(OR($A255="",games!$H255=""),"",games!$H255)</f>
        <v>Yes</v>
      </c>
      <c r="Q255">
        <f t="shared" si="50"/>
        <v>8.0002549999999992</v>
      </c>
      <c r="T255">
        <f>IF(connections!$A255="","",IFERROR(INDEX(games!$B$2:$B$950,MATCH(connections!$A255,games!$A$2:$A$950,0)),""))</f>
        <v>2008</v>
      </c>
      <c r="U255">
        <f>IF(connections!$A255="","",IFERROR(INDEX(games!$B$2:$B$950,MATCH(connections!$B255,games!$A$2:$A$950,0)),""))</f>
        <v>2023</v>
      </c>
      <c r="V255">
        <f t="shared" si="51"/>
        <v>15</v>
      </c>
    </row>
    <row r="256" spans="1:22" x14ac:dyDescent="0.25">
      <c r="A256" t="str">
        <f>IF(games!$A256="","",games!$A256)</f>
        <v>Dungreed</v>
      </c>
      <c r="B256">
        <f>IF($A256="","",games!$B256)</f>
        <v>2018</v>
      </c>
      <c r="C256" t="str">
        <f>IF($A256="","",games!$C256)</f>
        <v>Action</v>
      </c>
      <c r="D256">
        <f>IF($A256="","",COUNTIF(connections!$A$2:$A$1496,$A256)+COUNTIF(connections!$B$2:$B$1496,$A256))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2011</v>
      </c>
      <c r="U256">
        <f>IF(connections!$A256="","",IFERROR(INDEX(games!$B$2:$B$950,MATCH(connections!$B256,games!$A$2:$A$950,0)),""))</f>
        <v>2023</v>
      </c>
      <c r="V256">
        <f t="shared" si="51"/>
        <v>12</v>
      </c>
    </row>
    <row r="257" spans="1:22" x14ac:dyDescent="0.25">
      <c r="A257" t="str">
        <f>IF(games!$A257="","",games!$A257)</f>
        <v>Dunjungle</v>
      </c>
      <c r="B257">
        <f>IF($A257="","",games!$B257)</f>
        <v>2025</v>
      </c>
      <c r="C257" t="str">
        <f>IF($A257="","",games!$C257)</f>
        <v>Action</v>
      </c>
      <c r="D257">
        <f>IF($A257="","",COUNTIF(connections!$A$2:$A$1496,$A257)+COUNTIF(connections!$B$2:$B$1496,$A257))</f>
        <v>5</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
      </c>
      <c r="Q257" t="str">
        <f t="shared" si="50"/>
        <v/>
      </c>
      <c r="T257">
        <f>IF(connections!$A257="","",IFERROR(INDEX(games!$B$2:$B$950,MATCH(connections!$A257,games!$A$2:$A$950,0)),""))</f>
        <v>1994</v>
      </c>
      <c r="U257">
        <f>IF(connections!$A257="","",IFERROR(INDEX(games!$B$2:$B$950,MATCH(connections!$B257,games!$A$2:$A$950,0)),""))</f>
        <v>2025</v>
      </c>
      <c r="V257">
        <f t="shared" si="51"/>
        <v>31</v>
      </c>
    </row>
    <row r="258" spans="1:22" x14ac:dyDescent="0.25">
      <c r="A258" t="str">
        <f>IF(games!$A258="","",games!$A258)</f>
        <v>Dwarf Fortress</v>
      </c>
      <c r="B258">
        <f>IF($A258="","",games!$B258)</f>
        <v>2006</v>
      </c>
      <c r="C258" t="str">
        <f>IF($A258="","",games!$C258)</f>
        <v>Strategy</v>
      </c>
      <c r="D258">
        <f>IF($A258="","",COUNTIF(connections!$A$2:$A$1496,$A258)+COUNTIF(connections!$B$2:$B$1496,$A258))</f>
        <v>12</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12.000258000000001</v>
      </c>
      <c r="P258" t="str">
        <f>IF(OR($A258="",games!$H258=""),"",games!$H258)</f>
        <v>Yes</v>
      </c>
      <c r="Q258">
        <f t="shared" ref="Q258:Q321" si="63">IF(OR($A258="",$P258&lt;&gt;"Yes"),"",$D258+ROW()/1000000)</f>
        <v>12.000258000000001</v>
      </c>
      <c r="T258">
        <f>IF(connections!$A258="","",IFERROR(INDEX(games!$B$2:$B$950,MATCH(connections!$A258,games!$A$2:$A$950,0)),""))</f>
        <v>1990</v>
      </c>
      <c r="U258">
        <f>IF(connections!$A258="","",IFERROR(INDEX(games!$B$2:$B$950,MATCH(connections!$B258,games!$A$2:$A$950,0)),""))</f>
        <v>2025</v>
      </c>
      <c r="V258">
        <f t="shared" ref="V258:V321" si="64">IF(OR($T258="",$U258=""),"",$U258-$T258)</f>
        <v>35</v>
      </c>
    </row>
    <row r="259" spans="1:22" x14ac:dyDescent="0.25">
      <c r="A259" t="str">
        <f>IF(games!$A259="","",games!$A259)</f>
        <v>Dwarves: Glory, Death and Loot</v>
      </c>
      <c r="B259">
        <f>IF($A259="","",games!$B259)</f>
        <v>2023</v>
      </c>
      <c r="C259" t="str">
        <f>IF($A259="","",games!$C259)</f>
        <v>Strategy</v>
      </c>
      <c r="D259">
        <f>IF($A259="","",COUNTIF(connections!$A$2:$A$1496,$A259)+COUNTIF(connections!$B$2:$B$1496,$A259))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Elden Ring Nightreign</v>
      </c>
      <c r="B260">
        <f>IF($A260="","",games!$B260)</f>
        <v>2025</v>
      </c>
      <c r="C260" t="str">
        <f>IF($A260="","",games!$C260)</f>
        <v>Action</v>
      </c>
      <c r="D260">
        <f>IF($A260="","",COUNTIF(connections!$A$2:$A$1496,$A260)+COUNTIF(connections!$B$2:$B$1496,$A260))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2017</v>
      </c>
      <c r="V260">
        <f t="shared" si="64"/>
        <v>21</v>
      </c>
    </row>
    <row r="261" spans="1:22" x14ac:dyDescent="0.25">
      <c r="A261" t="str">
        <f>IF(games!$A261="","",games!$A261)</f>
        <v>Eldritch</v>
      </c>
      <c r="B261">
        <f>IF($A261="","",games!$B261)</f>
        <v>2013</v>
      </c>
      <c r="C261" t="str">
        <f>IF($A261="","",games!$C261)</f>
        <v>Action</v>
      </c>
      <c r="D261">
        <f>IF($A261="","",COUNTIF(connections!$A$2:$A$1496,$A261)+COUNTIF(connections!$B$2:$B$1496,$A261))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2011</v>
      </c>
      <c r="U261">
        <f>IF(connections!$A261="","",IFERROR(INDEX(games!$B$2:$B$950,MATCH(connections!$B261,games!$A$2:$A$950,0)),""))</f>
        <v>2017</v>
      </c>
      <c r="V261">
        <f t="shared" si="64"/>
        <v>6</v>
      </c>
    </row>
    <row r="262" spans="1:22" x14ac:dyDescent="0.25">
      <c r="A262" t="str">
        <f>IF(games!$A262="","",games!$A262)</f>
        <v>Elemental Survivors</v>
      </c>
      <c r="B262">
        <f>IF($A262="","",games!$B262)</f>
        <v>2023</v>
      </c>
      <c r="C262" t="str">
        <f>IF($A262="","",games!$C262)</f>
        <v>Action</v>
      </c>
      <c r="D262">
        <f>IF($A262="","",COUNTIF(connections!$A$2:$A$1496,$A262)+COUNTIF(connections!$B$2:$B$1496,$A262))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2021</v>
      </c>
      <c r="U262">
        <f>IF(connections!$A262="","",IFERROR(INDEX(games!$B$2:$B$950,MATCH(connections!$B262,games!$A$2:$A$950,0)),""))</f>
        <v>2023</v>
      </c>
      <c r="V262">
        <f t="shared" si="64"/>
        <v>2</v>
      </c>
    </row>
    <row r="263" spans="1:22" x14ac:dyDescent="0.25">
      <c r="A263" t="str">
        <f>IF(games!$A263="","",games!$A263)</f>
        <v>Elewar: Fused Survivors</v>
      </c>
      <c r="B263">
        <f>IF($A263="","",games!$B263)</f>
        <v>2023</v>
      </c>
      <c r="C263" t="str">
        <f>IF($A263="","",games!$C263)</f>
        <v>Action</v>
      </c>
      <c r="D263">
        <f>IF($A263="","",COUNTIF(connections!$A$2:$A$1496,$A263)+COUNTIF(connections!$B$2:$B$1496,$A263))</f>
        <v>3</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3.0002629999999999</v>
      </c>
      <c r="P263" t="str">
        <f>IF(OR($A263="",games!$H263=""),"",games!$H263)</f>
        <v>Yes</v>
      </c>
      <c r="Q263">
        <f t="shared" si="63"/>
        <v>3.0002629999999999</v>
      </c>
      <c r="T263">
        <f>IF(connections!$A263="","",IFERROR(INDEX(games!$B$2:$B$950,MATCH(connections!$A263,games!$A$2:$A$950,0)),""))</f>
        <v>2023</v>
      </c>
      <c r="U263">
        <f>IF(connections!$A263="","",IFERROR(INDEX(games!$B$2:$B$950,MATCH(connections!$B263,games!$A$2:$A$950,0)),""))</f>
        <v>2026</v>
      </c>
      <c r="V263">
        <f t="shared" si="64"/>
        <v>3</v>
      </c>
    </row>
    <row r="264" spans="1:22" x14ac:dyDescent="0.25">
      <c r="A264" t="str">
        <f>IF(games!$A264="","",games!$A264)</f>
        <v>Elin</v>
      </c>
      <c r="B264">
        <f>IF($A264="","",games!$B264)</f>
        <v>2024</v>
      </c>
      <c r="C264" t="str">
        <f>IF($A264="","",games!$C264)</f>
        <v>Traditional</v>
      </c>
      <c r="D264">
        <f>IF($A264="","",COUNTIF(connections!$A$2:$A$1496,$A264)+COUNTIF(connections!$B$2:$B$1496,$A264))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2026</v>
      </c>
      <c r="V264">
        <f t="shared" si="64"/>
        <v>8</v>
      </c>
    </row>
    <row r="265" spans="1:22" x14ac:dyDescent="0.25">
      <c r="A265" t="str">
        <f>IF(games!$A265="","",games!$A265)</f>
        <v>Elona</v>
      </c>
      <c r="B265">
        <f>IF($A265="","",games!$B265)</f>
        <v>2008</v>
      </c>
      <c r="C265" t="str">
        <f>IF($A265="","",games!$C265)</f>
        <v>Traditional</v>
      </c>
      <c r="D265">
        <f>IF($A265="","",COUNTIF(connections!$A$2:$A$1496,$A265)+COUNTIF(connections!$B$2:$B$1496,$A265))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2017</v>
      </c>
      <c r="U265">
        <f>IF(connections!$A265="","",IFERROR(INDEX(games!$B$2:$B$950,MATCH(connections!$B265,games!$A$2:$A$950,0)),""))</f>
        <v>2026</v>
      </c>
      <c r="V265">
        <f t="shared" si="64"/>
        <v>9</v>
      </c>
    </row>
    <row r="266" spans="1:22" x14ac:dyDescent="0.25">
      <c r="A266" t="str">
        <f>IF(games!$A266="","",games!$A266)</f>
        <v>Ember Knights</v>
      </c>
      <c r="B266">
        <f>IF($A266="","",games!$B266)</f>
        <v>2022</v>
      </c>
      <c r="C266" t="str">
        <f>IF($A266="","",games!$C266)</f>
        <v>Action</v>
      </c>
      <c r="D266">
        <f>IF($A266="","",COUNTIF(connections!$A$2:$A$1496,$A266)+COUNTIF(connections!$B$2:$B$1496,$A266))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2023</v>
      </c>
      <c r="V266">
        <f t="shared" si="64"/>
        <v>5</v>
      </c>
    </row>
    <row r="267" spans="1:22" x14ac:dyDescent="0.25">
      <c r="A267" t="str">
        <f>IF(games!$A267="","",games!$A267)</f>
        <v>Emberward</v>
      </c>
      <c r="B267">
        <f>IF($A267="","",games!$B267)</f>
        <v>2024</v>
      </c>
      <c r="C267" t="str">
        <f>IF($A267="","",games!$C267)</f>
        <v>Strategy</v>
      </c>
      <c r="D267">
        <f>IF($A267="","",COUNTIF(connections!$A$2:$A$1496,$A267)+COUNTIF(connections!$B$2:$B$1496,$A267))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2020</v>
      </c>
      <c r="U267">
        <f>IF(connections!$A267="","",IFERROR(INDEX(games!$B$2:$B$950,MATCH(connections!$B267,games!$A$2:$A$950,0)),""))</f>
        <v>2023</v>
      </c>
      <c r="V267">
        <f t="shared" si="64"/>
        <v>3</v>
      </c>
    </row>
    <row r="268" spans="1:22" x14ac:dyDescent="0.25">
      <c r="A268" t="str">
        <f>IF(games!$A268="","",games!$A268)</f>
        <v>Endgame of Devil</v>
      </c>
      <c r="B268">
        <f>IF($A268="","",games!$B268)</f>
        <v>2023</v>
      </c>
      <c r="C268" t="str">
        <f>IF($A268="","",games!$C268)</f>
        <v>Deckbuilder</v>
      </c>
      <c r="D268">
        <f>IF($A268="","",COUNTIF(connections!$A$2:$A$1496,$A268)+COUNTIF(connections!$B$2:$B$1496,$A268))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2017</v>
      </c>
      <c r="U268">
        <f>IF(connections!$A268="","",IFERROR(INDEX(games!$B$2:$B$950,MATCH(connections!$B268,games!$A$2:$A$950,0)),""))</f>
        <v>2023</v>
      </c>
      <c r="V268">
        <f t="shared" si="64"/>
        <v>6</v>
      </c>
    </row>
    <row r="269" spans="1:22" x14ac:dyDescent="0.25">
      <c r="A269" t="str">
        <f>IF(games!$A269="","",games!$A269)</f>
        <v>Endless Alice</v>
      </c>
      <c r="B269">
        <f>IF($A269="","",games!$B269)</f>
        <v>2025</v>
      </c>
      <c r="C269" t="str">
        <f>IF($A269="","",games!$C269)</f>
        <v>Action</v>
      </c>
      <c r="D269">
        <f>IF($A269="","",COUNTIF(connections!$A$2:$A$1496,$A269)+COUNTIF(connections!$B$2:$B$1496,$A269))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1995</v>
      </c>
      <c r="U269">
        <f>IF(connections!$A269="","",IFERROR(INDEX(games!$B$2:$B$950,MATCH(connections!$B269,games!$A$2:$A$950,0)),""))</f>
        <v>2020</v>
      </c>
      <c r="V269">
        <f t="shared" si="64"/>
        <v>25</v>
      </c>
    </row>
    <row r="270" spans="1:22" x14ac:dyDescent="0.25">
      <c r="A270" t="str">
        <f>IF(games!$A270="","",games!$A270)</f>
        <v>Enter the Gungeon</v>
      </c>
      <c r="B270">
        <f>IF($A270="","",games!$B270)</f>
        <v>2016</v>
      </c>
      <c r="C270" t="str">
        <f>IF($A270="","",games!$C270)</f>
        <v>Action</v>
      </c>
      <c r="D270">
        <f>IF($A270="","",COUNTIF(connections!$A$2:$A$1496,$A270)+COUNTIF(connections!$B$2:$B$1496,$A270))</f>
        <v>36</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36.00027</v>
      </c>
      <c r="P270" t="str">
        <f>IF(OR($A270="",games!$H270=""),"",games!$H270)</f>
        <v>Yes</v>
      </c>
      <c r="Q270">
        <f t="shared" si="63"/>
        <v>36.00027</v>
      </c>
      <c r="T270">
        <f>IF(connections!$A270="","",IFERROR(INDEX(games!$B$2:$B$950,MATCH(connections!$A270,games!$A$2:$A$950,0)),""))</f>
        <v>2017</v>
      </c>
      <c r="U270">
        <f>IF(connections!$A270="","",IFERROR(INDEX(games!$B$2:$B$950,MATCH(connections!$B270,games!$A$2:$A$950,0)),""))</f>
        <v>2025</v>
      </c>
      <c r="V270">
        <f t="shared" si="64"/>
        <v>8</v>
      </c>
    </row>
    <row r="271" spans="1:22" x14ac:dyDescent="0.25">
      <c r="A271" t="str">
        <f>IF(games!$A271="","",games!$A271)</f>
        <v>Escape The Mad Empire</v>
      </c>
      <c r="B271">
        <f>IF($A271="","",games!$B271)</f>
        <v>2025</v>
      </c>
      <c r="C271" t="str">
        <f>IF($A271="","",games!$C271)</f>
        <v>Strategy</v>
      </c>
      <c r="D271">
        <f>IF($A271="","",COUNTIF(connections!$A$2:$A$1496,$A271)+COUNTIF(connections!$B$2:$B$1496,$A271))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2012</v>
      </c>
      <c r="U271">
        <f>IF(connections!$A271="","",IFERROR(INDEX(games!$B$2:$B$950,MATCH(connections!$B271,games!$A$2:$A$950,0)),""))</f>
        <v>2019</v>
      </c>
      <c r="V271">
        <f t="shared" si="64"/>
        <v>7</v>
      </c>
    </row>
    <row r="272" spans="1:22" x14ac:dyDescent="0.25">
      <c r="A272" t="str">
        <f>IF(games!$A272="","",games!$A272)</f>
        <v>Eternal Quest</v>
      </c>
      <c r="B272">
        <f>IF($A272="","",games!$B272)</f>
        <v>2004</v>
      </c>
      <c r="C272" t="str">
        <f>IF($A272="","",games!$C272)</f>
        <v>Traditional</v>
      </c>
      <c r="D272">
        <f>IF($A272="","",COUNTIF(connections!$A$2:$A$1496,$A272)+COUNTIF(connections!$B$2:$B$1496,$A272))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1980</v>
      </c>
      <c r="U272">
        <f>IF(connections!$A272="","",IFERROR(INDEX(games!$B$2:$B$950,MATCH(connections!$B272,games!$A$2:$A$950,0)),""))</f>
        <v>2015</v>
      </c>
      <c r="V272">
        <f t="shared" si="64"/>
        <v>35</v>
      </c>
    </row>
    <row r="273" spans="1:22" x14ac:dyDescent="0.25">
      <c r="A273" t="str">
        <f>IF(games!$A273="","",games!$A273)</f>
        <v>Etrian Mystery Dungeon</v>
      </c>
      <c r="B273">
        <f>IF($A273="","",games!$B273)</f>
        <v>2015</v>
      </c>
      <c r="C273" t="str">
        <f>IF($A273="","",games!$C273)</f>
        <v>Traditional</v>
      </c>
      <c r="D273">
        <f>IF($A273="","",COUNTIF(connections!$A$2:$A$1496,$A273)+COUNTIF(connections!$B$2:$B$1496,$A273))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2013</v>
      </c>
      <c r="U273">
        <f>IF(connections!$A273="","",IFERROR(INDEX(games!$B$2:$B$950,MATCH(connections!$B273,games!$A$2:$A$950,0)),""))</f>
        <v>2015</v>
      </c>
      <c r="V273">
        <f t="shared" si="64"/>
        <v>2</v>
      </c>
    </row>
    <row r="274" spans="1:22" x14ac:dyDescent="0.25">
      <c r="A274" t="str">
        <f>IF(games!$A274="","",games!$A274)</f>
        <v>Etrian Mystery Dungeon 2</v>
      </c>
      <c r="B274">
        <f>IF($A274="","",games!$B274)</f>
        <v>2017</v>
      </c>
      <c r="C274" t="str">
        <f>IF($A274="","",games!$C274)</f>
        <v>Traditional</v>
      </c>
      <c r="D274">
        <f>IF($A274="","",COUNTIF(connections!$A$2:$A$1496,$A274)+COUNTIF(connections!$B$2:$B$1496,$A274))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2008</v>
      </c>
      <c r="U274">
        <f>IF(connections!$A274="","",IFERROR(INDEX(games!$B$2:$B$950,MATCH(connections!$B274,games!$A$2:$A$950,0)),""))</f>
        <v>2015</v>
      </c>
      <c r="V274">
        <f t="shared" si="64"/>
        <v>7</v>
      </c>
    </row>
    <row r="275" spans="1:22" x14ac:dyDescent="0.25">
      <c r="A275" t="str">
        <f>IF(games!$A275="","",games!$A275)</f>
        <v>Everything is Crab</v>
      </c>
      <c r="B275">
        <f>IF($A275="","",games!$B275)</f>
        <v>2026</v>
      </c>
      <c r="C275" t="str">
        <f>IF($A275="","",games!$C275)</f>
        <v>Action</v>
      </c>
      <c r="D275">
        <f>IF($A275="","",COUNTIF(connections!$A$2:$A$1496,$A275)+COUNTIF(connections!$B$2:$B$1496,$A275))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2011</v>
      </c>
      <c r="U275">
        <f>IF(connections!$A275="","",IFERROR(INDEX(games!$B$2:$B$950,MATCH(connections!$B275,games!$A$2:$A$950,0)),""))</f>
        <v>2015</v>
      </c>
      <c r="V275">
        <f t="shared" si="64"/>
        <v>4</v>
      </c>
    </row>
    <row r="276" spans="1:22" x14ac:dyDescent="0.25">
      <c r="A276" t="str">
        <f>IF(games!$A276="","",games!$A276)</f>
        <v>Evolings</v>
      </c>
      <c r="B276">
        <f>IF($A276="","",games!$B276)</f>
        <v>2023</v>
      </c>
      <c r="C276" t="str">
        <f>IF($A276="","",games!$C276)</f>
        <v>Action</v>
      </c>
      <c r="D276">
        <f>IF($A276="","",COUNTIF(connections!$A$2:$A$1496,$A276)+COUNTIF(connections!$B$2:$B$1496,$A276))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1994</v>
      </c>
      <c r="U276">
        <f>IF(connections!$A276="","",IFERROR(INDEX(games!$B$2:$B$950,MATCH(connections!$B276,games!$A$2:$A$950,0)),""))</f>
        <v>1998</v>
      </c>
      <c r="V276">
        <f t="shared" si="64"/>
        <v>4</v>
      </c>
    </row>
    <row r="277" spans="1:22" x14ac:dyDescent="0.25">
      <c r="A277" t="str">
        <f>IF(games!$A277="","",games!$A277)</f>
        <v>Exit the Gungeon</v>
      </c>
      <c r="B277">
        <f>IF($A277="","",games!$B277)</f>
        <v>2020</v>
      </c>
      <c r="C277" t="str">
        <f>IF($A277="","",games!$C277)</f>
        <v>Action</v>
      </c>
      <c r="D277">
        <f>IF($A277="","",COUNTIF(connections!$A$2:$A$1496,$A277)+COUNTIF(connections!$B$2:$B$1496,$A277))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2026</v>
      </c>
      <c r="V277">
        <f t="shared" si="64"/>
        <v>3</v>
      </c>
    </row>
    <row r="278" spans="1:22" x14ac:dyDescent="0.25">
      <c r="A278" t="str">
        <f>IF(games!$A278="","",games!$A278)</f>
        <v>Facehand</v>
      </c>
      <c r="B278">
        <f>IF($A278="","",games!$B278)</f>
        <v>2024</v>
      </c>
      <c r="C278" t="str">
        <f>IF($A278="","",games!$C278)</f>
        <v>Deckbuilder</v>
      </c>
      <c r="D278">
        <f>IF($A278="","",COUNTIF(connections!$A$2:$A$1496,$A278)+COUNTIF(connections!$B$2:$B$1496,$A278))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2022</v>
      </c>
      <c r="U278">
        <f>IF(connections!$A278="","",IFERROR(INDEX(games!$B$2:$B$950,MATCH(connections!$B278,games!$A$2:$A$950,0)),""))</f>
        <v>2026</v>
      </c>
      <c r="V278">
        <f t="shared" si="64"/>
        <v>4</v>
      </c>
    </row>
    <row r="279" spans="1:22" x14ac:dyDescent="0.25">
      <c r="A279" t="str">
        <f>IF(games!$A279="","",games!$A279)</f>
        <v>Fairy Tail: Dungeons</v>
      </c>
      <c r="B279">
        <f>IF($A279="","",games!$B279)</f>
        <v>2024</v>
      </c>
      <c r="C279" t="str">
        <f>IF($A279="","",games!$C279)</f>
        <v>Deckbuilder</v>
      </c>
      <c r="D279">
        <f>IF($A279="","",COUNTIF(connections!$A$2:$A$1496,$A279)+COUNTIF(connections!$B$2:$B$1496,$A279))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2018</v>
      </c>
      <c r="U279">
        <f>IF(connections!$A279="","",IFERROR(INDEX(games!$B$2:$B$950,MATCH(connections!$B279,games!$A$2:$A$950,0)),""))</f>
        <v>2022</v>
      </c>
      <c r="V279">
        <f t="shared" si="64"/>
        <v>4</v>
      </c>
    </row>
    <row r="280" spans="1:22" x14ac:dyDescent="0.25">
      <c r="A280" t="str">
        <f>IF(games!$A280="","",games!$A280)</f>
        <v>Fatal Labyrinth</v>
      </c>
      <c r="B280">
        <f>IF($A280="","",games!$B280)</f>
        <v>1990</v>
      </c>
      <c r="C280" t="str">
        <f>IF($A280="","",games!$C280)</f>
        <v>Traditional</v>
      </c>
      <c r="D280">
        <f>IF($A280="","",COUNTIF(connections!$A$2:$A$1496,$A280)+COUNTIF(connections!$B$2:$B$1496,$A280))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2013</v>
      </c>
      <c r="U280">
        <f>IF(connections!$A280="","",IFERROR(INDEX(games!$B$2:$B$950,MATCH(connections!$B280,games!$A$2:$A$950,0)),""))</f>
        <v>2022</v>
      </c>
      <c r="V280">
        <f t="shared" si="64"/>
        <v>9</v>
      </c>
    </row>
    <row r="281" spans="1:22" x14ac:dyDescent="0.25">
      <c r="A281" t="str">
        <f>IF(games!$A281="","",games!$A281)</f>
        <v>Fear &amp; Hunger</v>
      </c>
      <c r="B281">
        <f>IF($A281="","",games!$B281)</f>
        <v>2018</v>
      </c>
      <c r="C281" t="str">
        <f>IF($A281="","",games!$C281)</f>
        <v>Strategy</v>
      </c>
      <c r="D281">
        <f>IF($A281="","",COUNTIF(connections!$A$2:$A$1496,$A281)+COUNTIF(connections!$B$2:$B$1496,$A281))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2016</v>
      </c>
      <c r="U281">
        <f>IF(connections!$A281="","",IFERROR(INDEX(games!$B$2:$B$950,MATCH(connections!$B281,games!$A$2:$A$950,0)),""))</f>
        <v>2022</v>
      </c>
      <c r="V281">
        <f t="shared" si="64"/>
        <v>6</v>
      </c>
    </row>
    <row r="282" spans="1:22" x14ac:dyDescent="0.25">
      <c r="A282" t="str">
        <f>IF(games!$A282="","",games!$A282)</f>
        <v>Feed the Deep</v>
      </c>
      <c r="B282">
        <f>IF($A282="","",games!$B282)</f>
        <v>2024</v>
      </c>
      <c r="C282" t="str">
        <f>IF($A282="","",games!$C282)</f>
        <v>Strategy</v>
      </c>
      <c r="D282">
        <f>IF($A282="","",COUNTIF(connections!$A$2:$A$1496,$A282)+COUNTIF(connections!$B$2:$B$1496,$A282))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2019</v>
      </c>
      <c r="U282">
        <f>IF(connections!$A282="","",IFERROR(INDEX(games!$B$2:$B$950,MATCH(connections!$B282,games!$A$2:$A$950,0)),""))</f>
        <v>2022</v>
      </c>
      <c r="V282">
        <f t="shared" si="64"/>
        <v>3</v>
      </c>
    </row>
    <row r="283" spans="1:22" x14ac:dyDescent="0.25">
      <c r="A283" t="str">
        <f>IF(games!$A283="","",games!$A283)</f>
        <v>Fights in Tight Spaces</v>
      </c>
      <c r="B283">
        <f>IF($A283="","",games!$B283)</f>
        <v>2021</v>
      </c>
      <c r="C283" t="str">
        <f>IF($A283="","",games!$C283)</f>
        <v>Deckbuilder</v>
      </c>
      <c r="D283">
        <f>IF($A283="","",COUNTIF(connections!$A$2:$A$1496,$A283)+COUNTIF(connections!$B$2:$B$1496,$A283))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2011</v>
      </c>
      <c r="U283">
        <f>IF(connections!$A283="","",IFERROR(INDEX(games!$B$2:$B$950,MATCH(connections!$B283,games!$A$2:$A$950,0)),""))</f>
        <v>2022</v>
      </c>
      <c r="V283">
        <f t="shared" si="64"/>
        <v>11</v>
      </c>
    </row>
    <row r="284" spans="1:22" x14ac:dyDescent="0.25">
      <c r="A284" t="str">
        <f>IF(games!$A284="","",games!$A284)</f>
        <v>Final Fantasy Fables: Chocobo's Dungeon</v>
      </c>
      <c r="B284">
        <f>IF($A284="","",games!$B284)</f>
        <v>2007</v>
      </c>
      <c r="C284" t="str">
        <f>IF($A284="","",games!$C284)</f>
        <v>Traditional</v>
      </c>
      <c r="D284">
        <f>IF($A284="","",COUNTIF(connections!$A$2:$A$1496,$A284)+COUNTIF(connections!$B$2:$B$1496,$A284))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2012</v>
      </c>
      <c r="U284">
        <f>IF(connections!$A284="","",IFERROR(INDEX(games!$B$2:$B$950,MATCH(connections!$B284,games!$A$2:$A$950,0)),""))</f>
        <v>2018</v>
      </c>
      <c r="V284">
        <f t="shared" si="64"/>
        <v>6</v>
      </c>
    </row>
    <row r="285" spans="1:22" x14ac:dyDescent="0.25">
      <c r="A285" t="str">
        <f>IF(games!$A285="","",games!$A285)</f>
        <v>Fish Fear Me</v>
      </c>
      <c r="B285">
        <f>IF($A285="","",games!$B285)</f>
        <v>2024</v>
      </c>
      <c r="C285" t="str">
        <f>IF($A285="","",games!$C285)</f>
        <v>Action</v>
      </c>
      <c r="D285">
        <f>IF($A285="","",COUNTIF(connections!$A$2:$A$1496,$A285)+COUNTIF(connections!$B$2:$B$1496,$A285))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2015</v>
      </c>
      <c r="U285">
        <f>IF(connections!$A285="","",IFERROR(INDEX(games!$B$2:$B$950,MATCH(connections!$B285,games!$A$2:$A$950,0)),""))</f>
        <v>2018</v>
      </c>
      <c r="V285">
        <f t="shared" si="64"/>
        <v>3</v>
      </c>
    </row>
    <row r="286" spans="1:22" x14ac:dyDescent="0.25">
      <c r="A286" t="str">
        <f>IF(games!$A286="","",games!$A286)</f>
        <v>FLERP</v>
      </c>
      <c r="B286">
        <f>IF($A286="","",games!$B286)</f>
        <v>2022</v>
      </c>
      <c r="C286" t="str">
        <f>IF($A286="","",games!$C286)</f>
        <v>Action</v>
      </c>
      <c r="D286">
        <f>IF($A286="","",COUNTIF(connections!$A$2:$A$1496,$A286)+COUNTIF(connections!$B$2:$B$1496,$A286))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2021</v>
      </c>
      <c r="U286">
        <f>IF(connections!$A286="","",IFERROR(INDEX(games!$B$2:$B$950,MATCH(connections!$B286,games!$A$2:$A$950,0)),""))</f>
        <v>2024</v>
      </c>
      <c r="V286">
        <f t="shared" si="64"/>
        <v>3</v>
      </c>
    </row>
    <row r="287" spans="1:22" x14ac:dyDescent="0.25">
      <c r="A287" t="str">
        <f>IF(games!$A287="","",games!$A287)</f>
        <v>Flick Shot Rogues</v>
      </c>
      <c r="B287">
        <f>IF($A287="","",games!$B287)</f>
        <v>2025</v>
      </c>
      <c r="C287" t="str">
        <f>IF($A287="","",games!$C287)</f>
        <v>Strategy</v>
      </c>
      <c r="D287">
        <f>IF($A287="","",COUNTIF(connections!$A$2:$A$1496,$A287)+COUNTIF(connections!$B$2:$B$1496,$A287))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2016</v>
      </c>
      <c r="U287">
        <f>IF(connections!$A287="","",IFERROR(INDEX(games!$B$2:$B$950,MATCH(connections!$B287,games!$A$2:$A$950,0)),""))</f>
        <v>2020</v>
      </c>
      <c r="V287">
        <f t="shared" si="64"/>
        <v>4</v>
      </c>
    </row>
    <row r="288" spans="1:22" x14ac:dyDescent="0.25">
      <c r="A288" t="str">
        <f>IF(games!$A288="","",games!$A288)</f>
        <v>Flinthook</v>
      </c>
      <c r="B288">
        <f>IF($A288="","",games!$B288)</f>
        <v>2017</v>
      </c>
      <c r="C288" t="str">
        <f>IF($A288="","",games!$C288)</f>
        <v>Action</v>
      </c>
      <c r="D288">
        <f>IF($A288="","",COUNTIF(connections!$A$2:$A$1496,$A288)+COUNTIF(connections!$B$2:$B$1496,$A288))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2019</v>
      </c>
      <c r="U288">
        <f>IF(connections!$A288="","",IFERROR(INDEX(games!$B$2:$B$950,MATCH(connections!$B288,games!$A$2:$A$950,0)),""))</f>
        <v>2026</v>
      </c>
      <c r="V288">
        <f t="shared" si="64"/>
        <v>7</v>
      </c>
    </row>
    <row r="289" spans="1:22" x14ac:dyDescent="0.25">
      <c r="A289" t="str">
        <f>IF(games!$A289="","",games!$A289)</f>
        <v>Fogpiercer</v>
      </c>
      <c r="B289">
        <f>IF($A289="","",games!$B289)</f>
        <v>2026</v>
      </c>
      <c r="C289" t="str">
        <f>IF($A289="","",games!$C289)</f>
        <v>Deckbuilder</v>
      </c>
      <c r="D289">
        <f>IF($A289="","",COUNTIF(connections!$A$2:$A$1496,$A289)+COUNTIF(connections!$B$2:$B$1496,$A289))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2021</v>
      </c>
      <c r="U289">
        <f>IF(connections!$A289="","",IFERROR(INDEX(games!$B$2:$B$950,MATCH(connections!$B289,games!$A$2:$A$950,0)),""))</f>
        <v>2026</v>
      </c>
      <c r="V289">
        <f t="shared" si="64"/>
        <v>5</v>
      </c>
    </row>
    <row r="290" spans="1:22" x14ac:dyDescent="0.25">
      <c r="A290" t="str">
        <f>IF(games!$A290="","",games!$A290)</f>
        <v>Footgun: Underground</v>
      </c>
      <c r="B290">
        <f>IF($A290="","",games!$B290)</f>
        <v>2024</v>
      </c>
      <c r="C290" t="str">
        <f>IF($A290="","",games!$C290)</f>
        <v>Action</v>
      </c>
      <c r="D290">
        <f>IF($A290="","",COUNTIF(connections!$A$2:$A$1496,$A290)+COUNTIF(connections!$B$2:$B$1496,$A290))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For the King</v>
      </c>
      <c r="B291">
        <f>IF($A291="","",games!$B291)</f>
        <v>2018</v>
      </c>
      <c r="C291" t="str">
        <f>IF($A291="","",games!$C291)</f>
        <v>Strategy</v>
      </c>
      <c r="D291">
        <f>IF($A291="","",COUNTIF(connections!$A$2:$A$1496,$A291)+COUNTIF(connections!$B$2:$B$1496,$A291))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1996</v>
      </c>
      <c r="U291">
        <f>IF(connections!$A291="","",IFERROR(INDEX(games!$B$2:$B$950,MATCH(connections!$B291,games!$A$2:$A$950,0)),""))</f>
        <v>2020</v>
      </c>
      <c r="V291">
        <f t="shared" si="64"/>
        <v>24</v>
      </c>
    </row>
    <row r="292" spans="1:22" x14ac:dyDescent="0.25">
      <c r="A292" t="str">
        <f>IF(games!$A292="","",games!$A292)</f>
        <v>For the King 2</v>
      </c>
      <c r="B292">
        <f>IF($A292="","",games!$B292)</f>
        <v>2023</v>
      </c>
      <c r="C292" t="str">
        <f>IF($A292="","",games!$C292)</f>
        <v>Strategy</v>
      </c>
      <c r="D292">
        <f>IF($A292="","",COUNTIF(connections!$A$2:$A$1496,$A292)+COUNTIF(connections!$B$2:$B$1496,$A292))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2020</v>
      </c>
      <c r="V292">
        <f t="shared" si="64"/>
        <v>1</v>
      </c>
    </row>
    <row r="293" spans="1:22" x14ac:dyDescent="0.25">
      <c r="A293" t="str">
        <f>IF(games!$A293="","",games!$A293)</f>
        <v>For The Warp</v>
      </c>
      <c r="B293">
        <f>IF($A293="","",games!$B293)</f>
        <v>2020</v>
      </c>
      <c r="C293" t="str">
        <f>IF($A293="","",games!$C293)</f>
        <v>Deckbuilder</v>
      </c>
      <c r="D293">
        <f>IF($A293="","",COUNTIF(connections!$A$2:$A$1496,$A293)+COUNTIF(connections!$B$2:$B$1496,$A293))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2023</v>
      </c>
      <c r="U293">
        <f>IF(connections!$A293="","",IFERROR(INDEX(games!$B$2:$B$950,MATCH(connections!$B293,games!$A$2:$A$950,0)),""))</f>
        <v>2026</v>
      </c>
      <c r="V293">
        <f t="shared" si="64"/>
        <v>3</v>
      </c>
    </row>
    <row r="294" spans="1:22" x14ac:dyDescent="0.25">
      <c r="A294" t="str">
        <f>IF(games!$A294="","",games!$A294)</f>
        <v>Forestrike</v>
      </c>
      <c r="B294">
        <f>IF($A294="","",games!$B294)</f>
        <v>2025</v>
      </c>
      <c r="C294" t="str">
        <f>IF($A294="","",games!$C294)</f>
        <v>Action</v>
      </c>
      <c r="D294">
        <f>IF($A294="","",COUNTIF(connections!$A$2:$A$1496,$A294)+COUNTIF(connections!$B$2:$B$1496,$A294))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2021</v>
      </c>
      <c r="U294">
        <f>IF(connections!$A294="","",IFERROR(INDEX(games!$B$2:$B$950,MATCH(connections!$B294,games!$A$2:$A$950,0)),""))</f>
        <v>2026</v>
      </c>
      <c r="V294">
        <f t="shared" si="64"/>
        <v>5</v>
      </c>
    </row>
    <row r="295" spans="1:22" x14ac:dyDescent="0.25">
      <c r="A295" t="str">
        <f>IF(games!$A295="","",games!$A295)</f>
        <v>Forward: Escape the Fold</v>
      </c>
      <c r="B295">
        <f>IF($A295="","",games!$B295)</f>
        <v>2022</v>
      </c>
      <c r="C295" t="str">
        <f>IF($A295="","",games!$C295)</f>
        <v>Strategy</v>
      </c>
      <c r="D295">
        <f>IF($A295="","",COUNTIF(connections!$A$2:$A$1496,$A295)+COUNTIF(connections!$B$2:$B$1496,$A295))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2024</v>
      </c>
      <c r="U295">
        <f>IF(connections!$A295="","",IFERROR(INDEX(games!$B$2:$B$950,MATCH(connections!$B295,games!$A$2:$A$950,0)),""))</f>
        <v>2026</v>
      </c>
      <c r="V295">
        <f t="shared" si="64"/>
        <v>2</v>
      </c>
    </row>
    <row r="296" spans="1:22" x14ac:dyDescent="0.25">
      <c r="A296" t="str">
        <f>IF(games!$A296="","",games!$A296)</f>
        <v>Freaky Awesome</v>
      </c>
      <c r="B296">
        <f>IF($A296="","",games!$B296)</f>
        <v>2017</v>
      </c>
      <c r="C296" t="str">
        <f>IF($A296="","",games!$C296)</f>
        <v>Action</v>
      </c>
      <c r="D296">
        <f>IF($A296="","",COUNTIF(connections!$A$2:$A$1496,$A296)+COUNTIF(connections!$B$2:$B$1496,$A296))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2017</v>
      </c>
      <c r="U296">
        <f>IF(connections!$A296="","",IFERROR(INDEX(games!$B$2:$B$950,MATCH(connections!$B296,games!$A$2:$A$950,0)),""))</f>
        <v>2026</v>
      </c>
      <c r="V296">
        <f t="shared" si="64"/>
        <v>9</v>
      </c>
    </row>
    <row r="297" spans="1:22" x14ac:dyDescent="0.25">
      <c r="A297" t="str">
        <f>IF(games!$A297="","",games!$A297)</f>
        <v>From The Top</v>
      </c>
      <c r="B297">
        <f>IF($A297="","",games!$B297)</f>
        <v>2025</v>
      </c>
      <c r="C297" t="str">
        <f>IF($A297="","",games!$C297)</f>
        <v>Action</v>
      </c>
      <c r="D297">
        <f>IF($A297="","",COUNTIF(connections!$A$2:$A$1496,$A297)+COUNTIF(connections!$B$2:$B$1496,$A297))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2021</v>
      </c>
      <c r="U297">
        <f>IF(connections!$A297="","",IFERROR(INDEX(games!$B$2:$B$950,MATCH(connections!$B297,games!$A$2:$A$950,0)),""))</f>
        <v>2026</v>
      </c>
      <c r="V297">
        <f t="shared" si="64"/>
        <v>5</v>
      </c>
    </row>
    <row r="298" spans="1:22" x14ac:dyDescent="0.25">
      <c r="A298" t="str">
        <f>IF(games!$A298="","",games!$A298)</f>
        <v>Frozen Depths</v>
      </c>
      <c r="B298">
        <f>IF($A298="","",games!$B298)</f>
        <v>2006</v>
      </c>
      <c r="C298" t="str">
        <f>IF($A298="","",games!$C298)</f>
        <v>Traditional</v>
      </c>
      <c r="D298">
        <f>IF($A298="","",COUNTIF(connections!$A$2:$A$1496,$A298)+COUNTIF(connections!$B$2:$B$1496,$A298))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2015</v>
      </c>
      <c r="U298">
        <f>IF(connections!$A298="","",IFERROR(INDEX(games!$B$2:$B$950,MATCH(connections!$B298,games!$A$2:$A$950,0)),""))</f>
        <v>2019</v>
      </c>
      <c r="V298">
        <f t="shared" si="64"/>
        <v>4</v>
      </c>
    </row>
    <row r="299" spans="1:22" x14ac:dyDescent="0.25">
      <c r="A299" t="str">
        <f>IF(games!$A299="","",games!$A299)</f>
        <v>FTL</v>
      </c>
      <c r="B299">
        <f>IF($A299="","",games!$B299)</f>
        <v>2012</v>
      </c>
      <c r="C299" t="str">
        <f>IF($A299="","",games!$C299)</f>
        <v>Strategy</v>
      </c>
      <c r="D299">
        <f>IF($A299="","",COUNTIF(connections!$A$2:$A$1496,$A299)+COUNTIF(connections!$B$2:$B$1496,$A299))</f>
        <v>44</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44.000298999999998</v>
      </c>
      <c r="P299" t="str">
        <f>IF(OR($A299="",games!$H299=""),"",games!$H299)</f>
        <v>Yes</v>
      </c>
      <c r="Q299">
        <f t="shared" si="63"/>
        <v>44.000298999999998</v>
      </c>
      <c r="T299">
        <f>IF(connections!$A299="","",IFERROR(INDEX(games!$B$2:$B$950,MATCH(connections!$A299,games!$A$2:$A$950,0)),""))</f>
        <v>1996</v>
      </c>
      <c r="U299">
        <f>IF(connections!$A299="","",IFERROR(INDEX(games!$B$2:$B$950,MATCH(connections!$B299,games!$A$2:$A$950,0)),""))</f>
        <v>2026</v>
      </c>
      <c r="V299">
        <f t="shared" si="64"/>
        <v>30</v>
      </c>
    </row>
    <row r="300" spans="1:22" x14ac:dyDescent="0.25">
      <c r="A300" t="str">
        <f>IF(games!$A300="","",games!$A300)</f>
        <v>Full Mojo Rampage</v>
      </c>
      <c r="B300">
        <f>IF($A300="","",games!$B300)</f>
        <v>2013</v>
      </c>
      <c r="C300" t="str">
        <f>IF($A300="","",games!$C300)</f>
        <v>Action</v>
      </c>
      <c r="D300">
        <f>IF($A300="","",COUNTIF(connections!$A$2:$A$1496,$A300)+COUNTIF(connections!$B$2:$B$1496,$A300))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2023</v>
      </c>
      <c r="U300">
        <f>IF(connections!$A300="","",IFERROR(INDEX(games!$B$2:$B$950,MATCH(connections!$B300,games!$A$2:$A$950,0)),""))</f>
        <v>2026</v>
      </c>
      <c r="V300">
        <f t="shared" si="64"/>
        <v>3</v>
      </c>
    </row>
    <row r="301" spans="1:22" x14ac:dyDescent="0.25">
      <c r="A301" t="str">
        <f>IF(games!$A301="","",games!$A301)</f>
        <v>Fury Unleashed</v>
      </c>
      <c r="B301">
        <f>IF($A301="","",games!$B301)</f>
        <v>2020</v>
      </c>
      <c r="C301" t="str">
        <f>IF($A301="","",games!$C301)</f>
        <v>Action</v>
      </c>
      <c r="D301">
        <f>IF($A301="","",COUNTIF(connections!$A$2:$A$1496,$A301)+COUNTIF(connections!$B$2:$B$1496,$A301))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2020</v>
      </c>
      <c r="U301">
        <f>IF(connections!$A301="","",IFERROR(INDEX(games!$B$2:$B$950,MATCH(connections!$B301,games!$A$2:$A$950,0)),""))</f>
        <v>2026</v>
      </c>
      <c r="V301">
        <f t="shared" si="64"/>
        <v>6</v>
      </c>
    </row>
    <row r="302" spans="1:22" x14ac:dyDescent="0.25">
      <c r="A302" t="str">
        <f>IF(games!$A302="","",games!$A302)</f>
        <v>Fushigi no Gensoukyou</v>
      </c>
      <c r="B302">
        <f>IF($A302="","",games!$B302)</f>
        <v>2010</v>
      </c>
      <c r="C302" t="str">
        <f>IF($A302="","",games!$C302)</f>
        <v>Traditional</v>
      </c>
      <c r="D302">
        <f>IF($A302="","",COUNTIF(connections!$A$2:$A$1496,$A302)+COUNTIF(connections!$B$2:$B$1496,$A302))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2021</v>
      </c>
      <c r="U302">
        <f>IF(connections!$A302="","",IFERROR(INDEX(games!$B$2:$B$950,MATCH(connections!$B302,games!$A$2:$A$950,0)),""))</f>
        <v>2026</v>
      </c>
      <c r="V302">
        <f t="shared" si="64"/>
        <v>5</v>
      </c>
    </row>
    <row r="303" spans="1:22" x14ac:dyDescent="0.25">
      <c r="A303" t="str">
        <f>IF(games!$A303="","",games!$A303)</f>
        <v>Fushigi no Gensoukyou 3</v>
      </c>
      <c r="B303">
        <f>IF($A303="","",games!$B303)</f>
        <v>2014</v>
      </c>
      <c r="C303" t="str">
        <f>IF($A303="","",games!$C303)</f>
        <v>Traditional</v>
      </c>
      <c r="D303">
        <f>IF($A303="","",COUNTIF(connections!$A$2:$A$1496,$A303)+COUNTIF(connections!$B$2:$B$1496,$A303))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2020</v>
      </c>
      <c r="U303">
        <f>IF(connections!$A303="","",IFERROR(INDEX(games!$B$2:$B$950,MATCH(connections!$B303,games!$A$2:$A$950,0)),""))</f>
        <v>2025</v>
      </c>
      <c r="V303">
        <f t="shared" si="64"/>
        <v>5</v>
      </c>
    </row>
    <row r="304" spans="1:22" x14ac:dyDescent="0.25">
      <c r="A304" t="str">
        <f>IF(games!$A304="","",games!$A304)</f>
        <v>Galactic Glitch</v>
      </c>
      <c r="B304">
        <f>IF($A304="","",games!$B304)</f>
        <v>2024</v>
      </c>
      <c r="C304" t="str">
        <f>IF($A304="","",games!$C304)</f>
        <v>Action</v>
      </c>
      <c r="D304">
        <f>IF($A304="","",COUNTIF(connections!$A$2:$A$1496,$A304)+COUNTIF(connections!$B$2:$B$1496,$A304))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2019</v>
      </c>
      <c r="U304">
        <f>IF(connections!$A304="","",IFERROR(INDEX(games!$B$2:$B$950,MATCH(connections!$B304,games!$A$2:$A$950,0)),""))</f>
        <v>2025</v>
      </c>
      <c r="V304">
        <f t="shared" si="64"/>
        <v>6</v>
      </c>
    </row>
    <row r="305" spans="1:22" x14ac:dyDescent="0.25">
      <c r="A305" t="str">
        <f>IF(games!$A305="","",games!$A305)</f>
        <v>Gambonanza</v>
      </c>
      <c r="B305">
        <f>IF($A305="","",games!$B305)</f>
        <v>2026</v>
      </c>
      <c r="C305" t="str">
        <f>IF($A305="","",games!$C305)</f>
        <v>Deckbuilder</v>
      </c>
      <c r="D305">
        <f>IF($A305="","",COUNTIF(connections!$A$2:$A$1496,$A305)+COUNTIF(connections!$B$2:$B$1496,$A305))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2023</v>
      </c>
      <c r="V305">
        <f t="shared" si="64"/>
        <v>8</v>
      </c>
    </row>
    <row r="306" spans="1:22" x14ac:dyDescent="0.25">
      <c r="A306" t="str">
        <f>IF(games!$A306="","",games!$A306)</f>
        <v>Garden of Witches</v>
      </c>
      <c r="B306">
        <f>IF($A306="","",games!$B306)</f>
        <v>2025</v>
      </c>
      <c r="C306" t="str">
        <f>IF($A306="","",games!$C306)</f>
        <v>Action</v>
      </c>
      <c r="D306">
        <f>IF($A306="","",COUNTIF(connections!$A$2:$A$1496,$A306)+COUNTIF(connections!$B$2:$B$1496,$A306))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1993</v>
      </c>
      <c r="U306">
        <f>IF(connections!$A306="","",IFERROR(INDEX(games!$B$2:$B$950,MATCH(connections!$B306,games!$A$2:$A$950,0)),""))</f>
        <v>2022</v>
      </c>
      <c r="V306">
        <f t="shared" si="64"/>
        <v>29</v>
      </c>
    </row>
    <row r="307" spans="1:22" x14ac:dyDescent="0.25">
      <c r="A307" t="str">
        <f>IF(games!$A307="","",games!$A307)</f>
        <v>Gatekeeper</v>
      </c>
      <c r="B307">
        <f>IF($A307="","",games!$B307)</f>
        <v>2024</v>
      </c>
      <c r="C307" t="str">
        <f>IF($A307="","",games!$C307)</f>
        <v>Action</v>
      </c>
      <c r="D307">
        <f>IF($A307="","",COUNTIF(connections!$A$2:$A$1496,$A307)+COUNTIF(connections!$B$2:$B$1496,$A307))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2018</v>
      </c>
      <c r="V307">
        <f t="shared" si="64"/>
        <v>5</v>
      </c>
    </row>
    <row r="308" spans="1:22" x14ac:dyDescent="0.25">
      <c r="A308" t="str">
        <f>IF(games!$A308="","",games!$A308)</f>
        <v>GearHead</v>
      </c>
      <c r="B308">
        <f>IF($A308="","",games!$B308)</f>
        <v>2002</v>
      </c>
      <c r="C308" t="str">
        <f>IF($A308="","",games!$C308)</f>
        <v>Traditional</v>
      </c>
      <c r="D308">
        <f>IF($A308="","",COUNTIF(connections!$A$2:$A$1496,$A308)+COUNTIF(connections!$B$2:$B$1496,$A308))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2013</v>
      </c>
      <c r="U308">
        <f>IF(connections!$A308="","",IFERROR(INDEX(games!$B$2:$B$950,MATCH(connections!$B308,games!$A$2:$A$950,0)),""))</f>
        <v>2018</v>
      </c>
      <c r="V308">
        <f t="shared" si="64"/>
        <v>5</v>
      </c>
    </row>
    <row r="309" spans="1:22" x14ac:dyDescent="0.25">
      <c r="A309" t="str">
        <f>IF(games!$A309="","",games!$A309)</f>
        <v>GearHead 2</v>
      </c>
      <c r="B309">
        <f>IF($A309="","",games!$B309)</f>
        <v>2007</v>
      </c>
      <c r="C309" t="str">
        <f>IF($A309="","",games!$C309)</f>
        <v>Traditional</v>
      </c>
      <c r="D309">
        <f>IF($A309="","",COUNTIF(connections!$A$2:$A$1496,$A309)+COUNTIF(connections!$B$2:$B$1496,$A309))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2011</v>
      </c>
      <c r="U309">
        <f>IF(connections!$A309="","",IFERROR(INDEX(games!$B$2:$B$950,MATCH(connections!$B309,games!$A$2:$A$950,0)),""))</f>
        <v>2018</v>
      </c>
      <c r="V309">
        <f t="shared" si="64"/>
        <v>7</v>
      </c>
    </row>
    <row r="310" spans="1:22" x14ac:dyDescent="0.25">
      <c r="A310" t="str">
        <f>IF(games!$A310="","",games!$A310)</f>
        <v>GearHead Caramel</v>
      </c>
      <c r="B310">
        <f>IF($A310="","",games!$B310)</f>
        <v>2022</v>
      </c>
      <c r="C310" t="str">
        <f>IF($A310="","",games!$C310)</f>
        <v>Traditional</v>
      </c>
      <c r="D310">
        <f>IF($A310="","",COUNTIF(connections!$A$2:$A$1496,$A310)+COUNTIF(connections!$B$2:$B$1496,$A310))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2015</v>
      </c>
      <c r="U310">
        <f>IF(connections!$A310="","",IFERROR(INDEX(games!$B$2:$B$950,MATCH(connections!$B310,games!$A$2:$A$950,0)),""))</f>
        <v>2020</v>
      </c>
      <c r="V310">
        <f t="shared" si="64"/>
        <v>5</v>
      </c>
    </row>
    <row r="311" spans="1:22" x14ac:dyDescent="0.25">
      <c r="A311" t="str">
        <f>IF(games!$A311="","",games!$A311)</f>
        <v>Genome Guardian</v>
      </c>
      <c r="B311">
        <f>IF($A311="","",games!$B311)</f>
        <v>2024</v>
      </c>
      <c r="C311" t="str">
        <f>IF($A311="","",games!$C311)</f>
        <v>Action</v>
      </c>
      <c r="D311">
        <f>IF($A311="","",COUNTIF(connections!$A$2:$A$1496,$A311)+COUNTIF(connections!$B$2:$B$1496,$A311))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2011</v>
      </c>
      <c r="U311">
        <f>IF(connections!$A311="","",IFERROR(INDEX(games!$B$2:$B$950,MATCH(connections!$B311,games!$A$2:$A$950,0)),""))</f>
        <v>2020</v>
      </c>
      <c r="V311">
        <f t="shared" si="64"/>
        <v>9</v>
      </c>
    </row>
    <row r="312" spans="1:22" x14ac:dyDescent="0.25">
      <c r="A312" t="str">
        <f>IF(games!$A312="","",games!$A312)</f>
        <v>Genome Guardian 2</v>
      </c>
      <c r="B312">
        <f>IF($A312="","",games!$B312)</f>
        <v>2026</v>
      </c>
      <c r="C312" t="str">
        <f>IF($A312="","",games!$C312)</f>
        <v>Action</v>
      </c>
      <c r="D312">
        <f>IF($A312="","",COUNTIF(connections!$A$2:$A$1496,$A312)+COUNTIF(connections!$B$2:$B$1496,$A312))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2023</v>
      </c>
      <c r="U312">
        <f>IF(connections!$A312="","",IFERROR(INDEX(games!$B$2:$B$950,MATCH(connections!$B312,games!$A$2:$A$950,0)),""))</f>
        <v>2025</v>
      </c>
      <c r="V312">
        <f t="shared" si="64"/>
        <v>2</v>
      </c>
    </row>
    <row r="313" spans="1:22" x14ac:dyDescent="0.25">
      <c r="A313" t="str">
        <f>IF(games!$A313="","",games!$A313)</f>
        <v>Geometry Arena</v>
      </c>
      <c r="B313">
        <f>IF($A313="","",games!$B313)</f>
        <v>2020</v>
      </c>
      <c r="C313" t="str">
        <f>IF($A313="","",games!$C313)</f>
        <v>Action</v>
      </c>
      <c r="D313">
        <f>IF($A313="","",COUNTIF(connections!$A$2:$A$1496,$A313)+COUNTIF(connections!$B$2:$B$1496,$A313))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2018</v>
      </c>
      <c r="U313">
        <f>IF(connections!$A313="","",IFERROR(INDEX(games!$B$2:$B$950,MATCH(connections!$B313,games!$A$2:$A$950,0)),""))</f>
        <v>2026</v>
      </c>
      <c r="V313">
        <f t="shared" si="64"/>
        <v>8</v>
      </c>
    </row>
    <row r="314" spans="1:22" x14ac:dyDescent="0.25">
      <c r="A314" t="str">
        <f>IF(games!$A314="","",games!$A314)</f>
        <v>Geometry Arena 2</v>
      </c>
      <c r="B314">
        <f>IF($A314="","",games!$B314)</f>
        <v>2023</v>
      </c>
      <c r="C314" t="str">
        <f>IF($A314="","",games!$C314)</f>
        <v>Action</v>
      </c>
      <c r="D314">
        <f>IF($A314="","",COUNTIF(connections!$A$2:$A$1496,$A314)+COUNTIF(connections!$B$2:$B$1496,$A314))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Glyphica: Typing Survival</v>
      </c>
      <c r="B315">
        <f>IF($A315="","",games!$B315)</f>
        <v>2024</v>
      </c>
      <c r="C315" t="str">
        <f>IF($A315="","",games!$C315)</f>
        <v>Action</v>
      </c>
      <c r="D315">
        <f>IF($A315="","",COUNTIF(connections!$A$2:$A$1496,$A315)+COUNTIF(connections!$B$2:$B$1496,$A315))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2023</v>
      </c>
      <c r="V315">
        <f t="shared" si="64"/>
        <v>27</v>
      </c>
    </row>
    <row r="316" spans="1:22" x14ac:dyDescent="0.25">
      <c r="A316" t="str">
        <f>IF(games!$A316="","",games!$A316)</f>
        <v>GnollHack</v>
      </c>
      <c r="B316">
        <f>IF($A316="","",games!$B316)</f>
        <v>2020</v>
      </c>
      <c r="C316" t="str">
        <f>IF($A316="","",games!$C316)</f>
        <v>Traditional</v>
      </c>
      <c r="D316">
        <f>IF($A316="","",COUNTIF(connections!$A$2:$A$1496,$A316)+COUNTIF(connections!$B$2:$B$1496,$A316))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2023</v>
      </c>
      <c r="V316">
        <f t="shared" si="64"/>
        <v>4</v>
      </c>
    </row>
    <row r="317" spans="1:22" x14ac:dyDescent="0.25">
      <c r="A317" t="str">
        <f>IF(games!$A317="","",games!$A317)</f>
        <v>Gnomes</v>
      </c>
      <c r="B317">
        <f>IF($A317="","",games!$B317)</f>
        <v>2025</v>
      </c>
      <c r="C317" t="str">
        <f>IF($A317="","",games!$C317)</f>
        <v>Strategy</v>
      </c>
      <c r="D317">
        <f>IF($A317="","",COUNTIF(connections!$A$2:$A$1496,$A317)+COUNTIF(connections!$B$2:$B$1496,$A317))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2021</v>
      </c>
      <c r="U317">
        <f>IF(connections!$A317="","",IFERROR(INDEX(games!$B$2:$B$950,MATCH(connections!$B317,games!$A$2:$A$950,0)),""))</f>
        <v>2023</v>
      </c>
      <c r="V317">
        <f t="shared" si="64"/>
        <v>2</v>
      </c>
    </row>
    <row r="318" spans="1:22" x14ac:dyDescent="0.25">
      <c r="A318" t="str">
        <f>IF(games!$A318="","",games!$A318)</f>
        <v>Go Mecha Ball</v>
      </c>
      <c r="B318">
        <f>IF($A318="","",games!$B318)</f>
        <v>2024</v>
      </c>
      <c r="C318" t="str">
        <f>IF($A318="","",games!$C318)</f>
        <v>Action</v>
      </c>
      <c r="D318">
        <f>IF($A318="","",COUNTIF(connections!$A$2:$A$1496,$A318)+COUNTIF(connections!$B$2:$B$1496,$A318))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2015</v>
      </c>
      <c r="U318">
        <f>IF(connections!$A318="","",IFERROR(INDEX(games!$B$2:$B$950,MATCH(connections!$B318,games!$A$2:$A$950,0)),""))</f>
        <v>2016</v>
      </c>
      <c r="V318">
        <f t="shared" si="64"/>
        <v>1</v>
      </c>
    </row>
    <row r="319" spans="1:22" x14ac:dyDescent="0.25">
      <c r="A319" t="str">
        <f>IF(games!$A319="","",games!$A319)</f>
        <v>Goblin Sushi</v>
      </c>
      <c r="B319">
        <f>IF($A319="","",games!$B319)</f>
        <v>2026</v>
      </c>
      <c r="C319" t="str">
        <f>IF($A319="","",games!$C319)</f>
        <v>Deckbuilder</v>
      </c>
      <c r="D319">
        <f>IF($A319="","",COUNTIF(connections!$A$2:$A$1496,$A319)+COUNTIF(connections!$B$2:$B$1496,$A319))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2018</v>
      </c>
      <c r="U319">
        <f>IF(connections!$A319="","",IFERROR(INDEX(games!$B$2:$B$950,MATCH(connections!$B319,games!$A$2:$A$950,0)),""))</f>
        <v>2023</v>
      </c>
      <c r="V319">
        <f t="shared" si="64"/>
        <v>5</v>
      </c>
    </row>
    <row r="320" spans="1:22" x14ac:dyDescent="0.25">
      <c r="A320" t="str">
        <f>IF(games!$A320="","",games!$A320)</f>
        <v>God of Weapons</v>
      </c>
      <c r="B320">
        <f>IF($A320="","",games!$B320)</f>
        <v>2023</v>
      </c>
      <c r="C320" t="str">
        <f>IF($A320="","",games!$C320)</f>
        <v>Action</v>
      </c>
      <c r="D320">
        <f>IF($A320="","",COUNTIF(connections!$A$2:$A$1496,$A320)+COUNTIF(connections!$B$2:$B$1496,$A320))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2012</v>
      </c>
      <c r="U320">
        <f>IF(connections!$A320="","",IFERROR(INDEX(games!$B$2:$B$950,MATCH(connections!$B320,games!$A$2:$A$950,0)),""))</f>
        <v>2023</v>
      </c>
      <c r="V320">
        <f t="shared" si="64"/>
        <v>11</v>
      </c>
    </row>
    <row r="321" spans="1:22" x14ac:dyDescent="0.25">
      <c r="A321" t="str">
        <f>IF(games!$A321="","",games!$A321)</f>
        <v>Godbreakers</v>
      </c>
      <c r="B321">
        <f>IF($A321="","",games!$B321)</f>
        <v>2025</v>
      </c>
      <c r="C321" t="str">
        <f>IF($A321="","",games!$C321)</f>
        <v>Action</v>
      </c>
      <c r="D321">
        <f>IF($A321="","",COUNTIF(connections!$A$2:$A$1496,$A321)+COUNTIF(connections!$B$2:$B$1496,$A321))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2018</v>
      </c>
      <c r="U321">
        <f>IF(connections!$A321="","",IFERROR(INDEX(games!$B$2:$B$950,MATCH(connections!$B321,games!$A$2:$A$950,0)),""))</f>
        <v>2023</v>
      </c>
      <c r="V321">
        <f t="shared" si="64"/>
        <v>5</v>
      </c>
    </row>
    <row r="322" spans="1:22" x14ac:dyDescent="0.25">
      <c r="A322" t="str">
        <f>IF(games!$A322="","",games!$A322)</f>
        <v>Going Under</v>
      </c>
      <c r="B322">
        <f>IF($A322="","",games!$B322)</f>
        <v>2020</v>
      </c>
      <c r="C322" t="str">
        <f>IF($A322="","",games!$C322)</f>
        <v>Action</v>
      </c>
      <c r="D322">
        <f>IF($A322="","",COUNTIF(connections!$A$2:$A$1496,$A322)+COUNTIF(connections!$B$2:$B$1496,$A322))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2012</v>
      </c>
      <c r="U322">
        <f>IF(connections!$A322="","",IFERROR(INDEX(games!$B$2:$B$950,MATCH(connections!$B322,games!$A$2:$A$950,0)),""))</f>
        <v>2014</v>
      </c>
      <c r="V322">
        <f t="shared" ref="V322:V385" si="77">IF(OR($T322="",$U322=""),"",$U322-$T322)</f>
        <v>2</v>
      </c>
    </row>
    <row r="323" spans="1:22" x14ac:dyDescent="0.25">
      <c r="A323" t="str">
        <f>IF(games!$A323="","",games!$A323)</f>
        <v>Golden Krone Hotel</v>
      </c>
      <c r="B323">
        <f>IF($A323="","",games!$B323)</f>
        <v>2014</v>
      </c>
      <c r="C323" t="str">
        <f>IF($A323="","",games!$C323)</f>
        <v>Traditional</v>
      </c>
      <c r="D323">
        <f>IF($A323="","",COUNTIF(connections!$A$2:$A$1496,$A323)+COUNTIF(connections!$B$2:$B$1496,$A323))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2019</v>
      </c>
      <c r="V323">
        <f t="shared" si="77"/>
        <v>4</v>
      </c>
    </row>
    <row r="324" spans="1:22" x14ac:dyDescent="0.25">
      <c r="A324" t="str">
        <f>IF(games!$A324="","",games!$A324)</f>
        <v>Golden Light</v>
      </c>
      <c r="B324">
        <f>IF($A324="","",games!$B324)</f>
        <v>2020</v>
      </c>
      <c r="C324" t="str">
        <f>IF($A324="","",games!$C324)</f>
        <v>Action</v>
      </c>
      <c r="D324">
        <f>IF($A324="","",COUNTIF(connections!$A$2:$A$1496,$A324)+COUNTIF(connections!$B$2:$B$1496,$A324))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2019</v>
      </c>
      <c r="V324">
        <f t="shared" si="77"/>
        <v>4</v>
      </c>
    </row>
    <row r="325" spans="1:22" x14ac:dyDescent="0.25">
      <c r="A325" t="str">
        <f>IF(games!$A325="","",games!$A325)</f>
        <v>Golfie</v>
      </c>
      <c r="B325">
        <f>IF($A325="","",games!$B325)</f>
        <v>2022</v>
      </c>
      <c r="C325" t="str">
        <f>IF($A325="","",games!$C325)</f>
        <v>Action</v>
      </c>
      <c r="D325">
        <f>IF($A325="","",COUNTIF(connections!$A$2:$A$1496,$A325)+COUNTIF(connections!$B$2:$B$1496,$A325))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2017</v>
      </c>
      <c r="U325">
        <f>IF(connections!$A325="","",IFERROR(INDEX(games!$B$2:$B$950,MATCH(connections!$B325,games!$A$2:$A$950,0)),""))</f>
        <v>2019</v>
      </c>
      <c r="V325">
        <f t="shared" si="77"/>
        <v>2</v>
      </c>
    </row>
    <row r="326" spans="1:22" x14ac:dyDescent="0.25">
      <c r="A326" t="str">
        <f>IF(games!$A326="","",games!$A326)</f>
        <v>GoNNER</v>
      </c>
      <c r="B326">
        <f>IF($A326="","",games!$B326)</f>
        <v>2016</v>
      </c>
      <c r="C326" t="str">
        <f>IF($A326="","",games!$C326)</f>
        <v>Action</v>
      </c>
      <c r="D326">
        <f>IF($A326="","",COUNTIF(connections!$A$2:$A$1496,$A326)+COUNTIF(connections!$B$2:$B$1496,$A326))</f>
        <v>7</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7.0003260000000003</v>
      </c>
      <c r="P326" t="str">
        <f>IF(OR($A326="",games!$H326=""),"",games!$H326)</f>
        <v>Yes</v>
      </c>
      <c r="Q326">
        <f t="shared" si="76"/>
        <v>7.0003260000000003</v>
      </c>
      <c r="T326">
        <f>IF(connections!$A326="","",IFERROR(INDEX(games!$B$2:$B$950,MATCH(connections!$A326,games!$A$2:$A$950,0)),""))</f>
        <v>2017</v>
      </c>
      <c r="U326">
        <f>IF(connections!$A326="","",IFERROR(INDEX(games!$B$2:$B$950,MATCH(connections!$B326,games!$A$2:$A$950,0)),""))</f>
        <v>2019</v>
      </c>
      <c r="V326">
        <f t="shared" si="77"/>
        <v>2</v>
      </c>
    </row>
    <row r="327" spans="1:22" x14ac:dyDescent="0.25">
      <c r="A327" t="str">
        <f>IF(games!$A327="","",games!$A327)</f>
        <v>GONNER2</v>
      </c>
      <c r="B327">
        <f>IF($A327="","",games!$B327)</f>
        <v>2020</v>
      </c>
      <c r="C327" t="str">
        <f>IF($A327="","",games!$C327)</f>
        <v>Action</v>
      </c>
      <c r="D327">
        <f>IF($A327="","",COUNTIF(connections!$A$2:$A$1496,$A327)+COUNTIF(connections!$B$2:$B$1496,$A327))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2017</v>
      </c>
      <c r="U327">
        <f>IF(connections!$A327="","",IFERROR(INDEX(games!$B$2:$B$950,MATCH(connections!$B327,games!$A$2:$A$950,0)),""))</f>
        <v>2025</v>
      </c>
      <c r="V327">
        <f t="shared" si="77"/>
        <v>8</v>
      </c>
    </row>
    <row r="328" spans="1:22" x14ac:dyDescent="0.25">
      <c r="A328" t="str">
        <f>IF(games!$A328="","",games!$A328)</f>
        <v>Goobies</v>
      </c>
      <c r="B328">
        <f>IF($A328="","",games!$B328)</f>
        <v>2023</v>
      </c>
      <c r="C328" t="str">
        <f>IF($A328="","",games!$C328)</f>
        <v>Action</v>
      </c>
      <c r="D328">
        <f>IF($A328="","",COUNTIF(connections!$A$2:$A$1496,$A328)+COUNTIF(connections!$B$2:$B$1496,$A328))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2017</v>
      </c>
      <c r="U328">
        <f>IF(connections!$A328="","",IFERROR(INDEX(games!$B$2:$B$950,MATCH(connections!$B328,games!$A$2:$A$950,0)),""))</f>
        <v>2025</v>
      </c>
      <c r="V328">
        <f t="shared" si="77"/>
        <v>8</v>
      </c>
    </row>
    <row r="329" spans="1:22" x14ac:dyDescent="0.25">
      <c r="A329" t="str">
        <f>IF(games!$A329="","",games!$A329)</f>
        <v>Gordian Quest</v>
      </c>
      <c r="B329">
        <f>IF($A329="","",games!$B329)</f>
        <v>2020</v>
      </c>
      <c r="C329" t="str">
        <f>IF($A329="","",games!$C329)</f>
        <v>Deckbuilder</v>
      </c>
      <c r="D329">
        <f>IF($A329="","",COUNTIF(connections!$A$2:$A$1496,$A329)+COUNTIF(connections!$B$2:$B$1496,$A329))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2023</v>
      </c>
      <c r="U329">
        <f>IF(connections!$A329="","",IFERROR(INDEX(games!$B$2:$B$950,MATCH(connections!$B329,games!$A$2:$A$950,0)),""))</f>
        <v>2025</v>
      </c>
      <c r="V329">
        <f t="shared" si="77"/>
        <v>2</v>
      </c>
    </row>
    <row r="330" spans="1:22" x14ac:dyDescent="0.25">
      <c r="A330" t="str">
        <f>IF(games!$A330="","",games!$A330)</f>
        <v>Granvir</v>
      </c>
      <c r="B330">
        <f>IF($A330="","",games!$B330)</f>
        <v>2025</v>
      </c>
      <c r="C330" t="str">
        <f>IF($A330="","",games!$C330)</f>
        <v>Action</v>
      </c>
      <c r="D330">
        <f>IF($A330="","",COUNTIF(connections!$A$2:$A$1496,$A330)+COUNTIF(connections!$B$2:$B$1496,$A330))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1987</v>
      </c>
      <c r="U330">
        <f>IF(connections!$A330="","",IFERROR(INDEX(games!$B$2:$B$950,MATCH(connections!$B330,games!$A$2:$A$950,0)),""))</f>
        <v>2014</v>
      </c>
      <c r="V330">
        <f t="shared" si="77"/>
        <v>27</v>
      </c>
    </row>
    <row r="331" spans="1:22" x14ac:dyDescent="0.25">
      <c r="A331" t="str">
        <f>IF(games!$A331="","",games!$A331)</f>
        <v>Greedland</v>
      </c>
      <c r="B331">
        <f>IF($A331="","",games!$B331)</f>
        <v>2023</v>
      </c>
      <c r="C331" t="str">
        <f>IF($A331="","",games!$C331)</f>
        <v>Action</v>
      </c>
      <c r="D331">
        <f>IF($A331="","",COUNTIF(connections!$A$2:$A$1496,$A331)+COUNTIF(connections!$B$2:$B$1496,$A331))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2020</v>
      </c>
      <c r="U331">
        <f>IF(connections!$A331="","",IFERROR(INDEX(games!$B$2:$B$950,MATCH(connections!$B331,games!$A$2:$A$950,0)),""))</f>
        <v>2026</v>
      </c>
      <c r="V331">
        <f t="shared" si="77"/>
        <v>6</v>
      </c>
    </row>
    <row r="332" spans="1:22" x14ac:dyDescent="0.25">
      <c r="A332" t="str">
        <f>IF(games!$A332="","",games!$A332)</f>
        <v>Griftlands</v>
      </c>
      <c r="B332">
        <f>IF($A332="","",games!$B332)</f>
        <v>2020</v>
      </c>
      <c r="C332" t="str">
        <f>IF($A332="","",games!$C332)</f>
        <v>Deckbuilder</v>
      </c>
      <c r="D332">
        <f>IF($A332="","",COUNTIF(connections!$A$2:$A$1496,$A332)+COUNTIF(connections!$B$2:$B$1496,$A332))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2020</v>
      </c>
      <c r="U332">
        <f>IF(connections!$A332="","",IFERROR(INDEX(games!$B$2:$B$950,MATCH(connections!$B332,games!$A$2:$A$950,0)),""))</f>
        <v>2026</v>
      </c>
      <c r="V332">
        <f t="shared" si="77"/>
        <v>6</v>
      </c>
    </row>
    <row r="333" spans="1:22" x14ac:dyDescent="0.25">
      <c r="A333" t="str">
        <f>IF(games!$A333="","",games!$A333)</f>
        <v>Guidus</v>
      </c>
      <c r="B333">
        <f>IF($A333="","",games!$B333)</f>
        <v>2021</v>
      </c>
      <c r="C333" t="str">
        <f>IF($A333="","",games!$C333)</f>
        <v>Action</v>
      </c>
      <c r="D333">
        <f>IF($A333="","",COUNTIF(connections!$A$2:$A$1496,$A333)+COUNTIF(connections!$B$2:$B$1496,$A333))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2020</v>
      </c>
      <c r="U333">
        <f>IF(connections!$A333="","",IFERROR(INDEX(games!$B$2:$B$950,MATCH(connections!$B333,games!$A$2:$A$950,0)),""))</f>
        <v>2026</v>
      </c>
      <c r="V333">
        <f t="shared" si="77"/>
        <v>6</v>
      </c>
    </row>
    <row r="334" spans="1:22" x14ac:dyDescent="0.25">
      <c r="A334" t="str">
        <f>IF(games!$A334="","",games!$A334)</f>
        <v>Guidus Zero</v>
      </c>
      <c r="B334">
        <f>IF($A334="","",games!$B334)</f>
        <v>2024</v>
      </c>
      <c r="C334" t="str">
        <f>IF($A334="","",games!$C334)</f>
        <v>Action</v>
      </c>
      <c r="D334">
        <f>IF($A334="","",COUNTIF(connections!$A$2:$A$1496,$A334)+COUNTIF(connections!$B$2:$B$1496,$A334))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2023</v>
      </c>
      <c r="U334">
        <f>IF(connections!$A334="","",IFERROR(INDEX(games!$B$2:$B$950,MATCH(connections!$B334,games!$A$2:$A$950,0)),""))</f>
        <v>2026</v>
      </c>
      <c r="V334">
        <f t="shared" si="77"/>
        <v>3</v>
      </c>
    </row>
    <row r="335" spans="1:22" x14ac:dyDescent="0.25">
      <c r="A335" t="str">
        <f>IF(games!$A335="","",games!$A335)</f>
        <v>Guild of Dungeoneering</v>
      </c>
      <c r="B335">
        <f>IF($A335="","",games!$B335)</f>
        <v>2015</v>
      </c>
      <c r="C335" t="str">
        <f>IF($A335="","",games!$C335)</f>
        <v>Deckbuilder</v>
      </c>
      <c r="D335">
        <f>IF($A335="","",COUNTIF(connections!$A$2:$A$1496,$A335)+COUNTIF(connections!$B$2:$B$1496,$A335))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2021</v>
      </c>
      <c r="U335">
        <f>IF(connections!$A335="","",IFERROR(INDEX(games!$B$2:$B$950,MATCH(connections!$B335,games!$A$2:$A$950,0)),""))</f>
        <v>2024</v>
      </c>
      <c r="V335">
        <f t="shared" si="77"/>
        <v>3</v>
      </c>
    </row>
    <row r="336" spans="1:22" x14ac:dyDescent="0.25">
      <c r="A336" t="str">
        <f>IF(games!$A336="","",games!$A336)</f>
        <v>Gumballs &amp; Dungeons</v>
      </c>
      <c r="B336">
        <f>IF($A336="","",games!$B336)</f>
        <v>2017</v>
      </c>
      <c r="C336" t="str">
        <f>IF($A336="","",games!$C336)</f>
        <v>Strategy</v>
      </c>
      <c r="D336">
        <f>IF($A336="","",COUNTIF(connections!$A$2:$A$1496,$A336)+COUNTIF(connections!$B$2:$B$1496,$A336))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2015</v>
      </c>
      <c r="U336">
        <f>IF(connections!$A336="","",IFERROR(INDEX(games!$B$2:$B$950,MATCH(connections!$B336,games!$A$2:$A$950,0)),""))</f>
        <v>2018</v>
      </c>
      <c r="V336">
        <f t="shared" si="77"/>
        <v>3</v>
      </c>
    </row>
    <row r="337" spans="1:22" x14ac:dyDescent="0.25">
      <c r="A337" t="str">
        <f>IF(games!$A337="","",games!$A337)</f>
        <v>Gunfire Reborn</v>
      </c>
      <c r="B337">
        <f>IF($A337="","",games!$B337)</f>
        <v>2020</v>
      </c>
      <c r="C337" t="str">
        <f>IF($A337="","",games!$C337)</f>
        <v>Action</v>
      </c>
      <c r="D337">
        <f>IF($A337="","",COUNTIF(connections!$A$2:$A$1496,$A337)+COUNTIF(connections!$B$2:$B$1496,$A337))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2012</v>
      </c>
      <c r="U337">
        <f>IF(connections!$A337="","",IFERROR(INDEX(games!$B$2:$B$950,MATCH(connections!$B337,games!$A$2:$A$950,0)),""))</f>
        <v>2018</v>
      </c>
      <c r="V337">
        <f t="shared" si="77"/>
        <v>6</v>
      </c>
    </row>
    <row r="338" spans="1:22" x14ac:dyDescent="0.25">
      <c r="A338" t="str">
        <f>IF(games!$A338="","",games!$A338)</f>
        <v>Gunlocked</v>
      </c>
      <c r="B338">
        <f>IF($A338="","",games!$B338)</f>
        <v>2022</v>
      </c>
      <c r="C338" t="str">
        <f>IF($A338="","",games!$C338)</f>
        <v>Action</v>
      </c>
      <c r="D338">
        <f>IF($A338="","",COUNTIF(connections!$A$2:$A$1496,$A338)+COUNTIF(connections!$B$2:$B$1496,$A338))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2017</v>
      </c>
      <c r="U338">
        <f>IF(connections!$A338="","",IFERROR(INDEX(games!$B$2:$B$950,MATCH(connections!$B338,games!$A$2:$A$950,0)),""))</f>
        <v>2021</v>
      </c>
      <c r="V338">
        <f t="shared" si="77"/>
        <v>4</v>
      </c>
    </row>
    <row r="339" spans="1:22" x14ac:dyDescent="0.25">
      <c r="A339" t="str">
        <f>IF(games!$A339="","",games!$A339)</f>
        <v>Gunlocked 2</v>
      </c>
      <c r="B339">
        <f>IF($A339="","",games!$B339)</f>
        <v>2025</v>
      </c>
      <c r="C339" t="str">
        <f>IF($A339="","",games!$C339)</f>
        <v>Action</v>
      </c>
      <c r="D339">
        <f>IF($A339="","",COUNTIF(connections!$A$2:$A$1496,$A339)+COUNTIF(connections!$B$2:$B$1496,$A339))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1996</v>
      </c>
      <c r="U339">
        <f>IF(connections!$A339="","",IFERROR(INDEX(games!$B$2:$B$950,MATCH(connections!$B339,games!$A$2:$A$950,0)),""))</f>
        <v>2012</v>
      </c>
      <c r="V339">
        <f t="shared" si="77"/>
        <v>16</v>
      </c>
    </row>
    <row r="340" spans="1:22" x14ac:dyDescent="0.25">
      <c r="A340" t="str">
        <f>IF(games!$A340="","",games!$A340)</f>
        <v>Guntouchables</v>
      </c>
      <c r="B340">
        <f>IF($A340="","",games!$B340)</f>
        <v>2025</v>
      </c>
      <c r="C340" t="str">
        <f>IF($A340="","",games!$C340)</f>
        <v>Action</v>
      </c>
      <c r="D340">
        <f>IF($A340="","",COUNTIF(connections!$A$2:$A$1496,$A340)+COUNTIF(connections!$B$2:$B$1496,$A340))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1987</v>
      </c>
      <c r="U340">
        <f>IF(connections!$A340="","",IFERROR(INDEX(games!$B$2:$B$950,MATCH(connections!$B340,games!$A$2:$A$950,0)),""))</f>
        <v>2012</v>
      </c>
      <c r="V340">
        <f t="shared" si="77"/>
        <v>25</v>
      </c>
    </row>
    <row r="341" spans="1:22" x14ac:dyDescent="0.25">
      <c r="A341" t="str">
        <f>IF(games!$A341="","",games!$A341)</f>
        <v>Hack</v>
      </c>
      <c r="B341">
        <f>IF($A341="","",games!$B341)</f>
        <v>1984</v>
      </c>
      <c r="C341" t="str">
        <f>IF($A341="","",games!$C341)</f>
        <v>Traditional</v>
      </c>
      <c r="D341">
        <f>IF($A341="","",COUNTIF(connections!$A$2:$A$1496,$A341)+COUNTIF(connections!$B$2:$B$1496,$A341))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1980</v>
      </c>
      <c r="U341">
        <f>IF(connections!$A341="","",IFERROR(INDEX(games!$B$2:$B$950,MATCH(connections!$B341,games!$A$2:$A$950,0)),""))</f>
        <v>2012</v>
      </c>
      <c r="V341">
        <f t="shared" si="77"/>
        <v>32</v>
      </c>
    </row>
    <row r="342" spans="1:22" x14ac:dyDescent="0.25">
      <c r="A342" t="str">
        <f>IF(games!$A342="","",games!$A342)</f>
        <v>Hack'EM</v>
      </c>
      <c r="B342">
        <f>IF($A342="","",games!$B342)</f>
        <v>2022</v>
      </c>
      <c r="C342" t="str">
        <f>IF($A342="","",games!$C342)</f>
        <v>Traditional</v>
      </c>
      <c r="D342">
        <f>IF($A342="","",COUNTIF(connections!$A$2:$A$1496,$A342)+COUNTIF(connections!$B$2:$B$1496,$A342))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2015</v>
      </c>
      <c r="U342">
        <f>IF(connections!$A342="","",IFERROR(INDEX(games!$B$2:$B$950,MATCH(connections!$B342,games!$A$2:$A$950,0)),""))</f>
        <v>2026</v>
      </c>
      <c r="V342">
        <f t="shared" si="77"/>
        <v>11</v>
      </c>
    </row>
    <row r="343" spans="1:22" x14ac:dyDescent="0.25">
      <c r="A343" t="str">
        <f>IF(games!$A343="","",games!$A343)</f>
        <v>Hadean Tactics</v>
      </c>
      <c r="B343">
        <f>IF($A343="","",games!$B343)</f>
        <v>2021</v>
      </c>
      <c r="C343" t="str">
        <f>IF($A343="","",games!$C343)</f>
        <v>Deckbuilder</v>
      </c>
      <c r="D343">
        <f>IF($A343="","",COUNTIF(connections!$A$2:$A$1496,$A343)+COUNTIF(connections!$B$2:$B$1496,$A343))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2019</v>
      </c>
      <c r="U343">
        <f>IF(connections!$A343="","",IFERROR(INDEX(games!$B$2:$B$950,MATCH(connections!$B343,games!$A$2:$A$950,0)),""))</f>
        <v>2026</v>
      </c>
      <c r="V343">
        <f t="shared" si="77"/>
        <v>7</v>
      </c>
    </row>
    <row r="344" spans="1:22" x14ac:dyDescent="0.25">
      <c r="A344" t="str">
        <f>IF(games!$A344="","",games!$A344)</f>
        <v>Hades</v>
      </c>
      <c r="B344">
        <f>IF($A344="","",games!$B344)</f>
        <v>2019</v>
      </c>
      <c r="C344" t="str">
        <f>IF($A344="","",games!$C344)</f>
        <v>Action</v>
      </c>
      <c r="D344">
        <f>IF($A344="","",COUNTIF(connections!$A$2:$A$1496,$A344)+COUNTIF(connections!$B$2:$B$1496,$A344))</f>
        <v>70</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70.000343999999998</v>
      </c>
      <c r="P344" t="str">
        <f>IF(OR($A344="",games!$H344=""),"",games!$H344)</f>
        <v>Yes</v>
      </c>
      <c r="Q344">
        <f t="shared" si="76"/>
        <v>70.000343999999998</v>
      </c>
      <c r="T344">
        <f>IF(connections!$A344="","",IFERROR(INDEX(games!$B$2:$B$950,MATCH(connections!$A344,games!$A$2:$A$950,0)),""))</f>
        <v>2017</v>
      </c>
      <c r="U344">
        <f>IF(connections!$A344="","",IFERROR(INDEX(games!$B$2:$B$950,MATCH(connections!$B344,games!$A$2:$A$950,0)),""))</f>
        <v>2025</v>
      </c>
      <c r="V344">
        <f t="shared" si="77"/>
        <v>8</v>
      </c>
    </row>
    <row r="345" spans="1:22" x14ac:dyDescent="0.25">
      <c r="A345" t="str">
        <f>IF(games!$A345="","",games!$A345)</f>
        <v>Hades II</v>
      </c>
      <c r="B345">
        <f>IF($A345="","",games!$B345)</f>
        <v>2024</v>
      </c>
      <c r="C345" t="str">
        <f>IF($A345="","",games!$C345)</f>
        <v>Action</v>
      </c>
      <c r="D345">
        <f>IF($A345="","",COUNTIF(connections!$A$2:$A$1496,$A345)+COUNTIF(connections!$B$2:$B$1496,$A345))</f>
        <v>2</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2.0003449999999998</v>
      </c>
      <c r="P345" t="str">
        <f>IF(OR($A345="",games!$H345=""),"",games!$H345)</f>
        <v>Yes</v>
      </c>
      <c r="Q345">
        <f t="shared" si="76"/>
        <v>2.0003449999999998</v>
      </c>
      <c r="T345">
        <f>IF(connections!$A345="","",IFERROR(INDEX(games!$B$2:$B$950,MATCH(connections!$A345,games!$A$2:$A$950,0)),""))</f>
        <v>1996</v>
      </c>
      <c r="U345">
        <f>IF(connections!$A345="","",IFERROR(INDEX(games!$B$2:$B$950,MATCH(connections!$B345,games!$A$2:$A$950,0)),""))</f>
        <v>2022</v>
      </c>
      <c r="V345">
        <f t="shared" si="77"/>
        <v>26</v>
      </c>
    </row>
    <row r="346" spans="1:22" x14ac:dyDescent="0.25">
      <c r="A346" t="str">
        <f>IF(games!$A346="","",games!$A346)</f>
        <v>Halls of Torment</v>
      </c>
      <c r="B346">
        <f>IF($A346="","",games!$B346)</f>
        <v>2023</v>
      </c>
      <c r="C346" t="str">
        <f>IF($A346="","",games!$C346)</f>
        <v>Action</v>
      </c>
      <c r="D346">
        <f>IF($A346="","",COUNTIF(connections!$A$2:$A$1496,$A346)+COUNTIF(connections!$B$2:$B$1496,$A346))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2006</v>
      </c>
      <c r="U346">
        <f>IF(connections!$A346="","",IFERROR(INDEX(games!$B$2:$B$950,MATCH(connections!$B346,games!$A$2:$A$950,0)),""))</f>
        <v>2010</v>
      </c>
      <c r="V346">
        <f t="shared" si="77"/>
        <v>4</v>
      </c>
    </row>
    <row r="347" spans="1:22" x14ac:dyDescent="0.25">
      <c r="A347" t="str">
        <f>IF(games!$A347="","",games!$A347)</f>
        <v>Hand of Fate</v>
      </c>
      <c r="B347">
        <f>IF($A347="","",games!$B347)</f>
        <v>2014</v>
      </c>
      <c r="C347" t="str">
        <f>IF($A347="","",games!$C347)</f>
        <v>Deckbuilder</v>
      </c>
      <c r="D347">
        <f>IF($A347="","",COUNTIF(connections!$A$2:$A$1496,$A347)+COUNTIF(connections!$B$2:$B$1496,$A347))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2021</v>
      </c>
      <c r="U347">
        <f>IF(connections!$A347="","",IFERROR(INDEX(games!$B$2:$B$950,MATCH(connections!$B347,games!$A$2:$A$950,0)),""))</f>
        <v>2025</v>
      </c>
      <c r="V347">
        <f t="shared" si="77"/>
        <v>4</v>
      </c>
    </row>
    <row r="348" spans="1:22" x14ac:dyDescent="0.25">
      <c r="A348" t="str">
        <f>IF(games!$A348="","",games!$A348)</f>
        <v>Hand of Fate 2</v>
      </c>
      <c r="B348">
        <f>IF($A348="","",games!$B348)</f>
        <v>2017</v>
      </c>
      <c r="C348" t="str">
        <f>IF($A348="","",games!$C348)</f>
        <v>Deckbuilder</v>
      </c>
      <c r="D348">
        <f>IF($A348="","",COUNTIF(connections!$A$2:$A$1496,$A348)+COUNTIF(connections!$B$2:$B$1496,$A348))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2018</v>
      </c>
      <c r="U348">
        <f>IF(connections!$A348="","",IFERROR(INDEX(games!$B$2:$B$950,MATCH(connections!$B348,games!$A$2:$A$950,0)),""))</f>
        <v>2021</v>
      </c>
      <c r="V348">
        <f t="shared" si="77"/>
        <v>3</v>
      </c>
    </row>
    <row r="349" spans="1:22" x14ac:dyDescent="0.25">
      <c r="A349" t="str">
        <f>IF(games!$A349="","",games!$A349)</f>
        <v>Hand of Fate: Hordes</v>
      </c>
      <c r="B349">
        <f>IF($A349="","",games!$B349)</f>
        <v>2026</v>
      </c>
      <c r="C349" t="str">
        <f>IF($A349="","",games!$C349)</f>
        <v>Action</v>
      </c>
      <c r="D349">
        <f>IF($A349="","",COUNTIF(connections!$A$2:$A$1496,$A349)+COUNTIF(connections!$B$2:$B$1496,$A349))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IF($A350="","",COUNTIF(connections!$A$2:$A$1496,$A350)+COUNTIF(connections!$B$2:$B$1496,$A350))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2018</v>
      </c>
      <c r="U350">
        <f>IF(connections!$A350="","",IFERROR(INDEX(games!$B$2:$B$950,MATCH(connections!$B350,games!$A$2:$A$950,0)),""))</f>
        <v>2019</v>
      </c>
      <c r="V350">
        <f t="shared" si="77"/>
        <v>1</v>
      </c>
    </row>
    <row r="351" spans="1:22" x14ac:dyDescent="0.25">
      <c r="A351" t="str">
        <f>IF(games!$A351="","",games!$A351)</f>
        <v>Hangtime!</v>
      </c>
      <c r="B351">
        <f>IF($A351="","",games!$B351)</f>
        <v>2025</v>
      </c>
      <c r="C351" t="str">
        <f>IF($A351="","",games!$C351)</f>
        <v>Action</v>
      </c>
      <c r="D351">
        <f>IF($A351="","",COUNTIF(connections!$A$2:$A$1496,$A351)+COUNTIF(connections!$B$2:$B$1496,$A351))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2011</v>
      </c>
      <c r="U351">
        <f>IF(connections!$A351="","",IFERROR(INDEX(games!$B$2:$B$950,MATCH(connections!$B351,games!$A$2:$A$950,0)),""))</f>
        <v>2019</v>
      </c>
      <c r="V351">
        <f t="shared" si="77"/>
        <v>8</v>
      </c>
    </row>
    <row r="352" spans="1:22" x14ac:dyDescent="0.25">
      <c r="A352" t="str">
        <f>IF(games!$A352="","",games!$A352)</f>
        <v>Haque</v>
      </c>
      <c r="B352">
        <f>IF($A352="","",games!$B352)</f>
        <v>2017</v>
      </c>
      <c r="C352" t="str">
        <f>IF($A352="","",games!$C352)</f>
        <v>Traditional</v>
      </c>
      <c r="D352">
        <f>IF($A352="","",COUNTIF(connections!$A$2:$A$1496,$A352)+COUNTIF(connections!$B$2:$B$1496,$A352))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1990</v>
      </c>
      <c r="U352">
        <f>IF(connections!$A352="","",IFERROR(INDEX(games!$B$2:$B$950,MATCH(connections!$B352,games!$A$2:$A$950,0)),""))</f>
        <v>1996</v>
      </c>
      <c r="V352">
        <f t="shared" si="77"/>
        <v>6</v>
      </c>
    </row>
    <row r="353" spans="1:22" x14ac:dyDescent="0.25">
      <c r="A353" t="str">
        <f>IF(games!$A353="","",games!$A353)</f>
        <v>Has-Been Heroes</v>
      </c>
      <c r="B353">
        <f>IF($A353="","",games!$B353)</f>
        <v>2017</v>
      </c>
      <c r="C353" t="str">
        <f>IF($A353="","",games!$C353)</f>
        <v>Action</v>
      </c>
      <c r="D353">
        <f>IF($A353="","",COUNTIF(connections!$A$2:$A$1496,$A353)+COUNTIF(connections!$B$2:$B$1496,$A353))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1983</v>
      </c>
      <c r="U353">
        <f>IF(connections!$A353="","",IFERROR(INDEX(games!$B$2:$B$950,MATCH(connections!$B353,games!$A$2:$A$950,0)),""))</f>
        <v>1996</v>
      </c>
      <c r="V353">
        <f t="shared" si="77"/>
        <v>13</v>
      </c>
    </row>
    <row r="354" spans="1:22" x14ac:dyDescent="0.25">
      <c r="A354" t="str">
        <f>IF(games!$A354="","",games!$A354)</f>
        <v>Haste</v>
      </c>
      <c r="B354">
        <f>IF($A354="","",games!$B354)</f>
        <v>2025</v>
      </c>
      <c r="C354" t="str">
        <f>IF($A354="","",games!$C354)</f>
        <v>Action</v>
      </c>
      <c r="D354">
        <f>IF($A354="","",COUNTIF(connections!$A$2:$A$1496,$A354)+COUNTIF(connections!$B$2:$B$1496,$A354))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1987</v>
      </c>
      <c r="U354">
        <f>IF(connections!$A354="","",IFERROR(INDEX(games!$B$2:$B$950,MATCH(connections!$B354,games!$A$2:$A$950,0)),""))</f>
        <v>1996</v>
      </c>
      <c r="V354">
        <f t="shared" si="77"/>
        <v>9</v>
      </c>
    </row>
    <row r="355" spans="1:22" x14ac:dyDescent="0.25">
      <c r="A355" t="str">
        <f>IF(games!$A355="","",games!$A355)</f>
        <v>Have a Nice Death</v>
      </c>
      <c r="B355">
        <f>IF($A355="","",games!$B355)</f>
        <v>2022</v>
      </c>
      <c r="C355" t="str">
        <f>IF($A355="","",games!$C355)</f>
        <v>Action</v>
      </c>
      <c r="D355">
        <f>IF($A355="","",COUNTIF(connections!$A$2:$A$1496,$A355)+COUNTIF(connections!$B$2:$B$1496,$A355))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2019</v>
      </c>
      <c r="U355">
        <f>IF(connections!$A355="","",IFERROR(INDEX(games!$B$2:$B$950,MATCH(connections!$B355,games!$A$2:$A$950,0)),""))</f>
        <v>2024</v>
      </c>
      <c r="V355">
        <f t="shared" si="77"/>
        <v>5</v>
      </c>
    </row>
    <row r="356" spans="1:22" x14ac:dyDescent="0.25">
      <c r="A356" t="str">
        <f>IF(games!$A356="","",games!$A356)</f>
        <v>He is Coming</v>
      </c>
      <c r="B356">
        <f>IF($A356="","",games!$B356)</f>
        <v>2025</v>
      </c>
      <c r="C356" t="str">
        <f>IF($A356="","",games!$C356)</f>
        <v>Deckbuilder</v>
      </c>
      <c r="D356">
        <f>IF($A356="","",COUNTIF(connections!$A$2:$A$1496,$A356)+COUNTIF(connections!$B$2:$B$1496,$A356))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2022</v>
      </c>
      <c r="U356">
        <f>IF(connections!$A356="","",IFERROR(INDEX(games!$B$2:$B$950,MATCH(connections!$B356,games!$A$2:$A$950,0)),""))</f>
        <v>2024</v>
      </c>
      <c r="V356">
        <f t="shared" si="77"/>
        <v>2</v>
      </c>
    </row>
    <row r="357" spans="1:22" x14ac:dyDescent="0.25">
      <c r="A357" t="str">
        <f>IF(games!$A357="","",games!$A357)</f>
        <v>Heading Out</v>
      </c>
      <c r="B357">
        <f>IF($A357="","",games!$B357)</f>
        <v>2023</v>
      </c>
      <c r="C357" t="str">
        <f>IF($A357="","",games!$C357)</f>
        <v>Action</v>
      </c>
      <c r="D357">
        <f>IF($A357="","",COUNTIF(connections!$A$2:$A$1496,$A357)+COUNTIF(connections!$B$2:$B$1496,$A357))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2017</v>
      </c>
      <c r="U357">
        <f>IF(connections!$A357="","",IFERROR(INDEX(games!$B$2:$B$950,MATCH(connections!$B357,games!$A$2:$A$950,0)),""))</f>
        <v>2024</v>
      </c>
      <c r="V357">
        <f t="shared" si="77"/>
        <v>7</v>
      </c>
    </row>
    <row r="358" spans="1:22" x14ac:dyDescent="0.25">
      <c r="A358" t="str">
        <f>IF(games!$A358="","",games!$A358)</f>
        <v>Heat Signature</v>
      </c>
      <c r="B358">
        <f>IF($A358="","",games!$B358)</f>
        <v>2017</v>
      </c>
      <c r="C358" t="str">
        <f>IF($A358="","",games!$C358)</f>
        <v>Action</v>
      </c>
      <c r="D358">
        <f>IF($A358="","",COUNTIF(connections!$A$2:$A$1496,$A358)+COUNTIF(connections!$B$2:$B$1496,$A358))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2023</v>
      </c>
      <c r="U358">
        <f>IF(connections!$A358="","",IFERROR(INDEX(games!$B$2:$B$950,MATCH(connections!$B358,games!$A$2:$A$950,0)),""))</f>
        <v>2026</v>
      </c>
      <c r="V358">
        <f t="shared" si="77"/>
        <v>3</v>
      </c>
    </row>
    <row r="359" spans="1:22" x14ac:dyDescent="0.25">
      <c r="A359" t="str">
        <f>IF(games!$A359="","",games!$A359)</f>
        <v>Heavy Bullets</v>
      </c>
      <c r="B359">
        <f>IF($A359="","",games!$B359)</f>
        <v>2014</v>
      </c>
      <c r="C359" t="str">
        <f>IF($A359="","",games!$C359)</f>
        <v>Action</v>
      </c>
      <c r="D359">
        <f>IF($A359="","",COUNTIF(connections!$A$2:$A$1496,$A359)+COUNTIF(connections!$B$2:$B$1496,$A359))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2011</v>
      </c>
      <c r="U359">
        <f>IF(connections!$A359="","",IFERROR(INDEX(games!$B$2:$B$950,MATCH(connections!$B359,games!$A$2:$A$950,0)),""))</f>
        <v>2026</v>
      </c>
      <c r="V359">
        <f t="shared" si="77"/>
        <v>15</v>
      </c>
    </row>
    <row r="360" spans="1:22" x14ac:dyDescent="0.25">
      <c r="A360" t="str">
        <f>IF(games!$A360="","",games!$A360)</f>
        <v>Hell Clock</v>
      </c>
      <c r="B360">
        <f>IF($A360="","",games!$B360)</f>
        <v>2025</v>
      </c>
      <c r="C360" t="str">
        <f>IF($A360="","",games!$C360)</f>
        <v>Action</v>
      </c>
      <c r="D360">
        <f>IF($A360="","",COUNTIF(connections!$A$2:$A$1496,$A360)+COUNTIF(connections!$B$2:$B$1496,$A360))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2017</v>
      </c>
      <c r="U360">
        <f>IF(connections!$A360="","",IFERROR(INDEX(games!$B$2:$B$950,MATCH(connections!$B360,games!$A$2:$A$950,0)),""))</f>
        <v>2025</v>
      </c>
      <c r="V360">
        <f t="shared" si="77"/>
        <v>8</v>
      </c>
    </row>
    <row r="361" spans="1:22" x14ac:dyDescent="0.25">
      <c r="A361" t="str">
        <f>IF(games!$A361="","",games!$A361)</f>
        <v>Hell Maiden</v>
      </c>
      <c r="B361">
        <f>IF($A361="","",games!$B361)</f>
        <v>2026</v>
      </c>
      <c r="C361" t="str">
        <f>IF($A361="","",games!$C361)</f>
        <v>Action</v>
      </c>
      <c r="D361">
        <f>IF($A361="","",COUNTIF(connections!$A$2:$A$1496,$A361)+COUNTIF(connections!$B$2:$B$1496,$A361))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2023</v>
      </c>
      <c r="U361">
        <f>IF(connections!$A361="","",IFERROR(INDEX(games!$B$2:$B$950,MATCH(connections!$B361,games!$A$2:$A$950,0)),""))</f>
        <v>2025</v>
      </c>
      <c r="V361">
        <f t="shared" si="77"/>
        <v>2</v>
      </c>
    </row>
    <row r="362" spans="1:22" x14ac:dyDescent="0.25">
      <c r="A362" t="str">
        <f>IF(games!$A362="","",games!$A362)</f>
        <v>Hellboy Web of Wyrd</v>
      </c>
      <c r="B362">
        <f>IF($A362="","",games!$B362)</f>
        <v>2023</v>
      </c>
      <c r="C362" t="str">
        <f>IF($A362="","",games!$C362)</f>
        <v>Action</v>
      </c>
      <c r="D362">
        <f>IF($A362="","",COUNTIF(connections!$A$2:$A$1496,$A362)+COUNTIF(connections!$B$2:$B$1496,$A362))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2019</v>
      </c>
      <c r="U362">
        <f>IF(connections!$A362="","",IFERROR(INDEX(games!$B$2:$B$950,MATCH(connections!$B362,games!$A$2:$A$950,0)),""))</f>
        <v>2025</v>
      </c>
      <c r="V362">
        <f t="shared" si="77"/>
        <v>6</v>
      </c>
    </row>
    <row r="363" spans="1:22" x14ac:dyDescent="0.25">
      <c r="A363" t="str">
        <f>IF(games!$A363="","",games!$A363)</f>
        <v>Hellcard</v>
      </c>
      <c r="B363">
        <f>IF($A363="","",games!$B363)</f>
        <v>2023</v>
      </c>
      <c r="C363" t="str">
        <f>IF($A363="","",games!$C363)</f>
        <v>Deckbuilder</v>
      </c>
      <c r="D363">
        <f>IF($A363="","",COUNTIF(connections!$A$2:$A$1496,$A363)+COUNTIF(connections!$B$2:$B$1496,$A363))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2021</v>
      </c>
      <c r="U363">
        <f>IF(connections!$A363="","",IFERROR(INDEX(games!$B$2:$B$950,MATCH(connections!$B363,games!$A$2:$A$950,0)),""))</f>
        <v>2025</v>
      </c>
      <c r="V363">
        <f t="shared" si="77"/>
        <v>4</v>
      </c>
    </row>
    <row r="364" spans="1:22" x14ac:dyDescent="0.25">
      <c r="A364" t="str">
        <f>IF(games!$A364="","",games!$A364)</f>
        <v>Helskate</v>
      </c>
      <c r="B364">
        <f>IF($A364="","",games!$B364)</f>
        <v>2025</v>
      </c>
      <c r="C364" t="str">
        <f>IF($A364="","",games!$C364)</f>
        <v>Action</v>
      </c>
      <c r="D364">
        <f>IF($A364="","",COUNTIF(connections!$A$2:$A$1496,$A364)+COUNTIF(connections!$B$2:$B$1496,$A364))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2020</v>
      </c>
      <c r="U364">
        <f>IF(connections!$A364="","",IFERROR(INDEX(games!$B$2:$B$950,MATCH(connections!$B364,games!$A$2:$A$950,0)),""))</f>
        <v>2025</v>
      </c>
      <c r="V364">
        <f t="shared" si="77"/>
        <v>5</v>
      </c>
    </row>
    <row r="365" spans="1:22" x14ac:dyDescent="0.25">
      <c r="A365" t="str">
        <f>IF(games!$A365="","",games!$A365)</f>
        <v>Heretic's Fork</v>
      </c>
      <c r="B365">
        <f>IF($A365="","",games!$B365)</f>
        <v>2023</v>
      </c>
      <c r="C365" t="str">
        <f>IF($A365="","",games!$C365)</f>
        <v>Action</v>
      </c>
      <c r="D365">
        <f>IF($A365="","",COUNTIF(connections!$A$2:$A$1496,$A365)+COUNTIF(connections!$B$2:$B$1496,$A365))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2017</v>
      </c>
      <c r="U365">
        <f>IF(connections!$A365="","",IFERROR(INDEX(games!$B$2:$B$950,MATCH(connections!$B365,games!$A$2:$A$950,0)),""))</f>
        <v>2025</v>
      </c>
      <c r="V365">
        <f t="shared" si="77"/>
        <v>8</v>
      </c>
    </row>
    <row r="366" spans="1:22" x14ac:dyDescent="0.25">
      <c r="A366" t="str">
        <f>IF(games!$A366="","",games!$A366)</f>
        <v>Heroes of Hammerwatch</v>
      </c>
      <c r="B366">
        <f>IF($A366="","",games!$B366)</f>
        <v>2018</v>
      </c>
      <c r="C366" t="str">
        <f>IF($A366="","",games!$C366)</f>
        <v>Action</v>
      </c>
      <c r="D366">
        <f>IF($A366="","",COUNTIF(connections!$A$2:$A$1496,$A366)+COUNTIF(connections!$B$2:$B$1496,$A366))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2012</v>
      </c>
      <c r="U366">
        <f>IF(connections!$A366="","",IFERROR(INDEX(games!$B$2:$B$950,MATCH(connections!$B366,games!$A$2:$A$950,0)),""))</f>
        <v>2024</v>
      </c>
      <c r="V366">
        <f t="shared" si="77"/>
        <v>12</v>
      </c>
    </row>
    <row r="367" spans="1:22" x14ac:dyDescent="0.25">
      <c r="A367" t="str">
        <f>IF(games!$A367="","",games!$A367)</f>
        <v>Heroes of Hammerwatch II</v>
      </c>
      <c r="B367">
        <f>IF($A367="","",games!$B367)</f>
        <v>2025</v>
      </c>
      <c r="C367" t="str">
        <f>IF($A367="","",games!$C367)</f>
        <v>Action</v>
      </c>
      <c r="D367">
        <f>IF($A367="","",COUNTIF(connections!$A$2:$A$1496,$A367)+COUNTIF(connections!$B$2:$B$1496,$A367))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Hexagod</v>
      </c>
      <c r="B368">
        <f>IF($A368="","",games!$B368)</f>
        <v>2025</v>
      </c>
      <c r="C368" t="str">
        <f>IF($A368="","",games!$C368)</f>
        <v>Strategy</v>
      </c>
      <c r="D368">
        <f>IF($A368="","",COUNTIF(connections!$A$2:$A$1496,$A368)+COUNTIF(connections!$B$2:$B$1496,$A368))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Hive Blight</v>
      </c>
      <c r="B369">
        <f>IF($A369="","",games!$B369)</f>
        <v>2026</v>
      </c>
      <c r="C369" t="str">
        <f>IF($A369="","",games!$C369)</f>
        <v>Strategy</v>
      </c>
      <c r="D369">
        <f>IF($A369="","",COUNTIF(connections!$A$2:$A$1496,$A369)+COUNTIF(connections!$B$2:$B$1496,$A369))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2024</v>
      </c>
      <c r="V369">
        <f t="shared" si="77"/>
        <v>3</v>
      </c>
    </row>
    <row r="370" spans="1:22" x14ac:dyDescent="0.25">
      <c r="A370" t="str">
        <f>IF(games!$A370="","",games!$A370)</f>
        <v>HoloCure: Save the Fans!</v>
      </c>
      <c r="B370">
        <f>IF($A370="","",games!$B370)</f>
        <v>2023</v>
      </c>
      <c r="C370" t="str">
        <f>IF($A370="","",games!$C370)</f>
        <v>Action</v>
      </c>
      <c r="D370">
        <f>IF($A370="","",COUNTIF(connections!$A$2:$A$1496,$A370)+COUNTIF(connections!$B$2:$B$1496,$A370))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HoloDungeon: Koyori vs HollowLive in Honsha Tower</v>
      </c>
      <c r="B371">
        <f>IF($A371="","",games!$B371)</f>
        <v>2026</v>
      </c>
      <c r="C371" t="str">
        <f>IF($A371="","",games!$C371)</f>
        <v>Traditional</v>
      </c>
      <c r="D371">
        <f>IF($A371="","",COUNTIF(connections!$A$2:$A$1496,$A371)+COUNTIF(connections!$B$2:$B$1496,$A371))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2008</v>
      </c>
      <c r="U371">
        <f>IF(connections!$A371="","",IFERROR(INDEX(games!$B$2:$B$950,MATCH(connections!$B371,games!$A$2:$A$950,0)),""))</f>
        <v>2024</v>
      </c>
      <c r="V371">
        <f t="shared" si="77"/>
        <v>16</v>
      </c>
    </row>
    <row r="372" spans="1:22" x14ac:dyDescent="0.25">
      <c r="A372" t="str">
        <f>IF(games!$A372="","",games!$A372)</f>
        <v>Hoplite</v>
      </c>
      <c r="B372">
        <f>IF($A372="","",games!$B372)</f>
        <v>2013</v>
      </c>
      <c r="C372" t="str">
        <f>IF($A372="","",games!$C372)</f>
        <v>Traditional</v>
      </c>
      <c r="D372">
        <f>IF($A372="","",COUNTIF(connections!$A$2:$A$1496,$A372)+COUNTIF(connections!$B$2:$B$1496,$A372))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2017</v>
      </c>
      <c r="U372">
        <f>IF(connections!$A372="","",IFERROR(INDEX(games!$B$2:$B$950,MATCH(connections!$B372,games!$A$2:$A$950,0)),""))</f>
        <v>2024</v>
      </c>
      <c r="V372">
        <f t="shared" si="77"/>
        <v>7</v>
      </c>
    </row>
    <row r="373" spans="1:22" x14ac:dyDescent="0.25">
      <c r="A373" t="str">
        <f>IF(games!$A373="","",games!$A373)</f>
        <v>House of Necrosis</v>
      </c>
      <c r="B373">
        <f>IF($A373="","",games!$B373)</f>
        <v>2025</v>
      </c>
      <c r="C373" t="str">
        <f>IF($A373="","",games!$C373)</f>
        <v>Traditional</v>
      </c>
      <c r="D373">
        <f>IF($A373="","",COUNTIF(connections!$A$2:$A$1496,$A373)+COUNTIF(connections!$B$2:$B$1496,$A373))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2024</v>
      </c>
      <c r="U373">
        <f>IF(connections!$A373="","",IFERROR(INDEX(games!$B$2:$B$950,MATCH(connections!$B373,games!$A$2:$A$950,0)),""))</f>
        <v>2026</v>
      </c>
      <c r="V373">
        <f t="shared" si="77"/>
        <v>2</v>
      </c>
    </row>
    <row r="374" spans="1:22" x14ac:dyDescent="0.25">
      <c r="A374" t="str">
        <f>IF(games!$A374="","",games!$A374)</f>
        <v>How Many Dudes?</v>
      </c>
      <c r="B374">
        <f>IF($A374="","",games!$B374)</f>
        <v>2026</v>
      </c>
      <c r="C374" t="str">
        <f>IF($A374="","",games!$C374)</f>
        <v>Action</v>
      </c>
      <c r="D374">
        <f>IF($A374="","",COUNTIF(connections!$A$2:$A$1496,$A374)+COUNTIF(connections!$B$2:$B$1496,$A374))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2021</v>
      </c>
      <c r="U374">
        <f>IF(connections!$A374="","",IFERROR(INDEX(games!$B$2:$B$950,MATCH(connections!$B374,games!$A$2:$A$950,0)),""))</f>
        <v>2026</v>
      </c>
      <c r="V374">
        <f t="shared" si="77"/>
        <v>5</v>
      </c>
    </row>
    <row r="375" spans="1:22" x14ac:dyDescent="0.25">
      <c r="A375" t="str">
        <f>IF(games!$A375="","",games!$A375)</f>
        <v>Hungry Horrors</v>
      </c>
      <c r="B375">
        <f>IF($A375="","",games!$B375)</f>
        <v>2026</v>
      </c>
      <c r="C375" t="str">
        <f>IF($A375="","",games!$C375)</f>
        <v>Deckbuilder</v>
      </c>
      <c r="D375">
        <f>IF($A375="","",COUNTIF(connections!$A$2:$A$1496,$A375)+COUNTIF(connections!$B$2:$B$1496,$A375))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2024</v>
      </c>
      <c r="U375">
        <f>IF(connections!$A375="","",IFERROR(INDEX(games!$B$2:$B$950,MATCH(connections!$B375,games!$A$2:$A$950,0)),""))</f>
        <v>2026</v>
      </c>
      <c r="V375">
        <f t="shared" si="77"/>
        <v>2</v>
      </c>
    </row>
    <row r="376" spans="1:22" x14ac:dyDescent="0.25">
      <c r="A376" t="str">
        <f>IF(games!$A376="","",games!$A376)</f>
        <v>Hunter X Hunter: Nen X Survivor</v>
      </c>
      <c r="B376">
        <f>IF($A376="","",games!$B376)</f>
        <v>2026</v>
      </c>
      <c r="C376" t="str">
        <f>IF($A376="","",games!$C376)</f>
        <v>Action</v>
      </c>
      <c r="D376">
        <f>IF($A376="","",COUNTIF(connections!$A$2:$A$1496,$A376)+COUNTIF(connections!$B$2:$B$1496,$A376))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2025</v>
      </c>
      <c r="U376">
        <f>IF(connections!$A376="","",IFERROR(INDEX(games!$B$2:$B$950,MATCH(connections!$B376,games!$A$2:$A$950,0)),""))</f>
        <v>2026</v>
      </c>
      <c r="V376">
        <f t="shared" si="77"/>
        <v>1</v>
      </c>
    </row>
    <row r="377" spans="1:22" x14ac:dyDescent="0.25">
      <c r="A377" t="str">
        <f>IF(games!$A377="","",games!$A377)</f>
        <v>HyperRogue</v>
      </c>
      <c r="B377">
        <f>IF($A377="","",games!$B377)</f>
        <v>2012</v>
      </c>
      <c r="C377" t="str">
        <f>IF($A377="","",games!$C377)</f>
        <v>Traditional</v>
      </c>
      <c r="D377">
        <f>IF($A377="","",COUNTIF(connections!$A$2:$A$1496,$A377)+COUNTIF(connections!$B$2:$B$1496,$A377))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2014</v>
      </c>
      <c r="U377">
        <f>IF(connections!$A377="","",IFERROR(INDEX(games!$B$2:$B$950,MATCH(connections!$B377,games!$A$2:$A$950,0)),""))</f>
        <v>2019</v>
      </c>
      <c r="V377">
        <f t="shared" si="77"/>
        <v>5</v>
      </c>
    </row>
    <row r="378" spans="1:22" x14ac:dyDescent="0.25">
      <c r="A378" t="str">
        <f>IF(games!$A378="","",games!$A378)</f>
        <v>I Am Legion: Stand Survivors</v>
      </c>
      <c r="B378">
        <f>IF($A378="","",games!$B378)</f>
        <v>2025</v>
      </c>
      <c r="C378" t="str">
        <f>IF($A378="","",games!$C378)</f>
        <v>Action</v>
      </c>
      <c r="D378">
        <f>IF($A378="","",COUNTIF(connections!$A$2:$A$1496,$A378)+COUNTIF(connections!$B$2:$B$1496,$A378))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2015</v>
      </c>
      <c r="U378">
        <f>IF(connections!$A378="","",IFERROR(INDEX(games!$B$2:$B$950,MATCH(connections!$B378,games!$A$2:$A$950,0)),""))</f>
        <v>2025</v>
      </c>
      <c r="V378">
        <f t="shared" si="77"/>
        <v>10</v>
      </c>
    </row>
    <row r="379" spans="1:22" x14ac:dyDescent="0.25">
      <c r="A379" t="str">
        <f>IF(games!$A379="","",games!$A379)</f>
        <v>I Am Overburdened</v>
      </c>
      <c r="B379">
        <f>IF($A379="","",games!$B379)</f>
        <v>2017</v>
      </c>
      <c r="C379" t="str">
        <f>IF($A379="","",games!$C379)</f>
        <v>Traditional</v>
      </c>
      <c r="D379">
        <f>IF($A379="","",COUNTIF(connections!$A$2:$A$1496,$A379)+COUNTIF(connections!$B$2:$B$1496,$A379))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3.0003790000000001</v>
      </c>
      <c r="P379" t="str">
        <f>IF(OR($A379="",games!$H379=""),"",games!$H379)</f>
        <v/>
      </c>
      <c r="Q379" t="str">
        <f t="shared" si="76"/>
        <v/>
      </c>
      <c r="T379">
        <f>IF(connections!$A379="","",IFERROR(INDEX(games!$B$2:$B$950,MATCH(connections!$A379,games!$A$2:$A$950,0)),""))</f>
        <v>2019</v>
      </c>
      <c r="U379">
        <f>IF(connections!$A379="","",IFERROR(INDEX(games!$B$2:$B$950,MATCH(connections!$B379,games!$A$2:$A$950,0)),""))</f>
        <v>2025</v>
      </c>
      <c r="V379">
        <f t="shared" si="77"/>
        <v>6</v>
      </c>
    </row>
    <row r="380" spans="1:22" x14ac:dyDescent="0.25">
      <c r="A380" t="str">
        <f>IF(games!$A380="","",games!$A380)</f>
        <v>Icewall</v>
      </c>
      <c r="B380">
        <f>IF($A380="","",games!$B380)</f>
        <v>2022</v>
      </c>
      <c r="C380" t="str">
        <f>IF($A380="","",games!$C380)</f>
        <v>Action</v>
      </c>
      <c r="D380">
        <f>IF($A380="","",COUNTIF(connections!$A$2:$A$1496,$A380)+COUNTIF(connections!$B$2:$B$1496,$A380))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2017</v>
      </c>
      <c r="U380">
        <f>IF(connections!$A380="","",IFERROR(INDEX(games!$B$2:$B$950,MATCH(connections!$B380,games!$A$2:$A$950,0)),""))</f>
        <v>2025</v>
      </c>
      <c r="V380">
        <f t="shared" si="77"/>
        <v>8</v>
      </c>
    </row>
    <row r="381" spans="1:22" x14ac:dyDescent="0.25">
      <c r="A381" t="str">
        <f>IF(games!$A381="","",games!$A381)</f>
        <v>Immortal Redneck</v>
      </c>
      <c r="B381">
        <f>IF($A381="","",games!$B381)</f>
        <v>2017</v>
      </c>
      <c r="C381" t="str">
        <f>IF($A381="","",games!$C381)</f>
        <v>Action</v>
      </c>
      <c r="D381">
        <f>IF($A381="","",COUNTIF(connections!$A$2:$A$1496,$A381)+COUNTIF(connections!$B$2:$B$1496,$A381))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2017</v>
      </c>
      <c r="U381">
        <f>IF(connections!$A381="","",IFERROR(INDEX(games!$B$2:$B$950,MATCH(connections!$B381,games!$A$2:$A$950,0)),""))</f>
        <v>2025</v>
      </c>
      <c r="V381">
        <f t="shared" si="77"/>
        <v>8</v>
      </c>
    </row>
    <row r="382" spans="1:22" x14ac:dyDescent="0.25">
      <c r="A382" t="str">
        <f>IF(games!$A382="","",games!$A382)</f>
        <v>In Celebration of Violence</v>
      </c>
      <c r="B382">
        <f>IF($A382="","",games!$B382)</f>
        <v>2016</v>
      </c>
      <c r="C382" t="str">
        <f>IF($A382="","",games!$C382)</f>
        <v>Action</v>
      </c>
      <c r="D382">
        <f>IF($A382="","",COUNTIF(connections!$A$2:$A$1496,$A382)+COUNTIF(connections!$B$2:$B$1496,$A382))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2017</v>
      </c>
      <c r="U382">
        <f>IF(connections!$A382="","",IFERROR(INDEX(games!$B$2:$B$950,MATCH(connections!$B382,games!$A$2:$A$950,0)),""))</f>
        <v>2024</v>
      </c>
      <c r="V382">
        <f t="shared" si="77"/>
        <v>7</v>
      </c>
    </row>
    <row r="383" spans="1:22" x14ac:dyDescent="0.25">
      <c r="A383" t="str">
        <f>IF(games!$A383="","",games!$A383)</f>
        <v>Incursion</v>
      </c>
      <c r="B383">
        <f>IF($A383="","",games!$B383)</f>
        <v>2007</v>
      </c>
      <c r="C383" t="str">
        <f>IF($A383="","",games!$C383)</f>
        <v>Traditional</v>
      </c>
      <c r="D383">
        <f>IF($A383="","",COUNTIF(connections!$A$2:$A$1496,$A383)+COUNTIF(connections!$B$2:$B$1496,$A383))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2022</v>
      </c>
      <c r="U383">
        <f>IF(connections!$A383="","",IFERROR(INDEX(games!$B$2:$B$950,MATCH(connections!$B383,games!$A$2:$A$950,0)),""))</f>
        <v>2023</v>
      </c>
      <c r="V383">
        <f t="shared" si="77"/>
        <v>1</v>
      </c>
    </row>
    <row r="384" spans="1:22" x14ac:dyDescent="0.25">
      <c r="A384" t="str">
        <f>IF(games!$A384="","",games!$A384)</f>
        <v>Infinite Space III: Sea of Stars</v>
      </c>
      <c r="B384">
        <f>IF($A384="","",games!$B384)</f>
        <v>2015</v>
      </c>
      <c r="C384" t="str">
        <f>IF($A384="","",games!$C384)</f>
        <v>Strategy</v>
      </c>
      <c r="D384">
        <f>IF($A384="","",COUNTIF(connections!$A$2:$A$1496,$A384)+COUNTIF(connections!$B$2:$B$1496,$A384))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2021</v>
      </c>
      <c r="U384">
        <f>IF(connections!$A384="","",IFERROR(INDEX(games!$B$2:$B$950,MATCH(connections!$B384,games!$A$2:$A$950,0)),""))</f>
        <v>2023</v>
      </c>
      <c r="V384">
        <f t="shared" si="77"/>
        <v>2</v>
      </c>
    </row>
    <row r="385" spans="1:22" x14ac:dyDescent="0.25">
      <c r="A385" t="str">
        <f>IF(games!$A385="","",games!$A385)</f>
        <v>Infra Arcana</v>
      </c>
      <c r="B385">
        <f>IF($A385="","",games!$B385)</f>
        <v>2011</v>
      </c>
      <c r="C385" t="str">
        <f>IF($A385="","",games!$C385)</f>
        <v>Traditional</v>
      </c>
      <c r="D385">
        <f>IF($A385="","",COUNTIF(connections!$A$2:$A$1496,$A385)+COUNTIF(connections!$B$2:$B$1496,$A385))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2022</v>
      </c>
      <c r="U385">
        <f>IF(connections!$A385="","",IFERROR(INDEX(games!$B$2:$B$950,MATCH(connections!$B385,games!$A$2:$A$950,0)),""))</f>
        <v>2026</v>
      </c>
      <c r="V385">
        <f t="shared" si="77"/>
        <v>4</v>
      </c>
    </row>
    <row r="386" spans="1:22" x14ac:dyDescent="0.25">
      <c r="A386" t="str">
        <f>IF(games!$A386="","",games!$A386)</f>
        <v>Inkbound</v>
      </c>
      <c r="B386">
        <f>IF($A386="","",games!$B386)</f>
        <v>2023</v>
      </c>
      <c r="C386" t="str">
        <f>IF($A386="","",games!$C386)</f>
        <v>Strategy</v>
      </c>
      <c r="D386">
        <f>IF($A386="","",COUNTIF(connections!$A$2:$A$1496,$A386)+COUNTIF(connections!$B$2:$B$1496,$A386))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2021</v>
      </c>
      <c r="U386">
        <f>IF(connections!$A386="","",IFERROR(INDEX(games!$B$2:$B$950,MATCH(connections!$B386,games!$A$2:$A$950,0)),""))</f>
        <v>2024</v>
      </c>
      <c r="V386">
        <f t="shared" ref="V386:V449" si="90">IF(OR($T386="",$U386=""),"",$U386-$T386)</f>
        <v>3</v>
      </c>
    </row>
    <row r="387" spans="1:22" x14ac:dyDescent="0.25">
      <c r="A387" t="str">
        <f>IF(games!$A387="","",games!$A387)</f>
        <v>Inkshade</v>
      </c>
      <c r="B387">
        <f>IF($A387="","",games!$B387)</f>
        <v>2025</v>
      </c>
      <c r="C387" t="str">
        <f>IF($A387="","",games!$C387)</f>
        <v>Strategy</v>
      </c>
      <c r="D387">
        <f>IF($A387="","",COUNTIF(connections!$A$2:$A$1496,$A387)+COUNTIF(connections!$B$2:$B$1496,$A387))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2019</v>
      </c>
      <c r="U387">
        <f>IF(connections!$A387="","",IFERROR(INDEX(games!$B$2:$B$950,MATCH(connections!$B387,games!$A$2:$A$950,0)),""))</f>
        <v>2025</v>
      </c>
      <c r="V387">
        <f t="shared" si="90"/>
        <v>6</v>
      </c>
    </row>
    <row r="388" spans="1:22" x14ac:dyDescent="0.25">
      <c r="A388" t="str">
        <f>IF(games!$A388="","",games!$A388)</f>
        <v>Inscryption</v>
      </c>
      <c r="B388">
        <f>IF($A388="","",games!$B388)</f>
        <v>2021</v>
      </c>
      <c r="C388" t="str">
        <f>IF($A388="","",games!$C388)</f>
        <v>Deckbuilder</v>
      </c>
      <c r="D388">
        <f>IF($A388="","",COUNTIF(connections!$A$2:$A$1496,$A388)+COUNTIF(connections!$B$2:$B$1496,$A388))</f>
        <v>19</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19.000388000000001</v>
      </c>
      <c r="P388" t="str">
        <f>IF(OR($A388="",games!$H388=""),"",games!$H388)</f>
        <v>Yes</v>
      </c>
      <c r="Q388">
        <f t="shared" si="89"/>
        <v>19.000388000000001</v>
      </c>
      <c r="T388">
        <f>IF(connections!$A388="","",IFERROR(INDEX(games!$B$2:$B$950,MATCH(connections!$A388,games!$A$2:$A$950,0)),""))</f>
        <v>2017</v>
      </c>
      <c r="U388">
        <f>IF(connections!$A388="","",IFERROR(INDEX(games!$B$2:$B$950,MATCH(connections!$B388,games!$A$2:$A$950,0)),""))</f>
        <v>2025</v>
      </c>
      <c r="V388">
        <f t="shared" si="90"/>
        <v>8</v>
      </c>
    </row>
    <row r="389" spans="1:22" x14ac:dyDescent="0.25">
      <c r="A389" t="str">
        <f>IF(games!$A389="","",games!$A389)</f>
        <v>Insider Trading</v>
      </c>
      <c r="B389">
        <f>IF($A389="","",games!$B389)</f>
        <v>2026</v>
      </c>
      <c r="C389" t="str">
        <f>IF($A389="","",games!$C389)</f>
        <v>Deckbuilder</v>
      </c>
      <c r="D389">
        <f>IF($A389="","",COUNTIF(connections!$A$2:$A$1496,$A389)+COUNTIF(connections!$B$2:$B$1496,$A389))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2023</v>
      </c>
      <c r="U389">
        <f>IF(connections!$A389="","",IFERROR(INDEX(games!$B$2:$B$950,MATCH(connections!$B389,games!$A$2:$A$950,0)),""))</f>
        <v>2025</v>
      </c>
      <c r="V389">
        <f t="shared" si="90"/>
        <v>2</v>
      </c>
    </row>
    <row r="390" spans="1:22" x14ac:dyDescent="0.25">
      <c r="A390" t="str">
        <f>IF(games!$A390="","",games!$A390)</f>
        <v>Insurmountable</v>
      </c>
      <c r="B390">
        <f>IF($A390="","",games!$B390)</f>
        <v>2021</v>
      </c>
      <c r="C390" t="str">
        <f>IF($A390="","",games!$C390)</f>
        <v>Strategy</v>
      </c>
      <c r="D390">
        <f>IF($A390="","",COUNTIF(connections!$A$2:$A$1496,$A390)+COUNTIF(connections!$B$2:$B$1496,$A390))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2018</v>
      </c>
      <c r="U390">
        <f>IF(connections!$A390="","",IFERROR(INDEX(games!$B$2:$B$950,MATCH(connections!$B390,games!$A$2:$A$950,0)),""))</f>
        <v>2022</v>
      </c>
      <c r="V390">
        <f t="shared" si="90"/>
        <v>4</v>
      </c>
    </row>
    <row r="391" spans="1:22" x14ac:dyDescent="0.25">
      <c r="A391" t="str">
        <f>IF(games!$A391="","",games!$A391)</f>
        <v>Into the Breach</v>
      </c>
      <c r="B391">
        <f>IF($A391="","",games!$B391)</f>
        <v>2018</v>
      </c>
      <c r="C391" t="str">
        <f>IF($A391="","",games!$C391)</f>
        <v>Strategy</v>
      </c>
      <c r="D391">
        <f>IF($A391="","",COUNTIF(connections!$A$2:$A$1496,$A391)+COUNTIF(connections!$B$2:$B$1496,$A391))</f>
        <v>30</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30.000391</v>
      </c>
      <c r="P391" t="str">
        <f>IF(OR($A391="",games!$H391=""),"",games!$H391)</f>
        <v>Yes</v>
      </c>
      <c r="Q391">
        <f t="shared" si="89"/>
        <v>30.000391</v>
      </c>
      <c r="T391">
        <f>IF(connections!$A391="","",IFERROR(INDEX(games!$B$2:$B$950,MATCH(connections!$A391,games!$A$2:$A$950,0)),""))</f>
        <v>2016</v>
      </c>
      <c r="U391">
        <f>IF(connections!$A391="","",IFERROR(INDEX(games!$B$2:$B$950,MATCH(connections!$B391,games!$A$2:$A$950,0)),""))</f>
        <v>2022</v>
      </c>
      <c r="V391">
        <f t="shared" si="90"/>
        <v>6</v>
      </c>
    </row>
    <row r="392" spans="1:22" x14ac:dyDescent="0.25">
      <c r="A392" t="str">
        <f>IF(games!$A392="","",games!$A392)</f>
        <v>Into The Grid</v>
      </c>
      <c r="B392">
        <f>IF($A392="","",games!$B392)</f>
        <v>2025</v>
      </c>
      <c r="C392" t="str">
        <f>IF($A392="","",games!$C392)</f>
        <v>Deckbuilder</v>
      </c>
      <c r="D392">
        <f>IF($A392="","",COUNTIF(connections!$A$2:$A$1496,$A392)+COUNTIF(connections!$B$2:$B$1496,$A392))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2025</v>
      </c>
      <c r="U392">
        <f>IF(connections!$A392="","",IFERROR(INDEX(games!$B$2:$B$950,MATCH(connections!$B392,games!$A$2:$A$950,0)),""))</f>
        <v>2026</v>
      </c>
      <c r="V392">
        <f t="shared" si="90"/>
        <v>1</v>
      </c>
    </row>
    <row r="393" spans="1:22" x14ac:dyDescent="0.25">
      <c r="A393" t="str">
        <f>IF(games!$A393="","",games!$A393)</f>
        <v>Iratus: Lord of the Dead</v>
      </c>
      <c r="B393">
        <f>IF($A393="","",games!$B393)</f>
        <v>2019</v>
      </c>
      <c r="C393" t="str">
        <f>IF($A393="","",games!$C393)</f>
        <v>Strategy</v>
      </c>
      <c r="D393">
        <f>IF($A393="","",COUNTIF(connections!$A$2:$A$1496,$A393)+COUNTIF(connections!$B$2:$B$1496,$A393))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2013</v>
      </c>
      <c r="U393">
        <f>IF(connections!$A393="","",IFERROR(INDEX(games!$B$2:$B$950,MATCH(connections!$B393,games!$A$2:$A$950,0)),""))</f>
        <v>2014</v>
      </c>
      <c r="V393">
        <f t="shared" si="90"/>
        <v>1</v>
      </c>
    </row>
    <row r="394" spans="1:22" x14ac:dyDescent="0.25">
      <c r="A394" t="str">
        <f>IF(games!$A394="","",games!$A394)</f>
        <v>Iter Vehemens Ad Necem</v>
      </c>
      <c r="B394">
        <f>IF($A394="","",games!$B394)</f>
        <v>2001</v>
      </c>
      <c r="C394" t="str">
        <f>IF($A394="","",games!$C394)</f>
        <v>Traditional</v>
      </c>
      <c r="D394">
        <f>IF($A394="","",COUNTIF(connections!$A$2:$A$1496,$A394)+COUNTIF(connections!$B$2:$B$1496,$A394))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2008</v>
      </c>
      <c r="U394">
        <f>IF(connections!$A394="","",IFERROR(INDEX(games!$B$2:$B$950,MATCH(connections!$B394,games!$A$2:$A$950,0)),""))</f>
        <v>2015</v>
      </c>
      <c r="V394">
        <f t="shared" si="90"/>
        <v>7</v>
      </c>
    </row>
    <row r="395" spans="1:22" x14ac:dyDescent="0.25">
      <c r="A395" t="str">
        <f>IF(games!$A395="","",games!$A395)</f>
        <v>Izuna 2: The Unemployed Ninja Returns</v>
      </c>
      <c r="B395">
        <f>IF($A395="","",games!$B395)</f>
        <v>2007</v>
      </c>
      <c r="C395" t="str">
        <f>IF($A395="","",games!$C395)</f>
        <v>Traditional</v>
      </c>
      <c r="D395">
        <f>IF($A395="","",COUNTIF(connections!$A$2:$A$1496,$A395)+COUNTIF(connections!$B$2:$B$1496,$A395))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1990</v>
      </c>
      <c r="U395">
        <f>IF(connections!$A395="","",IFERROR(INDEX(games!$B$2:$B$950,MATCH(connections!$B395,games!$A$2:$A$950,0)),""))</f>
        <v>1990</v>
      </c>
      <c r="V395">
        <f t="shared" si="90"/>
        <v>0</v>
      </c>
    </row>
    <row r="396" spans="1:22" x14ac:dyDescent="0.25">
      <c r="A396" t="str">
        <f>IF(games!$A396="","",games!$A396)</f>
        <v>Izuna: Legend of the Unemployed Ninja</v>
      </c>
      <c r="B396">
        <f>IF($A396="","",games!$B396)</f>
        <v>2006</v>
      </c>
      <c r="C396" t="str">
        <f>IF($A396="","",games!$C396)</f>
        <v>Traditional</v>
      </c>
      <c r="D396">
        <f>IF($A396="","",COUNTIF(connections!$A$2:$A$1496,$A396)+COUNTIF(connections!$B$2:$B$1496,$A396))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1993</v>
      </c>
      <c r="U396">
        <f>IF(connections!$A396="","",IFERROR(INDEX(games!$B$2:$B$950,MATCH(connections!$B396,games!$A$2:$A$950,0)),""))</f>
        <v>2026</v>
      </c>
      <c r="V396">
        <f t="shared" si="90"/>
        <v>33</v>
      </c>
    </row>
    <row r="397" spans="1:22" x14ac:dyDescent="0.25">
      <c r="A397" t="str">
        <f>IF(games!$A397="","",games!$A397)</f>
        <v>Jotunnslayer: Hordes of Hel</v>
      </c>
      <c r="B397">
        <f>IF($A397="","",games!$B397)</f>
        <v>2025</v>
      </c>
      <c r="C397" t="str">
        <f>IF($A397="","",games!$C397)</f>
        <v>Action</v>
      </c>
      <c r="D397">
        <f>IF($A397="","",COUNTIF(connections!$A$2:$A$1496,$A397)+COUNTIF(connections!$B$2:$B$1496,$A397))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1993</v>
      </c>
      <c r="U397">
        <f>IF(connections!$A397="","",IFERROR(INDEX(games!$B$2:$B$950,MATCH(connections!$B397,games!$A$2:$A$950,0)),""))</f>
        <v>2006</v>
      </c>
      <c r="V397">
        <f t="shared" si="90"/>
        <v>13</v>
      </c>
    </row>
    <row r="398" spans="1:22" x14ac:dyDescent="0.25">
      <c r="A398" t="str">
        <f>IF(games!$A398="","",games!$A398)</f>
        <v>Juicy Realm</v>
      </c>
      <c r="B398">
        <f>IF($A398="","",games!$B398)</f>
        <v>2018</v>
      </c>
      <c r="C398" t="str">
        <f>IF($A398="","",games!$C398)</f>
        <v>Action</v>
      </c>
      <c r="D398">
        <f>IF($A398="","",COUNTIF(connections!$A$2:$A$1496,$A398)+COUNTIF(connections!$B$2:$B$1496,$A398))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1987</v>
      </c>
      <c r="U398">
        <f>IF(connections!$A398="","",IFERROR(INDEX(games!$B$2:$B$950,MATCH(connections!$B398,games!$A$2:$A$950,0)),""))</f>
        <v>2003</v>
      </c>
      <c r="V398">
        <f t="shared" si="90"/>
        <v>16</v>
      </c>
    </row>
    <row r="399" spans="1:22" x14ac:dyDescent="0.25">
      <c r="A399" t="str">
        <f>IF(games!$A399="","",games!$A399)</f>
        <v>Jupiter Hell</v>
      </c>
      <c r="B399">
        <f>IF($A399="","",games!$B399)</f>
        <v>2019</v>
      </c>
      <c r="C399" t="str">
        <f>IF($A399="","",games!$C399)</f>
        <v>Traditional</v>
      </c>
      <c r="D399">
        <f>IF($A399="","",COUNTIF(connections!$A$2:$A$1496,$A399)+COUNTIF(connections!$B$2:$B$1496,$A399))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2021</v>
      </c>
      <c r="U399">
        <f>IF(connections!$A399="","",IFERROR(INDEX(games!$B$2:$B$950,MATCH(connections!$B399,games!$A$2:$A$950,0)),""))</f>
        <v>2025</v>
      </c>
      <c r="V399">
        <f t="shared" si="90"/>
        <v>4</v>
      </c>
    </row>
    <row r="400" spans="1:22" x14ac:dyDescent="0.25">
      <c r="A400" t="str">
        <f>IF(games!$A400="","",games!$A400)</f>
        <v>Just King</v>
      </c>
      <c r="B400">
        <f>IF($A400="","",games!$B400)</f>
        <v>2023</v>
      </c>
      <c r="C400" t="str">
        <f>IF($A400="","",games!$C400)</f>
        <v>Action</v>
      </c>
      <c r="D400">
        <f>IF($A400="","",COUNTIF(connections!$A$2:$A$1496,$A400)+COUNTIF(connections!$B$2:$B$1496,$A400))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2018</v>
      </c>
      <c r="U400">
        <f>IF(connections!$A400="","",IFERROR(INDEX(games!$B$2:$B$950,MATCH(connections!$B400,games!$A$2:$A$950,0)),""))</f>
        <v>2020</v>
      </c>
      <c r="V400">
        <f t="shared" si="90"/>
        <v>2</v>
      </c>
    </row>
    <row r="401" spans="1:22" x14ac:dyDescent="0.25">
      <c r="A401" t="str">
        <f>IF(games!$A401="","",games!$A401)</f>
        <v>Kādomon: Hyper Auto Battlers</v>
      </c>
      <c r="B401">
        <f>IF($A401="","",games!$B401)</f>
        <v>2024</v>
      </c>
      <c r="C401" t="str">
        <f>IF($A401="","",games!$C401)</f>
        <v>Strategy</v>
      </c>
      <c r="D401">
        <f>IF($A401="","",COUNTIF(connections!$A$2:$A$1496,$A401)+COUNTIF(connections!$B$2:$B$1496,$A401))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2019</v>
      </c>
      <c r="U401">
        <f>IF(connections!$A401="","",IFERROR(INDEX(games!$B$2:$B$950,MATCH(connections!$B401,games!$A$2:$A$950,0)),""))</f>
        <v>2020</v>
      </c>
      <c r="V401">
        <f t="shared" si="90"/>
        <v>1</v>
      </c>
    </row>
    <row r="402" spans="1:22" x14ac:dyDescent="0.25">
      <c r="A402" t="str">
        <f>IF(games!$A402="","",games!$A402)</f>
        <v>Katanaut</v>
      </c>
      <c r="B402">
        <f>IF($A402="","",games!$B402)</f>
        <v>2025</v>
      </c>
      <c r="C402" t="str">
        <f>IF($A402="","",games!$C402)</f>
        <v>Action</v>
      </c>
      <c r="D402">
        <f>IF($A402="","",COUNTIF(connections!$A$2:$A$1496,$A402)+COUNTIF(connections!$B$2:$B$1496,$A402))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2011</v>
      </c>
      <c r="U402">
        <f>IF(connections!$A402="","",IFERROR(INDEX(games!$B$2:$B$950,MATCH(connections!$B402,games!$A$2:$A$950,0)),""))</f>
        <v>2020</v>
      </c>
      <c r="V402">
        <f t="shared" si="90"/>
        <v>9</v>
      </c>
    </row>
    <row r="403" spans="1:22" x14ac:dyDescent="0.25">
      <c r="A403" t="str">
        <f>IF(games!$A403="","",games!$A403)</f>
        <v>KeeperRL</v>
      </c>
      <c r="B403">
        <f>IF($A403="","",games!$B403)</f>
        <v>2015</v>
      </c>
      <c r="C403" t="str">
        <f>IF($A403="","",games!$C403)</f>
        <v>Traditional</v>
      </c>
      <c r="D403">
        <f>IF($A403="","",COUNTIF(connections!$A$2:$A$1496,$A403)+COUNTIF(connections!$B$2:$B$1496,$A403))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2024</v>
      </c>
      <c r="V403">
        <f t="shared" si="90"/>
        <v>8</v>
      </c>
    </row>
    <row r="404" spans="1:22" x14ac:dyDescent="0.25">
      <c r="A404" t="str">
        <f>IF(games!$A404="","",games!$A404)</f>
        <v>Keeper's Toll</v>
      </c>
      <c r="B404">
        <f>IF($A404="","",games!$B404)</f>
        <v>2023</v>
      </c>
      <c r="C404" t="str">
        <f>IF($A404="","",games!$C404)</f>
        <v>Action</v>
      </c>
      <c r="D404">
        <f>IF($A404="","",COUNTIF(connections!$A$2:$A$1496,$A404)+COUNTIF(connections!$B$2:$B$1496,$A404))</f>
        <v>2</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Yes</v>
      </c>
      <c r="Q404">
        <f t="shared" si="89"/>
        <v>2.0004040000000001</v>
      </c>
      <c r="T404">
        <f>IF(connections!$A404="","",IFERROR(INDEX(games!$B$2:$B$950,MATCH(connections!$A404,games!$A$2:$A$950,0)),""))</f>
        <v>2023</v>
      </c>
      <c r="U404">
        <f>IF(connections!$A404="","",IFERROR(INDEX(games!$B$2:$B$950,MATCH(connections!$B404,games!$A$2:$A$950,0)),""))</f>
        <v>2026</v>
      </c>
      <c r="V404">
        <f t="shared" si="90"/>
        <v>3</v>
      </c>
    </row>
    <row r="405" spans="1:22" x14ac:dyDescent="0.25">
      <c r="A405" t="str">
        <f>IF(games!$A405="","",games!$A405)</f>
        <v>Kernel Hearts</v>
      </c>
      <c r="B405">
        <f>IF($A405="","",games!$B405)</f>
        <v>2026</v>
      </c>
      <c r="C405" t="str">
        <f>IF($A405="","",games!$C405)</f>
        <v>Action</v>
      </c>
      <c r="D405">
        <f>IF($A405="","",COUNTIF(connections!$A$2:$A$1496,$A405)+COUNTIF(connections!$B$2:$B$1496,$A405))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2023</v>
      </c>
      <c r="U405">
        <f>IF(connections!$A405="","",IFERROR(INDEX(games!$B$2:$B$950,MATCH(connections!$B405,games!$A$2:$A$950,0)),""))</f>
        <v>2026</v>
      </c>
      <c r="V405">
        <f t="shared" si="90"/>
        <v>3</v>
      </c>
    </row>
    <row r="406" spans="1:22" x14ac:dyDescent="0.25">
      <c r="A406" t="str">
        <f>IF(games!$A406="","",games!$A406)</f>
        <v>Kill the Brickman</v>
      </c>
      <c r="B406">
        <f>IF($A406="","",games!$B406)</f>
        <v>2025</v>
      </c>
      <c r="C406" t="str">
        <f>IF($A406="","",games!$C406)</f>
        <v>Strategy</v>
      </c>
      <c r="D406">
        <f>IF($A406="","",COUNTIF(connections!$A$2:$A$1496,$A406)+COUNTIF(connections!$B$2:$B$1496,$A406))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2023</v>
      </c>
      <c r="U406">
        <f>IF(connections!$A406="","",IFERROR(INDEX(games!$B$2:$B$950,MATCH(connections!$B406,games!$A$2:$A$950,0)),""))</f>
        <v>2025</v>
      </c>
      <c r="V406">
        <f t="shared" si="90"/>
        <v>2</v>
      </c>
    </row>
    <row r="407" spans="1:22" x14ac:dyDescent="0.25">
      <c r="A407" t="str">
        <f>IF(games!$A407="","",games!$A407)</f>
        <v>Kill The Music</v>
      </c>
      <c r="B407">
        <f>IF($A407="","",games!$B407)</f>
        <v>2025</v>
      </c>
      <c r="C407" t="str">
        <f>IF($A407="","",games!$C407)</f>
        <v>Action</v>
      </c>
      <c r="D407">
        <f>IF($A407="","",COUNTIF(connections!$A$2:$A$1496,$A407)+COUNTIF(connections!$B$2:$B$1496,$A407))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2023</v>
      </c>
      <c r="U407">
        <f>IF(connections!$A407="","",IFERROR(INDEX(games!$B$2:$B$950,MATCH(connections!$B407,games!$A$2:$A$950,0)),""))</f>
        <v>2025</v>
      </c>
      <c r="V407">
        <f t="shared" si="90"/>
        <v>2</v>
      </c>
    </row>
    <row r="408" spans="1:22" x14ac:dyDescent="0.25">
      <c r="A408" t="str">
        <f>IF(games!$A408="","",games!$A408)</f>
        <v>Kingdom: New Lands</v>
      </c>
      <c r="B408">
        <f>IF($A408="","",games!$B408)</f>
        <v>2016</v>
      </c>
      <c r="C408" t="str">
        <f>IF($A408="","",games!$C408)</f>
        <v>Strategy</v>
      </c>
      <c r="D408">
        <f>IF($A408="","",COUNTIF(connections!$A$2:$A$1496,$A408)+COUNTIF(connections!$B$2:$B$1496,$A408))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2019</v>
      </c>
      <c r="U408">
        <f>IF(connections!$A408="","",IFERROR(INDEX(games!$B$2:$B$950,MATCH(connections!$B408,games!$A$2:$A$950,0)),""))</f>
        <v>2024</v>
      </c>
      <c r="V408">
        <f t="shared" si="90"/>
        <v>5</v>
      </c>
    </row>
    <row r="409" spans="1:22" x14ac:dyDescent="0.25">
      <c r="A409" t="str">
        <f>IF(games!$A409="","",games!$A409)</f>
        <v>Kitty Survivors: Rogues of Catmere</v>
      </c>
      <c r="B409">
        <f>IF($A409="","",games!$B409)</f>
        <v>2023</v>
      </c>
      <c r="C409" t="str">
        <f>IF($A409="","",games!$C409)</f>
        <v>Action</v>
      </c>
      <c r="D409">
        <f>IF($A409="","",COUNTIF(connections!$A$2:$A$1496,$A409)+COUNTIF(connections!$B$2:$B$1496,$A409))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2022</v>
      </c>
      <c r="U409">
        <f>IF(connections!$A409="","",IFERROR(INDEX(games!$B$2:$B$950,MATCH(connections!$B409,games!$A$2:$A$950,0)),""))</f>
        <v>2024</v>
      </c>
      <c r="V409">
        <f t="shared" si="90"/>
        <v>2</v>
      </c>
    </row>
    <row r="410" spans="1:22" x14ac:dyDescent="0.25">
      <c r="A410" t="str">
        <f>IF(games!$A410="","",games!$A410)</f>
        <v>Knightica</v>
      </c>
      <c r="B410">
        <f>IF($A410="","",games!$B410)</f>
        <v>2025</v>
      </c>
      <c r="C410" t="str">
        <f>IF($A410="","",games!$C410)</f>
        <v>Strategy</v>
      </c>
      <c r="D410">
        <f>IF($A410="","",COUNTIF(connections!$A$2:$A$1496,$A410)+COUNTIF(connections!$B$2:$B$1496,$A410))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2017</v>
      </c>
      <c r="U410">
        <f>IF(connections!$A410="","",IFERROR(INDEX(games!$B$2:$B$950,MATCH(connections!$B410,games!$A$2:$A$950,0)),""))</f>
        <v>2024</v>
      </c>
      <c r="V410">
        <f t="shared" si="90"/>
        <v>7</v>
      </c>
    </row>
    <row r="411" spans="1:22" x14ac:dyDescent="0.25">
      <c r="A411" t="str">
        <f>IF(games!$A411="","",games!$A411)</f>
        <v>Knights in Tight Spaces</v>
      </c>
      <c r="B411">
        <f>IF($A411="","",games!$B411)</f>
        <v>2025</v>
      </c>
      <c r="C411" t="str">
        <f>IF($A411="","",games!$C411)</f>
        <v>Deckbuilder</v>
      </c>
      <c r="D411">
        <f>IF($A411="","",COUNTIF(connections!$A$2:$A$1496,$A411)+COUNTIF(connections!$B$2:$B$1496,$A411))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1995</v>
      </c>
      <c r="U411">
        <f>IF(connections!$A411="","",IFERROR(INDEX(games!$B$2:$B$950,MATCH(connections!$B411,games!$A$2:$A$950,0)),""))</f>
        <v>2006</v>
      </c>
      <c r="V411">
        <f t="shared" si="90"/>
        <v>11</v>
      </c>
    </row>
    <row r="412" spans="1:22" x14ac:dyDescent="0.25">
      <c r="A412" t="str">
        <f>IF(games!$A412="","",games!$A412)</f>
        <v>Knock on the Coffin Lid</v>
      </c>
      <c r="B412">
        <f>IF($A412="","",games!$B412)</f>
        <v>2020</v>
      </c>
      <c r="C412" t="str">
        <f>IF($A412="","",games!$C412)</f>
        <v>Deckbuilder</v>
      </c>
      <c r="D412">
        <f>IF($A412="","",COUNTIF(connections!$A$2:$A$1496,$A412)+COUNTIF(connections!$B$2:$B$1496,$A412))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2018</v>
      </c>
      <c r="U412">
        <f>IF(connections!$A412="","",IFERROR(INDEX(games!$B$2:$B$950,MATCH(connections!$B412,games!$A$2:$A$950,0)),""))</f>
        <v>2023</v>
      </c>
      <c r="V412">
        <f t="shared" si="90"/>
        <v>5</v>
      </c>
    </row>
    <row r="413" spans="1:22" x14ac:dyDescent="0.25">
      <c r="A413" t="str">
        <f>IF(games!$A413="","",games!$A413)</f>
        <v>Labyrinth of Legendary Loot</v>
      </c>
      <c r="B413">
        <f>IF($A413="","",games!$B413)</f>
        <v>2020</v>
      </c>
      <c r="C413" t="str">
        <f>IF($A413="","",games!$C413)</f>
        <v>Traditional</v>
      </c>
      <c r="D413">
        <f>IF($A413="","",COUNTIF(connections!$A$2:$A$1496,$A413)+COUNTIF(connections!$B$2:$B$1496,$A413))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2002</v>
      </c>
      <c r="U413">
        <f>IF(connections!$A413="","",IFERROR(INDEX(games!$B$2:$B$950,MATCH(connections!$B413,games!$A$2:$A$950,0)),""))</f>
        <v>2023</v>
      </c>
      <c r="V413">
        <f t="shared" si="90"/>
        <v>21</v>
      </c>
    </row>
    <row r="414" spans="1:22" x14ac:dyDescent="0.25">
      <c r="A414" t="str">
        <f>IF(games!$A414="","",games!$A414)</f>
        <v>Lake of Creatures</v>
      </c>
      <c r="B414">
        <f>IF($A414="","",games!$B414)</f>
        <v>2024</v>
      </c>
      <c r="C414" t="str">
        <f>IF($A414="","",games!$C414)</f>
        <v>Action</v>
      </c>
      <c r="D414">
        <f>IF($A414="","",COUNTIF(connections!$A$2:$A$1496,$A414)+COUNTIF(connections!$B$2:$B$1496,$A414))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1995</v>
      </c>
      <c r="U414">
        <f>IF(connections!$A414="","",IFERROR(INDEX(games!$B$2:$B$950,MATCH(connections!$B414,games!$A$2:$A$950,0)),""))</f>
        <v>2023</v>
      </c>
      <c r="V414">
        <f t="shared" si="90"/>
        <v>28</v>
      </c>
    </row>
    <row r="415" spans="1:22" x14ac:dyDescent="0.25">
      <c r="A415" t="str">
        <f>IF(games!$A415="","",games!$A415)</f>
        <v>LambdaRogue: The Book of Stars</v>
      </c>
      <c r="B415">
        <f>IF($A415="","",games!$B415)</f>
        <v>2006</v>
      </c>
      <c r="C415" t="str">
        <f>IF($A415="","",games!$C415)</f>
        <v>Traditional</v>
      </c>
      <c r="D415">
        <f>IF($A415="","",COUNTIF(connections!$A$2:$A$1496,$A415)+COUNTIF(connections!$B$2:$B$1496,$A415))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1993</v>
      </c>
      <c r="U415">
        <f>IF(connections!$A415="","",IFERROR(INDEX(games!$B$2:$B$950,MATCH(connections!$B415,games!$A$2:$A$950,0)),""))</f>
        <v>2023</v>
      </c>
      <c r="V415">
        <f t="shared" si="90"/>
        <v>30</v>
      </c>
    </row>
    <row r="416" spans="1:22" x14ac:dyDescent="0.25">
      <c r="A416" t="str">
        <f>IF(games!$A416="","",games!$A416)</f>
        <v>Larn</v>
      </c>
      <c r="B416">
        <f>IF($A416="","",games!$B416)</f>
        <v>1986</v>
      </c>
      <c r="C416" t="str">
        <f>IF($A416="","",games!$C416)</f>
        <v>Traditional</v>
      </c>
      <c r="D416">
        <f>IF($A416="","",COUNTIF(connections!$A$2:$A$1496,$A416)+COUNTIF(connections!$B$2:$B$1496,$A416))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1993</v>
      </c>
      <c r="U416">
        <f>IF(connections!$A416="","",IFERROR(INDEX(games!$B$2:$B$950,MATCH(connections!$B416,games!$A$2:$A$950,0)),""))</f>
        <v>2008</v>
      </c>
      <c r="V416">
        <f t="shared" si="90"/>
        <v>15</v>
      </c>
    </row>
    <row r="417" spans="1:22" x14ac:dyDescent="0.25">
      <c r="A417" t="str">
        <f>IF(games!$A417="","",games!$A417)</f>
        <v>Legend of Dungeon</v>
      </c>
      <c r="B417">
        <f>IF($A417="","",games!$B417)</f>
        <v>2013</v>
      </c>
      <c r="C417" t="str">
        <f>IF($A417="","",games!$C417)</f>
        <v>Action</v>
      </c>
      <c r="D417">
        <f>IF($A417="","",COUNTIF(connections!$A$2:$A$1496,$A417)+COUNTIF(connections!$B$2:$B$1496,$A417))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2015</v>
      </c>
      <c r="U417">
        <f>IF(connections!$A417="","",IFERROR(INDEX(games!$B$2:$B$950,MATCH(connections!$B417,games!$A$2:$A$950,0)),""))</f>
        <v>2016</v>
      </c>
      <c r="V417">
        <f t="shared" si="90"/>
        <v>1</v>
      </c>
    </row>
    <row r="418" spans="1:22" x14ac:dyDescent="0.25">
      <c r="A418" t="str">
        <f>IF(games!$A418="","",games!$A418)</f>
        <v>Legend of Keepers: Career of a Dungeon Manager</v>
      </c>
      <c r="B418">
        <f>IF($A418="","",games!$B418)</f>
        <v>2019</v>
      </c>
      <c r="C418" t="str">
        <f>IF($A418="","",games!$C418)</f>
        <v>Strategy</v>
      </c>
      <c r="D418">
        <f>IF($A418="","",COUNTIF(connections!$A$2:$A$1496,$A418)+COUNTIF(connections!$B$2:$B$1496,$A418))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1994</v>
      </c>
      <c r="U418">
        <f>IF(connections!$A418="","",IFERROR(INDEX(games!$B$2:$B$950,MATCH(connections!$B418,games!$A$2:$A$950,0)),""))</f>
        <v>2010</v>
      </c>
      <c r="V418">
        <f t="shared" si="90"/>
        <v>16</v>
      </c>
    </row>
    <row r="419" spans="1:22" x14ac:dyDescent="0.25">
      <c r="A419" t="str">
        <f>IF(games!$A419="","",games!$A419)</f>
        <v>Legionbound</v>
      </c>
      <c r="B419">
        <f>IF($A419="","",games!$B419)</f>
        <v>2026</v>
      </c>
      <c r="C419" t="str">
        <f>IF($A419="","",games!$C419)</f>
        <v>Strategy</v>
      </c>
      <c r="D419">
        <f>IF($A419="","",COUNTIF(connections!$A$2:$A$1496,$A419)+COUNTIF(connections!$B$2:$B$1496,$A419))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1990</v>
      </c>
      <c r="U419">
        <f>IF(connections!$A419="","",IFERROR(INDEX(games!$B$2:$B$950,MATCH(connections!$B419,games!$A$2:$A$950,0)),""))</f>
        <v>2010</v>
      </c>
      <c r="V419">
        <f t="shared" si="90"/>
        <v>20</v>
      </c>
    </row>
    <row r="420" spans="1:22" x14ac:dyDescent="0.25">
      <c r="A420" t="str">
        <f>IF(games!$A420="","",games!$A420)</f>
        <v>Let Him Cook</v>
      </c>
      <c r="B420">
        <f>IF($A420="","",games!$B420)</f>
        <v>2024</v>
      </c>
      <c r="C420" t="str">
        <f>IF($A420="","",games!$C420)</f>
        <v>Action</v>
      </c>
      <c r="D420">
        <f>IF($A420="","",COUNTIF(connections!$A$2:$A$1496,$A420)+COUNTIF(connections!$B$2:$B$1496,$A420))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1994</v>
      </c>
      <c r="U420">
        <f>IF(connections!$A420="","",IFERROR(INDEX(games!$B$2:$B$950,MATCH(connections!$B420,games!$A$2:$A$950,0)),""))</f>
        <v>2010</v>
      </c>
      <c r="V420">
        <f t="shared" si="90"/>
        <v>16</v>
      </c>
    </row>
    <row r="421" spans="1:22" x14ac:dyDescent="0.25">
      <c r="A421" t="str">
        <f>IF(games!$A421="","",games!$A421)</f>
        <v>Lethal Dungeon</v>
      </c>
      <c r="B421">
        <f>IF($A421="","",games!$B421)</f>
        <v>2026</v>
      </c>
      <c r="C421" t="str">
        <f>IF($A421="","",games!$C421)</f>
        <v>Deckbuilder</v>
      </c>
      <c r="D421">
        <f>IF($A421="","",COUNTIF(connections!$A$2:$A$1496,$A421)+COUNTIF(connections!$B$2:$B$1496,$A421))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1996</v>
      </c>
      <c r="U421">
        <f>IF(connections!$A421="","",IFERROR(INDEX(games!$B$2:$B$950,MATCH(connections!$B421,games!$A$2:$A$950,0)),""))</f>
        <v>2010</v>
      </c>
      <c r="V421">
        <f t="shared" si="90"/>
        <v>14</v>
      </c>
    </row>
    <row r="422" spans="1:22" x14ac:dyDescent="0.25">
      <c r="A422" t="str">
        <f>IF(games!$A422="","",games!$A422)</f>
        <v>Let's! Revolution!</v>
      </c>
      <c r="B422">
        <f>IF($A422="","",games!$B422)</f>
        <v>2023</v>
      </c>
      <c r="C422" t="str">
        <f>IF($A422="","",games!$C422)</f>
        <v>Strategy</v>
      </c>
      <c r="D422">
        <f>IF($A422="","",COUNTIF(connections!$A$2:$A$1496,$A422)+COUNTIF(connections!$B$2:$B$1496,$A422))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2002</v>
      </c>
      <c r="U422">
        <f>IF(connections!$A422="","",IFERROR(INDEX(games!$B$2:$B$950,MATCH(connections!$B422,games!$A$2:$A$950,0)),""))</f>
        <v>2010</v>
      </c>
      <c r="V422">
        <f t="shared" si="90"/>
        <v>8</v>
      </c>
    </row>
    <row r="423" spans="1:22" x14ac:dyDescent="0.25">
      <c r="A423" t="str">
        <f>IF(games!$A423="","",games!$A423)</f>
        <v>Lexispell</v>
      </c>
      <c r="B423">
        <f>IF($A423="","",games!$B423)</f>
        <v>2026</v>
      </c>
      <c r="C423" t="str">
        <f>IF($A423="","",games!$C423)</f>
        <v>Deckbuilder</v>
      </c>
      <c r="D423">
        <f>IF($A423="","",COUNTIF(connections!$A$2:$A$1496,$A423)+COUNTIF(connections!$B$2:$B$1496,$A423))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2006</v>
      </c>
      <c r="U423">
        <f>IF(connections!$A423="","",IFERROR(INDEX(games!$B$2:$B$950,MATCH(connections!$B423,games!$A$2:$A$950,0)),""))</f>
        <v>2010</v>
      </c>
      <c r="V423">
        <f t="shared" si="90"/>
        <v>4</v>
      </c>
    </row>
    <row r="424" spans="1:22" x14ac:dyDescent="0.25">
      <c r="A424" t="str">
        <f>IF(games!$A424="","",games!$A424)</f>
        <v>Linley's Dungeon Crawl</v>
      </c>
      <c r="B424">
        <f>IF($A424="","",games!$B424)</f>
        <v>1995</v>
      </c>
      <c r="C424" t="str">
        <f>IF($A424="","",games!$C424)</f>
        <v>Traditional</v>
      </c>
      <c r="D424">
        <f>IF($A424="","",COUNTIF(connections!$A$2:$A$1496,$A424)+COUNTIF(connections!$B$2:$B$1496,$A424))</f>
        <v>6</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6.0004239999999998</v>
      </c>
      <c r="P424" t="str">
        <f>IF(OR($A424="",games!$H424=""),"",games!$H424)</f>
        <v>Yes</v>
      </c>
      <c r="Q424">
        <f t="shared" si="89"/>
        <v>6.0004239999999998</v>
      </c>
      <c r="T424">
        <f>IF(connections!$A424="","",IFERROR(INDEX(games!$B$2:$B$950,MATCH(connections!$A424,games!$A$2:$A$950,0)),""))</f>
        <v>2006</v>
      </c>
      <c r="U424">
        <f>IF(connections!$A424="","",IFERROR(INDEX(games!$B$2:$B$950,MATCH(connections!$B424,games!$A$2:$A$950,0)),""))</f>
        <v>2010</v>
      </c>
      <c r="V424">
        <f t="shared" si="90"/>
        <v>4</v>
      </c>
    </row>
    <row r="425" spans="1:22" x14ac:dyDescent="0.25">
      <c r="A425" t="str">
        <f>IF(games!$A425="","",games!$A425)</f>
        <v>Lone Ruin</v>
      </c>
      <c r="B425">
        <f>IF($A425="","",games!$B425)</f>
        <v>2023</v>
      </c>
      <c r="C425" t="str">
        <f>IF($A425="","",games!$C425)</f>
        <v>Action</v>
      </c>
      <c r="D425">
        <f>IF($A425="","",COUNTIF(connections!$A$2:$A$1496,$A425)+COUNTIF(connections!$B$2:$B$1496,$A425))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2008</v>
      </c>
      <c r="U425">
        <f>IF(connections!$A425="","",IFERROR(INDEX(games!$B$2:$B$950,MATCH(connections!$B425,games!$A$2:$A$950,0)),""))</f>
        <v>2010</v>
      </c>
      <c r="V425">
        <f t="shared" si="90"/>
        <v>2</v>
      </c>
    </row>
    <row r="426" spans="1:22" x14ac:dyDescent="0.25">
      <c r="A426" t="str">
        <f>IF(games!$A426="","",games!$A426)</f>
        <v>LoneStar</v>
      </c>
      <c r="B426">
        <f>IF($A426="","",games!$B426)</f>
        <v>2024</v>
      </c>
      <c r="C426" t="str">
        <f>IF($A426="","",games!$C426)</f>
        <v>Strategy</v>
      </c>
      <c r="D426">
        <f>IF($A426="","",COUNTIF(connections!$A$2:$A$1496,$A426)+COUNTIF(connections!$B$2:$B$1496,$A426))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1998</v>
      </c>
      <c r="U426">
        <f>IF(connections!$A426="","",IFERROR(INDEX(games!$B$2:$B$950,MATCH(connections!$B426,games!$A$2:$A$950,0)),""))</f>
        <v>2010</v>
      </c>
      <c r="V426">
        <f t="shared" si="90"/>
        <v>12</v>
      </c>
    </row>
    <row r="427" spans="1:22" x14ac:dyDescent="0.25">
      <c r="A427" t="str">
        <f>IF(games!$A427="","",games!$A427)</f>
        <v>Loop Hero</v>
      </c>
      <c r="B427">
        <f>IF($A427="","",games!$B427)</f>
        <v>2021</v>
      </c>
      <c r="C427" t="str">
        <f>IF($A427="","",games!$C427)</f>
        <v>Strategy</v>
      </c>
      <c r="D427">
        <f>IF($A427="","",COUNTIF(connections!$A$2:$A$1496,$A427)+COUNTIF(connections!$B$2:$B$1496,$A427))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2021</v>
      </c>
      <c r="U427">
        <f>IF(connections!$A427="","",IFERROR(INDEX(games!$B$2:$B$950,MATCH(connections!$B427,games!$A$2:$A$950,0)),""))</f>
        <v>2024</v>
      </c>
      <c r="V427">
        <f t="shared" si="90"/>
        <v>3</v>
      </c>
    </row>
    <row r="428" spans="1:22" x14ac:dyDescent="0.25">
      <c r="A428" t="str">
        <f>IF(games!$A428="","",games!$A428)</f>
        <v>Loot Rascals</v>
      </c>
      <c r="B428">
        <f>IF($A428="","",games!$B428)</f>
        <v>2017</v>
      </c>
      <c r="C428" t="str">
        <f>IF($A428="","",games!$C428)</f>
        <v>Strategy</v>
      </c>
      <c r="D428">
        <f>IF($A428="","",COUNTIF(connections!$A$2:$A$1496,$A428)+COUNTIF(connections!$B$2:$B$1496,$A428))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2011</v>
      </c>
      <c r="U428">
        <f>IF(connections!$A428="","",IFERROR(INDEX(games!$B$2:$B$950,MATCH(connections!$B428,games!$A$2:$A$950,0)),""))</f>
        <v>2024</v>
      </c>
      <c r="V428">
        <f t="shared" si="90"/>
        <v>13</v>
      </c>
    </row>
    <row r="429" spans="1:22" x14ac:dyDescent="0.25">
      <c r="A429" t="str">
        <f>IF(games!$A429="","",games!$A429)</f>
        <v>Loot River</v>
      </c>
      <c r="B429">
        <f>IF($A429="","",games!$B429)</f>
        <v>2022</v>
      </c>
      <c r="C429" t="str">
        <f>IF($A429="","",games!$C429)</f>
        <v>Strategy</v>
      </c>
      <c r="D429">
        <f>IF($A429="","",COUNTIF(connections!$A$2:$A$1496,$A429)+COUNTIF(connections!$B$2:$B$1496,$A429))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Lootplot</v>
      </c>
      <c r="B430">
        <f>IF($A430="","",games!$B430)</f>
        <v>2025</v>
      </c>
      <c r="C430" t="str">
        <f>IF($A430="","",games!$C430)</f>
        <v>Strategy</v>
      </c>
      <c r="D430">
        <f>IF($A430="","",COUNTIF(connections!$A$2:$A$1496,$A430)+COUNTIF(connections!$B$2:$B$1496,$A430))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IF(connections!$A429="","",IFERROR(INDEX(games!$B$2:$B$950,MATCH(connections!$A429,games!$A$2:$A$950,0)),""))</f>
        <v>2013</v>
      </c>
      <c r="U430">
        <f>IF(connections!$A429="","",IFERROR(INDEX(games!$B$2:$B$950,MATCH(connections!$B429,games!$A$2:$A$950,0)),""))</f>
        <v>2018</v>
      </c>
      <c r="V430">
        <f t="shared" si="90"/>
        <v>5</v>
      </c>
    </row>
    <row r="431" spans="1:22" x14ac:dyDescent="0.25">
      <c r="A431" t="str">
        <f>IF(games!$A431="","",games!$A431)</f>
        <v>Lort</v>
      </c>
      <c r="B431">
        <f>IF($A431="","",games!$B431)</f>
        <v>2026</v>
      </c>
      <c r="C431" t="str">
        <f>IF($A431="","",games!$C431)</f>
        <v>Action</v>
      </c>
      <c r="D431">
        <f>IF($A431="","",COUNTIF(connections!$A$2:$A$1496,$A431)+COUNTIF(connections!$B$2:$B$1496,$A431))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IF(connections!$A430="","",IFERROR(INDEX(games!$B$2:$B$950,MATCH(connections!$A430,games!$A$2:$A$950,0)),""))</f>
        <v>2018</v>
      </c>
      <c r="U431">
        <f>IF(connections!$A430="","",IFERROR(INDEX(games!$B$2:$B$950,MATCH(connections!$B430,games!$A$2:$A$950,0)),""))</f>
        <v>2025</v>
      </c>
      <c r="V431">
        <f t="shared" si="90"/>
        <v>7</v>
      </c>
    </row>
    <row r="432" spans="1:22" x14ac:dyDescent="0.25">
      <c r="A432" t="str">
        <f>IF(games!$A432="","",games!$A432)</f>
        <v>Lost Flame</v>
      </c>
      <c r="B432">
        <f>IF($A432="","",games!$B432)</f>
        <v>2019</v>
      </c>
      <c r="C432" t="str">
        <f>IF($A432="","",games!$C432)</f>
        <v>Traditional</v>
      </c>
      <c r="D432">
        <f>IF($A432="","",COUNTIF(connections!$A$2:$A$1496,$A432)+COUNTIF(connections!$B$2:$B$1496,$A432))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IF(connections!$A431="","",IFERROR(INDEX(games!$B$2:$B$950,MATCH(connections!$A431,games!$A$2:$A$950,0)),""))</f>
        <v>2019</v>
      </c>
      <c r="U432">
        <f>IF(connections!$A431="","",IFERROR(INDEX(games!$B$2:$B$950,MATCH(connections!$B431,games!$A$2:$A$950,0)),""))</f>
        <v>2025</v>
      </c>
      <c r="V432">
        <f t="shared" si="90"/>
        <v>6</v>
      </c>
    </row>
    <row r="433" spans="1:22" x14ac:dyDescent="0.25">
      <c r="A433" t="str">
        <f>IF(games!$A433="","",games!$A433)</f>
        <v>Lost For Swords</v>
      </c>
      <c r="B433">
        <f>IF($A433="","",games!$B433)</f>
        <v>2023</v>
      </c>
      <c r="C433" t="str">
        <f>IF($A433="","",games!$C433)</f>
        <v>Deckbuilder</v>
      </c>
      <c r="D433">
        <f>IF($A433="","",COUNTIF(connections!$A$2:$A$1496,$A433)+COUNTIF(connections!$B$2:$B$1496,$A433))</f>
        <v>5</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5.0004330000000001</v>
      </c>
      <c r="P433" t="str">
        <f>IF(OR($A433="",games!$H433=""),"",games!$H433)</f>
        <v/>
      </c>
      <c r="Q433" t="str">
        <f t="shared" si="89"/>
        <v/>
      </c>
      <c r="T433">
        <f>IF(connections!$A432="","",IFERROR(INDEX(games!$B$2:$B$950,MATCH(connections!$A432,games!$A$2:$A$950,0)),""))</f>
        <v>2013</v>
      </c>
      <c r="U433">
        <f>IF(connections!$A432="","",IFERROR(INDEX(games!$B$2:$B$950,MATCH(connections!$B432,games!$A$2:$A$950,0)),""))</f>
        <v>2025</v>
      </c>
      <c r="V433">
        <f t="shared" si="90"/>
        <v>12</v>
      </c>
    </row>
    <row r="434" spans="1:22" x14ac:dyDescent="0.25">
      <c r="A434" t="str">
        <f>IF(games!$A434="","",games!$A434)</f>
        <v>Lost In Fantaland</v>
      </c>
      <c r="B434">
        <f>IF($A434="","",games!$B434)</f>
        <v>2022</v>
      </c>
      <c r="C434" t="str">
        <f>IF($A434="","",games!$C434)</f>
        <v>Deckbuilder</v>
      </c>
      <c r="D434">
        <f>IF($A434="","",COUNTIF(connections!$A$2:$A$1496,$A434)+COUNTIF(connections!$B$2:$B$1496,$A434))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IF(connections!$A433="","",IFERROR(INDEX(games!$B$2:$B$950,MATCH(connections!$A433,games!$A$2:$A$950,0)),""))</f>
        <v>2008</v>
      </c>
      <c r="U434">
        <f>IF(connections!$A433="","",IFERROR(INDEX(games!$B$2:$B$950,MATCH(connections!$B433,games!$A$2:$A$950,0)),""))</f>
        <v>2025</v>
      </c>
      <c r="V434">
        <f t="shared" si="90"/>
        <v>17</v>
      </c>
    </row>
    <row r="435" spans="1:22" x14ac:dyDescent="0.25">
      <c r="A435" t="str">
        <f>IF(games!$A435="","",games!$A435)</f>
        <v>Lost in Random: The Eternal Die</v>
      </c>
      <c r="B435">
        <f>IF($A435="","",games!$B435)</f>
        <v>2025</v>
      </c>
      <c r="C435" t="str">
        <f>IF($A435="","",games!$C435)</f>
        <v>Action</v>
      </c>
      <c r="D435">
        <f>IF($A435="","",COUNTIF(connections!$A$2:$A$1496,$A435)+COUNTIF(connections!$B$2:$B$1496,$A435))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IF(connections!$A434="","",IFERROR(INDEX(games!$B$2:$B$950,MATCH(connections!$A434,games!$A$2:$A$950,0)),""))</f>
        <v>1984</v>
      </c>
      <c r="U435">
        <f>IF(connections!$A434="","",IFERROR(INDEX(games!$B$2:$B$950,MATCH(connections!$B434,games!$A$2:$A$950,0)),""))</f>
        <v>2006</v>
      </c>
      <c r="V435">
        <f t="shared" si="90"/>
        <v>22</v>
      </c>
    </row>
    <row r="436" spans="1:22" x14ac:dyDescent="0.25">
      <c r="A436" t="str">
        <f>IF(games!$A436="","",games!$A436)</f>
        <v>Lost Labyrinth</v>
      </c>
      <c r="B436">
        <f>IF($A436="","",games!$B436)</f>
        <v>2001</v>
      </c>
      <c r="C436" t="str">
        <f>IF($A436="","",games!$C436)</f>
        <v>Traditional</v>
      </c>
      <c r="D436">
        <f>IF($A436="","",COUNTIF(connections!$A$2:$A$1496,$A436)+COUNTIF(connections!$B$2:$B$1496,$A436))</f>
        <v>3</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3.0004360000000001</v>
      </c>
      <c r="P436" t="str">
        <f>IF(OR($A436="",games!$H436=""),"",games!$H436)</f>
        <v/>
      </c>
      <c r="Q436" t="str">
        <f t="shared" si="89"/>
        <v/>
      </c>
      <c r="T436">
        <f>IF(connections!$A435="","",IFERROR(INDEX(games!$B$2:$B$950,MATCH(connections!$A435,games!$A$2:$A$950,0)),""))</f>
        <v>2019</v>
      </c>
      <c r="U436">
        <f>IF(connections!$A435="","",IFERROR(INDEX(games!$B$2:$B$950,MATCH(connections!$B435,games!$A$2:$A$950,0)),""))</f>
        <v>2023</v>
      </c>
      <c r="V436">
        <f t="shared" si="90"/>
        <v>4</v>
      </c>
    </row>
    <row r="437" spans="1:22" x14ac:dyDescent="0.25">
      <c r="A437" t="str">
        <f>IF(games!$A437="","",games!$A437)</f>
        <v>Luck &amp; Loot</v>
      </c>
      <c r="B437">
        <f>IF($A437="","",games!$B437)</f>
        <v>2024</v>
      </c>
      <c r="C437" t="str">
        <f>IF($A437="","",games!$C437)</f>
        <v>Deckbuilder</v>
      </c>
      <c r="D437">
        <f>IF($A437="","",COUNTIF(connections!$A$2:$A$1496,$A437)+COUNTIF(connections!$B$2:$B$1496,$A437))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IF(connections!$A436="","",IFERROR(INDEX(games!$B$2:$B$950,MATCH(connections!$A436,games!$A$2:$A$950,0)),""))</f>
        <v>2008</v>
      </c>
      <c r="U437">
        <f>IF(connections!$A436="","",IFERROR(INDEX(games!$B$2:$B$950,MATCH(connections!$B436,games!$A$2:$A$950,0)),""))</f>
        <v>2013</v>
      </c>
      <c r="V437">
        <f t="shared" si="90"/>
        <v>5</v>
      </c>
    </row>
    <row r="438" spans="1:22" x14ac:dyDescent="0.25">
      <c r="A438" t="str">
        <f>IF(games!$A438="","",games!$A438)</f>
        <v>Luck be a Landlord</v>
      </c>
      <c r="B438">
        <f>IF($A438="","",games!$B438)</f>
        <v>2021</v>
      </c>
      <c r="C438" t="str">
        <f>IF($A438="","",games!$C438)</f>
        <v>Deckbuilder</v>
      </c>
      <c r="D438">
        <f>IF($A438="","",COUNTIF(connections!$A$2:$A$1496,$A438)+COUNTIF(connections!$B$2:$B$1496,$A438))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IF(connections!$A437="","",IFERROR(INDEX(games!$B$2:$B$950,MATCH(connections!$A437,games!$A$2:$A$950,0)),""))</f>
        <v>2021</v>
      </c>
      <c r="U438">
        <f>IF(connections!$A437="","",IFERROR(INDEX(games!$B$2:$B$950,MATCH(connections!$B437,games!$A$2:$A$950,0)),""))</f>
        <v>2023</v>
      </c>
      <c r="V438">
        <f t="shared" si="90"/>
        <v>2</v>
      </c>
    </row>
    <row r="439" spans="1:22" x14ac:dyDescent="0.25">
      <c r="A439" t="str">
        <f>IF(games!$A439="","",games!$A439)</f>
        <v>Lucky Hero</v>
      </c>
      <c r="B439">
        <f>IF($A439="","",games!$B439)</f>
        <v>2023</v>
      </c>
      <c r="C439" t="str">
        <f>IF($A439="","",games!$C439)</f>
        <v>Deckbuilder</v>
      </c>
      <c r="D439">
        <f>IF($A439="","",COUNTIF(connections!$A$2:$A$1496,$A439)+COUNTIF(connections!$B$2:$B$1496,$A439))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IF(connections!$A438="","",IFERROR(INDEX(games!$B$2:$B$950,MATCH(connections!$A438,games!$A$2:$A$950,0)),""))</f>
        <v>2021</v>
      </c>
      <c r="U439">
        <f>IF(connections!$A438="","",IFERROR(INDEX(games!$B$2:$B$950,MATCH(connections!$B438,games!$A$2:$A$950,0)),""))</f>
        <v>2023</v>
      </c>
      <c r="V439">
        <f t="shared" si="90"/>
        <v>2</v>
      </c>
    </row>
    <row r="440" spans="1:22" x14ac:dyDescent="0.25">
      <c r="A440" t="str">
        <f>IF(games!$A440="","",games!$A440)</f>
        <v>Lucky Shot</v>
      </c>
      <c r="B440">
        <f>IF($A440="","",games!$B440)</f>
        <v>2026</v>
      </c>
      <c r="C440" t="str">
        <f>IF($A440="","",games!$C440)</f>
        <v>Action</v>
      </c>
      <c r="D440">
        <f>IF($A440="","",COUNTIF(connections!$A$2:$A$1496,$A440)+COUNTIF(connections!$B$2:$B$1496,$A440))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IF(connections!$A439="","",IFERROR(INDEX(games!$B$2:$B$950,MATCH(connections!$A439,games!$A$2:$A$950,0)),""))</f>
        <v>2008</v>
      </c>
      <c r="U440">
        <f>IF(connections!$A439="","",IFERROR(INDEX(games!$B$2:$B$950,MATCH(connections!$B439,games!$A$2:$A$950,0)),""))</f>
        <v>2024</v>
      </c>
      <c r="V440">
        <f t="shared" si="90"/>
        <v>16</v>
      </c>
    </row>
    <row r="441" spans="1:22" x14ac:dyDescent="0.25">
      <c r="A441" t="str">
        <f>IF(games!$A441="","",games!$A441)</f>
        <v>Lunchbreak Tactics</v>
      </c>
      <c r="B441">
        <f>IF($A441="","",games!$B441)</f>
        <v>2026</v>
      </c>
      <c r="C441" t="str">
        <f>IF($A441="","",games!$C441)</f>
        <v>Strategy</v>
      </c>
      <c r="D441">
        <f>IF($A441="","",COUNTIF(connections!$A$2:$A$1496,$A441)+COUNTIF(connections!$B$2:$B$1496,$A441))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IF(connections!$A440="","",IFERROR(INDEX(games!$B$2:$B$950,MATCH(connections!$A440,games!$A$2:$A$950,0)),""))</f>
        <v>1994</v>
      </c>
      <c r="U441">
        <f>IF(connections!$A440="","",IFERROR(INDEX(games!$B$2:$B$950,MATCH(connections!$B440,games!$A$2:$A$950,0)),""))</f>
        <v>2008</v>
      </c>
      <c r="V441">
        <f t="shared" si="90"/>
        <v>14</v>
      </c>
    </row>
    <row r="442" spans="1:22" x14ac:dyDescent="0.25">
      <c r="A442" t="str">
        <f>IF(games!$A442="","",games!$A442)</f>
        <v>Mad King Redemption</v>
      </c>
      <c r="B442">
        <f>IF($A442="","",games!$B442)</f>
        <v>2026</v>
      </c>
      <c r="C442" t="str">
        <f>IF($A442="","",games!$C442)</f>
        <v>Action</v>
      </c>
      <c r="D442">
        <f>IF($A442="","",COUNTIF(connections!$A$2:$A$1496,$A442)+COUNTIF(connections!$B$2:$B$1496,$A442))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IF(connections!$A441="","",IFERROR(INDEX(games!$B$2:$B$950,MATCH(connections!$A441,games!$A$2:$A$950,0)),""))</f>
        <v>1990</v>
      </c>
      <c r="U442">
        <f>IF(connections!$A441="","",IFERROR(INDEX(games!$B$2:$B$950,MATCH(connections!$B441,games!$A$2:$A$950,0)),""))</f>
        <v>2008</v>
      </c>
      <c r="V442">
        <f t="shared" si="90"/>
        <v>18</v>
      </c>
    </row>
    <row r="443" spans="1:22" x14ac:dyDescent="0.25">
      <c r="A443" t="str">
        <f>IF(games!$A443="","",games!$A443)</f>
        <v>Magic Survival</v>
      </c>
      <c r="B443">
        <f>IF($A443="","",games!$B443)</f>
        <v>2019</v>
      </c>
      <c r="C443" t="str">
        <f>IF($A443="","",games!$C443)</f>
        <v>Action</v>
      </c>
      <c r="D443">
        <f>IF($A443="","",COUNTIF(connections!$A$2:$A$1496,$A443)+COUNTIF(connections!$B$2:$B$1496,$A443))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IF(connections!$A442="","",IFERROR(INDEX(games!$B$2:$B$950,MATCH(connections!$A442,games!$A$2:$A$950,0)),""))</f>
        <v>1987</v>
      </c>
      <c r="U443">
        <f>IF(connections!$A442="","",IFERROR(INDEX(games!$B$2:$B$950,MATCH(connections!$B442,games!$A$2:$A$950,0)),""))</f>
        <v>2008</v>
      </c>
      <c r="V443">
        <f t="shared" si="90"/>
        <v>21</v>
      </c>
    </row>
    <row r="444" spans="1:22" x14ac:dyDescent="0.25">
      <c r="A444" t="str">
        <f>IF(games!$A444="","",games!$A444)</f>
        <v>Magicraft</v>
      </c>
      <c r="B444">
        <f>IF($A444="","",games!$B444)</f>
        <v>2023</v>
      </c>
      <c r="C444" t="str">
        <f>IF($A444="","",games!$C444)</f>
        <v>Action</v>
      </c>
      <c r="D444">
        <f>IF($A444="","",COUNTIF(connections!$A$2:$A$1496,$A444)+COUNTIF(connections!$B$2:$B$1496,$A444))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IF(connections!$A443="","",IFERROR(INDEX(games!$B$2:$B$950,MATCH(connections!$A443,games!$A$2:$A$950,0)),""))</f>
        <v>2018</v>
      </c>
      <c r="U444">
        <f>IF(connections!$A443="","",IFERROR(INDEX(games!$B$2:$B$950,MATCH(connections!$B443,games!$A$2:$A$950,0)),""))</f>
        <v>2022</v>
      </c>
      <c r="V444">
        <f t="shared" si="90"/>
        <v>4</v>
      </c>
    </row>
    <row r="445" spans="1:22" x14ac:dyDescent="0.25">
      <c r="A445" t="str">
        <f>IF(games!$A445="","",games!$A445)</f>
        <v>Maid Survivors: Little Angels</v>
      </c>
      <c r="B445">
        <f>IF($A445="","",games!$B445)</f>
        <v>2025</v>
      </c>
      <c r="C445" t="str">
        <f>IF($A445="","",games!$C445)</f>
        <v>Action</v>
      </c>
      <c r="D445">
        <f>IF($A445="","",COUNTIF(connections!$A$2:$A$1496,$A445)+COUNTIF(connections!$B$2:$B$1496,$A445))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IF(connections!$A444="","",IFERROR(INDEX(games!$B$2:$B$950,MATCH(connections!$A444,games!$A$2:$A$950,0)),""))</f>
        <v>2019</v>
      </c>
      <c r="U445">
        <f>IF(connections!$A444="","",IFERROR(INDEX(games!$B$2:$B$950,MATCH(connections!$B444,games!$A$2:$A$950,0)),""))</f>
        <v>2022</v>
      </c>
      <c r="V445">
        <f t="shared" si="90"/>
        <v>3</v>
      </c>
    </row>
    <row r="446" spans="1:22" x14ac:dyDescent="0.25">
      <c r="A446" t="str">
        <f>IF(games!$A446="","",games!$A446)</f>
        <v>Mainframe Defenders</v>
      </c>
      <c r="B446">
        <f>IF($A446="","",games!$B446)</f>
        <v>2020</v>
      </c>
      <c r="C446" t="str">
        <f>IF($A446="","",games!$C446)</f>
        <v>Traditional</v>
      </c>
      <c r="D446">
        <f>IF($A446="","",COUNTIF(connections!$A$2:$A$1496,$A446)+COUNTIF(connections!$B$2:$B$1496,$A446))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IF(connections!$A445="","",IFERROR(INDEX(games!$B$2:$B$950,MATCH(connections!$A445,games!$A$2:$A$950,0)),""))</f>
        <v>2017</v>
      </c>
      <c r="U446">
        <f>IF(connections!$A445="","",IFERROR(INDEX(games!$B$2:$B$950,MATCH(connections!$B445,games!$A$2:$A$950,0)),""))</f>
        <v>2022</v>
      </c>
      <c r="V446">
        <f t="shared" si="90"/>
        <v>5</v>
      </c>
    </row>
    <row r="447" spans="1:22" x14ac:dyDescent="0.25">
      <c r="A447" t="str">
        <f>IF(games!$A447="","",games!$A447)</f>
        <v>Mana Spark</v>
      </c>
      <c r="B447">
        <f>IF($A447="","",games!$B447)</f>
        <v>2018</v>
      </c>
      <c r="C447" t="str">
        <f>IF($A447="","",games!$C447)</f>
        <v>Action</v>
      </c>
      <c r="D447">
        <f>IF($A447="","",COUNTIF(connections!$A$2:$A$1496,$A447)+COUNTIF(connections!$B$2:$B$1496,$A447))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IF(connections!$A446="","",IFERROR(INDEX(games!$B$2:$B$950,MATCH(connections!$A446,games!$A$2:$A$950,0)),""))</f>
        <v>2011</v>
      </c>
      <c r="U447">
        <f>IF(connections!$A446="","",IFERROR(INDEX(games!$B$2:$B$950,MATCH(connections!$B446,games!$A$2:$A$950,0)),""))</f>
        <v>2022</v>
      </c>
      <c r="V447">
        <f t="shared" si="90"/>
        <v>11</v>
      </c>
    </row>
    <row r="448" spans="1:22" x14ac:dyDescent="0.25">
      <c r="A448" t="str">
        <f>IF(games!$A448="","",games!$A448)</f>
        <v>Masks of the Void: Origins</v>
      </c>
      <c r="B448">
        <f>IF($A448="","",games!$B448)</f>
        <v>2025</v>
      </c>
      <c r="C448" t="str">
        <f>IF($A448="","",games!$C448)</f>
        <v>Action</v>
      </c>
      <c r="D448">
        <f>IF($A448="","",COUNTIF(connections!$A$2:$A$1496,$A448)+COUNTIF(connections!$B$2:$B$1496,$A448))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IF(connections!$A447="","",IFERROR(INDEX(games!$B$2:$B$950,MATCH(connections!$A447,games!$A$2:$A$950,0)),""))</f>
        <v>2017</v>
      </c>
      <c r="U448">
        <f>IF(connections!$A447="","",IFERROR(INDEX(games!$B$2:$B$950,MATCH(connections!$B447,games!$A$2:$A$950,0)),""))</f>
        <v>2024</v>
      </c>
      <c r="V448">
        <f t="shared" si="90"/>
        <v>7</v>
      </c>
    </row>
    <row r="449" spans="1:22" x14ac:dyDescent="0.25">
      <c r="A449" t="str">
        <f>IF(games!$A449="","",games!$A449)</f>
        <v>Master of Piece</v>
      </c>
      <c r="B449">
        <f>IF($A449="","",games!$B449)</f>
        <v>2026</v>
      </c>
      <c r="C449" t="str">
        <f>IF($A449="","",games!$C449)</f>
        <v>Deckbuilder</v>
      </c>
      <c r="D449">
        <f>IF($A449="","",COUNTIF(connections!$A$2:$A$1496,$A449)+COUNTIF(connections!$B$2:$B$1496,$A449))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IF(connections!$A448="","",IFERROR(INDEX(games!$B$2:$B$950,MATCH(connections!$A448,games!$A$2:$A$950,0)),""))</f>
        <v>2021</v>
      </c>
      <c r="U449">
        <f>IF(connections!$A448="","",IFERROR(INDEX(games!$B$2:$B$950,MATCH(connections!$B448,games!$A$2:$A$950,0)),""))</f>
        <v>2023</v>
      </c>
      <c r="V449">
        <f t="shared" si="90"/>
        <v>2</v>
      </c>
    </row>
    <row r="450" spans="1:22" x14ac:dyDescent="0.25">
      <c r="A450" t="str">
        <f>IF(games!$A450="","",games!$A450)</f>
        <v>Maze Mice</v>
      </c>
      <c r="B450">
        <f>IF($A450="","",games!$B450)</f>
        <v>2025</v>
      </c>
      <c r="C450" t="str">
        <f>IF($A450="","",games!$C450)</f>
        <v>Action</v>
      </c>
      <c r="D450">
        <f>IF($A450="","",COUNTIF(connections!$A$2:$A$1496,$A450)+COUNTIF(connections!$B$2:$B$1496,$A450))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IF(connections!$A449="","",IFERROR(INDEX(games!$B$2:$B$950,MATCH(connections!$A449,games!$A$2:$A$950,0)),""))</f>
        <v>2020</v>
      </c>
      <c r="U450">
        <f>IF(connections!$A449="","",IFERROR(INDEX(games!$B$2:$B$950,MATCH(connections!$B449,games!$A$2:$A$950,0)),""))</f>
        <v>2025</v>
      </c>
      <c r="V450">
        <f t="shared" ref="V450:V513" si="103">IF(OR($T450="",$U450=""),"",$U450-$T450)</f>
        <v>5</v>
      </c>
    </row>
    <row r="451" spans="1:22" x14ac:dyDescent="0.25">
      <c r="A451" t="str">
        <f>IF(games!$A451="","",games!$A451)</f>
        <v>Mechanibot</v>
      </c>
      <c r="B451">
        <f>IF($A451="","",games!$B451)</f>
        <v>2022</v>
      </c>
      <c r="C451" t="str">
        <f>IF($A451="","",games!$C451)</f>
        <v>Strategy</v>
      </c>
      <c r="D451">
        <f>IF($A451="","",COUNTIF(connections!$A$2:$A$1496,$A451)+COUNTIF(connections!$B$2:$B$1496,$A451))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IF(connections!$A450="","",IFERROR(INDEX(games!$B$2:$B$950,MATCH(connections!$A450,games!$A$2:$A$950,0)),""))</f>
        <v>2015</v>
      </c>
      <c r="U451">
        <f>IF(connections!$A450="","",IFERROR(INDEX(games!$B$2:$B$950,MATCH(connections!$B450,games!$A$2:$A$950,0)),""))</f>
        <v>2016</v>
      </c>
      <c r="V451">
        <f t="shared" si="103"/>
        <v>1</v>
      </c>
    </row>
    <row r="452" spans="1:22" x14ac:dyDescent="0.25">
      <c r="A452" t="str">
        <f>IF(games!$A452="","",games!$A452)</f>
        <v>Megabonk</v>
      </c>
      <c r="B452">
        <f>IF($A452="","",games!$B452)</f>
        <v>2025</v>
      </c>
      <c r="C452" t="str">
        <f>IF($A452="","",games!$C452)</f>
        <v>Action</v>
      </c>
      <c r="D452">
        <f>IF($A452="","",COUNTIF(connections!$A$2:$A$1496,$A452)+COUNTIF(connections!$B$2:$B$1496,$A452))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IF(connections!$A451="","",IFERROR(INDEX(games!$B$2:$B$950,MATCH(connections!$A451,games!$A$2:$A$950,0)),""))</f>
        <v>2008</v>
      </c>
      <c r="U452">
        <f>IF(connections!$A451="","",IFERROR(INDEX(games!$B$2:$B$950,MATCH(connections!$B451,games!$A$2:$A$950,0)),""))</f>
        <v>2016</v>
      </c>
      <c r="V452">
        <f t="shared" si="103"/>
        <v>8</v>
      </c>
    </row>
    <row r="453" spans="1:22" x14ac:dyDescent="0.25">
      <c r="A453" t="str">
        <f>IF(games!$A453="","",games!$A453)</f>
        <v>Meme Mayhem</v>
      </c>
      <c r="B453">
        <f>IF($A453="","",games!$B453)</f>
        <v>2024</v>
      </c>
      <c r="C453" t="str">
        <f>IF($A453="","",games!$C453)</f>
        <v>Deckbuilder</v>
      </c>
      <c r="D453">
        <f>IF($A453="","",COUNTIF(connections!$A$2:$A$1496,$A453)+COUNTIF(connections!$B$2:$B$1496,$A453))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IF(connections!$A452="","",IFERROR(INDEX(games!$B$2:$B$950,MATCH(connections!$A452,games!$A$2:$A$950,0)),""))</f>
        <v>2011</v>
      </c>
      <c r="U453">
        <f>IF(connections!$A452="","",IFERROR(INDEX(games!$B$2:$B$950,MATCH(connections!$B452,games!$A$2:$A$950,0)),""))</f>
        <v>2016</v>
      </c>
      <c r="V453">
        <f t="shared" si="103"/>
        <v>5</v>
      </c>
    </row>
    <row r="454" spans="1:22" x14ac:dyDescent="0.25">
      <c r="A454" t="str">
        <f>IF(games!$A454="","",games!$A454)</f>
        <v>Menace from the Deep</v>
      </c>
      <c r="B454">
        <f>IF($A454="","",games!$B454)</f>
        <v>2024</v>
      </c>
      <c r="C454" t="str">
        <f>IF($A454="","",games!$C454)</f>
        <v>Deckbuilder</v>
      </c>
      <c r="D454">
        <f>IF($A454="","",COUNTIF(connections!$A$2:$A$1496,$A454)+COUNTIF(connections!$B$2:$B$1496,$A454))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IF(connections!$A453="","",IFERROR(INDEX(games!$B$2:$B$950,MATCH(connections!$A453,games!$A$2:$A$950,0)),""))</f>
        <v>2009</v>
      </c>
      <c r="U454">
        <f>IF(connections!$A453="","",IFERROR(INDEX(games!$B$2:$B$950,MATCH(connections!$B453,games!$A$2:$A$950,0)),""))</f>
        <v>2025</v>
      </c>
      <c r="V454">
        <f t="shared" si="103"/>
        <v>16</v>
      </c>
    </row>
    <row r="455" spans="1:22" x14ac:dyDescent="0.25">
      <c r="A455" t="str">
        <f>IF(games!$A455="","",games!$A455)</f>
        <v>Menherarium</v>
      </c>
      <c r="B455">
        <f>IF($A455="","",games!$B455)</f>
        <v>2026</v>
      </c>
      <c r="C455" t="str">
        <f>IF($A455="","",games!$C455)</f>
        <v>Deckbuilder</v>
      </c>
      <c r="D455">
        <f>IF($A455="","",COUNTIF(connections!$A$2:$A$1496,$A455)+COUNTIF(connections!$B$2:$B$1496,$A455))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IF(connections!$A454="","",IFERROR(INDEX(games!$B$2:$B$950,MATCH(connections!$A454,games!$A$2:$A$950,0)),""))</f>
        <v>2015</v>
      </c>
      <c r="U455">
        <f>IF(connections!$A454="","",IFERROR(INDEX(games!$B$2:$B$950,MATCH(connections!$B454,games!$A$2:$A$950,0)),""))</f>
        <v>2025</v>
      </c>
      <c r="V455">
        <f t="shared" si="103"/>
        <v>10</v>
      </c>
    </row>
    <row r="456" spans="1:22" x14ac:dyDescent="0.25">
      <c r="A456" t="str">
        <f>IF(games!$A456="","",games!$A456)</f>
        <v>Merge Maestro</v>
      </c>
      <c r="B456">
        <f>IF($A456="","",games!$B456)</f>
        <v>2025</v>
      </c>
      <c r="C456" t="str">
        <f>IF($A456="","",games!$C456)</f>
        <v>Deckbuilder</v>
      </c>
      <c r="D456">
        <f>IF($A456="","",COUNTIF(connections!$A$2:$A$1496,$A456)+COUNTIF(connections!$B$2:$B$1496,$A456))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IF(connections!$A455="","",IFERROR(INDEX(games!$B$2:$B$950,MATCH(connections!$A455,games!$A$2:$A$950,0)),""))</f>
        <v>1996</v>
      </c>
      <c r="U456">
        <f>IF(connections!$A455="","",IFERROR(INDEX(games!$B$2:$B$950,MATCH(connections!$B455,games!$A$2:$A$950,0)),""))</f>
        <v>2025</v>
      </c>
      <c r="V456">
        <f t="shared" si="103"/>
        <v>29</v>
      </c>
    </row>
    <row r="457" spans="1:22" x14ac:dyDescent="0.25">
      <c r="A457" t="str">
        <f>IF(games!$A457="","",games!$A457)</f>
        <v>Metal Slug Tactics</v>
      </c>
      <c r="B457">
        <f>IF($A457="","",games!$B457)</f>
        <v>2024</v>
      </c>
      <c r="C457" t="str">
        <f>IF($A457="","",games!$C457)</f>
        <v>Strategy</v>
      </c>
      <c r="D457">
        <f>IF($A457="","",COUNTIF(connections!$A$2:$A$1496,$A457)+COUNTIF(connections!$B$2:$B$1496,$A457))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IF(connections!$A456="","",IFERROR(INDEX(games!$B$2:$B$950,MATCH(connections!$A456,games!$A$2:$A$950,0)),""))</f>
        <v>2016</v>
      </c>
      <c r="U457">
        <f>IF(connections!$A456="","",IFERROR(INDEX(games!$B$2:$B$950,MATCH(connections!$B456,games!$A$2:$A$950,0)),""))</f>
        <v>2025</v>
      </c>
      <c r="V457">
        <f t="shared" si="103"/>
        <v>9</v>
      </c>
    </row>
    <row r="458" spans="1:22" x14ac:dyDescent="0.25">
      <c r="A458" t="str">
        <f>IF(games!$A458="","",games!$A458)</f>
        <v>Metal Unit</v>
      </c>
      <c r="B458">
        <f>IF($A458="","",games!$B458)</f>
        <v>2020</v>
      </c>
      <c r="C458" t="str">
        <f>IF($A458="","",games!$C458)</f>
        <v>Action</v>
      </c>
      <c r="D458">
        <f>IF($A458="","",COUNTIF(connections!$A$2:$A$1496,$A458)+COUNTIF(connections!$B$2:$B$1496,$A458))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IF(connections!$A457="","",IFERROR(INDEX(games!$B$2:$B$950,MATCH(connections!$A457,games!$A$2:$A$950,0)),""))</f>
        <v>2018</v>
      </c>
      <c r="U458">
        <f>IF(connections!$A457="","",IFERROR(INDEX(games!$B$2:$B$950,MATCH(connections!$B457,games!$A$2:$A$950,0)),""))</f>
        <v>2025</v>
      </c>
      <c r="V458">
        <f t="shared" si="103"/>
        <v>7</v>
      </c>
    </row>
    <row r="459" spans="1:22" x14ac:dyDescent="0.25">
      <c r="A459" t="str">
        <f>IF(games!$A459="","",games!$A459)</f>
        <v>Metallic Child</v>
      </c>
      <c r="B459">
        <f>IF($A459="","",games!$B459)</f>
        <v>2021</v>
      </c>
      <c r="C459" t="str">
        <f>IF($A459="","",games!$C459)</f>
        <v>Action</v>
      </c>
      <c r="D459">
        <f>IF($A459="","",COUNTIF(connections!$A$2:$A$1496,$A459)+COUNTIF(connections!$B$2:$B$1496,$A459))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IF(connections!$A458="","",IFERROR(INDEX(games!$B$2:$B$950,MATCH(connections!$A458,games!$A$2:$A$950,0)),""))</f>
        <v>2020</v>
      </c>
      <c r="U459">
        <f>IF(connections!$A458="","",IFERROR(INDEX(games!$B$2:$B$950,MATCH(connections!$B458,games!$A$2:$A$950,0)),""))</f>
        <v>2025</v>
      </c>
      <c r="V459">
        <f t="shared" si="103"/>
        <v>5</v>
      </c>
    </row>
    <row r="460" spans="1:22" x14ac:dyDescent="0.25">
      <c r="A460" t="str">
        <f>IF(games!$A460="","",games!$A460)</f>
        <v>Mewgenics</v>
      </c>
      <c r="B460">
        <f>IF($A460="","",games!$B460)</f>
        <v>2026</v>
      </c>
      <c r="C460" t="str">
        <f>IF($A460="","",games!$C460)</f>
        <v>Strategy</v>
      </c>
      <c r="D460">
        <f>IF($A460="","",COUNTIF(connections!$A$2:$A$1496,$A460)+COUNTIF(connections!$B$2:$B$1496,$A460))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2000</v>
      </c>
      <c r="U460">
        <f>IF(connections!$A459="","",IFERROR(INDEX(games!$B$2:$B$950,MATCH(connections!$B459,games!$A$2:$A$950,0)),""))</f>
        <v>2004</v>
      </c>
      <c r="V460">
        <f t="shared" si="103"/>
        <v>4</v>
      </c>
    </row>
    <row r="461" spans="1:22" x14ac:dyDescent="0.25">
      <c r="A461" t="str">
        <f>IF(games!$A461="","",games!$A461)</f>
        <v>Million Depth</v>
      </c>
      <c r="B461">
        <f>IF($A461="","",games!$B461)</f>
        <v>2025</v>
      </c>
      <c r="C461" t="str">
        <f>IF($A461="","",games!$C461)</f>
        <v>Action</v>
      </c>
      <c r="D461">
        <f>IF($A461="","",COUNTIF(connections!$A$2:$A$1496,$A461)+COUNTIF(connections!$B$2:$B$1496,$A461))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IF(connections!$A460="","",IFERROR(INDEX(games!$B$2:$B$950,MATCH(connections!$A460,games!$A$2:$A$950,0)),""))</f>
        <v>1993</v>
      </c>
      <c r="U461">
        <f>IF(connections!$A460="","",IFERROR(INDEX(games!$B$2:$B$950,MATCH(connections!$B460,games!$A$2:$A$950,0)),""))</f>
        <v>2015</v>
      </c>
      <c r="V461">
        <f t="shared" si="103"/>
        <v>22</v>
      </c>
    </row>
    <row r="462" spans="1:22" x14ac:dyDescent="0.25">
      <c r="A462" t="str">
        <f>IF(games!$A462="","",games!$A462)</f>
        <v>Mimic Logic</v>
      </c>
      <c r="B462">
        <f>IF($A462="","",games!$B462)</f>
        <v>2024</v>
      </c>
      <c r="C462" t="str">
        <f>IF($A462="","",games!$C462)</f>
        <v>Strategy</v>
      </c>
      <c r="D462">
        <f>IF($A462="","",COUNTIF(connections!$A$2:$A$1496,$A462)+COUNTIF(connections!$B$2:$B$1496,$A462))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IF(connections!$A461="","",IFERROR(INDEX(games!$B$2:$B$950,MATCH(connections!$A461,games!$A$2:$A$950,0)),""))</f>
        <v>2015</v>
      </c>
      <c r="U462">
        <f>IF(connections!$A461="","",IFERROR(INDEX(games!$B$2:$B$950,MATCH(connections!$B461,games!$A$2:$A$950,0)),""))</f>
        <v>2017</v>
      </c>
      <c r="V462">
        <f t="shared" si="103"/>
        <v>2</v>
      </c>
    </row>
    <row r="463" spans="1:22" x14ac:dyDescent="0.25">
      <c r="A463" t="str">
        <f>IF(games!$A463="","",games!$A463)</f>
        <v>Miracle Chou Party: Sanae to Tenshi no Gensou Labyrinth</v>
      </c>
      <c r="B463">
        <f>IF($A463="","",games!$B463)</f>
        <v>2012</v>
      </c>
      <c r="C463" t="str">
        <f>IF($A463="","",games!$C463)</f>
        <v>Traditional</v>
      </c>
      <c r="D463">
        <f>IF($A463="","",COUNTIF(connections!$A$2:$A$1496,$A463)+COUNTIF(connections!$B$2:$B$1496,$A463))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IF(connections!$A462="","",IFERROR(INDEX(games!$B$2:$B$950,MATCH(connections!$A462,games!$A$2:$A$950,0)),""))</f>
        <v>2023</v>
      </c>
      <c r="U463">
        <f>IF(connections!$A462="","",IFERROR(INDEX(games!$B$2:$B$950,MATCH(connections!$B462,games!$A$2:$A$950,0)),""))</f>
        <v>2026</v>
      </c>
      <c r="V463">
        <f t="shared" si="103"/>
        <v>3</v>
      </c>
    </row>
    <row r="464" spans="1:22" x14ac:dyDescent="0.25">
      <c r="A464" t="str">
        <f>IF(games!$A464="","",games!$A464)</f>
        <v>Miracle Party: Fushigi no Gensoukyou 2</v>
      </c>
      <c r="B464">
        <f>IF($A464="","",games!$B464)</f>
        <v>2011</v>
      </c>
      <c r="C464" t="str">
        <f>IF($A464="","",games!$C464)</f>
        <v>Traditional</v>
      </c>
      <c r="D464">
        <f>IF($A464="","",COUNTIF(connections!$A$2:$A$1496,$A464)+COUNTIF(connections!$B$2:$B$1496,$A464))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IF(connections!$A463="","",IFERROR(INDEX(games!$B$2:$B$950,MATCH(connections!$A463,games!$A$2:$A$950,0)),""))</f>
        <v>2020</v>
      </c>
      <c r="U464">
        <f>IF(connections!$A463="","",IFERROR(INDEX(games!$B$2:$B$950,MATCH(connections!$B463,games!$A$2:$A$950,0)),""))</f>
        <v>2026</v>
      </c>
      <c r="V464">
        <f t="shared" si="103"/>
        <v>6</v>
      </c>
    </row>
    <row r="465" spans="1:22" x14ac:dyDescent="0.25">
      <c r="A465" t="str">
        <f>IF(games!$A465="","",games!$A465)</f>
        <v>Mission: Thunderbolt</v>
      </c>
      <c r="B465">
        <f>IF($A465="","",games!$B465)</f>
        <v>1987</v>
      </c>
      <c r="C465" t="str">
        <f>IF($A465="","",games!$C465)</f>
        <v>Traditional</v>
      </c>
      <c r="D465">
        <f>IF($A465="","",COUNTIF(connections!$A$2:$A$1496,$A465)+COUNTIF(connections!$B$2:$B$1496,$A465))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IF(connections!$A464="","",IFERROR(INDEX(games!$B$2:$B$950,MATCH(connections!$A464,games!$A$2:$A$950,0)),""))</f>
        <v>2017</v>
      </c>
      <c r="U465">
        <f>IF(connections!$A464="","",IFERROR(INDEX(games!$B$2:$B$950,MATCH(connections!$B464,games!$A$2:$A$950,0)),""))</f>
        <v>2026</v>
      </c>
      <c r="V465">
        <f t="shared" si="103"/>
        <v>9</v>
      </c>
    </row>
    <row r="466" spans="1:22" x14ac:dyDescent="0.25">
      <c r="A466" t="str">
        <f>IF(games!$A466="","",games!$A466)</f>
        <v>Mistrogue: Mist and the Living Dungeons</v>
      </c>
      <c r="B466">
        <f>IF($A466="","",games!$B466)</f>
        <v>2023</v>
      </c>
      <c r="C466" t="str">
        <f>IF($A466="","",games!$C466)</f>
        <v>Action</v>
      </c>
      <c r="D466">
        <f>IF($A466="","",COUNTIF(connections!$A$2:$A$1496,$A466)+COUNTIF(connections!$B$2:$B$1496,$A466))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IF(connections!$A465="","",IFERROR(INDEX(games!$B$2:$B$950,MATCH(connections!$A465,games!$A$2:$A$950,0)),""))</f>
        <v>2015</v>
      </c>
      <c r="U466">
        <f>IF(connections!$A465="","",IFERROR(INDEX(games!$B$2:$B$950,MATCH(connections!$B465,games!$A$2:$A$950,0)),""))</f>
        <v>2020</v>
      </c>
      <c r="V466">
        <f t="shared" si="103"/>
        <v>5</v>
      </c>
    </row>
    <row r="467" spans="1:22" x14ac:dyDescent="0.25">
      <c r="A467" t="str">
        <f>IF(games!$A467="","",games!$A467)</f>
        <v>Mobmania</v>
      </c>
      <c r="B467">
        <f>IF($A467="","",games!$B467)</f>
        <v>2022</v>
      </c>
      <c r="C467" t="str">
        <f>IF($A467="","",games!$C467)</f>
        <v>Action</v>
      </c>
      <c r="D467">
        <f>IF($A467="","",COUNTIF(connections!$A$2:$A$1496,$A467)+COUNTIF(connections!$B$2:$B$1496,$A467))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IF(connections!$A466="","",IFERROR(INDEX(games!$B$2:$B$950,MATCH(connections!$A466,games!$A$2:$A$950,0)),""))</f>
        <v>2016</v>
      </c>
      <c r="U467">
        <f>IF(connections!$A466="","",IFERROR(INDEX(games!$B$2:$B$950,MATCH(connections!$B466,games!$A$2:$A$950,0)),""))</f>
        <v>2020</v>
      </c>
      <c r="V467">
        <f t="shared" si="103"/>
        <v>4</v>
      </c>
    </row>
    <row r="468" spans="1:22" x14ac:dyDescent="0.25">
      <c r="A468" t="str">
        <f>IF(games!$A468="","",games!$A468)</f>
        <v>Monmusu Gladiator</v>
      </c>
      <c r="B468">
        <f>IF($A468="","",games!$B468)</f>
        <v>2021</v>
      </c>
      <c r="C468" t="str">
        <f>IF($A468="","",games!$C468)</f>
        <v>Deckbuilder</v>
      </c>
      <c r="D468">
        <f>IF($A468="","",COUNTIF(connections!$A$2:$A$1496,$A468)+COUNTIF(connections!$B$2:$B$1496,$A468))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IF(connections!$A467="","",IFERROR(INDEX(games!$B$2:$B$950,MATCH(connections!$A467,games!$A$2:$A$950,0)),""))</f>
        <v>2021</v>
      </c>
      <c r="U468">
        <f>IF(connections!$A467="","",IFERROR(INDEX(games!$B$2:$B$950,MATCH(connections!$B467,games!$A$2:$A$950,0)),""))</f>
        <v>2024</v>
      </c>
      <c r="V468">
        <f t="shared" si="103"/>
        <v>3</v>
      </c>
    </row>
    <row r="469" spans="1:22" x14ac:dyDescent="0.25">
      <c r="A469" t="str">
        <f>IF(games!$A469="","",games!$A469)</f>
        <v>Monster Gate</v>
      </c>
      <c r="B469">
        <f>IF($A469="","",games!$B469)</f>
        <v>2002</v>
      </c>
      <c r="C469" t="str">
        <f>IF($A469="","",games!$C469)</f>
        <v>Traditional</v>
      </c>
      <c r="D469">
        <f>IF($A469="","",COUNTIF(connections!$A$2:$A$1496,$A469)+COUNTIF(connections!$B$2:$B$1496,$A469))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IF(connections!$A468="","",IFERROR(INDEX(games!$B$2:$B$950,MATCH(connections!$A468,games!$A$2:$A$950,0)),""))</f>
        <v>1980</v>
      </c>
      <c r="U469">
        <f>IF(connections!$A468="","",IFERROR(INDEX(games!$B$2:$B$950,MATCH(connections!$B468,games!$A$2:$A$950,0)),""))</f>
        <v>1990</v>
      </c>
      <c r="V469">
        <f t="shared" si="103"/>
        <v>10</v>
      </c>
    </row>
    <row r="470" spans="1:22" x14ac:dyDescent="0.25">
      <c r="A470" t="str">
        <f>IF(games!$A470="","",games!$A470)</f>
        <v>Monster Gate: Ooinaru Dungeon - Fuuin no Orb</v>
      </c>
      <c r="B470">
        <f>IF($A470="","",games!$B470)</f>
        <v>2003</v>
      </c>
      <c r="C470" t="str">
        <f>IF($A470="","",games!$C470)</f>
        <v>Traditional</v>
      </c>
      <c r="D470">
        <f>IF($A470="","",COUNTIF(connections!$A$2:$A$1496,$A470)+COUNTIF(connections!$B$2:$B$1496,$A470))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IF(connections!$A469="","",IFERROR(INDEX(games!$B$2:$B$950,MATCH(connections!$A469,games!$A$2:$A$950,0)),""))</f>
        <v>1987</v>
      </c>
      <c r="U470">
        <f>IF(connections!$A469="","",IFERROR(INDEX(games!$B$2:$B$950,MATCH(connections!$B469,games!$A$2:$A$950,0)),""))</f>
        <v>2018</v>
      </c>
      <c r="V470">
        <f t="shared" si="103"/>
        <v>31</v>
      </c>
    </row>
    <row r="471" spans="1:22" x14ac:dyDescent="0.25">
      <c r="A471" t="str">
        <f>IF(games!$A471="","",games!$A471)</f>
        <v>Monster Girls and the Mysterious Adventure</v>
      </c>
      <c r="B471">
        <f>IF($A471="","",games!$B471)</f>
        <v>2020</v>
      </c>
      <c r="C471" t="str">
        <f>IF($A471="","",games!$C471)</f>
        <v>Traditional</v>
      </c>
      <c r="D471">
        <f>IF($A471="","",COUNTIF(connections!$A$2:$A$1496,$A471)+COUNTIF(connections!$B$2:$B$1496,$A471))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IF(connections!$A470="","",IFERROR(INDEX(games!$B$2:$B$950,MATCH(connections!$A470,games!$A$2:$A$950,0)),""))</f>
        <v>2022</v>
      </c>
      <c r="U471">
        <f>IF(connections!$A470="","",IFERROR(INDEX(games!$B$2:$B$950,MATCH(connections!$B470,games!$A$2:$A$950,0)),""))</f>
        <v>2024</v>
      </c>
      <c r="V471">
        <f t="shared" si="103"/>
        <v>2</v>
      </c>
    </row>
    <row r="472" spans="1:22" x14ac:dyDescent="0.25">
      <c r="A472" t="str">
        <f>IF(games!$A472="","",games!$A472)</f>
        <v>Monster Girls and the Mysterious Adventure 2</v>
      </c>
      <c r="B472">
        <f>IF($A472="","",games!$B472)</f>
        <v>2022</v>
      </c>
      <c r="C472" t="str">
        <f>IF($A472="","",games!$C472)</f>
        <v>Traditional</v>
      </c>
      <c r="D472">
        <f>IF($A472="","",COUNTIF(connections!$A$2:$A$1496,$A472)+COUNTIF(connections!$B$2:$B$1496,$A472))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IF(connections!$A471="","",IFERROR(INDEX(games!$B$2:$B$950,MATCH(connections!$A471,games!$A$2:$A$950,0)),""))</f>
        <v>2008</v>
      </c>
      <c r="U472">
        <f>IF(connections!$A471="","",IFERROR(INDEX(games!$B$2:$B$950,MATCH(connections!$B471,games!$A$2:$A$950,0)),""))</f>
        <v>2024</v>
      </c>
      <c r="V472">
        <f t="shared" si="103"/>
        <v>16</v>
      </c>
    </row>
    <row r="473" spans="1:22" x14ac:dyDescent="0.25">
      <c r="A473" t="str">
        <f>IF(games!$A473="","",games!$A473)</f>
        <v>Monster Slayers</v>
      </c>
      <c r="B473">
        <f>IF($A473="","",games!$B473)</f>
        <v>2017</v>
      </c>
      <c r="C473" t="str">
        <f>IF($A473="","",games!$C473)</f>
        <v>Deckbuilder</v>
      </c>
      <c r="D473">
        <f>IF($A473="","",COUNTIF(connections!$A$2:$A$1496,$A473)+COUNTIF(connections!$B$2:$B$1496,$A473))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2018</v>
      </c>
      <c r="U473">
        <f>IF(connections!$A472="","",IFERROR(INDEX(games!$B$2:$B$950,MATCH(connections!$B472,games!$A$2:$A$950,0)),""))</f>
        <v>2021</v>
      </c>
      <c r="V473">
        <f t="shared" si="103"/>
        <v>3</v>
      </c>
    </row>
    <row r="474" spans="1:22" x14ac:dyDescent="0.25">
      <c r="A474" t="str">
        <f>IF(games!$A474="","",games!$A474)</f>
        <v>Monster Train</v>
      </c>
      <c r="B474">
        <f>IF($A474="","",games!$B474)</f>
        <v>2020</v>
      </c>
      <c r="C474" t="str">
        <f>IF($A474="","",games!$C474)</f>
        <v>Deckbuilder</v>
      </c>
      <c r="D474">
        <f>IF($A474="","",COUNTIF(connections!$A$2:$A$1496,$A474)+COUNTIF(connections!$B$2:$B$1496,$A474))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IF(connections!$A473="","",IFERROR(INDEX(games!$B$2:$B$950,MATCH(connections!$A473,games!$A$2:$A$950,0)),""))</f>
        <v>2017</v>
      </c>
      <c r="U474">
        <f>IF(connections!$A473="","",IFERROR(INDEX(games!$B$2:$B$950,MATCH(connections!$B473,games!$A$2:$A$950,0)),""))</f>
        <v>2021</v>
      </c>
      <c r="V474">
        <f t="shared" si="103"/>
        <v>4</v>
      </c>
    </row>
    <row r="475" spans="1:22" x14ac:dyDescent="0.25">
      <c r="A475" t="str">
        <f>IF(games!$A475="","",games!$A475)</f>
        <v>Monster Train 2</v>
      </c>
      <c r="B475">
        <f>IF($A475="","",games!$B475)</f>
        <v>2025</v>
      </c>
      <c r="C475" t="str">
        <f>IF($A475="","",games!$C475)</f>
        <v>Deckbuilder</v>
      </c>
      <c r="D475">
        <f>IF($A475="","",COUNTIF(connections!$A$2:$A$1496,$A475)+COUNTIF(connections!$B$2:$B$1496,$A475))</f>
        <v>2</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2.0004749999999998</v>
      </c>
      <c r="P475" t="str">
        <f>IF(OR($A475="",games!$H475=""),"",games!$H475)</f>
        <v/>
      </c>
      <c r="Q475" t="str">
        <f t="shared" si="102"/>
        <v/>
      </c>
      <c r="T475">
        <f>IF(connections!$A474="","",IFERROR(INDEX(games!$B$2:$B$950,MATCH(connections!$A474,games!$A$2:$A$950,0)),""))</f>
        <v>1998</v>
      </c>
      <c r="U475">
        <f>IF(connections!$A474="","",IFERROR(INDEX(games!$B$2:$B$950,MATCH(connections!$B474,games!$A$2:$A$950,0)),""))</f>
        <v>2007</v>
      </c>
      <c r="V475">
        <f t="shared" si="103"/>
        <v>9</v>
      </c>
    </row>
    <row r="476" spans="1:22" x14ac:dyDescent="0.25">
      <c r="A476" t="str">
        <f>IF(games!$A476="","",games!$A476)</f>
        <v>Monsters are Coming!</v>
      </c>
      <c r="B476">
        <f>IF($A476="","",games!$B476)</f>
        <v>2025</v>
      </c>
      <c r="C476" t="str">
        <f>IF($A476="","",games!$C476)</f>
        <v>Action</v>
      </c>
      <c r="D476">
        <f>IF($A476="","",COUNTIF(connections!$A$2:$A$1496,$A476)+COUNTIF(connections!$B$2:$B$1496,$A476))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IF(connections!$A475="","",IFERROR(INDEX(games!$B$2:$B$950,MATCH(connections!$A475,games!$A$2:$A$950,0)),""))</f>
        <v>2021</v>
      </c>
      <c r="U476">
        <f>IF(connections!$A475="","",IFERROR(INDEX(games!$B$2:$B$950,MATCH(connections!$B475,games!$A$2:$A$950,0)),""))</f>
        <v>2024</v>
      </c>
      <c r="V476">
        <f t="shared" si="103"/>
        <v>3</v>
      </c>
    </row>
    <row r="477" spans="1:22" x14ac:dyDescent="0.25">
      <c r="A477" t="str">
        <f>IF(games!$A477="","",games!$A477)</f>
        <v>Monstrum</v>
      </c>
      <c r="B477">
        <f>IF($A477="","",games!$B477)</f>
        <v>2015</v>
      </c>
      <c r="C477" t="str">
        <f>IF($A477="","",games!$C477)</f>
        <v>Action</v>
      </c>
      <c r="D477">
        <f>IF($A477="","",COUNTIF(connections!$A$2:$A$1496,$A477)+COUNTIF(connections!$B$2:$B$1496,$A477))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IF(connections!$A476="","",IFERROR(INDEX(games!$B$2:$B$950,MATCH(connections!$A476,games!$A$2:$A$950,0)),""))</f>
        <v>2021</v>
      </c>
      <c r="U477">
        <f>IF(connections!$A476="","",IFERROR(INDEX(games!$B$2:$B$950,MATCH(connections!$B476,games!$A$2:$A$950,0)),""))</f>
        <v>2022</v>
      </c>
      <c r="V477">
        <f t="shared" si="103"/>
        <v>1</v>
      </c>
    </row>
    <row r="478" spans="1:22" x14ac:dyDescent="0.25">
      <c r="A478" t="str">
        <f>IF(games!$A478="","",games!$A478)</f>
        <v>Montabi</v>
      </c>
      <c r="B478">
        <f>IF($A478="","",games!$B478)</f>
        <v>2026</v>
      </c>
      <c r="C478" t="str">
        <f>IF($A478="","",games!$C478)</f>
        <v>Deckbuilder</v>
      </c>
      <c r="D478">
        <f>IF($A478="","",COUNTIF(connections!$A$2:$A$1496,$A478)+COUNTIF(connections!$B$2:$B$1496,$A478))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IF(connections!$A477="","",IFERROR(INDEX(games!$B$2:$B$950,MATCH(connections!$A477,games!$A$2:$A$950,0)),""))</f>
        <v>2013</v>
      </c>
      <c r="U478">
        <f>IF(connections!$A477="","",IFERROR(INDEX(games!$B$2:$B$950,MATCH(connections!$B477,games!$A$2:$A$950,0)),""))</f>
        <v>2017</v>
      </c>
      <c r="V478">
        <f t="shared" si="103"/>
        <v>4</v>
      </c>
    </row>
    <row r="479" spans="1:22" x14ac:dyDescent="0.25">
      <c r="A479" t="str">
        <f>IF(games!$A479="","",games!$A479)</f>
        <v>Moon Hunters</v>
      </c>
      <c r="B479">
        <f>IF($A479="","",games!$B479)</f>
        <v>2016</v>
      </c>
      <c r="C479" t="str">
        <f>IF($A479="","",games!$C479)</f>
        <v>Action</v>
      </c>
      <c r="D479">
        <f>IF($A479="","",COUNTIF(connections!$A$2:$A$1496,$A479)+COUNTIF(connections!$B$2:$B$1496,$A479))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2008</v>
      </c>
      <c r="U479">
        <f>IF(connections!$A478="","",IFERROR(INDEX(games!$B$2:$B$950,MATCH(connections!$B478,games!$A$2:$A$950,0)),""))</f>
        <v>2017</v>
      </c>
      <c r="V479">
        <f t="shared" si="103"/>
        <v>9</v>
      </c>
    </row>
    <row r="480" spans="1:22" x14ac:dyDescent="0.25">
      <c r="A480" t="str">
        <f>IF(games!$A480="","",games!$A480)</f>
        <v>Moon Watch</v>
      </c>
      <c r="B480">
        <f>IF($A480="","",games!$B480)</f>
        <v>2024</v>
      </c>
      <c r="C480" t="str">
        <f>IF($A480="","",games!$C480)</f>
        <v>Action</v>
      </c>
      <c r="D480">
        <f>IF($A480="","",COUNTIF(connections!$A$2:$A$1496,$A480)+COUNTIF(connections!$B$2:$B$1496,$A480))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2023</v>
      </c>
      <c r="U480">
        <f>IF(connections!$A479="","",IFERROR(INDEX(games!$B$2:$B$950,MATCH(connections!$B479,games!$A$2:$A$950,0)),""))</f>
        <v>2026</v>
      </c>
      <c r="V480">
        <f t="shared" si="103"/>
        <v>3</v>
      </c>
    </row>
    <row r="481" spans="1:22" x14ac:dyDescent="0.25">
      <c r="A481" t="str">
        <f>IF(games!$A481="","",games!$A481)</f>
        <v>Moonlighter</v>
      </c>
      <c r="B481">
        <f>IF($A481="","",games!$B481)</f>
        <v>2018</v>
      </c>
      <c r="C481" t="str">
        <f>IF($A481="","",games!$C481)</f>
        <v>Action</v>
      </c>
      <c r="D481">
        <f>IF($A481="","",COUNTIF(connections!$A$2:$A$1496,$A481)+COUNTIF(connections!$B$2:$B$1496,$A481))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IF(connections!$A480="","",IFERROR(INDEX(games!$B$2:$B$950,MATCH(connections!$A480,games!$A$2:$A$950,0)),""))</f>
        <v>2021</v>
      </c>
      <c r="U481">
        <f>IF(connections!$A480="","",IFERROR(INDEX(games!$B$2:$B$950,MATCH(connections!$B480,games!$A$2:$A$950,0)),""))</f>
        <v>2026</v>
      </c>
      <c r="V481">
        <f t="shared" si="103"/>
        <v>5</v>
      </c>
    </row>
    <row r="482" spans="1:22" x14ac:dyDescent="0.25">
      <c r="A482" t="str">
        <f>IF(games!$A482="","",games!$A482)</f>
        <v>Moonlighter 2: The Endless Vault</v>
      </c>
      <c r="B482">
        <f>IF($A482="","",games!$B482)</f>
        <v>2025</v>
      </c>
      <c r="C482" t="str">
        <f>IF($A482="","",games!$C482)</f>
        <v>Action</v>
      </c>
      <c r="D482">
        <f>IF($A482="","",COUNTIF(connections!$A$2:$A$1496,$A482)+COUNTIF(connections!$B$2:$B$1496,$A482))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IF(connections!$A481="","",IFERROR(INDEX(games!$B$2:$B$950,MATCH(connections!$A481,games!$A$2:$A$950,0)),""))</f>
        <v>2018</v>
      </c>
      <c r="U482">
        <f>IF(connections!$A481="","",IFERROR(INDEX(games!$B$2:$B$950,MATCH(connections!$B481,games!$A$2:$A$950,0)),""))</f>
        <v>2026</v>
      </c>
      <c r="V482">
        <f t="shared" si="103"/>
        <v>8</v>
      </c>
    </row>
    <row r="483" spans="1:22" x14ac:dyDescent="0.25">
      <c r="A483" t="str">
        <f>IF(games!$A483="","",games!$A483)</f>
        <v>Moonring</v>
      </c>
      <c r="B483">
        <f>IF($A483="","",games!$B483)</f>
        <v>2023</v>
      </c>
      <c r="C483" t="str">
        <f>IF($A483="","",games!$C483)</f>
        <v>Traditional</v>
      </c>
      <c r="D483">
        <f>IF($A483="","",COUNTIF(connections!$A$2:$A$1496,$A483)+COUNTIF(connections!$B$2:$B$1496,$A483))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IF(connections!$A482="","",IFERROR(INDEX(games!$B$2:$B$950,MATCH(connections!$A482,games!$A$2:$A$950,0)),""))</f>
        <v>2017</v>
      </c>
      <c r="U483">
        <f>IF(connections!$A482="","",IFERROR(INDEX(games!$B$2:$B$950,MATCH(connections!$B482,games!$A$2:$A$950,0)),""))</f>
        <v>2026</v>
      </c>
      <c r="V483">
        <f t="shared" si="103"/>
        <v>9</v>
      </c>
    </row>
    <row r="484" spans="1:22" x14ac:dyDescent="0.25">
      <c r="A484" t="str">
        <f>IF(games!$A484="","",games!$A484)</f>
        <v>Morbid Metal</v>
      </c>
      <c r="B484">
        <f>IF($A484="","",games!$B484)</f>
        <v>2026</v>
      </c>
      <c r="C484" t="str">
        <f>IF($A484="","",games!$C484)</f>
        <v>Action</v>
      </c>
      <c r="D484">
        <f>IF($A484="","",COUNTIF(connections!$A$2:$A$1496,$A484)+COUNTIF(connections!$B$2:$B$1496,$A484))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IF(connections!$A483="","",IFERROR(INDEX(games!$B$2:$B$950,MATCH(connections!$A483,games!$A$2:$A$950,0)),""))</f>
        <v>2022</v>
      </c>
      <c r="U484">
        <f>IF(connections!$A483="","",IFERROR(INDEX(games!$B$2:$B$950,MATCH(connections!$B483,games!$A$2:$A$950,0)),""))</f>
        <v>2024</v>
      </c>
      <c r="V484">
        <f t="shared" si="103"/>
        <v>2</v>
      </c>
    </row>
    <row r="485" spans="1:22" x14ac:dyDescent="0.25">
      <c r="A485" t="str">
        <f>IF(games!$A485="","",games!$A485)</f>
        <v>Moria</v>
      </c>
      <c r="B485">
        <f>IF($A485="","",games!$B485)</f>
        <v>1983</v>
      </c>
      <c r="C485" t="str">
        <f>IF($A485="","",games!$C485)</f>
        <v>Traditional</v>
      </c>
      <c r="D485">
        <f>IF($A485="","",COUNTIF(connections!$A$2:$A$1496,$A485)+COUNTIF(connections!$B$2:$B$1496,$A485))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IF(connections!$A484="","",IFERROR(INDEX(games!$B$2:$B$950,MATCH(connections!$A484,games!$A$2:$A$950,0)),""))</f>
        <v>2022</v>
      </c>
      <c r="U485">
        <f>IF(connections!$A484="","",IFERROR(INDEX(games!$B$2:$B$950,MATCH(connections!$B484,games!$A$2:$A$950,0)),""))</f>
        <v>2024</v>
      </c>
      <c r="V485">
        <f t="shared" si="103"/>
        <v>2</v>
      </c>
    </row>
    <row r="486" spans="1:22" x14ac:dyDescent="0.25">
      <c r="A486" t="str">
        <f>IF(games!$A486="","",games!$A486)</f>
        <v>Morimens</v>
      </c>
      <c r="B486">
        <f>IF($A486="","",games!$B486)</f>
        <v>2024</v>
      </c>
      <c r="C486" t="str">
        <f>IF($A486="","",games!$C486)</f>
        <v>Deckbuilder</v>
      </c>
      <c r="D486">
        <f>IF($A486="","",COUNTIF(connections!$A$2:$A$1496,$A486)+COUNTIF(connections!$B$2:$B$1496,$A486))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IF(connections!$A485="","",IFERROR(INDEX(games!$B$2:$B$950,MATCH(connections!$A485,games!$A$2:$A$950,0)),""))</f>
        <v>2022</v>
      </c>
      <c r="U486">
        <f>IF(connections!$A485="","",IFERROR(INDEX(games!$B$2:$B$950,MATCH(connections!$B485,games!$A$2:$A$950,0)),""))</f>
        <v>2024</v>
      </c>
      <c r="V486">
        <f t="shared" si="103"/>
        <v>2</v>
      </c>
    </row>
    <row r="487" spans="1:22" x14ac:dyDescent="0.25">
      <c r="A487" t="str">
        <f>IF(games!$A487="","",games!$A487)</f>
        <v>Morsels</v>
      </c>
      <c r="B487">
        <f>IF($A487="","",games!$B487)</f>
        <v>2025</v>
      </c>
      <c r="C487" t="str">
        <f>IF($A487="","",games!$C487)</f>
        <v>Action</v>
      </c>
      <c r="D487">
        <f>IF($A487="","",COUNTIF(connections!$A$2:$A$1496,$A487)+COUNTIF(connections!$B$2:$B$1496,$A487))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IF(connections!$A486="","",IFERROR(INDEX(games!$B$2:$B$950,MATCH(connections!$A486,games!$A$2:$A$950,0)),""))</f>
        <v>2018</v>
      </c>
      <c r="U487">
        <f>IF(connections!$A486="","",IFERROR(INDEX(games!$B$2:$B$950,MATCH(connections!$B486,games!$A$2:$A$950,0)),""))</f>
        <v>2023</v>
      </c>
      <c r="V487">
        <f t="shared" si="103"/>
        <v>5</v>
      </c>
    </row>
    <row r="488" spans="1:22" x14ac:dyDescent="0.25">
      <c r="A488" t="str">
        <f>IF(games!$A488="","",games!$A488)</f>
        <v>Mortal Sin</v>
      </c>
      <c r="B488">
        <f>IF($A488="","",games!$B488)</f>
        <v>2023</v>
      </c>
      <c r="C488" t="str">
        <f>IF($A488="","",games!$C488)</f>
        <v>Action</v>
      </c>
      <c r="D488">
        <f>IF($A488="","",COUNTIF(connections!$A$2:$A$1496,$A488)+COUNTIF(connections!$B$2:$B$1496,$A488))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IF(connections!$A487="","",IFERROR(INDEX(games!$B$2:$B$950,MATCH(connections!$A487,games!$A$2:$A$950,0)),""))</f>
        <v>2012</v>
      </c>
      <c r="U488">
        <f>IF(connections!$A487="","",IFERROR(INDEX(games!$B$2:$B$950,MATCH(connections!$B487,games!$A$2:$A$950,0)),""))</f>
        <v>2020</v>
      </c>
      <c r="V488">
        <f t="shared" si="103"/>
        <v>8</v>
      </c>
    </row>
    <row r="489" spans="1:22" x14ac:dyDescent="0.25">
      <c r="A489" t="str">
        <f>IF(games!$A489="","",games!$A489)</f>
        <v>Mothergunship</v>
      </c>
      <c r="B489">
        <f>IF($A489="","",games!$B489)</f>
        <v>2018</v>
      </c>
      <c r="C489" t="str">
        <f>IF($A489="","",games!$C489)</f>
        <v>Action</v>
      </c>
      <c r="D489">
        <f>IF($A489="","",COUNTIF(connections!$A$2:$A$1496,$A489)+COUNTIF(connections!$B$2:$B$1496,$A489))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2017</v>
      </c>
      <c r="U489">
        <f>IF(connections!$A488="","",IFERROR(INDEX(games!$B$2:$B$950,MATCH(connections!$B488,games!$A$2:$A$950,0)),""))</f>
        <v>2020</v>
      </c>
      <c r="V489">
        <f t="shared" si="103"/>
        <v>3</v>
      </c>
    </row>
    <row r="490" spans="1:22" x14ac:dyDescent="0.25">
      <c r="A490" t="str">
        <f>IF(games!$A490="","",games!$A490)</f>
        <v>Mothergunship: Forge</v>
      </c>
      <c r="B490">
        <f>IF($A490="","",games!$B490)</f>
        <v>2022</v>
      </c>
      <c r="C490" t="str">
        <f>IF($A490="","",games!$C490)</f>
        <v>Action</v>
      </c>
      <c r="D490">
        <f>IF($A490="","",COUNTIF(connections!$A$2:$A$1496,$A490)+COUNTIF(connections!$B$2:$B$1496,$A490))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IF(connections!$A489="","",IFERROR(INDEX(games!$B$2:$B$950,MATCH(connections!$A489,games!$A$2:$A$950,0)),""))</f>
        <v>2019</v>
      </c>
      <c r="U490">
        <f>IF(connections!$A489="","",IFERROR(INDEX(games!$B$2:$B$950,MATCH(connections!$B489,games!$A$2:$A$950,0)),""))</f>
        <v>2022</v>
      </c>
      <c r="V490">
        <f t="shared" si="103"/>
        <v>3</v>
      </c>
    </row>
    <row r="491" spans="1:22" x14ac:dyDescent="0.25">
      <c r="A491" t="str">
        <f>IF(games!$A491="","",games!$A491)</f>
        <v>Motto!? Fushigi no Gensoukyou: Under the Moonlight</v>
      </c>
      <c r="B491">
        <f>IF($A491="","",games!$B491)</f>
        <v>2011</v>
      </c>
      <c r="C491" t="str">
        <f>IF($A491="","",games!$C491)</f>
        <v>Traditional</v>
      </c>
      <c r="D491">
        <f>IF($A491="","",COUNTIF(connections!$A$2:$A$1496,$A491)+COUNTIF(connections!$B$2:$B$1496,$A491))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IF(connections!$A490="","",IFERROR(INDEX(games!$B$2:$B$950,MATCH(connections!$A490,games!$A$2:$A$950,0)),""))</f>
        <v>2017</v>
      </c>
      <c r="U491">
        <f>IF(connections!$A490="","",IFERROR(INDEX(games!$B$2:$B$950,MATCH(connections!$B490,games!$A$2:$A$950,0)),""))</f>
        <v>2022</v>
      </c>
      <c r="V491">
        <f t="shared" si="103"/>
        <v>5</v>
      </c>
    </row>
    <row r="492" spans="1:22" x14ac:dyDescent="0.25">
      <c r="A492" t="str">
        <f>IF(games!$A492="","",games!$A492)</f>
        <v>Mr. Sun's Hatbox</v>
      </c>
      <c r="B492">
        <f>IF($A492="","",games!$B492)</f>
        <v>2023</v>
      </c>
      <c r="C492" t="str">
        <f>IF($A492="","",games!$C492)</f>
        <v>Action</v>
      </c>
      <c r="D492">
        <f>IF($A492="","",COUNTIF(connections!$A$2:$A$1496,$A492)+COUNTIF(connections!$B$2:$B$1496,$A492))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2011</v>
      </c>
      <c r="U492">
        <f>IF(connections!$A491="","",IFERROR(INDEX(games!$B$2:$B$950,MATCH(connections!$B491,games!$A$2:$A$950,0)),""))</f>
        <v>2017</v>
      </c>
      <c r="V492">
        <f t="shared" si="103"/>
        <v>6</v>
      </c>
    </row>
    <row r="493" spans="1:22" x14ac:dyDescent="0.25">
      <c r="A493" t="str">
        <f>IF(games!$A493="","",games!$A493)</f>
        <v>Muck</v>
      </c>
      <c r="B493">
        <f>IF($A493="","",games!$B493)</f>
        <v>2021</v>
      </c>
      <c r="C493" t="str">
        <f>IF($A493="","",games!$C493)</f>
        <v>Action</v>
      </c>
      <c r="D493">
        <f>IF($A493="","",COUNTIF(connections!$A$2:$A$1496,$A493)+COUNTIF(connections!$B$2:$B$1496,$A493))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IF(connections!$A492="","",IFERROR(INDEX(games!$B$2:$B$950,MATCH(connections!$A492,games!$A$2:$A$950,0)),""))</f>
        <v>2021</v>
      </c>
      <c r="U493">
        <f>IF(connections!$A492="","",IFERROR(INDEX(games!$B$2:$B$950,MATCH(connections!$B492,games!$A$2:$A$950,0)),""))</f>
        <v>2025</v>
      </c>
      <c r="V493">
        <f t="shared" si="103"/>
        <v>4</v>
      </c>
    </row>
    <row r="494" spans="1:22" x14ac:dyDescent="0.25">
      <c r="A494" t="str">
        <f>IF(games!$A494="","",games!$A494)</f>
        <v>My Card Is Better Than Your Card!</v>
      </c>
      <c r="B494">
        <f>IF($A494="","",games!$B494)</f>
        <v>2025</v>
      </c>
      <c r="C494" t="str">
        <f>IF($A494="","",games!$C494)</f>
        <v>Deckbuilder</v>
      </c>
      <c r="D494">
        <f>IF($A494="","",COUNTIF(connections!$A$2:$A$1496,$A494)+COUNTIF(connections!$B$2:$B$1496,$A494))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IF(connections!$A493="","",IFERROR(INDEX(games!$B$2:$B$950,MATCH(connections!$A493,games!$A$2:$A$950,0)),""))</f>
        <v>1994</v>
      </c>
      <c r="U494">
        <f>IF(connections!$A493="","",IFERROR(INDEX(games!$B$2:$B$950,MATCH(connections!$B493,games!$A$2:$A$950,0)),""))</f>
        <v>2006</v>
      </c>
      <c r="V494">
        <f t="shared" si="103"/>
        <v>12</v>
      </c>
    </row>
    <row r="495" spans="1:22" x14ac:dyDescent="0.25">
      <c r="A495" t="str">
        <f>IF(games!$A495="","",games!$A495)</f>
        <v>Mystery Chronicle: One Way Heroics</v>
      </c>
      <c r="B495">
        <f>IF($A495="","",games!$B495)</f>
        <v>2016</v>
      </c>
      <c r="C495" t="str">
        <f>IF($A495="","",games!$C495)</f>
        <v>Traditional</v>
      </c>
      <c r="D495">
        <f>IF($A495="","",COUNTIF(connections!$A$2:$A$1496,$A495)+COUNTIF(connections!$B$2:$B$1496,$A495))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IF(connections!$A494="","",IFERROR(INDEX(games!$B$2:$B$950,MATCH(connections!$A494,games!$A$2:$A$950,0)),""))</f>
        <v>2002</v>
      </c>
      <c r="U495">
        <f>IF(connections!$A494="","",IFERROR(INDEX(games!$B$2:$B$950,MATCH(connections!$B494,games!$A$2:$A$950,0)),""))</f>
        <v>2006</v>
      </c>
      <c r="V495">
        <f t="shared" si="103"/>
        <v>4</v>
      </c>
    </row>
    <row r="496" spans="1:22" x14ac:dyDescent="0.25">
      <c r="A496" t="str">
        <f>IF(games!$A496="","",games!$A496)</f>
        <v>Mystery Dungeon 2: Shiren the Wanderer</v>
      </c>
      <c r="B496">
        <f>IF($A496="","",games!$B496)</f>
        <v>1995</v>
      </c>
      <c r="C496" t="str">
        <f>IF($A496="","",games!$C496)</f>
        <v>Traditional</v>
      </c>
      <c r="D496">
        <f>IF($A496="","",COUNTIF(connections!$A$2:$A$1496,$A496)+COUNTIF(connections!$B$2:$B$1496,$A496))</f>
        <v>13</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13.000496</v>
      </c>
      <c r="P496" t="str">
        <f>IF(OR($A496="",games!$H496=""),"",games!$H496)</f>
        <v>Yes</v>
      </c>
      <c r="Q496">
        <f t="shared" si="102"/>
        <v>13.000496</v>
      </c>
      <c r="T496">
        <f>IF(connections!$A495="","",IFERROR(INDEX(games!$B$2:$B$950,MATCH(connections!$A495,games!$A$2:$A$950,0)),""))</f>
        <v>1995</v>
      </c>
      <c r="U496">
        <f>IF(connections!$A495="","",IFERROR(INDEX(games!$B$2:$B$950,MATCH(connections!$B495,games!$A$2:$A$950,0)),""))</f>
        <v>2006</v>
      </c>
      <c r="V496">
        <f t="shared" si="103"/>
        <v>11</v>
      </c>
    </row>
    <row r="497" spans="1:22" x14ac:dyDescent="0.25">
      <c r="A497" t="str">
        <f>IF(games!$A497="","",games!$A497)</f>
        <v>Mythical Concept Starnaut</v>
      </c>
      <c r="B497">
        <f>IF($A497="","",games!$B497)</f>
        <v>2024</v>
      </c>
      <c r="C497" t="str">
        <f>IF($A497="","",games!$C497)</f>
        <v>Action</v>
      </c>
      <c r="D497">
        <f>IF($A497="","",COUNTIF(connections!$A$2:$A$1496,$A497)+COUNTIF(connections!$B$2:$B$1496,$A497))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IF(connections!$A496="","",IFERROR(INDEX(games!$B$2:$B$950,MATCH(connections!$A496,games!$A$2:$A$950,0)),""))</f>
        <v>1987</v>
      </c>
      <c r="U497">
        <f>IF(connections!$A496="","",IFERROR(INDEX(games!$B$2:$B$950,MATCH(connections!$B496,games!$A$2:$A$950,0)),""))</f>
        <v>2006</v>
      </c>
      <c r="V497">
        <f t="shared" si="103"/>
        <v>19</v>
      </c>
    </row>
    <row r="498" spans="1:22" x14ac:dyDescent="0.25">
      <c r="A498" t="str">
        <f>IF(games!$A498="","",games!$A498)</f>
        <v>Nadir</v>
      </c>
      <c r="B498">
        <f>IF($A498="","",games!$B498)</f>
        <v>2022</v>
      </c>
      <c r="C498" t="str">
        <f>IF($A498="","",games!$C498)</f>
        <v>Deckbuilder</v>
      </c>
      <c r="D498">
        <f>IF($A498="","",COUNTIF(connections!$A$2:$A$1496,$A498)+COUNTIF(connections!$B$2:$B$1496,$A498))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2008</v>
      </c>
      <c r="U498">
        <f>IF(connections!$A497="","",IFERROR(INDEX(games!$B$2:$B$950,MATCH(connections!$B497,games!$A$2:$A$950,0)),""))</f>
        <v>2012</v>
      </c>
      <c r="V498">
        <f t="shared" si="103"/>
        <v>4</v>
      </c>
    </row>
    <row r="499" spans="1:22" x14ac:dyDescent="0.25">
      <c r="A499" t="str">
        <f>IF(games!$A499="","",games!$A499)</f>
        <v>NecroBouncer</v>
      </c>
      <c r="B499">
        <f>IF($A499="","",games!$B499)</f>
        <v>2022</v>
      </c>
      <c r="C499" t="str">
        <f>IF($A499="","",games!$C499)</f>
        <v>Action</v>
      </c>
      <c r="D499">
        <f>IF($A499="","",COUNTIF(connections!$A$2:$A$1496,$A499)+COUNTIF(connections!$B$2:$B$1496,$A499))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IF(connections!$A498="","",IFERROR(INDEX(games!$B$2:$B$950,MATCH(connections!$A498,games!$A$2:$A$950,0)),""))</f>
        <v>2005</v>
      </c>
      <c r="U499">
        <f>IF(connections!$A498="","",IFERROR(INDEX(games!$B$2:$B$950,MATCH(connections!$B498,games!$A$2:$A$950,0)),""))</f>
        <v>2012</v>
      </c>
      <c r="V499">
        <f t="shared" si="103"/>
        <v>7</v>
      </c>
    </row>
    <row r="500" spans="1:22" x14ac:dyDescent="0.25">
      <c r="A500" t="str">
        <f>IF(games!$A500="","",games!$A500)</f>
        <v>Necroking</v>
      </c>
      <c r="B500">
        <f>IF($A500="","",games!$B500)</f>
        <v>2024</v>
      </c>
      <c r="C500" t="str">
        <f>IF($A500="","",games!$C500)</f>
        <v>Strategy</v>
      </c>
      <c r="D500">
        <f>IF($A500="","",COUNTIF(connections!$A$2:$A$1496,$A500)+COUNTIF(connections!$B$2:$B$1496,$A500))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IF(connections!$A499="","",IFERROR(INDEX(games!$B$2:$B$950,MATCH(connections!$A499,games!$A$2:$A$950,0)),""))</f>
        <v>2011</v>
      </c>
      <c r="U500">
        <f>IF(connections!$A499="","",IFERROR(INDEX(games!$B$2:$B$950,MATCH(connections!$B499,games!$A$2:$A$950,0)),""))</f>
        <v>2013</v>
      </c>
      <c r="V500">
        <f t="shared" si="103"/>
        <v>2</v>
      </c>
    </row>
    <row r="501" spans="1:22" x14ac:dyDescent="0.25">
      <c r="A501" t="str">
        <f>IF(games!$A501="","",games!$A501)</f>
        <v>Necrosmith</v>
      </c>
      <c r="B501">
        <f>IF($A501="","",games!$B501)</f>
        <v>2022</v>
      </c>
      <c r="C501" t="str">
        <f>IF($A501="","",games!$C501)</f>
        <v>Action</v>
      </c>
      <c r="D501">
        <f>IF($A501="","",COUNTIF(connections!$A$2:$A$1496,$A501)+COUNTIF(connections!$B$2:$B$1496,$A501))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IF(connections!$A500="","",IFERROR(INDEX(games!$B$2:$B$950,MATCH(connections!$A500,games!$A$2:$A$950,0)),""))</f>
        <v>2018</v>
      </c>
      <c r="U501">
        <f>IF(connections!$A500="","",IFERROR(INDEX(games!$B$2:$B$950,MATCH(connections!$B500,games!$A$2:$A$950,0)),""))</f>
        <v>2020</v>
      </c>
      <c r="V501">
        <f t="shared" si="103"/>
        <v>2</v>
      </c>
    </row>
    <row r="502" spans="1:22" x14ac:dyDescent="0.25">
      <c r="A502" t="str">
        <f>IF(games!$A502="","",games!$A502)</f>
        <v>Necrosmith 2</v>
      </c>
      <c r="B502">
        <f>IF($A502="","",games!$B502)</f>
        <v>2024</v>
      </c>
      <c r="C502" t="str">
        <f>IF($A502="","",games!$C502)</f>
        <v>Action</v>
      </c>
      <c r="D502">
        <f>IF($A502="","",COUNTIF(connections!$A$2:$A$1496,$A502)+COUNTIF(connections!$B$2:$B$1496,$A502))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IF(connections!$A501="","",IFERROR(INDEX(games!$B$2:$B$950,MATCH(connections!$A501,games!$A$2:$A$950,0)),""))</f>
        <v>2013</v>
      </c>
      <c r="U502">
        <f>IF(connections!$A501="","",IFERROR(INDEX(games!$B$2:$B$950,MATCH(connections!$B501,games!$A$2:$A$950,0)),""))</f>
        <v>2020</v>
      </c>
      <c r="V502">
        <f t="shared" si="103"/>
        <v>7</v>
      </c>
    </row>
    <row r="503" spans="1:22" x14ac:dyDescent="0.25">
      <c r="A503" t="str">
        <f>IF(games!$A503="","",games!$A503)</f>
        <v>Neon Abyss</v>
      </c>
      <c r="B503">
        <f>IF($A503="","",games!$B503)</f>
        <v>2019</v>
      </c>
      <c r="C503" t="str">
        <f>IF($A503="","",games!$C503)</f>
        <v>Action</v>
      </c>
      <c r="D503">
        <f>IF($A503="","",COUNTIF(connections!$A$2:$A$1496,$A503)+COUNTIF(connections!$B$2:$B$1496,$A503))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IF(connections!$A502="","",IFERROR(INDEX(games!$B$2:$B$950,MATCH(connections!$A502,games!$A$2:$A$950,0)),""))</f>
        <v>1999</v>
      </c>
      <c r="U503">
        <f>IF(connections!$A502="","",IFERROR(INDEX(games!$B$2:$B$950,MATCH(connections!$B502,games!$A$2:$A$950,0)),""))</f>
        <v>2010</v>
      </c>
      <c r="V503">
        <f t="shared" si="103"/>
        <v>11</v>
      </c>
    </row>
    <row r="504" spans="1:22" x14ac:dyDescent="0.25">
      <c r="A504" t="str">
        <f>IF(games!$A504="","",games!$A504)</f>
        <v>Neon Abyss 2</v>
      </c>
      <c r="B504">
        <f>IF($A504="","",games!$B504)</f>
        <v>2025</v>
      </c>
      <c r="C504" t="str">
        <f>IF($A504="","",games!$C504)</f>
        <v>Action</v>
      </c>
      <c r="D504">
        <f>IF($A504="","",COUNTIF(connections!$A$2:$A$1496,$A504)+COUNTIF(connections!$B$2:$B$1496,$A504))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IF(connections!$A503="","",IFERROR(INDEX(games!$B$2:$B$950,MATCH(connections!$A503,games!$A$2:$A$950,0)),""))</f>
        <v>2011</v>
      </c>
      <c r="U504">
        <f>IF(connections!$A503="","",IFERROR(INDEX(games!$B$2:$B$950,MATCH(connections!$B503,games!$A$2:$A$950,0)),""))</f>
        <v>2014</v>
      </c>
      <c r="V504">
        <f t="shared" si="103"/>
        <v>3</v>
      </c>
    </row>
    <row r="505" spans="1:22" x14ac:dyDescent="0.25">
      <c r="A505" t="str">
        <f>IF(games!$A505="","",games!$A505)</f>
        <v>Neophyte</v>
      </c>
      <c r="B505">
        <f>IF($A505="","",games!$B505)</f>
        <v>2022</v>
      </c>
      <c r="C505" t="str">
        <f>IF($A505="","",games!$C505)</f>
        <v>Action</v>
      </c>
      <c r="D505">
        <f>IF($A505="","",COUNTIF(connections!$A$2:$A$1496,$A505)+COUNTIF(connections!$B$2:$B$1496,$A505))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IF(connections!$A504="","",IFERROR(INDEX(games!$B$2:$B$950,MATCH(connections!$A504,games!$A$2:$A$950,0)),""))</f>
        <v>2011</v>
      </c>
      <c r="U505">
        <f>IF(connections!$A504="","",IFERROR(INDEX(games!$B$2:$B$950,MATCH(connections!$B504,games!$A$2:$A$950,0)),""))</f>
        <v>2014</v>
      </c>
      <c r="V505">
        <f t="shared" si="103"/>
        <v>3</v>
      </c>
    </row>
    <row r="506" spans="1:22" x14ac:dyDescent="0.25">
      <c r="A506" t="str">
        <f>IF(games!$A506="","",games!$A506)</f>
        <v>NetHack</v>
      </c>
      <c r="B506">
        <f>IF($A506="","",games!$B506)</f>
        <v>1987</v>
      </c>
      <c r="C506" t="str">
        <f>IF($A506="","",games!$C506)</f>
        <v>Traditional</v>
      </c>
      <c r="D506">
        <f>IF($A506="","",COUNTIF(connections!$A$2:$A$1496,$A506)+COUNTIF(connections!$B$2:$B$1496,$A506))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IF(connections!$A505="","",IFERROR(INDEX(games!$B$2:$B$950,MATCH(connections!$A505,games!$A$2:$A$950,0)),""))</f>
        <v>2018</v>
      </c>
      <c r="U506">
        <f>IF(connections!$A505="","",IFERROR(INDEX(games!$B$2:$B$950,MATCH(connections!$B505,games!$A$2:$A$950,0)),""))</f>
        <v>2024</v>
      </c>
      <c r="V506">
        <f t="shared" si="103"/>
        <v>6</v>
      </c>
    </row>
    <row r="507" spans="1:22" x14ac:dyDescent="0.25">
      <c r="A507" t="str">
        <f>IF(games!$A507="","",games!$A507)</f>
        <v>Netherworld Covenant</v>
      </c>
      <c r="B507">
        <f>IF($A507="","",games!$B507)</f>
        <v>2025</v>
      </c>
      <c r="C507" t="str">
        <f>IF($A507="","",games!$C507)</f>
        <v>Action</v>
      </c>
      <c r="D507">
        <f>IF($A507="","",COUNTIF(connections!$A$2:$A$1496,$A507)+COUNTIF(connections!$B$2:$B$1496,$A507))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IF(connections!$A506="","",IFERROR(INDEX(games!$B$2:$B$950,MATCH(connections!$A506,games!$A$2:$A$950,0)),""))</f>
        <v>2016</v>
      </c>
      <c r="U507">
        <f>IF(connections!$A506="","",IFERROR(INDEX(games!$B$2:$B$950,MATCH(connections!$B506,games!$A$2:$A$950,0)),""))</f>
        <v>2024</v>
      </c>
      <c r="V507">
        <f t="shared" si="103"/>
        <v>8</v>
      </c>
    </row>
    <row r="508" spans="1:22" x14ac:dyDescent="0.25">
      <c r="A508" t="str">
        <f>IF(games!$A508="","",games!$A508)</f>
        <v>Nigate Tale</v>
      </c>
      <c r="B508">
        <f>IF($A508="","",games!$B508)</f>
        <v>2021</v>
      </c>
      <c r="C508" t="str">
        <f>IF($A508="","",games!$C508)</f>
        <v>Action</v>
      </c>
      <c r="D508">
        <f>IF($A508="","",COUNTIF(connections!$A$2:$A$1496,$A508)+COUNTIF(connections!$B$2:$B$1496,$A508))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IF(connections!$A507="","",IFERROR(INDEX(games!$B$2:$B$950,MATCH(connections!$A507,games!$A$2:$A$950,0)),""))</f>
        <v>2020</v>
      </c>
      <c r="U508">
        <f>IF(connections!$A507="","",IFERROR(INDEX(games!$B$2:$B$950,MATCH(connections!$B507,games!$A$2:$A$950,0)),""))</f>
        <v>2024</v>
      </c>
      <c r="V508">
        <f t="shared" si="103"/>
        <v>4</v>
      </c>
    </row>
    <row r="509" spans="1:22" x14ac:dyDescent="0.25">
      <c r="A509" t="str">
        <f>IF(games!$A509="","",games!$A509)</f>
        <v>Night Swarm</v>
      </c>
      <c r="B509">
        <f>IF($A509="","",games!$B509)</f>
        <v>2025</v>
      </c>
      <c r="C509" t="str">
        <f>IF($A509="","",games!$C509)</f>
        <v>Action</v>
      </c>
      <c r="D509">
        <f>IF($A509="","",COUNTIF(connections!$A$2:$A$1496,$A509)+COUNTIF(connections!$B$2:$B$1496,$A509))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IF(connections!$A508="","",IFERROR(INDEX(games!$B$2:$B$950,MATCH(connections!$A508,games!$A$2:$A$950,0)),""))</f>
        <v>2023</v>
      </c>
      <c r="U509">
        <f>IF(connections!$A508="","",IFERROR(INDEX(games!$B$2:$B$950,MATCH(connections!$B508,games!$A$2:$A$950,0)),""))</f>
        <v>2026</v>
      </c>
      <c r="V509">
        <f t="shared" si="103"/>
        <v>3</v>
      </c>
    </row>
    <row r="510" spans="1:22" x14ac:dyDescent="0.25">
      <c r="A510" t="str">
        <f>IF(games!$A510="","",games!$A510)</f>
        <v>Nimrods</v>
      </c>
      <c r="B510">
        <f>IF($A510="","",games!$B510)</f>
        <v>2024</v>
      </c>
      <c r="C510" t="str">
        <f>IF($A510="","",games!$C510)</f>
        <v>Action</v>
      </c>
      <c r="D510">
        <f>IF($A510="","",COUNTIF(connections!$A$2:$A$1496,$A510)+COUNTIF(connections!$B$2:$B$1496,$A510))</f>
        <v>2</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IF(connections!$A509="","",IFERROR(INDEX(games!$B$2:$B$950,MATCH(connections!$A509,games!$A$2:$A$950,0)),""))</f>
        <v>2022</v>
      </c>
      <c r="U510">
        <f>IF(connections!$A509="","",IFERROR(INDEX(games!$B$2:$B$950,MATCH(connections!$B509,games!$A$2:$A$950,0)),""))</f>
        <v>2025</v>
      </c>
      <c r="V510">
        <f t="shared" si="103"/>
        <v>3</v>
      </c>
    </row>
    <row r="511" spans="1:22" x14ac:dyDescent="0.25">
      <c r="A511" t="str">
        <f>IF(games!$A511="","",games!$A511)</f>
        <v>Node Crown</v>
      </c>
      <c r="B511">
        <f>IF($A511="","",games!$B511)</f>
        <v>2026</v>
      </c>
      <c r="C511" t="str">
        <f>IF($A511="","",games!$C511)</f>
        <v>Deckbuilder</v>
      </c>
      <c r="D511">
        <f>IF($A511="","",COUNTIF(connections!$A$2:$A$1496,$A511)+COUNTIF(connections!$B$2:$B$1496,$A511))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IF(connections!$A510="","",IFERROR(INDEX(games!$B$2:$B$950,MATCH(connections!$A510,games!$A$2:$A$950,0)),""))</f>
        <v>2019</v>
      </c>
      <c r="U511">
        <f>IF(connections!$A510="","",IFERROR(INDEX(games!$B$2:$B$950,MATCH(connections!$B510,games!$A$2:$A$950,0)),""))</f>
        <v>2025</v>
      </c>
      <c r="V511">
        <f t="shared" si="103"/>
        <v>6</v>
      </c>
    </row>
    <row r="512" spans="1:22" x14ac:dyDescent="0.25">
      <c r="A512" t="str">
        <f>IF(games!$A512="","",games!$A512)</f>
        <v>Node Farm</v>
      </c>
      <c r="B512">
        <f>IF($A512="","",games!$B512)</f>
        <v>2024</v>
      </c>
      <c r="C512" t="str">
        <f>IF($A512="","",games!$C512)</f>
        <v>Strategy</v>
      </c>
      <c r="D512">
        <f>IF($A512="","",COUNTIF(connections!$A$2:$A$1496,$A512)+COUNTIF(connections!$B$2:$B$1496,$A512))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IF(connections!$A511="","",IFERROR(INDEX(games!$B$2:$B$950,MATCH(connections!$A511,games!$A$2:$A$950,0)),""))</f>
        <v>2020</v>
      </c>
      <c r="U512">
        <f>IF(connections!$A511="","",IFERROR(INDEX(games!$B$2:$B$950,MATCH(connections!$B511,games!$A$2:$A$950,0)),""))</f>
        <v>2024</v>
      </c>
      <c r="V512">
        <f t="shared" si="103"/>
        <v>4</v>
      </c>
    </row>
    <row r="513" spans="1:22" x14ac:dyDescent="0.25">
      <c r="A513" t="str">
        <f>IF(games!$A513="","",games!$A513)</f>
        <v>Noita</v>
      </c>
      <c r="B513">
        <f>IF($A513="","",games!$B513)</f>
        <v>2019</v>
      </c>
      <c r="C513" t="str">
        <f>IF($A513="","",games!$C513)</f>
        <v>Action</v>
      </c>
      <c r="D513">
        <f>IF($A513="","",COUNTIF(connections!$A$2:$A$1496,$A513)+COUNTIF(connections!$B$2:$B$1496,$A513))</f>
        <v>9</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9.0005129999999998</v>
      </c>
      <c r="P513" t="str">
        <f>IF(OR($A513="",games!$H513=""),"",games!$H513)</f>
        <v>Yes</v>
      </c>
      <c r="Q513">
        <f t="shared" si="102"/>
        <v>9.0005129999999998</v>
      </c>
      <c r="T513">
        <f>IF(connections!$A512="","",IFERROR(INDEX(games!$B$2:$B$950,MATCH(connections!$A512,games!$A$2:$A$950,0)),""))</f>
        <v>1994</v>
      </c>
      <c r="U513">
        <f>IF(connections!$A512="","",IFERROR(INDEX(games!$B$2:$B$950,MATCH(connections!$B512,games!$A$2:$A$950,0)),""))</f>
        <v>2002</v>
      </c>
      <c r="V513">
        <f t="shared" si="103"/>
        <v>8</v>
      </c>
    </row>
    <row r="514" spans="1:22" x14ac:dyDescent="0.25">
      <c r="A514" t="str">
        <f>IF(games!$A514="","",games!$A514)</f>
        <v>Nomad Survival</v>
      </c>
      <c r="B514">
        <f>IF($A514="","",games!$B514)</f>
        <v>2022</v>
      </c>
      <c r="C514" t="str">
        <f>IF($A514="","",games!$C514)</f>
        <v>Action</v>
      </c>
      <c r="D514">
        <f>IF($A514="","",COUNTIF(connections!$A$2:$A$1496,$A514)+COUNTIF(connections!$B$2:$B$1496,$A514))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IF(connections!$A513="","",IFERROR(INDEX(games!$B$2:$B$950,MATCH(connections!$A513,games!$A$2:$A$950,0)),""))</f>
        <v>1984</v>
      </c>
      <c r="U514">
        <f>IF(connections!$A513="","",IFERROR(INDEX(games!$B$2:$B$950,MATCH(connections!$B513,games!$A$2:$A$950,0)),""))</f>
        <v>2002</v>
      </c>
      <c r="V514">
        <f t="shared" ref="V514:V577" si="116">IF(OR($T514="",$U514=""),"",$U514-$T514)</f>
        <v>18</v>
      </c>
    </row>
    <row r="515" spans="1:22" x14ac:dyDescent="0.25">
      <c r="A515" t="str">
        <f>IF(games!$A515="","",games!$A515)</f>
        <v>Noobs Are Coming</v>
      </c>
      <c r="B515">
        <f>IF($A515="","",games!$B515)</f>
        <v>2025</v>
      </c>
      <c r="C515" t="str">
        <f>IF($A515="","",games!$C515)</f>
        <v>Action</v>
      </c>
      <c r="D515">
        <f>IF($A515="","",COUNTIF(connections!$A$2:$A$1496,$A515)+COUNTIF(connections!$B$2:$B$1496,$A515))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2002</v>
      </c>
      <c r="U515">
        <f>IF(connections!$A514="","",IFERROR(INDEX(games!$B$2:$B$950,MATCH(connections!$B514,games!$A$2:$A$950,0)),""))</f>
        <v>2007</v>
      </c>
      <c r="V515">
        <f t="shared" si="116"/>
        <v>5</v>
      </c>
    </row>
    <row r="516" spans="1:22" x14ac:dyDescent="0.25">
      <c r="A516" t="str">
        <f>IF(games!$A516="","",games!$A516)</f>
        <v>Noobs Want to Live</v>
      </c>
      <c r="B516">
        <f>IF($A516="","",games!$B516)</f>
        <v>2023</v>
      </c>
      <c r="C516" t="str">
        <f>IF($A516="","",games!$C516)</f>
        <v>Action</v>
      </c>
      <c r="D516">
        <f>IF($A516="","",COUNTIF(connections!$A$2:$A$1496,$A516)+COUNTIF(connections!$B$2:$B$1496,$A516))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2022</v>
      </c>
      <c r="V516">
        <f t="shared" si="116"/>
        <v>28</v>
      </c>
    </row>
    <row r="517" spans="1:22" x14ac:dyDescent="0.25">
      <c r="A517" t="str">
        <f>IF(games!$A517="","",games!$A517)</f>
        <v>Nordhold</v>
      </c>
      <c r="B517">
        <f>IF($A517="","",games!$B517)</f>
        <v>2025</v>
      </c>
      <c r="C517" t="str">
        <f>IF($A517="","",games!$C517)</f>
        <v>Strategy</v>
      </c>
      <c r="D517">
        <f>IF($A517="","",COUNTIF(connections!$A$2:$A$1496,$A517)+COUNTIF(connections!$B$2:$B$1496,$A517))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IF(connections!$A516="","",IFERROR(INDEX(games!$B$2:$B$950,MATCH(connections!$A516,games!$A$2:$A$950,0)),""))</f>
        <v>2007</v>
      </c>
      <c r="U517">
        <f>IF(connections!$A516="","",IFERROR(INDEX(games!$B$2:$B$950,MATCH(connections!$B516,games!$A$2:$A$950,0)),""))</f>
        <v>2022</v>
      </c>
      <c r="V517">
        <f t="shared" si="116"/>
        <v>15</v>
      </c>
    </row>
    <row r="518" spans="1:22" x14ac:dyDescent="0.25">
      <c r="A518" t="str">
        <f>IF(games!$A518="","",games!$A518)</f>
        <v>Nordic Ashes: Survivors of Ragnarok</v>
      </c>
      <c r="B518">
        <f>IF($A518="","",games!$B518)</f>
        <v>2022</v>
      </c>
      <c r="C518" t="str">
        <f>IF($A518="","",games!$C518)</f>
        <v>Action</v>
      </c>
      <c r="D518">
        <f>IF($A518="","",COUNTIF(connections!$A$2:$A$1496,$A518)+COUNTIF(connections!$B$2:$B$1496,$A518))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IF(connections!$A517="","",IFERROR(INDEX(games!$B$2:$B$950,MATCH(connections!$A517,games!$A$2:$A$950,0)),""))</f>
        <v>1984</v>
      </c>
      <c r="U518">
        <f>IF(connections!$A517="","",IFERROR(INDEX(games!$B$2:$B$950,MATCH(connections!$B517,games!$A$2:$A$950,0)),""))</f>
        <v>2022</v>
      </c>
      <c r="V518">
        <f t="shared" si="116"/>
        <v>38</v>
      </c>
    </row>
    <row r="519" spans="1:22" x14ac:dyDescent="0.25">
      <c r="A519" t="str">
        <f>IF(games!$A519="","",games!$A519)</f>
        <v>No-Skin</v>
      </c>
      <c r="B519">
        <f>IF($A519="","",games!$B519)</f>
        <v>2025</v>
      </c>
      <c r="C519" t="str">
        <f>IF($A519="","",games!$C519)</f>
        <v>Strategy</v>
      </c>
      <c r="D519">
        <f>IF($A519="","",COUNTIF(connections!$A$2:$A$1496,$A519)+COUNTIF(connections!$B$2:$B$1496,$A519))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IF(connections!$A518="","",IFERROR(INDEX(games!$B$2:$B$950,MATCH(connections!$A518,games!$A$2:$A$950,0)),""))</f>
        <v>2021</v>
      </c>
      <c r="U519">
        <f>IF(connections!$A518="","",IFERROR(INDEX(games!$B$2:$B$950,MATCH(connections!$B518,games!$A$2:$A$950,0)),""))</f>
        <v>2024</v>
      </c>
      <c r="V519">
        <f t="shared" si="116"/>
        <v>3</v>
      </c>
    </row>
    <row r="520" spans="1:22" x14ac:dyDescent="0.25">
      <c r="A520" t="str">
        <f>IF(games!$A520="","",games!$A520)</f>
        <v>Nova Drift</v>
      </c>
      <c r="B520">
        <f>IF($A520="","",games!$B520)</f>
        <v>2019</v>
      </c>
      <c r="C520" t="str">
        <f>IF($A520="","",games!$C520)</f>
        <v>Action</v>
      </c>
      <c r="D520">
        <f>IF($A520="","",COUNTIF(connections!$A$2:$A$1496,$A520)+COUNTIF(connections!$B$2:$B$1496,$A520))</f>
        <v>3</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IF(connections!$A519="","",IFERROR(INDEX(games!$B$2:$B$950,MATCH(connections!$A519,games!$A$2:$A$950,0)),""))</f>
        <v>2024</v>
      </c>
      <c r="U520">
        <f>IF(connections!$A519="","",IFERROR(INDEX(games!$B$2:$B$950,MATCH(connections!$B519,games!$A$2:$A$950,0)),""))</f>
        <v>2026</v>
      </c>
      <c r="V520">
        <f t="shared" si="116"/>
        <v>2</v>
      </c>
    </row>
    <row r="521" spans="1:22" x14ac:dyDescent="0.25">
      <c r="A521" t="str">
        <f>IF(games!$A521="","",games!$A521)</f>
        <v>Nowhere Prophet</v>
      </c>
      <c r="B521">
        <f>IF($A521="","",games!$B521)</f>
        <v>2019</v>
      </c>
      <c r="C521" t="str">
        <f>IF($A521="","",games!$C521)</f>
        <v>Deckbuilder</v>
      </c>
      <c r="D521">
        <f>IF($A521="","",COUNTIF(connections!$A$2:$A$1496,$A521)+COUNTIF(connections!$B$2:$B$1496,$A521))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IF(connections!$A520="","",IFERROR(INDEX(games!$B$2:$B$950,MATCH(connections!$A520,games!$A$2:$A$950,0)),""))</f>
        <v>2020</v>
      </c>
      <c r="U521">
        <f>IF(connections!$A520="","",IFERROR(INDEX(games!$B$2:$B$950,MATCH(connections!$B520,games!$A$2:$A$950,0)),""))</f>
        <v>2023</v>
      </c>
      <c r="V521">
        <f t="shared" si="116"/>
        <v>3</v>
      </c>
    </row>
    <row r="522" spans="1:22" x14ac:dyDescent="0.25">
      <c r="A522" t="str">
        <f>IF(games!$A522="","",games!$A522)</f>
        <v>Nubby's Number Factory</v>
      </c>
      <c r="B522">
        <f>IF($A522="","",games!$B522)</f>
        <v>2024</v>
      </c>
      <c r="C522" t="str">
        <f>IF($A522="","",games!$C522)</f>
        <v>Strategy</v>
      </c>
      <c r="D522">
        <f>IF($A522="","",COUNTIF(connections!$A$2:$A$1496,$A522)+COUNTIF(connections!$B$2:$B$1496,$A522))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IF(connections!$A521="","",IFERROR(INDEX(games!$B$2:$B$950,MATCH(connections!$A521,games!$A$2:$A$950,0)),""))</f>
        <v>2023</v>
      </c>
      <c r="U522">
        <f>IF(connections!$A521="","",IFERROR(INDEX(games!$B$2:$B$950,MATCH(connections!$B521,games!$A$2:$A$950,0)),""))</f>
        <v>2024</v>
      </c>
      <c r="V522">
        <f t="shared" si="116"/>
        <v>1</v>
      </c>
    </row>
    <row r="523" spans="1:22" x14ac:dyDescent="0.25">
      <c r="A523" t="str">
        <f>IF(games!$A523="","",games!$A523)</f>
        <v>Nuclear Throne</v>
      </c>
      <c r="B523">
        <f>IF($A523="","",games!$B523)</f>
        <v>2015</v>
      </c>
      <c r="C523" t="str">
        <f>IF($A523="","",games!$C523)</f>
        <v>Action</v>
      </c>
      <c r="D523">
        <f>IF($A523="","",COUNTIF(connections!$A$2:$A$1496,$A523)+COUNTIF(connections!$B$2:$B$1496,$A523))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IF(connections!$A522="","",IFERROR(INDEX(games!$B$2:$B$950,MATCH(connections!$A522,games!$A$2:$A$950,0)),""))</f>
        <v>2021</v>
      </c>
      <c r="U523">
        <f>IF(connections!$A522="","",IFERROR(INDEX(games!$B$2:$B$950,MATCH(connections!$B522,games!$A$2:$A$950,0)),""))</f>
        <v>2024</v>
      </c>
      <c r="V523">
        <f t="shared" si="116"/>
        <v>3</v>
      </c>
    </row>
    <row r="524" spans="1:22" x14ac:dyDescent="0.25">
      <c r="A524" t="str">
        <f>IF(games!$A524="","",games!$A524)</f>
        <v>Nunholy</v>
      </c>
      <c r="B524">
        <f>IF($A524="","",games!$B524)</f>
        <v>2025</v>
      </c>
      <c r="C524" t="str">
        <f>IF($A524="","",games!$C524)</f>
        <v>Action</v>
      </c>
      <c r="D524">
        <f>IF($A524="","",COUNTIF(connections!$A$2:$A$1496,$A524)+COUNTIF(connections!$B$2:$B$1496,$A524))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IF(connections!$A523="","",IFERROR(INDEX(games!$B$2:$B$950,MATCH(connections!$A523,games!$A$2:$A$950,0)),""))</f>
        <v>1987</v>
      </c>
      <c r="U524">
        <f>IF(connections!$A523="","",IFERROR(INDEX(games!$B$2:$B$950,MATCH(connections!$B523,games!$A$2:$A$950,0)),""))</f>
        <v>2020</v>
      </c>
      <c r="V524">
        <f t="shared" si="116"/>
        <v>33</v>
      </c>
    </row>
    <row r="525" spans="1:22" x14ac:dyDescent="0.25">
      <c r="A525" t="str">
        <f>IF(games!$A525="","",games!$A525)</f>
        <v>Oaken Tower</v>
      </c>
      <c r="B525">
        <f>IF($A525="","",games!$B525)</f>
        <v>2026</v>
      </c>
      <c r="C525" t="str">
        <f>IF($A525="","",games!$C525)</f>
        <v>Strategy</v>
      </c>
      <c r="D525">
        <f>IF($A525="","",COUNTIF(connections!$A$2:$A$1496,$A525)+COUNTIF(connections!$B$2:$B$1496,$A525))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IF(connections!$A524="","",IFERROR(INDEX(games!$B$2:$B$950,MATCH(connections!$A524,games!$A$2:$A$950,0)),""))</f>
        <v>2022</v>
      </c>
      <c r="U525">
        <f>IF(connections!$A524="","",IFERROR(INDEX(games!$B$2:$B$950,MATCH(connections!$B524,games!$A$2:$A$950,0)),""))</f>
        <v>2025</v>
      </c>
      <c r="V525">
        <f t="shared" si="116"/>
        <v>3</v>
      </c>
    </row>
    <row r="526" spans="1:22" x14ac:dyDescent="0.25">
      <c r="A526" t="str">
        <f>IF(games!$A526="","",games!$A526)</f>
        <v>Oblivion Override</v>
      </c>
      <c r="B526">
        <f>IF($A526="","",games!$B526)</f>
        <v>2023</v>
      </c>
      <c r="C526" t="str">
        <f>IF($A526="","",games!$C526)</f>
        <v>Action</v>
      </c>
      <c r="D526">
        <f>IF($A526="","",COUNTIF(connections!$A$2:$A$1496,$A526)+COUNTIF(connections!$B$2:$B$1496,$A526))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IF(connections!$A525="","",IFERROR(INDEX(games!$B$2:$B$950,MATCH(connections!$A525,games!$A$2:$A$950,0)),""))</f>
        <v>2021</v>
      </c>
      <c r="U526">
        <f>IF(connections!$A525="","",IFERROR(INDEX(games!$B$2:$B$950,MATCH(connections!$B525,games!$A$2:$A$950,0)),""))</f>
        <v>2025</v>
      </c>
      <c r="V526">
        <f t="shared" si="116"/>
        <v>4</v>
      </c>
    </row>
    <row r="527" spans="1:22" x14ac:dyDescent="0.25">
      <c r="A527" t="str">
        <f>IF(games!$A527="","",games!$A527)</f>
        <v>Obsidian Prince</v>
      </c>
      <c r="B527">
        <f>IF($A527="","",games!$B527)</f>
        <v>2021</v>
      </c>
      <c r="C527" t="str">
        <f>IF($A527="","",games!$C527)</f>
        <v>Deckbuilder</v>
      </c>
      <c r="D527">
        <f>IF($A527="","",COUNTIF(connections!$A$2:$A$1496,$A527)+COUNTIF(connections!$B$2:$B$1496,$A527))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IF(connections!$A526="","",IFERROR(INDEX(games!$B$2:$B$950,MATCH(connections!$A526,games!$A$2:$A$950,0)),""))</f>
        <v>2022</v>
      </c>
      <c r="U527">
        <f>IF(connections!$A526="","",IFERROR(INDEX(games!$B$2:$B$950,MATCH(connections!$B526,games!$A$2:$A$950,0)),""))</f>
        <v>2025</v>
      </c>
      <c r="V527">
        <f t="shared" si="116"/>
        <v>3</v>
      </c>
    </row>
    <row r="528" spans="1:22" x14ac:dyDescent="0.25">
      <c r="A528" t="str">
        <f>IF(games!$A528="","",games!$A528)</f>
        <v>Octogeddon</v>
      </c>
      <c r="B528">
        <f>IF($A528="","",games!$B528)</f>
        <v>2018</v>
      </c>
      <c r="C528" t="str">
        <f>IF($A528="","",games!$C528)</f>
        <v>Action</v>
      </c>
      <c r="D528">
        <f>IF($A528="","",COUNTIF(connections!$A$2:$A$1496,$A528)+COUNTIF(connections!$B$2:$B$1496,$A528))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IF(connections!$A527="","",IFERROR(INDEX(games!$B$2:$B$950,MATCH(connections!$A527,games!$A$2:$A$950,0)),""))</f>
        <v>2022</v>
      </c>
      <c r="U528">
        <f>IF(connections!$A527="","",IFERROR(INDEX(games!$B$2:$B$950,MATCH(connections!$B527,games!$A$2:$A$950,0)),""))</f>
        <v>2023</v>
      </c>
      <c r="V528">
        <f t="shared" si="116"/>
        <v>1</v>
      </c>
    </row>
    <row r="529" spans="1:22" x14ac:dyDescent="0.25">
      <c r="A529" t="str">
        <f>IF(games!$A529="","",games!$A529)</f>
        <v>Oddcore</v>
      </c>
      <c r="B529">
        <f>IF($A529="","",games!$B529)</f>
        <v>2026</v>
      </c>
      <c r="C529" t="str">
        <f>IF($A529="","",games!$C529)</f>
        <v>Action</v>
      </c>
      <c r="D529">
        <f>IF($A529="","",COUNTIF(connections!$A$2:$A$1496,$A529)+COUNTIF(connections!$B$2:$B$1496,$A529))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IF(connections!$A528="","",IFERROR(INDEX(games!$B$2:$B$950,MATCH(connections!$A528,games!$A$2:$A$950,0)),""))</f>
        <v>1996</v>
      </c>
      <c r="U529">
        <f>IF(connections!$A528="","",IFERROR(INDEX(games!$B$2:$B$950,MATCH(connections!$B528,games!$A$2:$A$950,0)),""))</f>
        <v>2023</v>
      </c>
      <c r="V529">
        <f t="shared" si="116"/>
        <v>27</v>
      </c>
    </row>
    <row r="530" spans="1:22" x14ac:dyDescent="0.25">
      <c r="A530" t="str">
        <f>IF(games!$A530="","",games!$A530)</f>
        <v>Odinfall</v>
      </c>
      <c r="B530">
        <f>IF($A530="","",games!$B530)</f>
        <v>2025</v>
      </c>
      <c r="C530" t="str">
        <f>IF($A530="","",games!$C530)</f>
        <v>Action</v>
      </c>
      <c r="D530">
        <f>IF($A530="","",COUNTIF(connections!$A$2:$A$1496,$A530)+COUNTIF(connections!$B$2:$B$1496,$A530))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IF(connections!$A529="","",IFERROR(INDEX(games!$B$2:$B$950,MATCH(connections!$A529,games!$A$2:$A$950,0)),""))</f>
        <v>2021</v>
      </c>
      <c r="U530">
        <f>IF(connections!$A529="","",IFERROR(INDEX(games!$B$2:$B$950,MATCH(connections!$B529,games!$A$2:$A$950,0)),""))</f>
        <v>2023</v>
      </c>
      <c r="V530">
        <f t="shared" si="116"/>
        <v>2</v>
      </c>
    </row>
    <row r="531" spans="1:22" x14ac:dyDescent="0.25">
      <c r="A531" t="str">
        <f>IF(games!$A531="","",games!$A531)</f>
        <v>Ogre Chambers 2222</v>
      </c>
      <c r="B531">
        <f>IF($A531="","",games!$B531)</f>
        <v>2026</v>
      </c>
      <c r="C531" t="str">
        <f>IF($A531="","",games!$C531)</f>
        <v>Action</v>
      </c>
      <c r="D531">
        <f>IF($A531="","",COUNTIF(connections!$A$2:$A$1496,$A531)+COUNTIF(connections!$B$2:$B$1496,$A531))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IF(connections!$A530="","",IFERROR(INDEX(games!$B$2:$B$950,MATCH(connections!$A530,games!$A$2:$A$950,0)),""))</f>
        <v>2016</v>
      </c>
      <c r="U531">
        <f>IF(connections!$A530="","",IFERROR(INDEX(games!$B$2:$B$950,MATCH(connections!$B530,games!$A$2:$A$950,0)),""))</f>
        <v>2020</v>
      </c>
      <c r="V531">
        <f t="shared" si="116"/>
        <v>4</v>
      </c>
    </row>
    <row r="532" spans="1:22" x14ac:dyDescent="0.25">
      <c r="A532" t="str">
        <f>IF(games!$A532="","",games!$A532)</f>
        <v>Omega</v>
      </c>
      <c r="B532">
        <f>IF($A532="","",games!$B532)</f>
        <v>1987</v>
      </c>
      <c r="C532" t="str">
        <f>IF($A532="","",games!$C532)</f>
        <v>Traditional</v>
      </c>
      <c r="D532">
        <f>IF($A532="","",COUNTIF(connections!$A$2:$A$1496,$A532)+COUNTIF(connections!$B$2:$B$1496,$A532))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IF(connections!$A531="","",IFERROR(INDEX(games!$B$2:$B$950,MATCH(connections!$A531,games!$A$2:$A$950,0)),""))</f>
        <v>2019</v>
      </c>
      <c r="U532">
        <f>IF(connections!$A531="","",IFERROR(INDEX(games!$B$2:$B$950,MATCH(connections!$B531,games!$A$2:$A$950,0)),""))</f>
        <v>2020</v>
      </c>
      <c r="V532">
        <f t="shared" si="116"/>
        <v>1</v>
      </c>
    </row>
    <row r="533" spans="1:22" x14ac:dyDescent="0.25">
      <c r="A533" t="str">
        <f>IF(games!$A533="","",games!$A533)</f>
        <v>Omega Labyrinth</v>
      </c>
      <c r="B533">
        <f>IF($A533="","",games!$B533)</f>
        <v>2015</v>
      </c>
      <c r="C533" t="str">
        <f>IF($A533="","",games!$C533)</f>
        <v>Traditional</v>
      </c>
      <c r="D533">
        <f>IF($A533="","",COUNTIF(connections!$A$2:$A$1496,$A533)+COUNTIF(connections!$B$2:$B$1496,$A533))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IF(connections!$A532="","",IFERROR(INDEX(games!$B$2:$B$950,MATCH(connections!$A532,games!$A$2:$A$950,0)),""))</f>
        <v>2008</v>
      </c>
      <c r="U533">
        <f>IF(connections!$A532="","",IFERROR(INDEX(games!$B$2:$B$950,MATCH(connections!$B532,games!$A$2:$A$950,0)),""))</f>
        <v>2020</v>
      </c>
      <c r="V533">
        <f t="shared" si="116"/>
        <v>12</v>
      </c>
    </row>
    <row r="534" spans="1:22" x14ac:dyDescent="0.25">
      <c r="A534" t="str">
        <f>IF(games!$A534="","",games!$A534)</f>
        <v>Omega Labyrinth Life</v>
      </c>
      <c r="B534">
        <f>IF($A534="","",games!$B534)</f>
        <v>2019</v>
      </c>
      <c r="C534" t="str">
        <f>IF($A534="","",games!$C534)</f>
        <v>Traditional</v>
      </c>
      <c r="D534">
        <f>IF($A534="","",COUNTIF(connections!$A$2:$A$1496,$A534)+COUNTIF(connections!$B$2:$B$1496,$A534))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IF(connections!$A533="","",IFERROR(INDEX(games!$B$2:$B$950,MATCH(connections!$A533,games!$A$2:$A$950,0)),""))</f>
        <v>2011</v>
      </c>
      <c r="U534">
        <f>IF(connections!$A533="","",IFERROR(INDEX(games!$B$2:$B$950,MATCH(connections!$B533,games!$A$2:$A$950,0)),""))</f>
        <v>2020</v>
      </c>
      <c r="V534">
        <f t="shared" si="116"/>
        <v>9</v>
      </c>
    </row>
    <row r="535" spans="1:22" x14ac:dyDescent="0.25">
      <c r="A535" t="str">
        <f>IF(games!$A535="","",games!$A535)</f>
        <v>Omega Labyrinth Z</v>
      </c>
      <c r="B535">
        <f>IF($A535="","",games!$B535)</f>
        <v>2017</v>
      </c>
      <c r="C535" t="str">
        <f>IF($A535="","",games!$C535)</f>
        <v>Traditional</v>
      </c>
      <c r="D535">
        <f>IF($A535="","",COUNTIF(connections!$A$2:$A$1496,$A535)+COUNTIF(connections!$B$2:$B$1496,$A535))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IF(connections!$A534="","",IFERROR(INDEX(games!$B$2:$B$950,MATCH(connections!$A534,games!$A$2:$A$950,0)),""))</f>
        <v>2006</v>
      </c>
      <c r="U535">
        <f>IF(connections!$A534="","",IFERROR(INDEX(games!$B$2:$B$950,MATCH(connections!$B534,games!$A$2:$A$950,0)),""))</f>
        <v>2014</v>
      </c>
      <c r="V535">
        <f t="shared" si="116"/>
        <v>8</v>
      </c>
    </row>
    <row r="536" spans="1:22" x14ac:dyDescent="0.25">
      <c r="A536" t="str">
        <f>IF(games!$A536="","",games!$A536)</f>
        <v>Omelet You Cook</v>
      </c>
      <c r="B536">
        <f>IF($A536="","",games!$B536)</f>
        <v>2025</v>
      </c>
      <c r="C536" t="str">
        <f>IF($A536="","",games!$C536)</f>
        <v>Deckbuilder</v>
      </c>
      <c r="D536">
        <f>IF($A536="","",COUNTIF(connections!$A$2:$A$1496,$A536)+COUNTIF(connections!$B$2:$B$1496,$A536))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IF(connections!$A535="","",IFERROR(INDEX(games!$B$2:$B$950,MATCH(connections!$A535,games!$A$2:$A$950,0)),""))</f>
        <v>1980</v>
      </c>
      <c r="U536">
        <f>IF(connections!$A535="","",IFERROR(INDEX(games!$B$2:$B$950,MATCH(connections!$B535,games!$A$2:$A$950,0)),""))</f>
        <v>2020</v>
      </c>
      <c r="V536">
        <f t="shared" si="116"/>
        <v>40</v>
      </c>
    </row>
    <row r="537" spans="1:22" x14ac:dyDescent="0.25">
      <c r="A537" t="str">
        <f>IF(games!$A537="","",games!$A537)</f>
        <v>One Step From Eden</v>
      </c>
      <c r="B537">
        <f>IF($A537="","",games!$B537)</f>
        <v>2020</v>
      </c>
      <c r="C537" t="str">
        <f>IF($A537="","",games!$C537)</f>
        <v>Action</v>
      </c>
      <c r="D537">
        <f>IF($A537="","",COUNTIF(connections!$A$2:$A$1496,$A537)+COUNTIF(connections!$B$2:$B$1496,$A537))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IF(connections!$A536="","",IFERROR(INDEX(games!$B$2:$B$950,MATCH(connections!$A536,games!$A$2:$A$950,0)),""))</f>
        <v>2011</v>
      </c>
      <c r="U537">
        <f>IF(connections!$A536="","",IFERROR(INDEX(games!$B$2:$B$950,MATCH(connections!$B536,games!$A$2:$A$950,0)),""))</f>
        <v>2020</v>
      </c>
      <c r="V537">
        <f t="shared" si="116"/>
        <v>9</v>
      </c>
    </row>
    <row r="538" spans="1:22" x14ac:dyDescent="0.25">
      <c r="A538" t="str">
        <f>IF(games!$A538="","",games!$A538)</f>
        <v>One Way Heroics</v>
      </c>
      <c r="B538">
        <f>IF($A538="","",games!$B538)</f>
        <v>2014</v>
      </c>
      <c r="C538" t="str">
        <f>IF($A538="","",games!$C538)</f>
        <v>Traditional</v>
      </c>
      <c r="D538">
        <f>IF($A538="","",COUNTIF(connections!$A$2:$A$1496,$A538)+COUNTIF(connections!$B$2:$B$1496,$A538))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IF(connections!$A537="","",IFERROR(INDEX(games!$B$2:$B$950,MATCH(connections!$A537,games!$A$2:$A$950,0)),""))</f>
        <v>2017</v>
      </c>
      <c r="U538">
        <f>IF(connections!$A537="","",IFERROR(INDEX(games!$B$2:$B$950,MATCH(connections!$B537,games!$A$2:$A$950,0)),""))</f>
        <v>2022</v>
      </c>
      <c r="V538">
        <f t="shared" si="116"/>
        <v>5</v>
      </c>
    </row>
    <row r="539" spans="1:22" x14ac:dyDescent="0.25">
      <c r="A539" t="str">
        <f>IF(games!$A539="","",games!$A539)</f>
        <v>OneBit Adventure</v>
      </c>
      <c r="B539">
        <f>IF($A539="","",games!$B539)</f>
        <v>2019</v>
      </c>
      <c r="C539" t="str">
        <f>IF($A539="","",games!$C539)</f>
        <v>Traditional</v>
      </c>
      <c r="D539">
        <f>IF($A539="","",COUNTIF(connections!$A$2:$A$1496,$A539)+COUNTIF(connections!$B$2:$B$1496,$A539))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IF(connections!$A538="","",IFERROR(INDEX(games!$B$2:$B$950,MATCH(connections!$A538,games!$A$2:$A$950,0)),""))</f>
        <v>2015</v>
      </c>
      <c r="U539">
        <f>IF(connections!$A538="","",IFERROR(INDEX(games!$B$2:$B$950,MATCH(connections!$B538,games!$A$2:$A$950,0)),""))</f>
        <v>2016</v>
      </c>
      <c r="V539">
        <f t="shared" si="116"/>
        <v>1</v>
      </c>
    </row>
    <row r="540" spans="1:22" x14ac:dyDescent="0.25">
      <c r="A540" t="str">
        <f>IF(games!$A540="","",games!$A540)</f>
        <v>Order Automatica</v>
      </c>
      <c r="B540">
        <f>IF($A540="","",games!$B540)</f>
        <v>2026</v>
      </c>
      <c r="C540" t="str">
        <f>IF($A540="","",games!$C540)</f>
        <v>Deckbuilder</v>
      </c>
      <c r="D540">
        <f>IF($A540="","",COUNTIF(connections!$A$2:$A$1496,$A540)+COUNTIF(connections!$B$2:$B$1496,$A540))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IF(connections!$A539="","",IFERROR(INDEX(games!$B$2:$B$950,MATCH(connections!$A539,games!$A$2:$A$950,0)),""))</f>
        <v>2015</v>
      </c>
      <c r="U540">
        <f>IF(connections!$A539="","",IFERROR(INDEX(games!$B$2:$B$950,MATCH(connections!$B539,games!$A$2:$A$950,0)),""))</f>
        <v>2016</v>
      </c>
      <c r="V540">
        <f t="shared" si="116"/>
        <v>1</v>
      </c>
    </row>
    <row r="541" spans="1:22" x14ac:dyDescent="0.25">
      <c r="A541" t="str">
        <f>IF(games!$A541="","",games!$A541)</f>
        <v>OTXO</v>
      </c>
      <c r="B541">
        <f>IF($A541="","",games!$B541)</f>
        <v>2023</v>
      </c>
      <c r="C541" t="str">
        <f>IF($A541="","",games!$C541)</f>
        <v>Action</v>
      </c>
      <c r="D541">
        <f>IF($A541="","",COUNTIF(connections!$A$2:$A$1496,$A541)+COUNTIF(connections!$B$2:$B$1496,$A541))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IF(connections!$A540="","",IFERROR(INDEX(games!$B$2:$B$950,MATCH(connections!$A540,games!$A$2:$A$950,0)),""))</f>
        <v>2008</v>
      </c>
      <c r="U541">
        <f>IF(connections!$A540="","",IFERROR(INDEX(games!$B$2:$B$950,MATCH(connections!$B540,games!$A$2:$A$950,0)),""))</f>
        <v>2016</v>
      </c>
      <c r="V541">
        <f t="shared" si="116"/>
        <v>8</v>
      </c>
    </row>
    <row r="542" spans="1:22" x14ac:dyDescent="0.25">
      <c r="A542" t="str">
        <f>IF(games!$A542="","",games!$A542)</f>
        <v>Our Darker Purpose</v>
      </c>
      <c r="B542">
        <f>IF($A542="","",games!$B542)</f>
        <v>2014</v>
      </c>
      <c r="C542" t="str">
        <f>IF($A542="","",games!$C542)</f>
        <v>Action</v>
      </c>
      <c r="D542">
        <f>IF($A542="","",COUNTIF(connections!$A$2:$A$1496,$A542)+COUNTIF(connections!$B$2:$B$1496,$A542))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IF(connections!$A541="","",IFERROR(INDEX(games!$B$2:$B$950,MATCH(connections!$A541,games!$A$2:$A$950,0)),""))</f>
        <v>2013</v>
      </c>
      <c r="U542">
        <f>IF(connections!$A541="","",IFERROR(INDEX(games!$B$2:$B$950,MATCH(connections!$B541,games!$A$2:$A$950,0)),""))</f>
        <v>2016</v>
      </c>
      <c r="V542">
        <f t="shared" si="116"/>
        <v>3</v>
      </c>
    </row>
    <row r="543" spans="1:22" x14ac:dyDescent="0.25">
      <c r="A543" t="str">
        <f>IF(games!$A543="","",games!$A543)</f>
        <v>Overlooting</v>
      </c>
      <c r="B543">
        <f>IF($A543="","",games!$B543)</f>
        <v>2025</v>
      </c>
      <c r="C543" t="str">
        <f>IF($A543="","",games!$C543)</f>
        <v>Strategy</v>
      </c>
      <c r="D543">
        <f>IF($A543="","",COUNTIF(connections!$A$2:$A$1496,$A543)+COUNTIF(connections!$B$2:$B$1496,$A543))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IF(connections!$A542="","",IFERROR(INDEX(games!$B$2:$B$950,MATCH(connections!$A542,games!$A$2:$A$950,0)),""))</f>
        <v>2016</v>
      </c>
      <c r="U543">
        <f>IF(connections!$A542="","",IFERROR(INDEX(games!$B$2:$B$950,MATCH(connections!$B542,games!$A$2:$A$950,0)),""))</f>
        <v>2020</v>
      </c>
      <c r="V543">
        <f t="shared" si="116"/>
        <v>4</v>
      </c>
    </row>
    <row r="544" spans="1:22" x14ac:dyDescent="0.25">
      <c r="A544" t="str">
        <f>IF(games!$A544="","",games!$A544)</f>
        <v>Overworld</v>
      </c>
      <c r="B544">
        <f>IF($A544="","",games!$B544)</f>
        <v>2022</v>
      </c>
      <c r="C544" t="str">
        <f>IF($A544="","",games!$C544)</f>
        <v>Traditional</v>
      </c>
      <c r="D544">
        <f>IF($A544="","",COUNTIF(connections!$A$2:$A$1496,$A544)+COUNTIF(connections!$B$2:$B$1496,$A544))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IF(connections!$A543="","",IFERROR(INDEX(games!$B$2:$B$950,MATCH(connections!$A543,games!$A$2:$A$950,0)),""))</f>
        <v>2021</v>
      </c>
      <c r="U544">
        <f>IF(connections!$A543="","",IFERROR(INDEX(games!$B$2:$B$950,MATCH(connections!$B543,games!$A$2:$A$950,0)),""))</f>
        <v>2023</v>
      </c>
      <c r="V544">
        <f t="shared" si="116"/>
        <v>2</v>
      </c>
    </row>
    <row r="545" spans="1:22" x14ac:dyDescent="0.25">
      <c r="A545" t="str">
        <f>IF(games!$A545="","",games!$A545)</f>
        <v>Pairs &amp; Perils</v>
      </c>
      <c r="B545">
        <f>IF($A545="","",games!$B545)</f>
        <v>2025</v>
      </c>
      <c r="C545" t="str">
        <f>IF($A545="","",games!$C545)</f>
        <v>Deckbuilder</v>
      </c>
      <c r="D545">
        <f>IF($A545="","",COUNTIF(connections!$A$2:$A$1496,$A545)+COUNTIF(connections!$B$2:$B$1496,$A545))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IF(connections!$A544="","",IFERROR(INDEX(games!$B$2:$B$950,MATCH(connections!$A544,games!$A$2:$A$950,0)),""))</f>
        <v>2015</v>
      </c>
      <c r="U545">
        <f>IF(connections!$A544="","",IFERROR(INDEX(games!$B$2:$B$950,MATCH(connections!$B544,games!$A$2:$A$950,0)),""))</f>
        <v>2020</v>
      </c>
      <c r="V545">
        <f t="shared" si="116"/>
        <v>5</v>
      </c>
    </row>
    <row r="546" spans="1:22" x14ac:dyDescent="0.25">
      <c r="A546" t="str">
        <f>IF(games!$A546="","",games!$A546)</f>
        <v>Paper Animal Adventure</v>
      </c>
      <c r="B546">
        <f>IF($A546="","",games!$B546)</f>
        <v>2025</v>
      </c>
      <c r="C546" t="str">
        <f>IF($A546="","",games!$C546)</f>
        <v>Traditional</v>
      </c>
      <c r="D546">
        <f>IF($A546="","",COUNTIF(connections!$A$2:$A$1496,$A546)+COUNTIF(connections!$B$2:$B$1496,$A546))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IF(connections!$A545="","",IFERROR(INDEX(games!$B$2:$B$950,MATCH(connections!$A545,games!$A$2:$A$950,0)),""))</f>
        <v>1996</v>
      </c>
      <c r="U546">
        <f>IF(connections!$A545="","",IFERROR(INDEX(games!$B$2:$B$950,MATCH(connections!$B545,games!$A$2:$A$950,0)),""))</f>
        <v>2020</v>
      </c>
      <c r="V546">
        <f t="shared" si="116"/>
        <v>24</v>
      </c>
    </row>
    <row r="547" spans="1:22" x14ac:dyDescent="0.25">
      <c r="A547" t="str">
        <f>IF(games!$A547="","",games!$A547)</f>
        <v>Paper Planet</v>
      </c>
      <c r="B547">
        <f>IF($A547="","",games!$B547)</f>
        <v>2023</v>
      </c>
      <c r="C547" t="str">
        <f>IF($A547="","",games!$C547)</f>
        <v>Action</v>
      </c>
      <c r="D547">
        <f>IF($A547="","",COUNTIF(connections!$A$2:$A$1496,$A547)+COUNTIF(connections!$B$2:$B$1496,$A547))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IF(connections!$A546="","",IFERROR(INDEX(games!$B$2:$B$950,MATCH(connections!$A546,games!$A$2:$A$950,0)),""))</f>
        <v>2017</v>
      </c>
      <c r="U547">
        <f>IF(connections!$A546="","",IFERROR(INDEX(games!$B$2:$B$950,MATCH(connections!$B546,games!$A$2:$A$950,0)),""))</f>
        <v>2020</v>
      </c>
      <c r="V547">
        <f t="shared" si="116"/>
        <v>3</v>
      </c>
    </row>
    <row r="548" spans="1:22" x14ac:dyDescent="0.25">
      <c r="A548" t="str">
        <f>IF(games!$A548="","",games!$A548)</f>
        <v>Pass the Fear</v>
      </c>
      <c r="B548">
        <f>IF($A548="","",games!$B548)</f>
        <v>2026</v>
      </c>
      <c r="C548" t="str">
        <f>IF($A548="","",games!$C548)</f>
        <v>Action</v>
      </c>
      <c r="D548">
        <f>IF($A548="","",COUNTIF(connections!$A$2:$A$1496,$A548)+COUNTIF(connections!$B$2:$B$1496,$A548))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IF(connections!$A547="","",IFERROR(INDEX(games!$B$2:$B$950,MATCH(connections!$A547,games!$A$2:$A$950,0)),""))</f>
        <v>2021</v>
      </c>
      <c r="U548">
        <f>IF(connections!$A547="","",IFERROR(INDEX(games!$B$2:$B$950,MATCH(connections!$B547,games!$A$2:$A$950,0)),""))</f>
        <v>2023</v>
      </c>
      <c r="V548">
        <f t="shared" si="116"/>
        <v>2</v>
      </c>
    </row>
    <row r="549" spans="1:22" x14ac:dyDescent="0.25">
      <c r="A549" t="str">
        <f>IF(games!$A549="","",games!$A549)</f>
        <v>Passant: A Chess Roguelike</v>
      </c>
      <c r="B549">
        <f>IF($A549="","",games!$B549)</f>
        <v>2025</v>
      </c>
      <c r="C549" t="str">
        <f>IF($A549="","",games!$C549)</f>
        <v>Strategy</v>
      </c>
      <c r="D549">
        <f>IF($A549="","",COUNTIF(connections!$A$2:$A$1496,$A549)+COUNTIF(connections!$B$2:$B$1496,$A549))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IF(connections!$A548="","",IFERROR(INDEX(games!$B$2:$B$950,MATCH(connections!$A548,games!$A$2:$A$950,0)),""))</f>
        <v>2017</v>
      </c>
      <c r="U549">
        <f>IF(connections!$A548="","",IFERROR(INDEX(games!$B$2:$B$950,MATCH(connections!$B548,games!$A$2:$A$950,0)),""))</f>
        <v>2020</v>
      </c>
      <c r="V549">
        <f t="shared" si="116"/>
        <v>3</v>
      </c>
    </row>
    <row r="550" spans="1:22" x14ac:dyDescent="0.25">
      <c r="A550" t="str">
        <f>IF(games!$A550="","",games!$A550)</f>
        <v>Patch Quest</v>
      </c>
      <c r="B550">
        <f>IF($A550="","",games!$B550)</f>
        <v>2021</v>
      </c>
      <c r="C550" t="str">
        <f>IF($A550="","",games!$C550)</f>
        <v>Action</v>
      </c>
      <c r="D550">
        <f>IF($A550="","",COUNTIF(connections!$A$2:$A$1496,$A550)+COUNTIF(connections!$B$2:$B$1496,$A550))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IF(connections!$A549="","",IFERROR(INDEX(games!$B$2:$B$950,MATCH(connections!$A549,games!$A$2:$A$950,0)),""))</f>
        <v>2015</v>
      </c>
      <c r="U550">
        <f>IF(connections!$A549="","",IFERROR(INDEX(games!$B$2:$B$950,MATCH(connections!$B549,games!$A$2:$A$950,0)),""))</f>
        <v>2021</v>
      </c>
      <c r="V550">
        <f t="shared" si="116"/>
        <v>6</v>
      </c>
    </row>
    <row r="551" spans="1:22" x14ac:dyDescent="0.25">
      <c r="A551" t="str">
        <f>IF(games!$A551="","",games!$A551)</f>
        <v>Path of Achra</v>
      </c>
      <c r="B551">
        <f>IF($A551="","",games!$B551)</f>
        <v>2023</v>
      </c>
      <c r="C551" t="str">
        <f>IF($A551="","",games!$C551)</f>
        <v>Traditional</v>
      </c>
      <c r="D551">
        <f>IF($A551="","",COUNTIF(connections!$A$2:$A$1496,$A551)+COUNTIF(connections!$B$2:$B$1496,$A551))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2024</v>
      </c>
      <c r="V551">
        <f t="shared" si="116"/>
        <v>3</v>
      </c>
    </row>
    <row r="552" spans="1:22" x14ac:dyDescent="0.25">
      <c r="A552" t="str">
        <f>IF(games!$A552="","",games!$A552)</f>
        <v>Pathogenic</v>
      </c>
      <c r="B552">
        <f>IF($A552="","",games!$B552)</f>
        <v>2026</v>
      </c>
      <c r="C552" t="str">
        <f>IF($A552="","",games!$C552)</f>
        <v>Action</v>
      </c>
      <c r="D552">
        <f>IF($A552="","",COUNTIF(connections!$A$2:$A$1496,$A552)+COUNTIF(connections!$B$2:$B$1496,$A552))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IF(connections!$A551="","",IFERROR(INDEX(games!$B$2:$B$950,MATCH(connections!$A551,games!$A$2:$A$950,0)),""))</f>
        <v>2012</v>
      </c>
      <c r="U552">
        <f>IF(connections!$A551="","",IFERROR(INDEX(games!$B$2:$B$950,MATCH(connections!$B551,games!$A$2:$A$950,0)),""))</f>
        <v>2015</v>
      </c>
      <c r="V552">
        <f t="shared" si="116"/>
        <v>3</v>
      </c>
    </row>
    <row r="553" spans="1:22" x14ac:dyDescent="0.25">
      <c r="A553" t="str">
        <f>IF(games!$A553="","",games!$A553)</f>
        <v>Pathos: Nethack Codex</v>
      </c>
      <c r="B553">
        <f>IF($A553="","",games!$B553)</f>
        <v>2015</v>
      </c>
      <c r="C553" t="str">
        <f>IF($A553="","",games!$C553)</f>
        <v>Traditional</v>
      </c>
      <c r="D553">
        <f>IF($A553="","",COUNTIF(connections!$A$2:$A$1496,$A553)+COUNTIF(connections!$B$2:$B$1496,$A553))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IF(connections!$A552="","",IFERROR(INDEX(games!$B$2:$B$950,MATCH(connections!$A552,games!$A$2:$A$950,0)),""))</f>
        <v>2008</v>
      </c>
      <c r="U553">
        <f>IF(connections!$A552="","",IFERROR(INDEX(games!$B$2:$B$950,MATCH(connections!$B552,games!$A$2:$A$950,0)),""))</f>
        <v>2015</v>
      </c>
      <c r="V553">
        <f t="shared" si="116"/>
        <v>7</v>
      </c>
    </row>
    <row r="554" spans="1:22" x14ac:dyDescent="0.25">
      <c r="A554" t="str">
        <f>IF(games!$A554="","",games!$A554)</f>
        <v>Pawnbarian</v>
      </c>
      <c r="B554">
        <f>IF($A554="","",games!$B554)</f>
        <v>2021</v>
      </c>
      <c r="C554" t="str">
        <f>IF($A554="","",games!$C554)</f>
        <v>Strategy</v>
      </c>
      <c r="D554">
        <f>IF($A554="","",COUNTIF(connections!$A$2:$A$1496,$A554)+COUNTIF(connections!$B$2:$B$1496,$A554))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IF(connections!$A553="","",IFERROR(INDEX(games!$B$2:$B$950,MATCH(connections!$A553,games!$A$2:$A$950,0)),""))</f>
        <v>2016</v>
      </c>
      <c r="U554">
        <f>IF(connections!$A553="","",IFERROR(INDEX(games!$B$2:$B$950,MATCH(connections!$B553,games!$A$2:$A$950,0)),""))</f>
        <v>2020</v>
      </c>
      <c r="V554">
        <f t="shared" si="116"/>
        <v>4</v>
      </c>
    </row>
    <row r="555" spans="1:22" x14ac:dyDescent="0.25">
      <c r="A555" t="str">
        <f>IF(games!$A555="","",games!$A555)</f>
        <v>Pebble Knights</v>
      </c>
      <c r="B555">
        <f>IF($A555="","",games!$B555)</f>
        <v>2026</v>
      </c>
      <c r="C555" t="str">
        <f>IF($A555="","",games!$C555)</f>
        <v>Action</v>
      </c>
      <c r="D555">
        <f>IF($A555="","",COUNTIF(connections!$A$2:$A$1496,$A555)+COUNTIF(connections!$B$2:$B$1496,$A555))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IF(connections!$A554="","",IFERROR(INDEX(games!$B$2:$B$950,MATCH(connections!$A554,games!$A$2:$A$950,0)),""))</f>
        <v>2021</v>
      </c>
      <c r="U555">
        <f>IF(connections!$A554="","",IFERROR(INDEX(games!$B$2:$B$950,MATCH(connections!$B554,games!$A$2:$A$950,0)),""))</f>
        <v>2022</v>
      </c>
      <c r="V555">
        <f t="shared" si="116"/>
        <v>1</v>
      </c>
    </row>
    <row r="556" spans="1:22" x14ac:dyDescent="0.25">
      <c r="A556" t="str">
        <f>IF(games!$A556="","",games!$A556)</f>
        <v>Peglin</v>
      </c>
      <c r="B556">
        <f>IF($A556="","",games!$B556)</f>
        <v>2022</v>
      </c>
      <c r="C556" t="str">
        <f>IF($A556="","",games!$C556)</f>
        <v>Deckbuilder</v>
      </c>
      <c r="D556">
        <f>IF($A556="","",COUNTIF(connections!$A$2:$A$1496,$A556)+COUNTIF(connections!$B$2:$B$1496,$A556))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IF(connections!$A555="","",IFERROR(INDEX(games!$B$2:$B$950,MATCH(connections!$A555,games!$A$2:$A$950,0)),""))</f>
        <v>2022</v>
      </c>
      <c r="U556">
        <f>IF(connections!$A555="","",IFERROR(INDEX(games!$B$2:$B$950,MATCH(connections!$B555,games!$A$2:$A$950,0)),""))</f>
        <v>2025</v>
      </c>
      <c r="V556">
        <f t="shared" si="116"/>
        <v>3</v>
      </c>
    </row>
    <row r="557" spans="1:22" x14ac:dyDescent="0.25">
      <c r="A557" t="str">
        <f>IF(games!$A557="","",games!$A557)</f>
        <v>Pegs X Stickers</v>
      </c>
      <c r="B557">
        <f>IF($A557="","",games!$B557)</f>
        <v>2026</v>
      </c>
      <c r="C557" t="str">
        <f>IF($A557="","",games!$C557)</f>
        <v>Deckbuilder</v>
      </c>
      <c r="D557">
        <f>IF($A557="","",COUNTIF(connections!$A$2:$A$1496,$A557)+COUNTIF(connections!$B$2:$B$1496,$A557))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IF(connections!$A556="","",IFERROR(INDEX(games!$B$2:$B$950,MATCH(connections!$A556,games!$A$2:$A$950,0)),""))</f>
        <v>2015</v>
      </c>
      <c r="U557">
        <f>IF(connections!$A556="","",IFERROR(INDEX(games!$B$2:$B$950,MATCH(connections!$B556,games!$A$2:$A$950,0)),""))</f>
        <v>2025</v>
      </c>
      <c r="V557">
        <f t="shared" si="116"/>
        <v>10</v>
      </c>
    </row>
    <row r="558" spans="1:22" x14ac:dyDescent="0.25">
      <c r="A558" t="str">
        <f>IF(games!$A558="","",games!$A558)</f>
        <v>PengPong</v>
      </c>
      <c r="B558">
        <f>IF($A558="","",games!$B558)</f>
        <v>2026</v>
      </c>
      <c r="C558" t="str">
        <f>IF($A558="","",games!$C558)</f>
        <v>Action</v>
      </c>
      <c r="D558">
        <f>IF($A558="","",COUNTIF(connections!$A$2:$A$1496,$A558)+COUNTIF(connections!$B$2:$B$1496,$A558))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IF(connections!$A557="","",IFERROR(INDEX(games!$B$2:$B$950,MATCH(connections!$A557,games!$A$2:$A$950,0)),""))</f>
        <v>1980</v>
      </c>
      <c r="U558">
        <f>IF(connections!$A557="","",IFERROR(INDEX(games!$B$2:$B$950,MATCH(connections!$B557,games!$A$2:$A$950,0)),""))</f>
        <v>1984</v>
      </c>
      <c r="V558">
        <f t="shared" si="116"/>
        <v>4</v>
      </c>
    </row>
    <row r="559" spans="1:22" x14ac:dyDescent="0.25">
      <c r="A559" t="str">
        <f>IF(games!$A559="","",games!$A559)</f>
        <v>Pesticide Not Required</v>
      </c>
      <c r="B559">
        <f>IF($A559="","",games!$B559)</f>
        <v>2024</v>
      </c>
      <c r="C559" t="str">
        <f>IF($A559="","",games!$C559)</f>
        <v>Action</v>
      </c>
      <c r="D559">
        <f>IF($A559="","",COUNTIF(connections!$A$2:$A$1496,$A559)+COUNTIF(connections!$B$2:$B$1496,$A559))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IF(connections!$A558="","",IFERROR(INDEX(games!$B$2:$B$950,MATCH(connections!$A558,games!$A$2:$A$950,0)),""))</f>
        <v>2006</v>
      </c>
      <c r="U559">
        <f>IF(connections!$A558="","",IFERROR(INDEX(games!$B$2:$B$950,MATCH(connections!$B558,games!$A$2:$A$950,0)),""))</f>
        <v>2022</v>
      </c>
      <c r="V559">
        <f t="shared" si="116"/>
        <v>16</v>
      </c>
    </row>
    <row r="560" spans="1:22" x14ac:dyDescent="0.25">
      <c r="A560" t="str">
        <f>IF(games!$A560="","",games!$A560)</f>
        <v>Picayune Dreams</v>
      </c>
      <c r="B560">
        <f>IF($A560="","",games!$B560)</f>
        <v>2023</v>
      </c>
      <c r="C560" t="str">
        <f>IF($A560="","",games!$C560)</f>
        <v>Action</v>
      </c>
      <c r="D560">
        <f>IF($A560="","",COUNTIF(connections!$A$2:$A$1496,$A560)+COUNTIF(connections!$B$2:$B$1496,$A560))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IF(connections!$A559="","",IFERROR(INDEX(games!$B$2:$B$950,MATCH(connections!$A559,games!$A$2:$A$950,0)),""))</f>
        <v>2017</v>
      </c>
      <c r="U560">
        <f>IF(connections!$A559="","",IFERROR(INDEX(games!$B$2:$B$950,MATCH(connections!$B559,games!$A$2:$A$950,0)),""))</f>
        <v>2021</v>
      </c>
      <c r="V560">
        <f t="shared" si="116"/>
        <v>4</v>
      </c>
    </row>
    <row r="561" spans="1:22" x14ac:dyDescent="0.25">
      <c r="A561" t="str">
        <f>IF(games!$A561="","",games!$A561)</f>
        <v>Pip My Dice</v>
      </c>
      <c r="B561">
        <f>IF($A561="","",games!$B561)</f>
        <v>2025</v>
      </c>
      <c r="C561" t="str">
        <f>IF($A561="","",games!$C561)</f>
        <v>Deckbuilder</v>
      </c>
      <c r="D561">
        <f>IF($A561="","",COUNTIF(connections!$A$2:$A$1496,$A561)+COUNTIF(connections!$B$2:$B$1496,$A561))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IF(connections!$A560="","",IFERROR(INDEX(games!$B$2:$B$950,MATCH(connections!$A560,games!$A$2:$A$950,0)),""))</f>
        <v>2015</v>
      </c>
      <c r="U561">
        <f>IF(connections!$A560="","",IFERROR(INDEX(games!$B$2:$B$950,MATCH(connections!$B560,games!$A$2:$A$950,0)),""))</f>
        <v>2019</v>
      </c>
      <c r="V561">
        <f t="shared" si="116"/>
        <v>4</v>
      </c>
    </row>
    <row r="562" spans="1:22" x14ac:dyDescent="0.25">
      <c r="A562" t="str">
        <f>IF(games!$A562="","",games!$A562)</f>
        <v>Pixel Dungeon</v>
      </c>
      <c r="B562">
        <f>IF($A562="","",games!$B562)</f>
        <v>2012</v>
      </c>
      <c r="C562" t="str">
        <f>IF($A562="","",games!$C562)</f>
        <v>Traditional</v>
      </c>
      <c r="D562">
        <f>IF($A562="","",COUNTIF(connections!$A$2:$A$1496,$A562)+COUNTIF(connections!$B$2:$B$1496,$A562))</f>
        <v>4</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4.0005620000000004</v>
      </c>
      <c r="P562" t="str">
        <f>IF(OR($A562="",games!$H562=""),"",games!$H562)</f>
        <v>Yes</v>
      </c>
      <c r="Q562">
        <f t="shared" si="115"/>
        <v>4.0005620000000004</v>
      </c>
      <c r="T562">
        <f>IF(connections!$A561="","",IFERROR(INDEX(games!$B$2:$B$950,MATCH(connections!$A561,games!$A$2:$A$950,0)),""))</f>
        <v>2018</v>
      </c>
      <c r="U562">
        <f>IF(connections!$A561="","",IFERROR(INDEX(games!$B$2:$B$950,MATCH(connections!$B561,games!$A$2:$A$950,0)),""))</f>
        <v>2019</v>
      </c>
      <c r="V562">
        <f t="shared" si="116"/>
        <v>1</v>
      </c>
    </row>
    <row r="563" spans="1:22" x14ac:dyDescent="0.25">
      <c r="A563" t="str">
        <f>IF(games!$A563="","",games!$A563)</f>
        <v>PlateUp!</v>
      </c>
      <c r="B563">
        <f>IF($A563="","",games!$B563)</f>
        <v>2022</v>
      </c>
      <c r="C563" t="str">
        <f>IF($A563="","",games!$C563)</f>
        <v>Strategy</v>
      </c>
      <c r="D563">
        <f>IF($A563="","",COUNTIF(connections!$A$2:$A$1496,$A563)+COUNTIF(connections!$B$2:$B$1496,$A563))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IF(connections!$A562="","",IFERROR(INDEX(games!$B$2:$B$950,MATCH(connections!$A562,games!$A$2:$A$950,0)),""))</f>
        <v>2016</v>
      </c>
      <c r="U563">
        <f>IF(connections!$A562="","",IFERROR(INDEX(games!$B$2:$B$950,MATCH(connections!$B562,games!$A$2:$A$950,0)),""))</f>
        <v>2019</v>
      </c>
      <c r="V563">
        <f t="shared" si="116"/>
        <v>3</v>
      </c>
    </row>
    <row r="564" spans="1:22" x14ac:dyDescent="0.25">
      <c r="A564" t="str">
        <f>IF(games!$A564="","",games!$A564)</f>
        <v>Plinbo</v>
      </c>
      <c r="B564">
        <f>IF($A564="","",games!$B564)</f>
        <v>2026</v>
      </c>
      <c r="C564" t="str">
        <f>IF($A564="","",games!$C564)</f>
        <v>Deckbuilder</v>
      </c>
      <c r="D564">
        <f>IF($A564="","",COUNTIF(connections!$A$2:$A$1496,$A564)+COUNTIF(connections!$B$2:$B$1496,$A564))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IF(connections!$A563="","",IFERROR(INDEX(games!$B$2:$B$950,MATCH(connections!$A563,games!$A$2:$A$950,0)),""))</f>
        <v>2013</v>
      </c>
      <c r="U564">
        <f>IF(connections!$A563="","",IFERROR(INDEX(games!$B$2:$B$950,MATCH(connections!$B563,games!$A$2:$A$950,0)),""))</f>
        <v>2019</v>
      </c>
      <c r="V564">
        <f t="shared" si="116"/>
        <v>6</v>
      </c>
    </row>
    <row r="565" spans="1:22" x14ac:dyDescent="0.25">
      <c r="A565" t="str">
        <f>IF(games!$A565="","",games!$A565)</f>
        <v>Plinko Panic!</v>
      </c>
      <c r="B565">
        <f>IF($A565="","",games!$B565)</f>
        <v>2021</v>
      </c>
      <c r="C565" t="str">
        <f>IF($A565="","",games!$C565)</f>
        <v>Deckbuilder</v>
      </c>
      <c r="D565">
        <f>IF($A565="","",COUNTIF(connections!$A$2:$A$1496,$A565)+COUNTIF(connections!$B$2:$B$1496,$A565))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IF(connections!$A564="","",IFERROR(INDEX(games!$B$2:$B$950,MATCH(connections!$A564,games!$A$2:$A$950,0)),""))</f>
        <v>2017</v>
      </c>
      <c r="U565">
        <f>IF(connections!$A564="","",IFERROR(INDEX(games!$B$2:$B$950,MATCH(connections!$B564,games!$A$2:$A$950,0)),""))</f>
        <v>2019</v>
      </c>
      <c r="V565">
        <f t="shared" si="116"/>
        <v>2</v>
      </c>
    </row>
    <row r="566" spans="1:22" x14ac:dyDescent="0.25">
      <c r="A566" t="str">
        <f>IF(games!$A566="","",games!$A566)</f>
        <v>Pluto</v>
      </c>
      <c r="B566">
        <f>IF($A566="","",games!$B566)</f>
        <v>2026</v>
      </c>
      <c r="C566" t="str">
        <f>IF($A566="","",games!$C566)</f>
        <v>Deckbuilder</v>
      </c>
      <c r="D566">
        <f>IF($A566="","",COUNTIF(connections!$A$2:$A$1496,$A566)+COUNTIF(connections!$B$2:$B$1496,$A566))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IF(connections!$A565="","",IFERROR(INDEX(games!$B$2:$B$950,MATCH(connections!$A565,games!$A$2:$A$950,0)),""))</f>
        <v>2008</v>
      </c>
      <c r="U566">
        <f>IF(connections!$A565="","",IFERROR(INDEX(games!$B$2:$B$950,MATCH(connections!$B565,games!$A$2:$A$950,0)),""))</f>
        <v>2019</v>
      </c>
      <c r="V566">
        <f t="shared" si="116"/>
        <v>11</v>
      </c>
    </row>
    <row r="567" spans="1:22" x14ac:dyDescent="0.25">
      <c r="A567" t="str">
        <f>IF(games!$A567="","",games!$A567)</f>
        <v>Pocket Crystal League</v>
      </c>
      <c r="B567">
        <f>IF($A567="","",games!$B567)</f>
        <v>2022</v>
      </c>
      <c r="C567" t="str">
        <f>IF($A567="","",games!$C567)</f>
        <v>Deckbuilder</v>
      </c>
      <c r="D567">
        <f>IF($A567="","",COUNTIF(connections!$A$2:$A$1496,$A567)+COUNTIF(connections!$B$2:$B$1496,$A567))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IF(connections!$A566="","",IFERROR(INDEX(games!$B$2:$B$950,MATCH(connections!$A566,games!$A$2:$A$950,0)),""))</f>
        <v>2011</v>
      </c>
      <c r="U567">
        <f>IF(connections!$A566="","",IFERROR(INDEX(games!$B$2:$B$950,MATCH(connections!$B566,games!$A$2:$A$950,0)),""))</f>
        <v>2019</v>
      </c>
      <c r="V567">
        <f t="shared" si="116"/>
        <v>8</v>
      </c>
    </row>
    <row r="568" spans="1:22" x14ac:dyDescent="0.25">
      <c r="A568" t="str">
        <f>IF(games!$A568="","",games!$A568)</f>
        <v>Pogo Rogue</v>
      </c>
      <c r="B568">
        <f>IF($A568="","",games!$B568)</f>
        <v>2024</v>
      </c>
      <c r="C568" t="str">
        <f>IF($A568="","",games!$C568)</f>
        <v>Action</v>
      </c>
      <c r="D568">
        <f>IF($A568="","",COUNTIF(connections!$A$2:$A$1496,$A568)+COUNTIF(connections!$B$2:$B$1496,$A568))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IF(connections!$A567="","",IFERROR(INDEX(games!$B$2:$B$950,MATCH(connections!$A567,games!$A$2:$A$950,0)),""))</f>
        <v>2018</v>
      </c>
      <c r="U568">
        <f>IF(connections!$A567="","",IFERROR(INDEX(games!$B$2:$B$950,MATCH(connections!$B567,games!$A$2:$A$950,0)),""))</f>
        <v>2019</v>
      </c>
      <c r="V568">
        <f t="shared" si="116"/>
        <v>1</v>
      </c>
    </row>
    <row r="569" spans="1:22" x14ac:dyDescent="0.25">
      <c r="A569" t="str">
        <f>IF(games!$A569="","",games!$A569)</f>
        <v>Pokelike</v>
      </c>
      <c r="B569">
        <f>IF($A569="","",games!$B569)</f>
        <v>2026</v>
      </c>
      <c r="C569" t="str">
        <f>IF($A569="","",games!$C569)</f>
        <v>Strategy</v>
      </c>
      <c r="D569">
        <f>IF($A569="","",COUNTIF(connections!$A$2:$A$1496,$A569)+COUNTIF(connections!$B$2:$B$1496,$A569))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IF(connections!$A568="","",IFERROR(INDEX(games!$B$2:$B$950,MATCH(connections!$A568,games!$A$2:$A$950,0)),""))</f>
        <v>2019</v>
      </c>
      <c r="U569">
        <f>IF(connections!$A568="","",IFERROR(INDEX(games!$B$2:$B$950,MATCH(connections!$B568,games!$A$2:$A$950,0)),""))</f>
        <v>2024</v>
      </c>
      <c r="V569">
        <f t="shared" si="116"/>
        <v>5</v>
      </c>
    </row>
    <row r="570" spans="1:22" x14ac:dyDescent="0.25">
      <c r="A570" t="str">
        <f>IF(games!$A570="","",games!$A570)</f>
        <v>Pokémon Auto Chess</v>
      </c>
      <c r="B570">
        <f>IF($A570="","",games!$B570)</f>
        <v>2021</v>
      </c>
      <c r="C570" t="str">
        <f>IF($A570="","",games!$C570)</f>
        <v>Strategy</v>
      </c>
      <c r="D570">
        <f>IF($A570="","",COUNTIF(connections!$A$2:$A$1496,$A570)+COUNTIF(connections!$B$2:$B$1496,$A570))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IF(connections!$A569="","",IFERROR(INDEX(games!$B$2:$B$950,MATCH(connections!$A569,games!$A$2:$A$950,0)),""))</f>
        <v>1996</v>
      </c>
      <c r="U570">
        <f>IF(connections!$A569="","",IFERROR(INDEX(games!$B$2:$B$950,MATCH(connections!$B569,games!$A$2:$A$950,0)),""))</f>
        <v>2023</v>
      </c>
      <c r="V570">
        <f t="shared" si="116"/>
        <v>27</v>
      </c>
    </row>
    <row r="571" spans="1:22" x14ac:dyDescent="0.25">
      <c r="A571" t="str">
        <f>IF(games!$A571="","",games!$A571)</f>
        <v>Pokémon Auto Spire</v>
      </c>
      <c r="B571">
        <f>IF($A571="","",games!$B571)</f>
        <v>2026</v>
      </c>
      <c r="C571" t="str">
        <f>IF($A571="","",games!$C571)</f>
        <v>Strategy</v>
      </c>
      <c r="D571">
        <f>IF($A571="","",COUNTIF(connections!$A$2:$A$1496,$A571)+COUNTIF(connections!$B$2:$B$1496,$A571))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Pokémon Mystery Dungeon: Explorers of Sky</v>
      </c>
      <c r="B572">
        <f>IF($A572="","",games!$B572)</f>
        <v>2009</v>
      </c>
      <c r="C572" t="str">
        <f>IF($A572="","",games!$C572)</f>
        <v>Traditional</v>
      </c>
      <c r="D572">
        <f>IF($A572="","",COUNTIF(connections!$A$2:$A$1496,$A572)+COUNTIF(connections!$B$2:$B$1496,$A572))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IF(connections!$A571="","",IFERROR(INDEX(games!$B$2:$B$950,MATCH(connections!$A571,games!$A$2:$A$950,0)),""))</f>
        <v>2012</v>
      </c>
      <c r="U572">
        <f>IF(connections!$A571="","",IFERROR(INDEX(games!$B$2:$B$950,MATCH(connections!$B571,games!$A$2:$A$950,0)),""))</f>
        <v>2014</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IF($A573="","",COUNTIF(connections!$A$2:$A$1496,$A573)+COUNTIF(connections!$B$2:$B$1496,$A573))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IF(connections!$A572="","",IFERROR(INDEX(games!$B$2:$B$950,MATCH(connections!$A572,games!$A$2:$A$950,0)),""))</f>
        <v>2014</v>
      </c>
      <c r="U573">
        <f>IF(connections!$A572="","",IFERROR(INDEX(games!$B$2:$B$950,MATCH(connections!$B572,games!$A$2:$A$950,0)),""))</f>
        <v>2017</v>
      </c>
      <c r="V573">
        <f t="shared" si="116"/>
        <v>3</v>
      </c>
    </row>
    <row r="574" spans="1:22" x14ac:dyDescent="0.25">
      <c r="A574" t="str">
        <f>IF(games!$A574="","",games!$A574)</f>
        <v>Pokémon Mystery Dungeon: Gates to Infinity</v>
      </c>
      <c r="B574">
        <f>IF($A574="","",games!$B574)</f>
        <v>2012</v>
      </c>
      <c r="C574" t="str">
        <f>IF($A574="","",games!$C574)</f>
        <v>Traditional</v>
      </c>
      <c r="D574">
        <f>IF($A574="","",COUNTIF(connections!$A$2:$A$1496,$A574)+COUNTIF(connections!$B$2:$B$1496,$A574))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IF(connections!$A573="","",IFERROR(INDEX(games!$B$2:$B$950,MATCH(connections!$A573,games!$A$2:$A$950,0)),""))</f>
        <v>2024</v>
      </c>
      <c r="U574">
        <f>IF(connections!$A573="","",IFERROR(INDEX(games!$B$2:$B$950,MATCH(connections!$B573,games!$A$2:$A$950,0)),""))</f>
        <v>2026</v>
      </c>
      <c r="V574">
        <f t="shared" si="116"/>
        <v>2</v>
      </c>
    </row>
    <row r="575" spans="1:22" x14ac:dyDescent="0.25">
      <c r="A575" t="str">
        <f>IF(games!$A575="","",games!$A575)</f>
        <v>Pokémon Mystery Dungeon: Red and Blue Rescue Team</v>
      </c>
      <c r="B575">
        <f>IF($A575="","",games!$B575)</f>
        <v>2005</v>
      </c>
      <c r="C575" t="str">
        <f>IF($A575="","",games!$C575)</f>
        <v>Traditional</v>
      </c>
      <c r="D575">
        <f>IF($A575="","",COUNTIF(connections!$A$2:$A$1496,$A575)+COUNTIF(connections!$B$2:$B$1496,$A575))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IF(connections!$A574="","",IFERROR(INDEX(games!$B$2:$B$950,MATCH(connections!$A574,games!$A$2:$A$950,0)),""))</f>
        <v>2014</v>
      </c>
      <c r="U575">
        <f>IF(connections!$A574="","",IFERROR(INDEX(games!$B$2:$B$950,MATCH(connections!$B574,games!$A$2:$A$950,0)),""))</f>
        <v>2026</v>
      </c>
      <c r="V575">
        <f t="shared" si="116"/>
        <v>12</v>
      </c>
    </row>
    <row r="576" spans="1:22" x14ac:dyDescent="0.25">
      <c r="A576" t="str">
        <f>IF(games!$A576="","",games!$A576)</f>
        <v>Pokémon Mystery Dungeon: Rescue Team DX</v>
      </c>
      <c r="B576">
        <f>IF($A576="","",games!$B576)</f>
        <v>2020</v>
      </c>
      <c r="C576" t="str">
        <f>IF($A576="","",games!$C576)</f>
        <v>Traditional</v>
      </c>
      <c r="D576">
        <f>IF($A576="","",COUNTIF(connections!$A$2:$A$1496,$A576)+COUNTIF(connections!$B$2:$B$1496,$A576))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IF(connections!$A575="","",IFERROR(INDEX(games!$B$2:$B$950,MATCH(connections!$A575,games!$A$2:$A$950,0)),""))</f>
        <v>2017</v>
      </c>
      <c r="U576">
        <f>IF(connections!$A575="","",IFERROR(INDEX(games!$B$2:$B$950,MATCH(connections!$B575,games!$A$2:$A$950,0)),""))</f>
        <v>2026</v>
      </c>
      <c r="V576">
        <f t="shared" si="116"/>
        <v>9</v>
      </c>
    </row>
    <row r="577" spans="1:22" x14ac:dyDescent="0.25">
      <c r="A577" t="str">
        <f>IF(games!$A577="","",games!$A577)</f>
        <v>Pokémon Super Mystery Dungeon</v>
      </c>
      <c r="B577">
        <f>IF($A577="","",games!$B577)</f>
        <v>2015</v>
      </c>
      <c r="C577" t="str">
        <f>IF($A577="","",games!$C577)</f>
        <v>Traditional</v>
      </c>
      <c r="D577">
        <f>IF($A577="","",COUNTIF(connections!$A$2:$A$1496,$A577)+COUNTIF(connections!$B$2:$B$1496,$A577))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IF(connections!$A576="","",IFERROR(INDEX(games!$B$2:$B$950,MATCH(connections!$A576,games!$A$2:$A$950,0)),""))</f>
        <v>1997</v>
      </c>
      <c r="U577">
        <f>IF(connections!$A576="","",IFERROR(INDEX(games!$B$2:$B$950,MATCH(connections!$B576,games!$A$2:$A$950,0)),""))</f>
        <v>2017</v>
      </c>
      <c r="V577">
        <f t="shared" si="116"/>
        <v>20</v>
      </c>
    </row>
    <row r="578" spans="1:22" x14ac:dyDescent="0.25">
      <c r="A578" t="str">
        <f>IF(games!$A578="","",games!$A578)</f>
        <v>Pokémon Survivor Burst</v>
      </c>
      <c r="B578">
        <f>IF($A578="","",games!$B578)</f>
        <v>2026</v>
      </c>
      <c r="C578" t="str">
        <f>IF($A578="","",games!$C578)</f>
        <v>Action</v>
      </c>
      <c r="D578">
        <f>IF($A578="","",COUNTIF(connections!$A$2:$A$1496,$A578)+COUNTIF(connections!$B$2:$B$1496,$A578))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1987</v>
      </c>
      <c r="U578">
        <f>IF(connections!$A577="","",IFERROR(INDEX(games!$B$2:$B$950,MATCH(connections!$B577,games!$A$2:$A$950,0)),""))</f>
        <v>2017</v>
      </c>
      <c r="V578">
        <f t="shared" ref="V578:V641" si="129">IF(OR($T578="",$U578=""),"",$U578-$T578)</f>
        <v>30</v>
      </c>
    </row>
    <row r="579" spans="1:22" x14ac:dyDescent="0.25">
      <c r="A579" t="str">
        <f>IF(games!$A579="","",games!$A579)</f>
        <v>PokéRogue</v>
      </c>
      <c r="B579">
        <f>IF($A579="","",games!$B579)</f>
        <v>2024</v>
      </c>
      <c r="C579" t="str">
        <f>IF($A579="","",games!$C579)</f>
        <v>Strategy</v>
      </c>
      <c r="D579">
        <f>IF($A579="","",COUNTIF(connections!$A$2:$A$1496,$A579)+COUNTIF(connections!$B$2:$B$1496,$A579))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IF(connections!$A578="","",IFERROR(INDEX(games!$B$2:$B$950,MATCH(connections!$A578,games!$A$2:$A$950,0)),""))</f>
        <v>2015</v>
      </c>
      <c r="U579">
        <f>IF(connections!$A578="","",IFERROR(INDEX(games!$B$2:$B$950,MATCH(connections!$B578,games!$A$2:$A$950,0)),""))</f>
        <v>2017</v>
      </c>
      <c r="V579">
        <f t="shared" si="129"/>
        <v>2</v>
      </c>
    </row>
    <row r="580" spans="1:22" x14ac:dyDescent="0.25">
      <c r="A580" t="str">
        <f>IF(games!$A580="","",games!$A580)</f>
        <v>PokeVoid</v>
      </c>
      <c r="B580">
        <f>IF($A580="","",games!$B580)</f>
        <v>2025</v>
      </c>
      <c r="C580" t="str">
        <f>IF($A580="","",games!$C580)</f>
        <v>Strategy</v>
      </c>
      <c r="D580">
        <f>IF($A580="","",COUNTIF(connections!$A$2:$A$1496,$A580)+COUNTIF(connections!$B$2:$B$1496,$A580))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IF(connections!$A579="","",IFERROR(INDEX(games!$B$2:$B$950,MATCH(connections!$A579,games!$A$2:$A$950,0)),""))</f>
        <v>2003</v>
      </c>
      <c r="U580">
        <f>IF(connections!$A579="","",IFERROR(INDEX(games!$B$2:$B$950,MATCH(connections!$B579,games!$A$2:$A$950,0)),""))</f>
        <v>2017</v>
      </c>
      <c r="V580">
        <f t="shared" si="129"/>
        <v>14</v>
      </c>
    </row>
    <row r="581" spans="1:22" x14ac:dyDescent="0.25">
      <c r="A581" t="str">
        <f>IF(games!$A581="","",games!$A581)</f>
        <v>Popup Dungeon</v>
      </c>
      <c r="B581">
        <f>IF($A581="","",games!$B581)</f>
        <v>2020</v>
      </c>
      <c r="C581" t="str">
        <f>IF($A581="","",games!$C581)</f>
        <v>Strategy</v>
      </c>
      <c r="D581">
        <f>IF($A581="","",COUNTIF(connections!$A$2:$A$1496,$A581)+COUNTIF(connections!$B$2:$B$1496,$A581))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2012</v>
      </c>
      <c r="U581">
        <f>IF(connections!$A580="","",IFERROR(INDEX(games!$B$2:$B$950,MATCH(connections!$B580,games!$A$2:$A$950,0)),""))</f>
        <v>2017</v>
      </c>
      <c r="V581">
        <f t="shared" si="129"/>
        <v>5</v>
      </c>
    </row>
    <row r="582" spans="1:22" x14ac:dyDescent="0.25">
      <c r="A582" t="str">
        <f>IF(games!$A582="","",games!$A582)</f>
        <v>Powder</v>
      </c>
      <c r="B582">
        <f>IF($A582="","",games!$B582)</f>
        <v>2003</v>
      </c>
      <c r="C582" t="str">
        <f>IF($A582="","",games!$C582)</f>
        <v>Traditional</v>
      </c>
      <c r="D582">
        <f>IF($A582="","",COUNTIF(connections!$A$2:$A$1496,$A582)+COUNTIF(connections!$B$2:$B$1496,$A582))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IF(connections!$A581="","",IFERROR(INDEX(games!$B$2:$B$950,MATCH(connections!$A581,games!$A$2:$A$950,0)),""))</f>
        <v>2011</v>
      </c>
      <c r="U582">
        <f>IF(connections!$A581="","",IFERROR(INDEX(games!$B$2:$B$950,MATCH(connections!$B581,games!$A$2:$A$950,0)),""))</f>
        <v>2017</v>
      </c>
      <c r="V582">
        <f t="shared" si="129"/>
        <v>6</v>
      </c>
    </row>
    <row r="583" spans="1:22" x14ac:dyDescent="0.25">
      <c r="A583" t="str">
        <f>IF(games!$A583="","",games!$A583)</f>
        <v>Primordialis</v>
      </c>
      <c r="B583">
        <f>IF($A583="","",games!$B583)</f>
        <v>2024</v>
      </c>
      <c r="C583" t="str">
        <f>IF($A583="","",games!$C583)</f>
        <v>Action</v>
      </c>
      <c r="D583">
        <f>IF($A583="","",COUNTIF(connections!$A$2:$A$1496,$A583)+COUNTIF(connections!$B$2:$B$1496,$A583))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IF(connections!$A582="","",IFERROR(INDEX(games!$B$2:$B$950,MATCH(connections!$A582,games!$A$2:$A$950,0)),""))</f>
        <v>2019</v>
      </c>
      <c r="U583">
        <f>IF(connections!$A582="","",IFERROR(INDEX(games!$B$2:$B$950,MATCH(connections!$B582,games!$A$2:$A$950,0)),""))</f>
        <v>2022</v>
      </c>
      <c r="V583">
        <f t="shared" si="129"/>
        <v>3</v>
      </c>
    </row>
    <row r="584" spans="1:22" x14ac:dyDescent="0.25">
      <c r="A584" t="str">
        <f>IF(games!$A584="","",games!$A584)</f>
        <v>Pronoun Palace</v>
      </c>
      <c r="B584">
        <f>IF($A584="","",games!$B584)</f>
        <v>2026</v>
      </c>
      <c r="C584" t="str">
        <f>IF($A584="","",games!$C584)</f>
        <v>Strategy</v>
      </c>
      <c r="D584">
        <f>IF($A584="","",COUNTIF(connections!$A$2:$A$1496,$A584)+COUNTIF(connections!$B$2:$B$1496,$A584))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IF(connections!$A583="","",IFERROR(INDEX(games!$B$2:$B$950,MATCH(connections!$A583,games!$A$2:$A$950,0)),""))</f>
        <v>2023</v>
      </c>
      <c r="U584">
        <f>IF(connections!$A583="","",IFERROR(INDEX(games!$B$2:$B$950,MATCH(connections!$B583,games!$A$2:$A$950,0)),""))</f>
        <v>2025</v>
      </c>
      <c r="V584">
        <f t="shared" si="129"/>
        <v>2</v>
      </c>
    </row>
    <row r="585" spans="1:22" x14ac:dyDescent="0.25">
      <c r="A585" t="str">
        <f>IF(games!$A585="","",games!$A585)</f>
        <v>Putrid Shot Ultra</v>
      </c>
      <c r="B585">
        <f>IF($A585="","",games!$B585)</f>
        <v>2022</v>
      </c>
      <c r="C585" t="str">
        <f>IF($A585="","",games!$C585)</f>
        <v>Action</v>
      </c>
      <c r="D585">
        <f>IF($A585="","",COUNTIF(connections!$A$2:$A$1496,$A585)+COUNTIF(connections!$B$2:$B$1496,$A585))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IF(connections!$A584="","",IFERROR(INDEX(games!$B$2:$B$950,MATCH(connections!$A584,games!$A$2:$A$950,0)),""))</f>
        <v>2012</v>
      </c>
      <c r="U585">
        <f>IF(connections!$A584="","",IFERROR(INDEX(games!$B$2:$B$950,MATCH(connections!$B584,games!$A$2:$A$950,0)),""))</f>
        <v>2023</v>
      </c>
      <c r="V585">
        <f t="shared" si="129"/>
        <v>11</v>
      </c>
    </row>
    <row r="586" spans="1:22" x14ac:dyDescent="0.25">
      <c r="A586" t="str">
        <f>IF(games!$A586="","",games!$A586)</f>
        <v>Pyrene</v>
      </c>
      <c r="B586">
        <f>IF($A586="","",games!$B586)</f>
        <v>2024</v>
      </c>
      <c r="C586" t="str">
        <f>IF($A586="","",games!$C586)</f>
        <v>Deckbuilder</v>
      </c>
      <c r="D586">
        <f>IF($A586="","",COUNTIF(connections!$A$2:$A$1496,$A586)+COUNTIF(connections!$B$2:$B$1496,$A586))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IF(connections!$A585="","",IFERROR(INDEX(games!$B$2:$B$950,MATCH(connections!$A585,games!$A$2:$A$950,0)),""))</f>
        <v>2012</v>
      </c>
      <c r="U586">
        <f>IF(connections!$A585="","",IFERROR(INDEX(games!$B$2:$B$950,MATCH(connections!$B585,games!$A$2:$A$950,0)),""))</f>
        <v>2017</v>
      </c>
      <c r="V586">
        <f t="shared" si="129"/>
        <v>5</v>
      </c>
    </row>
    <row r="587" spans="1:22" x14ac:dyDescent="0.25">
      <c r="A587" t="str">
        <f>IF(games!$A587="","",games!$A587)</f>
        <v>Quasimorph</v>
      </c>
      <c r="B587">
        <f>IF($A587="","",games!$B587)</f>
        <v>2023</v>
      </c>
      <c r="C587" t="str">
        <f>IF($A587="","",games!$C587)</f>
        <v>Traditional</v>
      </c>
      <c r="D587">
        <f>IF($A587="","",COUNTIF(connections!$A$2:$A$1496,$A587)+COUNTIF(connections!$B$2:$B$1496,$A587))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IF(connections!$A586="","",IFERROR(INDEX(games!$B$2:$B$950,MATCH(connections!$A586,games!$A$2:$A$950,0)),""))</f>
        <v>2008</v>
      </c>
      <c r="U587">
        <f>IF(connections!$A586="","",IFERROR(INDEX(games!$B$2:$B$950,MATCH(connections!$B586,games!$A$2:$A$950,0)),""))</f>
        <v>2014</v>
      </c>
      <c r="V587">
        <f t="shared" si="129"/>
        <v>6</v>
      </c>
    </row>
    <row r="588" spans="1:22" x14ac:dyDescent="0.25">
      <c r="A588" t="str">
        <f>IF(games!$A588="","",games!$A588)</f>
        <v>Quest of Dungeons</v>
      </c>
      <c r="B588">
        <f>IF($A588="","",games!$B588)</f>
        <v>2014</v>
      </c>
      <c r="C588" t="str">
        <f>IF($A588="","",games!$C588)</f>
        <v>Traditional</v>
      </c>
      <c r="D588">
        <f>IF($A588="","",COUNTIF(connections!$A$2:$A$1496,$A588)+COUNTIF(connections!$B$2:$B$1496,$A588))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2025</v>
      </c>
      <c r="V588">
        <f t="shared" si="129"/>
        <v>10</v>
      </c>
    </row>
    <row r="589" spans="1:22" x14ac:dyDescent="0.25">
      <c r="A589" t="str">
        <f>IF(games!$A589="","",games!$A589)</f>
        <v>Rabbit and Steel</v>
      </c>
      <c r="B589">
        <f>IF($A589="","",games!$B589)</f>
        <v>2024</v>
      </c>
      <c r="C589" t="str">
        <f>IF($A589="","",games!$C589)</f>
        <v>Action</v>
      </c>
      <c r="D589">
        <f>IF($A589="","",COUNTIF(connections!$A$2:$A$1496,$A589)+COUNTIF(connections!$B$2:$B$1496,$A589))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IF(connections!$A588="","",IFERROR(INDEX(games!$B$2:$B$950,MATCH(connections!$A588,games!$A$2:$A$950,0)),""))</f>
        <v>1996</v>
      </c>
      <c r="U589">
        <f>IF(connections!$A588="","",IFERROR(INDEX(games!$B$2:$B$950,MATCH(connections!$B588,games!$A$2:$A$950,0)),""))</f>
        <v>2025</v>
      </c>
      <c r="V589">
        <f t="shared" si="129"/>
        <v>29</v>
      </c>
    </row>
    <row r="590" spans="1:22" x14ac:dyDescent="0.25">
      <c r="A590" t="str">
        <f>IF(games!$A590="","",games!$A590)</f>
        <v>Raccoin: Coin Pusher Roguelike</v>
      </c>
      <c r="B590">
        <f>IF($A590="","",games!$B590)</f>
        <v>2026</v>
      </c>
      <c r="C590" t="str">
        <f>IF($A590="","",games!$C590)</f>
        <v>Deckbuilder</v>
      </c>
      <c r="D590">
        <f>IF($A590="","",COUNTIF(connections!$A$2:$A$1496,$A590)+COUNTIF(connections!$B$2:$B$1496,$A590))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IF(connections!$A589="","",IFERROR(INDEX(games!$B$2:$B$950,MATCH(connections!$A589,games!$A$2:$A$950,0)),""))</f>
        <v>2019</v>
      </c>
      <c r="U590">
        <f>IF(connections!$A589="","",IFERROR(INDEX(games!$B$2:$B$950,MATCH(connections!$B589,games!$A$2:$A$950,0)),""))</f>
        <v>2025</v>
      </c>
      <c r="V590">
        <f t="shared" si="129"/>
        <v>6</v>
      </c>
    </row>
    <row r="591" spans="1:22" x14ac:dyDescent="0.25">
      <c r="A591" t="str">
        <f>IF(games!$A591="","",games!$A591)</f>
        <v>Rack and Slay</v>
      </c>
      <c r="B591">
        <f>IF($A591="","",games!$B591)</f>
        <v>2024</v>
      </c>
      <c r="C591" t="str">
        <f>IF($A591="","",games!$C591)</f>
        <v>Strategy</v>
      </c>
      <c r="D591">
        <f>IF($A591="","",COUNTIF(connections!$A$2:$A$1496,$A591)+COUNTIF(connections!$B$2:$B$1496,$A591))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IF(connections!$A590="","",IFERROR(INDEX(games!$B$2:$B$950,MATCH(connections!$A590,games!$A$2:$A$950,0)),""))</f>
        <v>2019</v>
      </c>
      <c r="U591">
        <f>IF(connections!$A590="","",IFERROR(INDEX(games!$B$2:$B$950,MATCH(connections!$B590,games!$A$2:$A$950,0)),""))</f>
        <v>2026</v>
      </c>
      <c r="V591">
        <f t="shared" si="129"/>
        <v>7</v>
      </c>
    </row>
    <row r="592" spans="1:22" x14ac:dyDescent="0.25">
      <c r="A592" t="str">
        <f>IF(games!$A592="","",games!$A592)</f>
        <v>Ragnarok</v>
      </c>
      <c r="B592">
        <f>IF($A592="","",games!$B592)</f>
        <v>1992</v>
      </c>
      <c r="C592" t="str">
        <f>IF($A592="","",games!$C592)</f>
        <v>Traditional</v>
      </c>
      <c r="D592">
        <f>IF($A592="","",COUNTIF(connections!$A$2:$A$1496,$A592)+COUNTIF(connections!$B$2:$B$1496,$A592))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IF(connections!$A591="","",IFERROR(INDEX(games!$B$2:$B$950,MATCH(connections!$A591,games!$A$2:$A$950,0)),""))</f>
        <v>2023</v>
      </c>
      <c r="U592">
        <f>IF(connections!$A591="","",IFERROR(INDEX(games!$B$2:$B$950,MATCH(connections!$B591,games!$A$2:$A$950,0)),""))</f>
        <v>2026</v>
      </c>
      <c r="V592">
        <f t="shared" si="129"/>
        <v>3</v>
      </c>
    </row>
    <row r="593" spans="1:22" x14ac:dyDescent="0.25">
      <c r="A593" t="str">
        <f>IF(games!$A593="","",games!$A593)</f>
        <v>RAM: Random Access Mayhem</v>
      </c>
      <c r="B593">
        <f>IF($A593="","",games!$B593)</f>
        <v>2024</v>
      </c>
      <c r="C593" t="str">
        <f>IF($A593="","",games!$C593)</f>
        <v>Action</v>
      </c>
      <c r="D593">
        <f>IF($A593="","",COUNTIF(connections!$A$2:$A$1496,$A593)+COUNTIF(connections!$B$2:$B$1496,$A593))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IF(connections!$A592="","",IFERROR(INDEX(games!$B$2:$B$950,MATCH(connections!$A592,games!$A$2:$A$950,0)),""))</f>
        <v>2017</v>
      </c>
      <c r="U593">
        <f>IF(connections!$A592="","",IFERROR(INDEX(games!$B$2:$B$950,MATCH(connections!$B592,games!$A$2:$A$950,0)),""))</f>
        <v>2026</v>
      </c>
      <c r="V593">
        <f t="shared" si="129"/>
        <v>9</v>
      </c>
    </row>
    <row r="594" spans="1:22" x14ac:dyDescent="0.25">
      <c r="A594" t="str">
        <f>IF(games!$A594="","",games!$A594)</f>
        <v>Rampage Knights</v>
      </c>
      <c r="B594">
        <f>IF($A594="","",games!$B594)</f>
        <v>2015</v>
      </c>
      <c r="C594" t="str">
        <f>IF($A594="","",games!$C594)</f>
        <v>Action</v>
      </c>
      <c r="D594">
        <f>IF($A594="","",COUNTIF(connections!$A$2:$A$1496,$A594)+COUNTIF(connections!$B$2:$B$1496,$A594))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IF(connections!$A593="","",IFERROR(INDEX(games!$B$2:$B$950,MATCH(connections!$A593,games!$A$2:$A$950,0)),""))</f>
        <v>2021</v>
      </c>
      <c r="U594">
        <f>IF(connections!$A593="","",IFERROR(INDEX(games!$B$2:$B$950,MATCH(connections!$B593,games!$A$2:$A$950,0)),""))</f>
        <v>2026</v>
      </c>
      <c r="V594">
        <f t="shared" si="129"/>
        <v>5</v>
      </c>
    </row>
    <row r="595" spans="1:22" x14ac:dyDescent="0.25">
      <c r="A595" t="str">
        <f>IF(games!$A595="","",games!$A595)</f>
        <v>Rangedrifter</v>
      </c>
      <c r="B595">
        <f>IF($A595="","",games!$B595)</f>
        <v>2026</v>
      </c>
      <c r="C595" t="str">
        <f>IF($A595="","",games!$C595)</f>
        <v>Traditional</v>
      </c>
      <c r="D595">
        <f>IF($A595="","",COUNTIF(connections!$A$2:$A$1496,$A595)+COUNTIF(connections!$B$2:$B$1496,$A595))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IF(connections!$A594="","",IFERROR(INDEX(games!$B$2:$B$950,MATCH(connections!$A594,games!$A$2:$A$950,0)),""))</f>
        <v>2020</v>
      </c>
      <c r="U595">
        <f>IF(connections!$A594="","",IFERROR(INDEX(games!$B$2:$B$950,MATCH(connections!$B594,games!$A$2:$A$950,0)),""))</f>
        <v>2023</v>
      </c>
      <c r="V595">
        <f t="shared" si="129"/>
        <v>3</v>
      </c>
    </row>
    <row r="596" spans="1:22" x14ac:dyDescent="0.25">
      <c r="A596" t="str">
        <f>IF(games!$A596="","",games!$A596)</f>
        <v>Ratropolis</v>
      </c>
      <c r="B596">
        <f>IF($A596="","",games!$B596)</f>
        <v>2019</v>
      </c>
      <c r="C596" t="str">
        <f>IF($A596="","",games!$C596)</f>
        <v>Deckbuilder</v>
      </c>
      <c r="D596">
        <f>IF($A596="","",COUNTIF(connections!$A$2:$A$1496,$A596)+COUNTIF(connections!$B$2:$B$1496,$A596))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IF(connections!$A595="","",IFERROR(INDEX(games!$B$2:$B$950,MATCH(connections!$A595,games!$A$2:$A$950,0)),""))</f>
        <v>2018</v>
      </c>
      <c r="U596">
        <f>IF(connections!$A595="","",IFERROR(INDEX(games!$B$2:$B$950,MATCH(connections!$B595,games!$A$2:$A$950,0)),""))</f>
        <v>2023</v>
      </c>
      <c r="V596">
        <f t="shared" si="129"/>
        <v>5</v>
      </c>
    </row>
    <row r="597" spans="1:22" x14ac:dyDescent="0.25">
      <c r="A597" t="str">
        <f>IF(games!$A597="","",games!$A597)</f>
        <v>Ravenswatch</v>
      </c>
      <c r="B597">
        <f>IF($A597="","",games!$B597)</f>
        <v>2023</v>
      </c>
      <c r="C597" t="str">
        <f>IF($A597="","",games!$C597)</f>
        <v>Action</v>
      </c>
      <c r="D597">
        <f>IF($A597="","",COUNTIF(connections!$A$2:$A$1496,$A597)+COUNTIF(connections!$B$2:$B$1496,$A597))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IF(connections!$A596="","",IFERROR(INDEX(games!$B$2:$B$950,MATCH(connections!$A596,games!$A$2:$A$950,0)),""))</f>
        <v>2017</v>
      </c>
      <c r="U597">
        <f>IF(connections!$A596="","",IFERROR(INDEX(games!$B$2:$B$950,MATCH(connections!$B596,games!$A$2:$A$950,0)),""))</f>
        <v>2023</v>
      </c>
      <c r="V597">
        <f t="shared" si="129"/>
        <v>6</v>
      </c>
    </row>
    <row r="598" spans="1:22" x14ac:dyDescent="0.25">
      <c r="A598" t="str">
        <f>IF(games!$A598="","",games!$A598)</f>
        <v>Reality Break</v>
      </c>
      <c r="B598">
        <f>IF($A598="","",games!$B598)</f>
        <v>2025</v>
      </c>
      <c r="C598" t="str">
        <f>IF($A598="","",games!$C598)</f>
        <v>Action</v>
      </c>
      <c r="D598">
        <f>IF($A598="","",COUNTIF(connections!$A$2:$A$1496,$A598)+COUNTIF(connections!$B$2:$B$1496,$A598))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IF(connections!$A597="","",IFERROR(INDEX(games!$B$2:$B$950,MATCH(connections!$A597,games!$A$2:$A$950,0)),""))</f>
        <v>2019</v>
      </c>
      <c r="U598">
        <f>IF(connections!$A597="","",IFERROR(INDEX(games!$B$2:$B$950,MATCH(connections!$B597,games!$A$2:$A$950,0)),""))</f>
        <v>2025</v>
      </c>
      <c r="V598">
        <f t="shared" si="129"/>
        <v>6</v>
      </c>
    </row>
    <row r="599" spans="1:22" x14ac:dyDescent="0.25">
      <c r="A599" t="str">
        <f>IF(games!$A599="","",games!$A599)</f>
        <v>Realm of Ink</v>
      </c>
      <c r="B599">
        <f>IF($A599="","",games!$B599)</f>
        <v>2024</v>
      </c>
      <c r="C599" t="str">
        <f>IF($A599="","",games!$C599)</f>
        <v>Action</v>
      </c>
      <c r="D599">
        <f>IF($A599="","",COUNTIF(connections!$A$2:$A$1496,$A599)+COUNTIF(connections!$B$2:$B$1496,$A599))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IF(connections!$A598="","",IFERROR(INDEX(games!$B$2:$B$950,MATCH(connections!$A598,games!$A$2:$A$950,0)),""))</f>
        <v>2022</v>
      </c>
      <c r="U599">
        <f>IF(connections!$A598="","",IFERROR(INDEX(games!$B$2:$B$950,MATCH(connections!$B598,games!$A$2:$A$950,0)),""))</f>
        <v>2023</v>
      </c>
      <c r="V599">
        <f t="shared" si="129"/>
        <v>1</v>
      </c>
    </row>
    <row r="600" spans="1:22" x14ac:dyDescent="0.25">
      <c r="A600" t="str">
        <f>IF(games!$A600="","",games!$A600)</f>
        <v>Realm of the Mad God</v>
      </c>
      <c r="B600">
        <f>IF($A600="","",games!$B600)</f>
        <v>2010</v>
      </c>
      <c r="C600" t="str">
        <f>IF($A600="","",games!$C600)</f>
        <v>Action</v>
      </c>
      <c r="D600">
        <f>IF($A600="","",COUNTIF(connections!$A$2:$A$1496,$A600)+COUNTIF(connections!$B$2:$B$1496,$A600))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IF(connections!$A599="","",IFERROR(INDEX(games!$B$2:$B$950,MATCH(connections!$A599,games!$A$2:$A$950,0)),""))</f>
        <v>2021</v>
      </c>
      <c r="U600">
        <f>IF(connections!$A599="","",IFERROR(INDEX(games!$B$2:$B$950,MATCH(connections!$B599,games!$A$2:$A$950,0)),""))</f>
        <v>2023</v>
      </c>
      <c r="V600">
        <f t="shared" si="129"/>
        <v>2</v>
      </c>
    </row>
    <row r="601" spans="1:22" x14ac:dyDescent="0.25">
      <c r="A601" t="str">
        <f>IF(games!$A601="","",games!$A601)</f>
        <v>Red Rogue</v>
      </c>
      <c r="B601">
        <f>IF($A601="","",games!$B601)</f>
        <v>2012</v>
      </c>
      <c r="C601" t="str">
        <f>IF($A601="","",games!$C601)</f>
        <v>Action</v>
      </c>
      <c r="D601">
        <f>IF($A601="","",COUNTIF(connections!$A$2:$A$1496,$A601)+COUNTIF(connections!$B$2:$B$1496,$A601))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IF(connections!$A600="","",IFERROR(INDEX(games!$B$2:$B$950,MATCH(connections!$A600,games!$A$2:$A$950,0)),""))</f>
        <v>2018</v>
      </c>
      <c r="U601">
        <f>IF(connections!$A600="","",IFERROR(INDEX(games!$B$2:$B$950,MATCH(connections!$B600,games!$A$2:$A$950,0)),""))</f>
        <v>2025</v>
      </c>
      <c r="V601">
        <f t="shared" si="129"/>
        <v>7</v>
      </c>
    </row>
    <row r="602" spans="1:22" x14ac:dyDescent="0.25">
      <c r="A602" t="str">
        <f>IF(games!$A602="","",games!$A602)</f>
        <v>Reignbreaker</v>
      </c>
      <c r="B602">
        <f>IF($A602="","",games!$B602)</f>
        <v>2025</v>
      </c>
      <c r="C602" t="str">
        <f>IF($A602="","",games!$C602)</f>
        <v>Action</v>
      </c>
      <c r="D602">
        <f>IF($A602="","",COUNTIF(connections!$A$2:$A$1496,$A602)+COUNTIF(connections!$B$2:$B$1496,$A602))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IF(connections!$A601="","",IFERROR(INDEX(games!$B$2:$B$950,MATCH(connections!$A601,games!$A$2:$A$950,0)),""))</f>
        <v>2022</v>
      </c>
      <c r="U602">
        <f>IF(connections!$A601="","",IFERROR(INDEX(games!$B$2:$B$950,MATCH(connections!$B601,games!$A$2:$A$950,0)),""))</f>
        <v>2025</v>
      </c>
      <c r="V602">
        <f t="shared" si="129"/>
        <v>3</v>
      </c>
    </row>
    <row r="603" spans="1:22" x14ac:dyDescent="0.25">
      <c r="A603" t="str">
        <f>IF(games!$A603="","",games!$A603)</f>
        <v>Renowned Explorers: International Society</v>
      </c>
      <c r="B603">
        <f>IF($A603="","",games!$B603)</f>
        <v>2015</v>
      </c>
      <c r="C603" t="str">
        <f>IF($A603="","",games!$C603)</f>
        <v>Strategy</v>
      </c>
      <c r="D603">
        <f>IF($A603="","",COUNTIF(connections!$A$2:$A$1496,$A603)+COUNTIF(connections!$B$2:$B$1496,$A603))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IF(connections!$A602="","",IFERROR(INDEX(games!$B$2:$B$950,MATCH(connections!$A602,games!$A$2:$A$950,0)),""))</f>
        <v>2022</v>
      </c>
      <c r="U603">
        <f>IF(connections!$A602="","",IFERROR(INDEX(games!$B$2:$B$950,MATCH(connections!$B602,games!$A$2:$A$950,0)),""))</f>
        <v>2026</v>
      </c>
      <c r="V603">
        <f t="shared" si="129"/>
        <v>4</v>
      </c>
    </row>
    <row r="604" spans="1:22" x14ac:dyDescent="0.25">
      <c r="A604" t="str">
        <f>IF(games!$A604="","",games!$A604)</f>
        <v>Repetendium</v>
      </c>
      <c r="B604">
        <f>IF($A604="","",games!$B604)</f>
        <v>2022</v>
      </c>
      <c r="C604" t="str">
        <f>IF($A604="","",games!$C604)</f>
        <v>Action</v>
      </c>
      <c r="D604">
        <f>IF($A604="","",COUNTIF(connections!$A$2:$A$1496,$A604)+COUNTIF(connections!$B$2:$B$1496,$A604))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IF(connections!$A603="","",IFERROR(INDEX(games!$B$2:$B$950,MATCH(connections!$A603,games!$A$2:$A$950,0)),""))</f>
        <v>2017</v>
      </c>
      <c r="U604">
        <f>IF(connections!$A603="","",IFERROR(INDEX(games!$B$2:$B$950,MATCH(connections!$B603,games!$A$2:$A$950,0)),""))</f>
        <v>2026</v>
      </c>
      <c r="V604">
        <f t="shared" si="129"/>
        <v>9</v>
      </c>
    </row>
    <row r="605" spans="1:22" x14ac:dyDescent="0.25">
      <c r="A605" t="str">
        <f>IF(games!$A605="","",games!$A605)</f>
        <v>Replicat</v>
      </c>
      <c r="B605">
        <f>IF($A605="","",games!$B605)</f>
        <v>2025</v>
      </c>
      <c r="C605" t="str">
        <f>IF($A605="","",games!$C605)</f>
        <v>Deckbuilder</v>
      </c>
      <c r="D605">
        <f>IF($A605="","",COUNTIF(connections!$A$2:$A$1496,$A605)+COUNTIF(connections!$B$2:$B$1496,$A605))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IF(connections!$A604="","",IFERROR(INDEX(games!$B$2:$B$950,MATCH(connections!$A604,games!$A$2:$A$950,0)),""))</f>
        <v>2019</v>
      </c>
      <c r="U605">
        <f>IF(connections!$A604="","",IFERROR(INDEX(games!$B$2:$B$950,MATCH(connections!$B604,games!$A$2:$A$950,0)),""))</f>
        <v>2023</v>
      </c>
      <c r="V605">
        <f t="shared" si="129"/>
        <v>4</v>
      </c>
    </row>
    <row r="606" spans="1:22" x14ac:dyDescent="0.25">
      <c r="A606" t="str">
        <f>IF(games!$A606="","",games!$A606)</f>
        <v>Return to Abyss</v>
      </c>
      <c r="B606">
        <f>IF($A606="","",games!$B606)</f>
        <v>2023</v>
      </c>
      <c r="C606" t="str">
        <f>IF($A606="","",games!$C606)</f>
        <v>Action</v>
      </c>
      <c r="D606">
        <f>IF($A606="","",COUNTIF(connections!$A$2:$A$1496,$A606)+COUNTIF(connections!$B$2:$B$1496,$A606))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IF(connections!$A605="","",IFERROR(INDEX(games!$B$2:$B$950,MATCH(connections!$A605,games!$A$2:$A$950,0)),""))</f>
        <v>2021</v>
      </c>
      <c r="U606">
        <f>IF(connections!$A605="","",IFERROR(INDEX(games!$B$2:$B$950,MATCH(connections!$B605,games!$A$2:$A$950,0)),""))</f>
        <v>2023</v>
      </c>
      <c r="V606">
        <f t="shared" si="129"/>
        <v>2</v>
      </c>
    </row>
    <row r="607" spans="1:22" x14ac:dyDescent="0.25">
      <c r="A607" t="str">
        <f>IF(games!$A607="","",games!$A607)</f>
        <v>Returnal</v>
      </c>
      <c r="B607">
        <f>IF($A607="","",games!$B607)</f>
        <v>2023</v>
      </c>
      <c r="C607" t="str">
        <f>IF($A607="","",games!$C607)</f>
        <v>Action</v>
      </c>
      <c r="D607">
        <f>IF($A607="","",COUNTIF(connections!$A$2:$A$1496,$A607)+COUNTIF(connections!$B$2:$B$1496,$A607))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IF(connections!$A606="","",IFERROR(INDEX(games!$B$2:$B$950,MATCH(connections!$A606,games!$A$2:$A$950,0)),""))</f>
        <v>1993</v>
      </c>
      <c r="U607">
        <f>IF(connections!$A606="","",IFERROR(INDEX(games!$B$2:$B$950,MATCH(connections!$B606,games!$A$2:$A$950,0)),""))</f>
        <v>2026</v>
      </c>
      <c r="V607">
        <f t="shared" si="129"/>
        <v>33</v>
      </c>
    </row>
    <row r="608" spans="1:22" x14ac:dyDescent="0.25">
      <c r="A608" t="str">
        <f>IF(games!$A608="","",games!$A608)</f>
        <v>Revita</v>
      </c>
      <c r="B608">
        <f>IF($A608="","",games!$B608)</f>
        <v>2021</v>
      </c>
      <c r="C608" t="str">
        <f>IF($A608="","",games!$C608)</f>
        <v>Action</v>
      </c>
      <c r="D608">
        <f>IF($A608="","",COUNTIF(connections!$A$2:$A$1496,$A608)+COUNTIF(connections!$B$2:$B$1496,$A608))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1995</v>
      </c>
      <c r="U608">
        <f>IF(connections!$A607="","",IFERROR(INDEX(games!$B$2:$B$950,MATCH(connections!$B607,games!$A$2:$A$950,0)),""))</f>
        <v>2025</v>
      </c>
      <c r="V608">
        <f t="shared" si="129"/>
        <v>30</v>
      </c>
    </row>
    <row r="609" spans="1:22" x14ac:dyDescent="0.25">
      <c r="A609" t="str">
        <f>IF(games!$A609="","",games!$A609)</f>
        <v>Rhythm Witch: Beat Death</v>
      </c>
      <c r="B609">
        <f>IF($A609="","",games!$B609)</f>
        <v>2025</v>
      </c>
      <c r="C609" t="str">
        <f>IF($A609="","",games!$C609)</f>
        <v>Action</v>
      </c>
      <c r="D609">
        <f>IF($A609="","",COUNTIF(connections!$A$2:$A$1496,$A609)+COUNTIF(connections!$B$2:$B$1496,$A609))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1993</v>
      </c>
      <c r="U609">
        <f>IF(connections!$A608="","",IFERROR(INDEX(games!$B$2:$B$950,MATCH(connections!$B608,games!$A$2:$A$950,0)),""))</f>
        <v>2025</v>
      </c>
      <c r="V609">
        <f t="shared" si="129"/>
        <v>32</v>
      </c>
    </row>
    <row r="610" spans="1:22" x14ac:dyDescent="0.25">
      <c r="A610" t="str">
        <f>IF(games!$A610="","",games!$A610)</f>
        <v>Rift Wizard</v>
      </c>
      <c r="B610">
        <f>IF($A610="","",games!$B610)</f>
        <v>2020</v>
      </c>
      <c r="C610" t="str">
        <f>IF($A610="","",games!$C610)</f>
        <v>Traditional</v>
      </c>
      <c r="D610">
        <f>IF($A610="","",COUNTIF(connections!$A$2:$A$1496,$A610)+COUNTIF(connections!$B$2:$B$1496,$A610))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IF(connections!$A609="","",IFERROR(INDEX(games!$B$2:$B$950,MATCH(connections!$A609,games!$A$2:$A$950,0)),""))</f>
        <v>2023</v>
      </c>
      <c r="U610">
        <f>IF(connections!$A609="","",IFERROR(INDEX(games!$B$2:$B$950,MATCH(connections!$B609,games!$A$2:$A$950,0)),""))</f>
        <v>2026</v>
      </c>
      <c r="V610">
        <f t="shared" si="129"/>
        <v>3</v>
      </c>
    </row>
    <row r="611" spans="1:22" x14ac:dyDescent="0.25">
      <c r="A611" t="str">
        <f>IF(games!$A611="","",games!$A611)</f>
        <v>Rift Wizard 2</v>
      </c>
      <c r="B611">
        <f>IF($A611="","",games!$B611)</f>
        <v>2024</v>
      </c>
      <c r="C611" t="str">
        <f>IF($A611="","",games!$C611)</f>
        <v>Traditional</v>
      </c>
      <c r="D611">
        <f>IF($A611="","",COUNTIF(connections!$A$2:$A$1496,$A611)+COUNTIF(connections!$B$2:$B$1496,$A611))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IF(connections!$A610="","",IFERROR(INDEX(games!$B$2:$B$950,MATCH(connections!$A610,games!$A$2:$A$950,0)),""))</f>
        <v>2022</v>
      </c>
      <c r="U611">
        <f>IF(connections!$A610="","",IFERROR(INDEX(games!$B$2:$B$950,MATCH(connections!$B610,games!$A$2:$A$950,0)),""))</f>
        <v>2026</v>
      </c>
      <c r="V611">
        <f t="shared" si="129"/>
        <v>4</v>
      </c>
    </row>
    <row r="612" spans="1:22" x14ac:dyDescent="0.25">
      <c r="A612" t="str">
        <f>IF(games!$A612="","",games!$A612)</f>
        <v>Rift Wizard 3</v>
      </c>
      <c r="B612">
        <f>IF($A612="","",games!$B612)</f>
        <v>2026</v>
      </c>
      <c r="C612" t="str">
        <f>IF($A612="","",games!$C612)</f>
        <v>Traditional</v>
      </c>
      <c r="D612">
        <f>IF($A612="","",COUNTIF(connections!$A$2:$A$1496,$A612)+COUNTIF(connections!$B$2:$B$1496,$A612))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IF(connections!$A611="","",IFERROR(INDEX(games!$B$2:$B$950,MATCH(connections!$A611,games!$A$2:$A$950,0)),""))</f>
        <v>2023</v>
      </c>
      <c r="U612">
        <f>IF(connections!$A611="","",IFERROR(INDEX(games!$B$2:$B$950,MATCH(connections!$B611,games!$A$2:$A$950,0)),""))</f>
        <v>2026</v>
      </c>
      <c r="V612">
        <f t="shared" si="129"/>
        <v>3</v>
      </c>
    </row>
    <row r="613" spans="1:22" x14ac:dyDescent="0.25">
      <c r="A613" t="str">
        <f>IF(games!$A613="","",games!$A613)</f>
        <v>Rig Riot</v>
      </c>
      <c r="B613">
        <f>IF($A613="","",games!$B613)</f>
        <v>2026</v>
      </c>
      <c r="C613" t="str">
        <f>IF($A613="","",games!$C613)</f>
        <v>Action</v>
      </c>
      <c r="D613">
        <f>IF($A613="","",COUNTIF(connections!$A$2:$A$1496,$A613)+COUNTIF(connections!$B$2:$B$1496,$A613))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IF(connections!$A612="","",IFERROR(INDEX(games!$B$2:$B$950,MATCH(connections!$A612,games!$A$2:$A$950,0)),""))</f>
        <v>2014</v>
      </c>
      <c r="U613">
        <f>IF(connections!$A612="","",IFERROR(INDEX(games!$B$2:$B$950,MATCH(connections!$B612,games!$A$2:$A$950,0)),""))</f>
        <v>2026</v>
      </c>
      <c r="V613">
        <f t="shared" si="129"/>
        <v>12</v>
      </c>
    </row>
    <row r="614" spans="1:22" x14ac:dyDescent="0.25">
      <c r="A614" t="str">
        <f>IF(games!$A614="","",games!$A614)</f>
        <v>Right and Down</v>
      </c>
      <c r="B614">
        <f>IF($A614="","",games!$B614)</f>
        <v>2022</v>
      </c>
      <c r="C614" t="str">
        <f>IF($A614="","",games!$C614)</f>
        <v>Deckbuilder</v>
      </c>
      <c r="D614">
        <f>IF($A614="","",COUNTIF(connections!$A$2:$A$1496,$A614)+COUNTIF(connections!$B$2:$B$1496,$A614))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IF(connections!$A613="","",IFERROR(INDEX(games!$B$2:$B$950,MATCH(connections!$A613,games!$A$2:$A$950,0)),""))</f>
        <v>2017</v>
      </c>
      <c r="U614">
        <f>IF(connections!$A613="","",IFERROR(INDEX(games!$B$2:$B$950,MATCH(connections!$B613,games!$A$2:$A$950,0)),""))</f>
        <v>2026</v>
      </c>
      <c r="V614">
        <f t="shared" si="129"/>
        <v>9</v>
      </c>
    </row>
    <row r="615" spans="1:22" x14ac:dyDescent="0.25">
      <c r="A615" t="str">
        <f>IF(games!$A615="","",games!$A615)</f>
        <v>Ring of Pain</v>
      </c>
      <c r="B615">
        <f>IF($A615="","",games!$B615)</f>
        <v>2020</v>
      </c>
      <c r="C615" t="str">
        <f>IF($A615="","",games!$C615)</f>
        <v>Strategy</v>
      </c>
      <c r="D615">
        <f>IF($A615="","",COUNTIF(connections!$A$2:$A$1496,$A615)+COUNTIF(connections!$B$2:$B$1496,$A615))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2023</v>
      </c>
      <c r="U615">
        <f>IF(connections!$A614="","",IFERROR(INDEX(games!$B$2:$B$950,MATCH(connections!$B614,games!$A$2:$A$950,0)),""))</f>
        <v>2026</v>
      </c>
      <c r="V615">
        <f t="shared" si="129"/>
        <v>3</v>
      </c>
    </row>
    <row r="616" spans="1:22" x14ac:dyDescent="0.25">
      <c r="A616" t="str">
        <f>IF(games!$A616="","",games!$A616)</f>
        <v>Ringer</v>
      </c>
      <c r="B616">
        <f>IF($A616="","",games!$B616)</f>
        <v>2025</v>
      </c>
      <c r="C616" t="str">
        <f>IF($A616="","",games!$C616)</f>
        <v>Deckbuilder</v>
      </c>
      <c r="D616">
        <f>IF($A616="","",COUNTIF(connections!$A$2:$A$1496,$A616)+COUNTIF(connections!$B$2:$B$1496,$A616))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IF(connections!$A615="","",IFERROR(INDEX(games!$B$2:$B$950,MATCH(connections!$A615,games!$A$2:$A$950,0)),""))</f>
        <v>2021</v>
      </c>
      <c r="U616">
        <f>IF(connections!$A615="","",IFERROR(INDEX(games!$B$2:$B$950,MATCH(connections!$B615,games!$A$2:$A$950,0)),""))</f>
        <v>2026</v>
      </c>
      <c r="V616">
        <f t="shared" si="129"/>
        <v>5</v>
      </c>
    </row>
    <row r="617" spans="1:22" x14ac:dyDescent="0.25">
      <c r="A617" t="str">
        <f>IF(games!$A617="","",games!$A617)</f>
        <v>Riptale</v>
      </c>
      <c r="B617">
        <f>IF($A617="","",games!$B617)</f>
        <v>2017</v>
      </c>
      <c r="C617" t="str">
        <f>IF($A617="","",games!$C617)</f>
        <v>Action</v>
      </c>
      <c r="D617">
        <f>IF($A617="","",COUNTIF(connections!$A$2:$A$1496,$A617)+COUNTIF(connections!$B$2:$B$1496,$A617))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1994</v>
      </c>
      <c r="U617">
        <f>IF(connections!$A616="","",IFERROR(INDEX(games!$B$2:$B$950,MATCH(connections!$B616,games!$A$2:$A$950,0)),""))</f>
        <v>2012</v>
      </c>
      <c r="V617">
        <f t="shared" si="129"/>
        <v>18</v>
      </c>
    </row>
    <row r="618" spans="1:22" x14ac:dyDescent="0.25">
      <c r="A618" t="str">
        <f>IF(games!$A618="","",games!$A618)</f>
        <v>Risk of Rain</v>
      </c>
      <c r="B618">
        <f>IF($A618="","",games!$B618)</f>
        <v>2013</v>
      </c>
      <c r="C618" t="str">
        <f>IF($A618="","",games!$C618)</f>
        <v>Action</v>
      </c>
      <c r="D618">
        <f>IF($A618="","",COUNTIF(connections!$A$2:$A$1496,$A618)+COUNTIF(connections!$B$2:$B$1496,$A618))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IF(connections!$A617="","",IFERROR(INDEX(games!$B$2:$B$950,MATCH(connections!$A617,games!$A$2:$A$950,0)),""))</f>
        <v>2015</v>
      </c>
      <c r="U618">
        <f>IF(connections!$A617="","",IFERROR(INDEX(games!$B$2:$B$950,MATCH(connections!$B617,games!$A$2:$A$950,0)),""))</f>
        <v>2012</v>
      </c>
      <c r="V618">
        <f t="shared" si="129"/>
        <v>-3</v>
      </c>
    </row>
    <row r="619" spans="1:22" x14ac:dyDescent="0.25">
      <c r="A619" t="str">
        <f>IF(games!$A619="","",games!$A619)</f>
        <v>Risk of Rain 2</v>
      </c>
      <c r="B619">
        <f>IF($A619="","",games!$B619)</f>
        <v>2020</v>
      </c>
      <c r="C619" t="str">
        <f>IF($A619="","",games!$C619)</f>
        <v>Action</v>
      </c>
      <c r="D619">
        <f>IF($A619="","",COUNTIF(connections!$A$2:$A$1496,$A619)+COUNTIF(connections!$B$2:$B$1496,$A619))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IF(connections!$A618="","",IFERROR(INDEX(games!$B$2:$B$950,MATCH(connections!$A618,games!$A$2:$A$950,0)),""))</f>
        <v>2013</v>
      </c>
      <c r="U619">
        <f>IF(connections!$A618="","",IFERROR(INDEX(games!$B$2:$B$950,MATCH(connections!$B618,games!$A$2:$A$950,0)),""))</f>
        <v>2012</v>
      </c>
      <c r="V619">
        <f t="shared" si="129"/>
        <v>-1</v>
      </c>
    </row>
    <row r="620" spans="1:22" x14ac:dyDescent="0.25">
      <c r="A620" t="str">
        <f>IF(games!$A620="","",games!$A620)</f>
        <v>Risk of Rain Returns</v>
      </c>
      <c r="B620">
        <f>IF($A620="","",games!$B620)</f>
        <v>2023</v>
      </c>
      <c r="C620" t="str">
        <f>IF($A620="","",games!$C620)</f>
        <v>Action</v>
      </c>
      <c r="D620">
        <f>IF($A620="","",COUNTIF(connections!$A$2:$A$1496,$A620)+COUNTIF(connections!$B$2:$B$1496,$A620))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IF(connections!$A619="","",IFERROR(INDEX(games!$B$2:$B$950,MATCH(connections!$A619,games!$A$2:$A$950,0)),""))</f>
        <v>1987</v>
      </c>
      <c r="U620">
        <f>IF(connections!$A619="","",IFERROR(INDEX(games!$B$2:$B$950,MATCH(connections!$B619,games!$A$2:$A$950,0)),""))</f>
        <v>2012</v>
      </c>
      <c r="V620">
        <f t="shared" si="129"/>
        <v>25</v>
      </c>
    </row>
    <row r="621" spans="1:22" x14ac:dyDescent="0.25">
      <c r="A621" t="str">
        <f>IF(games!$A621="","",games!$A621)</f>
        <v>Road Not Taken</v>
      </c>
      <c r="B621">
        <f>IF($A621="","",games!$B621)</f>
        <v>2014</v>
      </c>
      <c r="C621" t="str">
        <f>IF($A621="","",games!$C621)</f>
        <v>Strategy</v>
      </c>
      <c r="D621">
        <f>IF($A621="","",COUNTIF(connections!$A$2:$A$1496,$A621)+COUNTIF(connections!$B$2:$B$1496,$A621))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IF(connections!$A620="","",IFERROR(INDEX(games!$B$2:$B$950,MATCH(connections!$A620,games!$A$2:$A$950,0)),""))</f>
        <v>1992</v>
      </c>
      <c r="U621">
        <f>IF(connections!$A620="","",IFERROR(INDEX(games!$B$2:$B$950,MATCH(connections!$B620,games!$A$2:$A$950,0)),""))</f>
        <v>2012</v>
      </c>
      <c r="V621">
        <f t="shared" si="129"/>
        <v>20</v>
      </c>
    </row>
    <row r="622" spans="1:22" x14ac:dyDescent="0.25">
      <c r="A622" t="str">
        <f>IF(games!$A622="","",games!$A622)</f>
        <v>Roboquest</v>
      </c>
      <c r="B622">
        <f>IF($A622="","",games!$B622)</f>
        <v>2020</v>
      </c>
      <c r="C622" t="str">
        <f>IF($A622="","",games!$C622)</f>
        <v>Action</v>
      </c>
      <c r="D622">
        <f>IF($A622="","",COUNTIF(connections!$A$2:$A$1496,$A622)+COUNTIF(connections!$B$2:$B$1496,$A622))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IF(connections!$A621="","",IFERROR(INDEX(games!$B$2:$B$950,MATCH(connections!$A621,games!$A$2:$A$950,0)),""))</f>
        <v>1980</v>
      </c>
      <c r="U622">
        <f>IF(connections!$A621="","",IFERROR(INDEX(games!$B$2:$B$950,MATCH(connections!$B621,games!$A$2:$A$950,0)),""))</f>
        <v>2012</v>
      </c>
      <c r="V622">
        <f t="shared" si="129"/>
        <v>32</v>
      </c>
    </row>
    <row r="623" spans="1:22" x14ac:dyDescent="0.25">
      <c r="A623" t="str">
        <f>IF(games!$A623="","",games!$A623)</f>
        <v>Rocket Rats</v>
      </c>
      <c r="B623">
        <f>IF($A623="","",games!$B623)</f>
        <v>2024</v>
      </c>
      <c r="C623" t="str">
        <f>IF($A623="","",games!$C623)</f>
        <v>Action</v>
      </c>
      <c r="D623">
        <f>IF($A623="","",COUNTIF(connections!$A$2:$A$1496,$A623)+COUNTIF(connections!$B$2:$B$1496,$A623))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2021</v>
      </c>
      <c r="U623">
        <f>IF(connections!$A622="","",IFERROR(INDEX(games!$B$2:$B$950,MATCH(connections!$B622,games!$A$2:$A$950,0)),""))</f>
        <v>2025</v>
      </c>
      <c r="V623">
        <f t="shared" si="129"/>
        <v>4</v>
      </c>
    </row>
    <row r="624" spans="1:22" x14ac:dyDescent="0.25">
      <c r="A624" t="str">
        <f>IF(games!$A624="","",games!$A624)</f>
        <v>Rogue</v>
      </c>
      <c r="B624">
        <f>IF($A624="","",games!$B624)</f>
        <v>1980</v>
      </c>
      <c r="C624" t="str">
        <f>IF($A624="","",games!$C624)</f>
        <v>Traditional</v>
      </c>
      <c r="D624">
        <f>IF($A624="","",COUNTIF(connections!$A$2:$A$1496,$A624)+COUNTIF(connections!$B$2:$B$1496,$A624))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IF(connections!$A623="","",IFERROR(INDEX(games!$B$2:$B$950,MATCH(connections!$A623,games!$A$2:$A$950,0)),""))</f>
        <v>2010</v>
      </c>
      <c r="U624">
        <f>IF(connections!$A623="","",IFERROR(INDEX(games!$B$2:$B$950,MATCH(connections!$B623,games!$A$2:$A$950,0)),""))</f>
        <v>2017</v>
      </c>
      <c r="V624">
        <f t="shared" si="129"/>
        <v>7</v>
      </c>
    </row>
    <row r="625" spans="1:22" x14ac:dyDescent="0.25">
      <c r="A625" t="str">
        <f>IF(games!$A625="","",games!$A625)</f>
        <v>Rogue Command</v>
      </c>
      <c r="B625">
        <f>IF($A625="","",games!$B625)</f>
        <v>2024</v>
      </c>
      <c r="C625" t="str">
        <f>IF($A625="","",games!$C625)</f>
        <v>Strategy</v>
      </c>
      <c r="D625">
        <f>IF($A625="","",COUNTIF(connections!$A$2:$A$1496,$A625)+COUNTIF(connections!$B$2:$B$1496,$A625))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IF(connections!$A624="","",IFERROR(INDEX(games!$B$2:$B$950,MATCH(connections!$A624,games!$A$2:$A$950,0)),""))</f>
        <v>2011</v>
      </c>
      <c r="U625">
        <f>IF(connections!$A624="","",IFERROR(INDEX(games!$B$2:$B$950,MATCH(connections!$B624,games!$A$2:$A$950,0)),""))</f>
        <v>2017</v>
      </c>
      <c r="V625">
        <f t="shared" si="129"/>
        <v>6</v>
      </c>
    </row>
    <row r="626" spans="1:22" x14ac:dyDescent="0.25">
      <c r="A626" t="str">
        <f>IF(games!$A626="","",games!$A626)</f>
        <v>Rogue Empire</v>
      </c>
      <c r="B626">
        <f>IF($A626="","",games!$B626)</f>
        <v>2019</v>
      </c>
      <c r="C626" t="str">
        <f>IF($A626="","",games!$C626)</f>
        <v>Traditional</v>
      </c>
      <c r="D626">
        <f>IF($A626="","",COUNTIF(connections!$A$2:$A$1496,$A626)+COUNTIF(connections!$B$2:$B$1496,$A626))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IF(connections!$A625="","",IFERROR(INDEX(games!$B$2:$B$950,MATCH(connections!$A625,games!$A$2:$A$950,0)),""))</f>
        <v>2001</v>
      </c>
      <c r="U626">
        <f>IF(connections!$A625="","",IFERROR(INDEX(games!$B$2:$B$950,MATCH(connections!$B625,games!$A$2:$A$950,0)),""))</f>
        <v>2017</v>
      </c>
      <c r="V626">
        <f t="shared" si="129"/>
        <v>16</v>
      </c>
    </row>
    <row r="627" spans="1:22" x14ac:dyDescent="0.25">
      <c r="A627" t="str">
        <f>IF(games!$A627="","",games!$A627)</f>
        <v>Rogue Factory</v>
      </c>
      <c r="B627">
        <f>IF($A627="","",games!$B627)</f>
        <v>2026</v>
      </c>
      <c r="C627" t="str">
        <f>IF($A627="","",games!$C627)</f>
        <v>Action</v>
      </c>
      <c r="D627">
        <f>IF($A627="","",COUNTIF(connections!$A$2:$A$1496,$A627)+COUNTIF(connections!$B$2:$B$1496,$A627))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IF(connections!$A626="","",IFERROR(INDEX(games!$B$2:$B$950,MATCH(connections!$A626,games!$A$2:$A$950,0)),""))</f>
        <v>2021</v>
      </c>
      <c r="U627">
        <f>IF(connections!$A626="","",IFERROR(INDEX(games!$B$2:$B$950,MATCH(connections!$B626,games!$A$2:$A$950,0)),""))</f>
        <v>2022</v>
      </c>
      <c r="V627">
        <f t="shared" si="129"/>
        <v>1</v>
      </c>
    </row>
    <row r="628" spans="1:22" x14ac:dyDescent="0.25">
      <c r="A628" t="str">
        <f>IF(games!$A628="","",games!$A628)</f>
        <v>Rogue Flight</v>
      </c>
      <c r="B628">
        <f>IF($A628="","",games!$B628)</f>
        <v>2024</v>
      </c>
      <c r="C628" t="str">
        <f>IF($A628="","",games!$C628)</f>
        <v>Action</v>
      </c>
      <c r="D628">
        <f>IF($A628="","",COUNTIF(connections!$A$2:$A$1496,$A628)+COUNTIF(connections!$B$2:$B$1496,$A628))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IF(connections!$A627="","",IFERROR(INDEX(games!$B$2:$B$950,MATCH(connections!$A627,games!$A$2:$A$950,0)),""))</f>
        <v>2016</v>
      </c>
      <c r="U628">
        <f>IF(connections!$A627="","",IFERROR(INDEX(games!$B$2:$B$950,MATCH(connections!$B627,games!$A$2:$A$950,0)),""))</f>
        <v>2017</v>
      </c>
      <c r="V628">
        <f t="shared" si="129"/>
        <v>1</v>
      </c>
    </row>
    <row r="629" spans="1:22" x14ac:dyDescent="0.25">
      <c r="A629" t="str">
        <f>IF(games!$A629="","",games!$A629)</f>
        <v>Rogue Hearts Dungeon</v>
      </c>
      <c r="B629">
        <f>IF($A629="","",games!$B629)</f>
        <v>2007</v>
      </c>
      <c r="C629" t="str">
        <f>IF($A629="","",games!$C629)</f>
        <v>Traditional</v>
      </c>
      <c r="D629">
        <f>IF($A629="","",COUNTIF(connections!$A$2:$A$1496,$A629)+COUNTIF(connections!$B$2:$B$1496,$A629))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IF(connections!$A628="","",IFERROR(INDEX(games!$B$2:$B$950,MATCH(connections!$A628,games!$A$2:$A$950,0)),""))</f>
        <v>2013</v>
      </c>
      <c r="U629">
        <f>IF(connections!$A628="","",IFERROR(INDEX(games!$B$2:$B$950,MATCH(connections!$B628,games!$A$2:$A$950,0)),""))</f>
        <v>2017</v>
      </c>
      <c r="V629">
        <f t="shared" si="129"/>
        <v>4</v>
      </c>
    </row>
    <row r="630" spans="1:22" x14ac:dyDescent="0.25">
      <c r="A630" t="str">
        <f>IF(games!$A630="","",games!$A630)</f>
        <v>Rogue Heroes: Ruins of Tasos</v>
      </c>
      <c r="B630">
        <f>IF($A630="","",games!$B630)</f>
        <v>2021</v>
      </c>
      <c r="C630" t="str">
        <f>IF($A630="","",games!$C630)</f>
        <v>Action</v>
      </c>
      <c r="D630">
        <f>IF($A630="","",COUNTIF(connections!$A$2:$A$1496,$A630)+COUNTIF(connections!$B$2:$B$1496,$A630))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IF(connections!$A629="","",IFERROR(INDEX(games!$B$2:$B$950,MATCH(connections!$A629,games!$A$2:$A$950,0)),""))</f>
        <v>2008</v>
      </c>
      <c r="U630">
        <f>IF(connections!$A629="","",IFERROR(INDEX(games!$B$2:$B$950,MATCH(connections!$B629,games!$A$2:$A$950,0)),""))</f>
        <v>2017</v>
      </c>
      <c r="V630">
        <f t="shared" si="129"/>
        <v>9</v>
      </c>
    </row>
    <row r="631" spans="1:22" x14ac:dyDescent="0.25">
      <c r="A631" t="str">
        <f>IF(games!$A631="","",games!$A631)</f>
        <v>Rogue Legacy</v>
      </c>
      <c r="B631">
        <f>IF($A631="","",games!$B631)</f>
        <v>2013</v>
      </c>
      <c r="C631" t="str">
        <f>IF($A631="","",games!$C631)</f>
        <v>Action</v>
      </c>
      <c r="D631">
        <f>IF($A631="","",COUNTIF(connections!$A$2:$A$1496,$A631)+COUNTIF(connections!$B$2:$B$1496,$A631))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IF(connections!$A630="","",IFERROR(INDEX(games!$B$2:$B$950,MATCH(connections!$A630,games!$A$2:$A$950,0)),""))</f>
        <v>2014</v>
      </c>
      <c r="U631">
        <f>IF(connections!$A630="","",IFERROR(INDEX(games!$B$2:$B$950,MATCH(connections!$B630,games!$A$2:$A$950,0)),""))</f>
        <v>2017</v>
      </c>
      <c r="V631">
        <f t="shared" si="129"/>
        <v>3</v>
      </c>
    </row>
    <row r="632" spans="1:22" x14ac:dyDescent="0.25">
      <c r="A632" t="str">
        <f>IF(games!$A632="","",games!$A632)</f>
        <v>Rogue Legacy 2</v>
      </c>
      <c r="B632">
        <f>IF($A632="","",games!$B632)</f>
        <v>2020</v>
      </c>
      <c r="C632" t="str">
        <f>IF($A632="","",games!$C632)</f>
        <v>Action</v>
      </c>
      <c r="D632">
        <f>IF($A632="","",COUNTIF(connections!$A$2:$A$1496,$A632)+COUNTIF(connections!$B$2:$B$1496,$A632))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IF(connections!$A631="","",IFERROR(INDEX(games!$B$2:$B$950,MATCH(connections!$A631,games!$A$2:$A$950,0)),""))</f>
        <v>2013</v>
      </c>
      <c r="U632">
        <f>IF(connections!$A631="","",IFERROR(INDEX(games!$B$2:$B$950,MATCH(connections!$B631,games!$A$2:$A$950,0)),""))</f>
        <v>2016</v>
      </c>
      <c r="V632">
        <f t="shared" si="129"/>
        <v>3</v>
      </c>
    </row>
    <row r="633" spans="1:22" x14ac:dyDescent="0.25">
      <c r="A633" t="str">
        <f>IF(games!$A633="","",games!$A633)</f>
        <v>Rogue Lords</v>
      </c>
      <c r="B633">
        <f>IF($A633="","",games!$B633)</f>
        <v>2021</v>
      </c>
      <c r="C633" t="str">
        <f>IF($A633="","",games!$C633)</f>
        <v>Strategy</v>
      </c>
      <c r="D633">
        <f>IF($A633="","",COUNTIF(connections!$A$2:$A$1496,$A633)+COUNTIF(connections!$B$2:$B$1496,$A633))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1994</v>
      </c>
      <c r="U633">
        <f>IF(connections!$A632="","",IFERROR(INDEX(games!$B$2:$B$950,MATCH(connections!$B632,games!$A$2:$A$950,0)),""))</f>
        <v>2007</v>
      </c>
      <c r="V633">
        <f t="shared" si="129"/>
        <v>13</v>
      </c>
    </row>
    <row r="634" spans="1:22" x14ac:dyDescent="0.25">
      <c r="A634" t="str">
        <f>IF(games!$A634="","",games!$A634)</f>
        <v>Rogue Tower</v>
      </c>
      <c r="B634">
        <f>IF($A634="","",games!$B634)</f>
        <v>2022</v>
      </c>
      <c r="C634" t="str">
        <f>IF($A634="","",games!$C634)</f>
        <v>Strategy</v>
      </c>
      <c r="D634">
        <f>IF($A634="","",COUNTIF(connections!$A$2:$A$1496,$A634)+COUNTIF(connections!$B$2:$B$1496,$A634))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IF(connections!$A633="","",IFERROR(INDEX(games!$B$2:$B$950,MATCH(connections!$A633,games!$A$2:$A$950,0)),""))</f>
        <v>1990</v>
      </c>
      <c r="U634">
        <f>IF(connections!$A633="","",IFERROR(INDEX(games!$B$2:$B$950,MATCH(connections!$B633,games!$A$2:$A$950,0)),""))</f>
        <v>2007</v>
      </c>
      <c r="V634">
        <f t="shared" si="129"/>
        <v>17</v>
      </c>
    </row>
    <row r="635" spans="1:22" x14ac:dyDescent="0.25">
      <c r="A635" t="str">
        <f>IF(games!$A635="","",games!$A635)</f>
        <v>Rogue Voltage</v>
      </c>
      <c r="B635">
        <f>IF($A635="","",games!$B635)</f>
        <v>2024</v>
      </c>
      <c r="C635" t="str">
        <f>IF($A635="","",games!$C635)</f>
        <v>Deckbuilder</v>
      </c>
      <c r="D635">
        <f>IF($A635="","",COUNTIF(connections!$A$2:$A$1496,$A635)+COUNTIF(connections!$B$2:$B$1496,$A635))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IF(connections!$A634="","",IFERROR(INDEX(games!$B$2:$B$950,MATCH(connections!$A634,games!$A$2:$A$950,0)),""))</f>
        <v>1987</v>
      </c>
      <c r="U635">
        <f>IF(connections!$A634="","",IFERROR(INDEX(games!$B$2:$B$950,MATCH(connections!$B634,games!$A$2:$A$950,0)),""))</f>
        <v>2007</v>
      </c>
      <c r="V635">
        <f t="shared" si="129"/>
        <v>20</v>
      </c>
    </row>
    <row r="636" spans="1:22" x14ac:dyDescent="0.25">
      <c r="A636" t="str">
        <f>IF(games!$A636="","",games!$A636)</f>
        <v>Rogue Wizards</v>
      </c>
      <c r="B636">
        <f>IF($A636="","",games!$B636)</f>
        <v>2016</v>
      </c>
      <c r="C636" t="str">
        <f>IF($A636="","",games!$C636)</f>
        <v>Strategy</v>
      </c>
      <c r="D636">
        <f>IF($A636="","",COUNTIF(connections!$A$2:$A$1496,$A636)+COUNTIF(connections!$B$2:$B$1496,$A636))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1987</v>
      </c>
      <c r="U636">
        <f>IF(connections!$A635="","",IFERROR(INDEX(games!$B$2:$B$950,MATCH(connections!$B635,games!$A$2:$A$950,0)),""))</f>
        <v>2007</v>
      </c>
      <c r="V636">
        <f t="shared" si="129"/>
        <v>20</v>
      </c>
    </row>
    <row r="637" spans="1:22" x14ac:dyDescent="0.25">
      <c r="A637" t="str">
        <f>IF(games!$A637="","",games!$A637)</f>
        <v>Rogue: Genesia</v>
      </c>
      <c r="B637">
        <f>IF($A637="","",games!$B637)</f>
        <v>2022</v>
      </c>
      <c r="C637" t="str">
        <f>IF($A637="","",games!$C637)</f>
        <v>Action</v>
      </c>
      <c r="D637">
        <f>IF($A637="","",COUNTIF(connections!$A$2:$A$1496,$A637)+COUNTIF(connections!$B$2:$B$1496,$A637))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IF(connections!$A636="","",IFERROR(INDEX(games!$B$2:$B$950,MATCH(connections!$A636,games!$A$2:$A$950,0)),""))</f>
        <v>1998</v>
      </c>
      <c r="U637">
        <f>IF(connections!$A636="","",IFERROR(INDEX(games!$B$2:$B$950,MATCH(connections!$B636,games!$A$2:$A$950,0)),""))</f>
        <v>2007</v>
      </c>
      <c r="V637">
        <f t="shared" si="129"/>
        <v>9</v>
      </c>
    </row>
    <row r="638" spans="1:22" x14ac:dyDescent="0.25">
      <c r="A638" t="str">
        <f>IF(games!$A638="","",games!$A638)</f>
        <v>Roguebook</v>
      </c>
      <c r="B638">
        <f>IF($A638="","",games!$B638)</f>
        <v>2021</v>
      </c>
      <c r="C638" t="str">
        <f>IF($A638="","",games!$C638)</f>
        <v>Deckbuilder</v>
      </c>
      <c r="D638">
        <f>IF($A638="","",COUNTIF(connections!$A$2:$A$1496,$A638)+COUNTIF(connections!$B$2:$B$1496,$A638))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IF(connections!$A637="","",IFERROR(INDEX(games!$B$2:$B$950,MATCH(connections!$A637,games!$A$2:$A$950,0)),""))</f>
        <v>2005</v>
      </c>
      <c r="U638">
        <f>IF(connections!$A637="","",IFERROR(INDEX(games!$B$2:$B$950,MATCH(connections!$B637,games!$A$2:$A$950,0)),""))</f>
        <v>2015</v>
      </c>
      <c r="V638">
        <f t="shared" si="129"/>
        <v>10</v>
      </c>
    </row>
    <row r="639" spans="1:22" x14ac:dyDescent="0.25">
      <c r="A639" t="str">
        <f>IF(games!$A639="","",games!$A639)</f>
        <v>Rogue-Fp</v>
      </c>
      <c r="B639">
        <f>IF($A639="","",games!$B639)</f>
        <v>2023</v>
      </c>
      <c r="C639" t="str">
        <f>IF($A639="","",games!$C639)</f>
        <v>Traditional</v>
      </c>
      <c r="D639">
        <f>IF($A639="","",COUNTIF(connections!$A$2:$A$1496,$A639)+COUNTIF(connections!$B$2:$B$1496,$A639))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IF(connections!$A638="","",IFERROR(INDEX(games!$B$2:$B$950,MATCH(connections!$A638,games!$A$2:$A$950,0)),""))</f>
        <v>1990</v>
      </c>
      <c r="U639">
        <f>IF(connections!$A638="","",IFERROR(INDEX(games!$B$2:$B$950,MATCH(connections!$B638,games!$A$2:$A$950,0)),""))</f>
        <v>2011</v>
      </c>
      <c r="V639">
        <f t="shared" si="129"/>
        <v>21</v>
      </c>
    </row>
    <row r="640" spans="1:22" x14ac:dyDescent="0.25">
      <c r="A640" t="str">
        <f>IF(games!$A640="","",games!$A640)</f>
        <v>RogueJack21</v>
      </c>
      <c r="B640">
        <f>IF($A640="","",games!$B640)</f>
        <v>2026</v>
      </c>
      <c r="C640" t="str">
        <f>IF($A640="","",games!$C640)</f>
        <v>Deckbuilder</v>
      </c>
      <c r="D640">
        <f>IF($A640="","",COUNTIF(connections!$A$2:$A$1496,$A640)+COUNTIF(connections!$B$2:$B$1496,$A640))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2002</v>
      </c>
      <c r="U640">
        <f>IF(connections!$A639="","",IFERROR(INDEX(games!$B$2:$B$950,MATCH(connections!$B639,games!$A$2:$A$950,0)),""))</f>
        <v>2011</v>
      </c>
      <c r="V640">
        <f t="shared" si="129"/>
        <v>9</v>
      </c>
    </row>
    <row r="641" spans="1:22" x14ac:dyDescent="0.25">
      <c r="A641" t="str">
        <f>IF(games!$A641="","",games!$A641)</f>
        <v>Rogue's Tale</v>
      </c>
      <c r="B641">
        <f>IF($A641="","",games!$B641)</f>
        <v>2014</v>
      </c>
      <c r="C641" t="str">
        <f>IF($A641="","",games!$C641)</f>
        <v>Traditional</v>
      </c>
      <c r="D641">
        <f>IF($A641="","",COUNTIF(connections!$A$2:$A$1496,$A641)+COUNTIF(connections!$B$2:$B$1496,$A641))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IF(connections!$A640="","",IFERROR(INDEX(games!$B$2:$B$950,MATCH(connections!$A640,games!$A$2:$A$950,0)),""))</f>
        <v>1980</v>
      </c>
      <c r="U641">
        <f>IF(connections!$A640="","",IFERROR(INDEX(games!$B$2:$B$950,MATCH(connections!$B640,games!$A$2:$A$950,0)),""))</f>
        <v>2011</v>
      </c>
      <c r="V641">
        <f t="shared" si="129"/>
        <v>31</v>
      </c>
    </row>
    <row r="642" spans="1:22" x14ac:dyDescent="0.25">
      <c r="A642" t="str">
        <f>IF(games!$A642="","",games!$A642)</f>
        <v>RogueSlide</v>
      </c>
      <c r="B642">
        <f>IF($A642="","",games!$B642)</f>
        <v>2022</v>
      </c>
      <c r="C642" t="str">
        <f>IF($A642="","",games!$C642)</f>
        <v>Strategy</v>
      </c>
      <c r="D642">
        <f>IF($A642="","",COUNTIF(connections!$A$2:$A$1496,$A642)+COUNTIF(connections!$B$2:$B$1496,$A642))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IF(connections!$A641="","",IFERROR(INDEX(games!$B$2:$B$950,MATCH(connections!$A641,games!$A$2:$A$950,0)),""))</f>
        <v>2020</v>
      </c>
      <c r="U642">
        <f>IF(connections!$A641="","",IFERROR(INDEX(games!$B$2:$B$950,MATCH(connections!$B641,games!$A$2:$A$950,0)),""))</f>
        <v>2023</v>
      </c>
      <c r="V642">
        <f t="shared" ref="V642:V705" si="142">IF(OR($T642="",$U642=""),"",$U642-$T642)</f>
        <v>3</v>
      </c>
    </row>
    <row r="643" spans="1:22" x14ac:dyDescent="0.25">
      <c r="A643" t="str">
        <f>IF(games!$A643="","",games!$A643)</f>
        <v>Roll</v>
      </c>
      <c r="B643">
        <f>IF($A643="","",games!$B643)</f>
        <v>2021</v>
      </c>
      <c r="C643" t="str">
        <f>IF($A643="","",games!$C643)</f>
        <v>Strategy</v>
      </c>
      <c r="D643">
        <f>IF($A643="","",COUNTIF(connections!$A$2:$A$1496,$A643)+COUNTIF(connections!$B$2:$B$1496,$A643))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2014</v>
      </c>
      <c r="U643">
        <f>IF(connections!$A642="","",IFERROR(INDEX(games!$B$2:$B$950,MATCH(connections!$B642,games!$A$2:$A$950,0)),""))</f>
        <v>2025</v>
      </c>
      <c r="V643">
        <f t="shared" si="142"/>
        <v>11</v>
      </c>
    </row>
    <row r="644" spans="1:22" x14ac:dyDescent="0.25">
      <c r="A644" t="str">
        <f>IF(games!$A644="","",games!$A644)</f>
        <v>RollScape</v>
      </c>
      <c r="B644">
        <f>IF($A644="","",games!$B644)</f>
        <v>2024</v>
      </c>
      <c r="C644" t="str">
        <f>IF($A644="","",games!$C644)</f>
        <v>Strategy</v>
      </c>
      <c r="D644">
        <f>IF($A644="","",COUNTIF(connections!$A$2:$A$1496,$A644)+COUNTIF(connections!$B$2:$B$1496,$A644))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IF(connections!$A643="","",IFERROR(INDEX(games!$B$2:$B$950,MATCH(connections!$A643,games!$A$2:$A$950,0)),""))</f>
        <v>2021</v>
      </c>
      <c r="U644">
        <f>IF(connections!$A643="","",IFERROR(INDEX(games!$B$2:$B$950,MATCH(connections!$B643,games!$A$2:$A$950,0)),""))</f>
        <v>2025</v>
      </c>
      <c r="V644">
        <f t="shared" si="142"/>
        <v>4</v>
      </c>
    </row>
    <row r="645" spans="1:22" x14ac:dyDescent="0.25">
      <c r="A645" t="str">
        <f>IF(games!$A645="","",games!$A645)</f>
        <v>Roulette Dungeon</v>
      </c>
      <c r="B645">
        <f>IF($A645="","",games!$B645)</f>
        <v>2026</v>
      </c>
      <c r="C645" t="str">
        <f>IF($A645="","",games!$C645)</f>
        <v>Deckbuilder</v>
      </c>
      <c r="D645">
        <f>IF($A645="","",COUNTIF(connections!$A$2:$A$1496,$A645)+COUNTIF(connections!$B$2:$B$1496,$A645))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IF(connections!$A644="","",IFERROR(INDEX(games!$B$2:$B$950,MATCH(connections!$A644,games!$A$2:$A$950,0)),""))</f>
        <v>2020</v>
      </c>
      <c r="U645">
        <f>IF(connections!$A644="","",IFERROR(INDEX(games!$B$2:$B$950,MATCH(connections!$B644,games!$A$2:$A$950,0)),""))</f>
        <v>2021</v>
      </c>
      <c r="V645">
        <f t="shared" si="142"/>
        <v>1</v>
      </c>
    </row>
    <row r="646" spans="1:22" x14ac:dyDescent="0.25">
      <c r="A646" t="str">
        <f>IF(games!$A646="","",games!$A646)</f>
        <v>Roulette Hero</v>
      </c>
      <c r="B646">
        <f>IF($A646="","",games!$B646)</f>
        <v>2025</v>
      </c>
      <c r="C646" t="str">
        <f>IF($A646="","",games!$C646)</f>
        <v>Deckbuilder</v>
      </c>
      <c r="D646">
        <f>IF($A646="","",COUNTIF(connections!$A$2:$A$1496,$A646)+COUNTIF(connections!$B$2:$B$1496,$A646))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IF(connections!$A645="","",IFERROR(INDEX(games!$B$2:$B$950,MATCH(connections!$A645,games!$A$2:$A$950,0)),""))</f>
        <v>2017</v>
      </c>
      <c r="U646">
        <f>IF(connections!$A645="","",IFERROR(INDEX(games!$B$2:$B$950,MATCH(connections!$B645,games!$A$2:$A$950,0)),""))</f>
        <v>2021</v>
      </c>
      <c r="V646">
        <f t="shared" si="142"/>
        <v>4</v>
      </c>
    </row>
    <row r="647" spans="1:22" x14ac:dyDescent="0.25">
      <c r="A647" t="str">
        <f>IF(games!$A647="","",games!$A647)</f>
        <v>Rounds</v>
      </c>
      <c r="B647">
        <f>IF($A647="","",games!$B647)</f>
        <v>2021</v>
      </c>
      <c r="C647" t="str">
        <f>IF($A647="","",games!$C647)</f>
        <v>Action</v>
      </c>
      <c r="D647">
        <f>IF($A647="","",COUNTIF(connections!$A$2:$A$1496,$A647)+COUNTIF(connections!$B$2:$B$1496,$A647))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IF(connections!$A646="","",IFERROR(INDEX(games!$B$2:$B$950,MATCH(connections!$A646,games!$A$2:$A$950,0)),""))</f>
        <v>2023</v>
      </c>
      <c r="U647">
        <f>IF(connections!$A646="","",IFERROR(INDEX(games!$B$2:$B$950,MATCH(connections!$B646,games!$A$2:$A$950,0)),""))</f>
        <v>2026</v>
      </c>
      <c r="V647">
        <f t="shared" si="142"/>
        <v>3</v>
      </c>
    </row>
    <row r="648" spans="1:22" x14ac:dyDescent="0.25">
      <c r="A648" t="str">
        <f>IF(games!$A648="","",games!$A648)</f>
        <v>Rune Dice</v>
      </c>
      <c r="B648">
        <f>IF($A648="","",games!$B648)</f>
        <v>2026</v>
      </c>
      <c r="C648" t="str">
        <f>IF($A648="","",games!$C648)</f>
        <v>Deckbuilder</v>
      </c>
      <c r="D648">
        <f>IF($A648="","",COUNTIF(connections!$A$2:$A$1496,$A648)+COUNTIF(connections!$B$2:$B$1496,$A648))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IF(connections!$A647="","",IFERROR(INDEX(games!$B$2:$B$950,MATCH(connections!$A647,games!$A$2:$A$950,0)),""))</f>
        <v>2023</v>
      </c>
      <c r="U648">
        <f>IF(connections!$A647="","",IFERROR(INDEX(games!$B$2:$B$950,MATCH(connections!$B647,games!$A$2:$A$950,0)),""))</f>
        <v>2026</v>
      </c>
      <c r="V648">
        <f t="shared" si="142"/>
        <v>3</v>
      </c>
    </row>
    <row r="649" spans="1:22" x14ac:dyDescent="0.25">
      <c r="A649" t="str">
        <f>IF(games!$A649="","",games!$A649)</f>
        <v>Runeborn</v>
      </c>
      <c r="B649">
        <f>IF($A649="","",games!$B649)</f>
        <v>2025</v>
      </c>
      <c r="C649" t="str">
        <f>IF($A649="","",games!$C649)</f>
        <v>Deckbuilder</v>
      </c>
      <c r="D649">
        <f>IF($A649="","",COUNTIF(connections!$A$2:$A$1496,$A649)+COUNTIF(connections!$B$2:$B$1496,$A649))</f>
        <v>4</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4.0006490000000001</v>
      </c>
      <c r="P649" t="str">
        <f>IF(OR($A649="",games!$H649=""),"",games!$H649)</f>
        <v>Yes</v>
      </c>
      <c r="Q649">
        <f t="shared" si="141"/>
        <v>4.0006490000000001</v>
      </c>
      <c r="T649">
        <f>IF(connections!$A648="","",IFERROR(INDEX(games!$B$2:$B$950,MATCH(connections!$A648,games!$A$2:$A$950,0)),""))</f>
        <v>2016</v>
      </c>
      <c r="U649">
        <f>IF(connections!$A648="","",IFERROR(INDEX(games!$B$2:$B$950,MATCH(connections!$B648,games!$A$2:$A$950,0)),""))</f>
        <v>2021</v>
      </c>
      <c r="V649">
        <f t="shared" si="142"/>
        <v>5</v>
      </c>
    </row>
    <row r="650" spans="1:22" x14ac:dyDescent="0.25">
      <c r="A650" t="str">
        <f>IF(games!$A650="","",games!$A650)</f>
        <v>Runeveil</v>
      </c>
      <c r="B650">
        <f>IF($A650="","",games!$B650)</f>
        <v>2026</v>
      </c>
      <c r="C650" t="str">
        <f>IF($A650="","",games!$C650)</f>
        <v>Deckbuilder</v>
      </c>
      <c r="D650">
        <f>IF($A650="","",COUNTIF(connections!$A$2:$A$1496,$A650)+COUNTIF(connections!$B$2:$B$1496,$A650))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IF(connections!$A649="","",IFERROR(INDEX(games!$B$2:$B$950,MATCH(connections!$A649,games!$A$2:$A$950,0)),""))</f>
        <v>2012</v>
      </c>
      <c r="U650">
        <f>IF(connections!$A649="","",IFERROR(INDEX(games!$B$2:$B$950,MATCH(connections!$B649,games!$A$2:$A$950,0)),""))</f>
        <v>2021</v>
      </c>
      <c r="V650">
        <f t="shared" si="142"/>
        <v>9</v>
      </c>
    </row>
    <row r="651" spans="1:22" x14ac:dyDescent="0.25">
      <c r="A651" t="str">
        <f>IF(games!$A651="","",games!$A651)</f>
        <v>Rungore</v>
      </c>
      <c r="B651">
        <f>IF($A651="","",games!$B651)</f>
        <v>2023</v>
      </c>
      <c r="C651" t="str">
        <f>IF($A651="","",games!$C651)</f>
        <v>Deckbuilder</v>
      </c>
      <c r="D651">
        <f>IF($A651="","",COUNTIF(connections!$A$2:$A$1496,$A651)+COUNTIF(connections!$B$2:$B$1496,$A651))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IF(connections!$A650="","",IFERROR(INDEX(games!$B$2:$B$950,MATCH(connections!$A650,games!$A$2:$A$950,0)),""))</f>
        <v>2012</v>
      </c>
      <c r="U651">
        <f>IF(connections!$A650="","",IFERROR(INDEX(games!$B$2:$B$950,MATCH(connections!$B650,games!$A$2:$A$950,0)),""))</f>
        <v>2018</v>
      </c>
      <c r="V651">
        <f t="shared" si="142"/>
        <v>6</v>
      </c>
    </row>
    <row r="652" spans="1:22" x14ac:dyDescent="0.25">
      <c r="A652" t="str">
        <f>IF(games!$A652="","",games!$A652)</f>
        <v>Runic Survivor</v>
      </c>
      <c r="B652">
        <f>IF($A652="","",games!$B652)</f>
        <v>2022</v>
      </c>
      <c r="C652" t="str">
        <f>IF($A652="","",games!$C652)</f>
        <v>Action</v>
      </c>
      <c r="D652">
        <f>IF($A652="","",COUNTIF(connections!$A$2:$A$1496,$A652)+COUNTIF(connections!$B$2:$B$1496,$A652))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IF(connections!$A651="","",IFERROR(INDEX(games!$B$2:$B$950,MATCH(connections!$A651,games!$A$2:$A$950,0)),""))</f>
        <v>2013</v>
      </c>
      <c r="U652">
        <f>IF(connections!$A651="","",IFERROR(INDEX(games!$B$2:$B$950,MATCH(connections!$B651,games!$A$2:$A$950,0)),""))</f>
        <v>2018</v>
      </c>
      <c r="V652">
        <f t="shared" si="142"/>
        <v>5</v>
      </c>
    </row>
    <row r="653" spans="1:22" x14ac:dyDescent="0.25">
      <c r="A653" t="str">
        <f>IF(games!$A653="","",games!$A653)</f>
        <v>Sanae no Chou Tokkyuu: The Express Trial</v>
      </c>
      <c r="B653">
        <f>IF($A653="","",games!$B653)</f>
        <v>2010</v>
      </c>
      <c r="C653" t="str">
        <f>IF($A653="","",games!$C653)</f>
        <v>Traditional</v>
      </c>
      <c r="D653">
        <f>IF($A653="","",COUNTIF(connections!$A$2:$A$1496,$A653)+COUNTIF(connections!$B$2:$B$1496,$A653))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IF(connections!$A652="","",IFERROR(INDEX(games!$B$2:$B$950,MATCH(connections!$A652,games!$A$2:$A$950,0)),""))</f>
        <v>2017</v>
      </c>
      <c r="U653">
        <f>IF(connections!$A652="","",IFERROR(INDEX(games!$B$2:$B$950,MATCH(connections!$B652,games!$A$2:$A$950,0)),""))</f>
        <v>2025</v>
      </c>
      <c r="V653">
        <f t="shared" si="142"/>
        <v>8</v>
      </c>
    </row>
    <row r="654" spans="1:22" x14ac:dyDescent="0.25">
      <c r="A654" t="str">
        <f>IF(games!$A654="","",games!$A654)</f>
        <v>Sandwalkers</v>
      </c>
      <c r="B654">
        <f>IF($A654="","",games!$B654)</f>
        <v>2024</v>
      </c>
      <c r="C654" t="str">
        <f>IF($A654="","",games!$C654)</f>
        <v>Action</v>
      </c>
      <c r="D654">
        <f>IF($A654="","",COUNTIF(connections!$A$2:$A$1496,$A654)+COUNTIF(connections!$B$2:$B$1496,$A654))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IF(connections!$A653="","",IFERROR(INDEX(games!$B$2:$B$950,MATCH(connections!$A653,games!$A$2:$A$950,0)),""))</f>
        <v>2015</v>
      </c>
      <c r="U654">
        <f>IF(connections!$A653="","",IFERROR(INDEX(games!$B$2:$B$950,MATCH(connections!$B653,games!$A$2:$A$950,0)),""))</f>
        <v>2019</v>
      </c>
      <c r="V654">
        <f t="shared" si="142"/>
        <v>4</v>
      </c>
    </row>
    <row r="655" spans="1:22" x14ac:dyDescent="0.25">
      <c r="A655" t="str">
        <f>IF(games!$A655="","",games!$A655)</f>
        <v>Scarlet Tower</v>
      </c>
      <c r="B655">
        <f>IF($A655="","",games!$B655)</f>
        <v>2022</v>
      </c>
      <c r="C655" t="str">
        <f>IF($A655="","",games!$C655)</f>
        <v>Action</v>
      </c>
      <c r="D655">
        <f>IF($A655="","",COUNTIF(connections!$A$2:$A$1496,$A655)+COUNTIF(connections!$B$2:$B$1496,$A655))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IF(connections!$A654="","",IFERROR(INDEX(games!$B$2:$B$950,MATCH(connections!$A654,games!$A$2:$A$950,0)),""))</f>
        <v>2017</v>
      </c>
      <c r="U655">
        <f>IF(connections!$A654="","",IFERROR(INDEX(games!$B$2:$B$950,MATCH(connections!$B654,games!$A$2:$A$950,0)),""))</f>
        <v>2019</v>
      </c>
      <c r="V655">
        <f t="shared" si="142"/>
        <v>2</v>
      </c>
    </row>
    <row r="656" spans="1:22" x14ac:dyDescent="0.25">
      <c r="A656" t="str">
        <f>IF(games!$A656="","",games!$A656)</f>
        <v>Schism</v>
      </c>
      <c r="B656">
        <f>IF($A656="","",games!$B656)</f>
        <v>2023</v>
      </c>
      <c r="C656" t="str">
        <f>IF($A656="","",games!$C656)</f>
        <v>Action</v>
      </c>
      <c r="D656">
        <f>IF($A656="","",COUNTIF(connections!$A$2:$A$1496,$A656)+COUNTIF(connections!$B$2:$B$1496,$A656))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1987</v>
      </c>
      <c r="U656">
        <f>IF(connections!$A655="","",IFERROR(INDEX(games!$B$2:$B$950,MATCH(connections!$B655,games!$A$2:$A$950,0)),""))</f>
        <v>2001</v>
      </c>
      <c r="V656">
        <f t="shared" si="142"/>
        <v>14</v>
      </c>
    </row>
    <row r="657" spans="1:22" x14ac:dyDescent="0.25">
      <c r="A657" t="str">
        <f>IF(games!$A657="","",games!$A657)</f>
        <v>Scourgebringer</v>
      </c>
      <c r="B657">
        <f>IF($A657="","",games!$B657)</f>
        <v>2020</v>
      </c>
      <c r="C657" t="str">
        <f>IF($A657="","",games!$C657)</f>
        <v>Action</v>
      </c>
      <c r="D657">
        <f>IF($A657="","",COUNTIF(connections!$A$2:$A$1496,$A657)+COUNTIF(connections!$B$2:$B$1496,$A657))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IF(connections!$A656="","",IFERROR(INDEX(games!$B$2:$B$950,MATCH(connections!$A656,games!$A$2:$A$950,0)),""))</f>
        <v>2006</v>
      </c>
      <c r="U657">
        <f>IF(connections!$A656="","",IFERROR(INDEX(games!$B$2:$B$950,MATCH(connections!$B656,games!$A$2:$A$950,0)),""))</f>
        <v>2007</v>
      </c>
      <c r="V657">
        <f t="shared" si="142"/>
        <v>1</v>
      </c>
    </row>
    <row r="658" spans="1:22" x14ac:dyDescent="0.25">
      <c r="A658" t="str">
        <f>IF(games!$A658="","",games!$A658)</f>
        <v>Sea of Survivors</v>
      </c>
      <c r="B658">
        <f>IF($A658="","",games!$B658)</f>
        <v>2023</v>
      </c>
      <c r="C658" t="str">
        <f>IF($A658="","",games!$C658)</f>
        <v>Action</v>
      </c>
      <c r="D658">
        <f>IF($A658="","",COUNTIF(connections!$A$2:$A$1496,$A658)+COUNTIF(connections!$B$2:$B$1496,$A658))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IF(connections!$A657="","",IFERROR(INDEX(games!$B$2:$B$950,MATCH(connections!$A657,games!$A$2:$A$950,0)),""))</f>
        <v>1993</v>
      </c>
      <c r="U658">
        <f>IF(connections!$A657="","",IFERROR(INDEX(games!$B$2:$B$950,MATCH(connections!$B657,games!$A$2:$A$950,0)),""))</f>
        <v>2006</v>
      </c>
      <c r="V658">
        <f t="shared" si="142"/>
        <v>13</v>
      </c>
    </row>
    <row r="659" spans="1:22" x14ac:dyDescent="0.25">
      <c r="A659" t="str">
        <f>IF(games!$A659="","",games!$A659)</f>
        <v>Section 13</v>
      </c>
      <c r="B659">
        <f>IF($A659="","",games!$B659)</f>
        <v>2023</v>
      </c>
      <c r="C659" t="str">
        <f>IF($A659="","",games!$C659)</f>
        <v>Action</v>
      </c>
      <c r="D659">
        <f>IF($A659="","",COUNTIF(connections!$A$2:$A$1496,$A659)+COUNTIF(connections!$B$2:$B$1496,$A659))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IF(connections!$A658="","",IFERROR(INDEX(games!$B$2:$B$950,MATCH(connections!$A658,games!$A$2:$A$950,0)),""))</f>
        <v>2023</v>
      </c>
      <c r="U659">
        <f>IF(connections!$A658="","",IFERROR(INDEX(games!$B$2:$B$950,MATCH(connections!$B658,games!$A$2:$A$950,0)),""))</f>
        <v>2025</v>
      </c>
      <c r="V659">
        <f t="shared" si="142"/>
        <v>2</v>
      </c>
    </row>
    <row r="660" spans="1:22" x14ac:dyDescent="0.25">
      <c r="A660" t="str">
        <f>IF(games!$A660="","",games!$A660)</f>
        <v>Seedborne Soldiers</v>
      </c>
      <c r="B660">
        <f>IF($A660="","",games!$B660)</f>
        <v>2025</v>
      </c>
      <c r="C660" t="str">
        <f>IF($A660="","",games!$C660)</f>
        <v>Strategy</v>
      </c>
      <c r="D660">
        <f>IF($A660="","",COUNTIF(connections!$A$2:$A$1496,$A660)+COUNTIF(connections!$B$2:$B$1496,$A660))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1996</v>
      </c>
      <c r="U660">
        <f>IF(connections!$A659="","",IFERROR(INDEX(games!$B$2:$B$950,MATCH(connections!$B659,games!$A$2:$A$950,0)),""))</f>
        <v>2025</v>
      </c>
      <c r="V660">
        <f t="shared" si="142"/>
        <v>29</v>
      </c>
    </row>
    <row r="661" spans="1:22" x14ac:dyDescent="0.25">
      <c r="A661" t="str">
        <f>IF(games!$A661="","",games!$A661)</f>
        <v>Sephiria</v>
      </c>
      <c r="B661">
        <f>IF($A661="","",games!$B661)</f>
        <v>2025</v>
      </c>
      <c r="C661" t="str">
        <f>IF($A661="","",games!$C661)</f>
        <v>Action</v>
      </c>
      <c r="D661">
        <f>IF($A661="","",COUNTIF(connections!$A$2:$A$1496,$A661)+COUNTIF(connections!$B$2:$B$1496,$A661))</f>
        <v>5</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5.000661</v>
      </c>
      <c r="P661" t="str">
        <f>IF(OR($A661="",games!$H661=""),"",games!$H661)</f>
        <v/>
      </c>
      <c r="Q661" t="str">
        <f t="shared" si="141"/>
        <v/>
      </c>
      <c r="T661">
        <f>IF(connections!$A660="","",IFERROR(INDEX(games!$B$2:$B$950,MATCH(connections!$A660,games!$A$2:$A$950,0)),""))</f>
        <v>2023</v>
      </c>
      <c r="U661">
        <f>IF(connections!$A660="","",IFERROR(INDEX(games!$B$2:$B$950,MATCH(connections!$B660,games!$A$2:$A$950,0)),""))</f>
        <v>2025</v>
      </c>
      <c r="V661">
        <f t="shared" si="142"/>
        <v>2</v>
      </c>
    </row>
    <row r="662" spans="1:22" x14ac:dyDescent="0.25">
      <c r="A662" t="str">
        <f>IF(games!$A662="","",games!$A662)</f>
        <v>Seraph's Last Stand</v>
      </c>
      <c r="B662">
        <f>IF($A662="","",games!$B662)</f>
        <v>2022</v>
      </c>
      <c r="C662" t="str">
        <f>IF($A662="","",games!$C662)</f>
        <v>Action</v>
      </c>
      <c r="D662">
        <f>IF($A662="","",COUNTIF(connections!$A$2:$A$1496,$A662)+COUNTIF(connections!$B$2:$B$1496,$A662))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IF(connections!$A661="","",IFERROR(INDEX(games!$B$2:$B$950,MATCH(connections!$A661,games!$A$2:$A$950,0)),""))</f>
        <v>2021</v>
      </c>
      <c r="U662">
        <f>IF(connections!$A661="","",IFERROR(INDEX(games!$B$2:$B$950,MATCH(connections!$B661,games!$A$2:$A$950,0)),""))</f>
        <v>2025</v>
      </c>
      <c r="V662">
        <f t="shared" si="142"/>
        <v>4</v>
      </c>
    </row>
    <row r="663" spans="1:22" x14ac:dyDescent="0.25">
      <c r="A663" t="str">
        <f>IF(games!$A663="","",games!$A663)</f>
        <v>Serpent's Gaze</v>
      </c>
      <c r="B663">
        <f>IF($A663="","",games!$B663)</f>
        <v>2026</v>
      </c>
      <c r="C663" t="str">
        <f>IF($A663="","",games!$C663)</f>
        <v>Action</v>
      </c>
      <c r="D663">
        <f>IF($A663="","",COUNTIF(connections!$A$2:$A$1496,$A663)+COUNTIF(connections!$B$2:$B$1496,$A663))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IF(connections!$A662="","",IFERROR(INDEX(games!$B$2:$B$950,MATCH(connections!$A662,games!$A$2:$A$950,0)),""))</f>
        <v>2002</v>
      </c>
      <c r="U663">
        <f>IF(connections!$A662="","",IFERROR(INDEX(games!$B$2:$B$950,MATCH(connections!$B662,games!$A$2:$A$950,0)),""))</f>
        <v>2019</v>
      </c>
      <c r="V663">
        <f t="shared" si="142"/>
        <v>17</v>
      </c>
    </row>
    <row r="664" spans="1:22" x14ac:dyDescent="0.25">
      <c r="A664" t="str">
        <f>IF(games!$A664="","",games!$A664)</f>
        <v>Shadow of the Wyrm</v>
      </c>
      <c r="B664">
        <f>IF($A664="","",games!$B664)</f>
        <v>2015</v>
      </c>
      <c r="C664" t="str">
        <f>IF($A664="","",games!$C664)</f>
        <v>Traditional</v>
      </c>
      <c r="D664">
        <f>IF($A664="","",COUNTIF(connections!$A$2:$A$1496,$A664)+COUNTIF(connections!$B$2:$B$1496,$A664))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IF(connections!$A663="","",IFERROR(INDEX(games!$B$2:$B$950,MATCH(connections!$A663,games!$A$2:$A$950,0)),""))</f>
        <v>2021</v>
      </c>
      <c r="U664">
        <f>IF(connections!$A663="","",IFERROR(INDEX(games!$B$2:$B$950,MATCH(connections!$B663,games!$A$2:$A$950,0)),""))</f>
        <v>2023</v>
      </c>
      <c r="V664">
        <f t="shared" si="142"/>
        <v>2</v>
      </c>
    </row>
    <row r="665" spans="1:22" x14ac:dyDescent="0.25">
      <c r="A665" t="str">
        <f>IF(games!$A665="","",games!$A665)</f>
        <v>Shadowveil: Legend of The Five Rings</v>
      </c>
      <c r="B665">
        <f>IF($A665="","",games!$B665)</f>
        <v>2025</v>
      </c>
      <c r="C665" t="str">
        <f>IF($A665="","",games!$C665)</f>
        <v>Strategy</v>
      </c>
      <c r="D665">
        <f>IF($A665="","",COUNTIF(connections!$A$2:$A$1496,$A665)+COUNTIF(connections!$B$2:$B$1496,$A665))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IF(connections!$A664="","",IFERROR(INDEX(games!$B$2:$B$950,MATCH(connections!$A664,games!$A$2:$A$950,0)),""))</f>
        <v>2021</v>
      </c>
      <c r="U665">
        <f>IF(connections!$A664="","",IFERROR(INDEX(games!$B$2:$B$950,MATCH(connections!$B664,games!$A$2:$A$950,0)),""))</f>
        <v>2024</v>
      </c>
      <c r="V665">
        <f t="shared" si="142"/>
        <v>3</v>
      </c>
    </row>
    <row r="666" spans="1:22" x14ac:dyDescent="0.25">
      <c r="A666" t="str">
        <f>IF(games!$A666="","",games!$A666)</f>
        <v>Shape of Dreams</v>
      </c>
      <c r="B666">
        <f>IF($A666="","",games!$B666)</f>
        <v>2025</v>
      </c>
      <c r="C666" t="str">
        <f>IF($A666="","",games!$C666)</f>
        <v>Action</v>
      </c>
      <c r="D666">
        <f>IF($A666="","",COUNTIF(connections!$A$2:$A$1496,$A666)+COUNTIF(connections!$B$2:$B$1496,$A666))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IF(connections!$A665="","",IFERROR(INDEX(games!$B$2:$B$950,MATCH(connections!$A665,games!$A$2:$A$950,0)),""))</f>
        <v>2017</v>
      </c>
      <c r="U666">
        <f>IF(connections!$A665="","",IFERROR(INDEX(games!$B$2:$B$950,MATCH(connections!$B665,games!$A$2:$A$950,0)),""))</f>
        <v>2024</v>
      </c>
      <c r="V666">
        <f t="shared" si="142"/>
        <v>7</v>
      </c>
    </row>
    <row r="667" spans="1:22" x14ac:dyDescent="0.25">
      <c r="A667" t="str">
        <f>IF(games!$A667="","",games!$A667)</f>
        <v>Shape Shifter: Formations</v>
      </c>
      <c r="B667">
        <f>IF($A667="","",games!$B667)</f>
        <v>2023</v>
      </c>
      <c r="C667" t="str">
        <f>IF($A667="","",games!$C667)</f>
        <v>Action</v>
      </c>
      <c r="D667">
        <f>IF($A667="","",COUNTIF(connections!$A$2:$A$1496,$A667)+COUNTIF(connections!$B$2:$B$1496,$A667))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IF(connections!$A666="","",IFERROR(INDEX(games!$B$2:$B$950,MATCH(connections!$A666,games!$A$2:$A$950,0)),""))</f>
        <v>2021</v>
      </c>
      <c r="U667">
        <f>IF(connections!$A666="","",IFERROR(INDEX(games!$B$2:$B$950,MATCH(connections!$B666,games!$A$2:$A$950,0)),""))</f>
        <v>2024</v>
      </c>
      <c r="V667">
        <f t="shared" si="142"/>
        <v>3</v>
      </c>
    </row>
    <row r="668" spans="1:22" x14ac:dyDescent="0.25">
      <c r="A668" t="str">
        <f>IF(games!$A668="","",games!$A668)</f>
        <v>Shard Squad</v>
      </c>
      <c r="B668">
        <f>IF($A668="","",games!$B668)</f>
        <v>2025</v>
      </c>
      <c r="C668" t="str">
        <f>IF($A668="","",games!$C668)</f>
        <v>Action</v>
      </c>
      <c r="D668">
        <f>IF($A668="","",COUNTIF(connections!$A$2:$A$1496,$A668)+COUNTIF(connections!$B$2:$B$1496,$A668))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2018</v>
      </c>
      <c r="U668">
        <f>IF(connections!$A667="","",IFERROR(INDEX(games!$B$2:$B$950,MATCH(connections!$B667,games!$A$2:$A$950,0)),""))</f>
        <v>2025</v>
      </c>
      <c r="V668">
        <f t="shared" si="142"/>
        <v>7</v>
      </c>
    </row>
    <row r="669" spans="1:22" x14ac:dyDescent="0.25">
      <c r="A669" t="str">
        <f>IF(games!$A669="","",games!$A669)</f>
        <v>Shattered Pixel Dungeon</v>
      </c>
      <c r="B669">
        <f>IF($A669="","",games!$B669)</f>
        <v>2014</v>
      </c>
      <c r="C669" t="str">
        <f>IF($A669="","",games!$C669)</f>
        <v>Traditional</v>
      </c>
      <c r="D669">
        <f>IF($A669="","",COUNTIF(connections!$A$2:$A$1496,$A669)+COUNTIF(connections!$B$2:$B$1496,$A669))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3.0006689999999998</v>
      </c>
      <c r="P669" t="str">
        <f>IF(OR($A669="",games!$H669=""),"",games!$H669)</f>
        <v/>
      </c>
      <c r="Q669" t="str">
        <f t="shared" si="141"/>
        <v/>
      </c>
      <c r="T669">
        <f>IF(connections!$A668="","",IFERROR(INDEX(games!$B$2:$B$950,MATCH(connections!$A668,games!$A$2:$A$950,0)),""))</f>
        <v>1994</v>
      </c>
      <c r="U669">
        <f>IF(connections!$A668="","",IFERROR(INDEX(games!$B$2:$B$950,MATCH(connections!$B668,games!$A$2:$A$950,0)),""))</f>
        <v>2015</v>
      </c>
      <c r="V669">
        <f t="shared" si="142"/>
        <v>21</v>
      </c>
    </row>
    <row r="670" spans="1:22" x14ac:dyDescent="0.25">
      <c r="A670" t="str">
        <f>IF(games!$A670="","",games!$A670)</f>
        <v>Ship of Fools</v>
      </c>
      <c r="B670">
        <f>IF($A670="","",games!$B670)</f>
        <v>2022</v>
      </c>
      <c r="C670" t="str">
        <f>IF($A670="","",games!$C670)</f>
        <v>Action</v>
      </c>
      <c r="D670">
        <f>IF($A670="","",COUNTIF(connections!$A$2:$A$1496,$A670)+COUNTIF(connections!$B$2:$B$1496,$A670))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IF(connections!$A669="","",IFERROR(INDEX(games!$B$2:$B$950,MATCH(connections!$A669,games!$A$2:$A$950,0)),""))</f>
        <v>2006</v>
      </c>
      <c r="U670">
        <f>IF(connections!$A669="","",IFERROR(INDEX(games!$B$2:$B$950,MATCH(connections!$B669,games!$A$2:$A$950,0)),""))</f>
        <v>2015</v>
      </c>
      <c r="V670">
        <f t="shared" si="142"/>
        <v>9</v>
      </c>
    </row>
    <row r="671" spans="1:22" x14ac:dyDescent="0.25">
      <c r="A671" t="str">
        <f>IF(games!$A671="","",games!$A671)</f>
        <v>Shiren the Wanderer (2008)</v>
      </c>
      <c r="B671">
        <f>IF($A671="","",games!$B671)</f>
        <v>2008</v>
      </c>
      <c r="C671" t="str">
        <f>IF($A671="","",games!$C671)</f>
        <v>Traditional</v>
      </c>
      <c r="D671">
        <f>IF($A671="","",COUNTIF(connections!$A$2:$A$1496,$A671)+COUNTIF(connections!$B$2:$B$1496,$A671))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IF(connections!$A670="","",IFERROR(INDEX(games!$B$2:$B$950,MATCH(connections!$A670,games!$A$2:$A$950,0)),""))</f>
        <v>1987</v>
      </c>
      <c r="U671">
        <f>IF(connections!$A670="","",IFERROR(INDEX(games!$B$2:$B$950,MATCH(connections!$B670,games!$A$2:$A$950,0)),""))</f>
        <v>2015</v>
      </c>
      <c r="V671">
        <f t="shared" si="142"/>
        <v>28</v>
      </c>
    </row>
    <row r="672" spans="1:22" x14ac:dyDescent="0.25">
      <c r="A672" t="str">
        <f>IF(games!$A672="","",games!$A672)</f>
        <v>Shiren the Wanderer 2: Shiren's Castle and the Oni Invasion</v>
      </c>
      <c r="B672">
        <f>IF($A672="","",games!$B672)</f>
        <v>2000</v>
      </c>
      <c r="C672" t="str">
        <f>IF($A672="","",games!$C672)</f>
        <v>Traditional</v>
      </c>
      <c r="D672">
        <f>IF($A672="","",COUNTIF(connections!$A$2:$A$1496,$A672)+COUNTIF(connections!$B$2:$B$1496,$A672))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IF(connections!$A671="","",IFERROR(INDEX(games!$B$2:$B$950,MATCH(connections!$A671,games!$A$2:$A$950,0)),""))</f>
        <v>2021</v>
      </c>
      <c r="U672">
        <f>IF(connections!$A671="","",IFERROR(INDEX(games!$B$2:$B$950,MATCH(connections!$B671,games!$A$2:$A$950,0)),""))</f>
        <v>2023</v>
      </c>
      <c r="V672">
        <f t="shared" si="142"/>
        <v>2</v>
      </c>
    </row>
    <row r="673" spans="1:22" x14ac:dyDescent="0.25">
      <c r="A673" t="str">
        <f>IF(games!$A673="","",games!$A673)</f>
        <v>Shiren the Wanderer 4: The Eye of God and the Devil's Navel</v>
      </c>
      <c r="B673">
        <f>IF($A673="","",games!$B673)</f>
        <v>2010</v>
      </c>
      <c r="C673" t="str">
        <f>IF($A673="","",games!$C673)</f>
        <v>Traditional</v>
      </c>
      <c r="D673">
        <f>IF($A673="","",COUNTIF(connections!$A$2:$A$1496,$A673)+COUNTIF(connections!$B$2:$B$1496,$A673))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IF(connections!$A672="","",IFERROR(INDEX(games!$B$2:$B$950,MATCH(connections!$A672,games!$A$2:$A$950,0)),""))</f>
        <v>1998</v>
      </c>
      <c r="U673">
        <f>IF(connections!$A672="","",IFERROR(INDEX(games!$B$2:$B$950,MATCH(connections!$B672,games!$A$2:$A$950,0)),""))</f>
        <v>2026</v>
      </c>
      <c r="V673">
        <f t="shared" si="142"/>
        <v>28</v>
      </c>
    </row>
    <row r="674" spans="1:22" x14ac:dyDescent="0.25">
      <c r="A674" t="str">
        <f>IF(games!$A674="","",games!$A674)</f>
        <v>Shiren the Wanderer Gaiden: Asuka the Swordswoman</v>
      </c>
      <c r="B674">
        <f>IF($A674="","",games!$B674)</f>
        <v>2002</v>
      </c>
      <c r="C674" t="str">
        <f>IF($A674="","",games!$C674)</f>
        <v>Traditional</v>
      </c>
      <c r="D674">
        <f>IF($A674="","",COUNTIF(connections!$A$2:$A$1496,$A674)+COUNTIF(connections!$B$2:$B$1496,$A674))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IF(connections!$A673="","",IFERROR(INDEX(games!$B$2:$B$950,MATCH(connections!$A673,games!$A$2:$A$950,0)),""))</f>
        <v>1998</v>
      </c>
      <c r="U674">
        <f>IF(connections!$A673="","",IFERROR(INDEX(games!$B$2:$B$950,MATCH(connections!$B673,games!$A$2:$A$950,0)),""))</f>
        <v>2026</v>
      </c>
      <c r="V674">
        <f t="shared" si="142"/>
        <v>28</v>
      </c>
    </row>
    <row r="675" spans="1:22" x14ac:dyDescent="0.25">
      <c r="A675" t="str">
        <f>IF(games!$A675="","",games!$A675)</f>
        <v>Shiren the Wanderer GB: Monster of Moonlight Village</v>
      </c>
      <c r="B675">
        <f>IF($A675="","",games!$B675)</f>
        <v>1996</v>
      </c>
      <c r="C675" t="str">
        <f>IF($A675="","",games!$C675)</f>
        <v>Traditional</v>
      </c>
      <c r="D675">
        <f>IF($A675="","",COUNTIF(connections!$A$2:$A$1496,$A675)+COUNTIF(connections!$B$2:$B$1496,$A675))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IF(connections!$A674="","",IFERROR(INDEX(games!$B$2:$B$950,MATCH(connections!$A674,games!$A$2:$A$950,0)),""))</f>
        <v>2022</v>
      </c>
      <c r="U675">
        <f>IF(connections!$A674="","",IFERROR(INDEX(games!$B$2:$B$950,MATCH(connections!$B674,games!$A$2:$A$950,0)),""))</f>
        <v>2025</v>
      </c>
      <c r="V675">
        <f t="shared" si="142"/>
        <v>3</v>
      </c>
    </row>
    <row r="676" spans="1:22" x14ac:dyDescent="0.25">
      <c r="A676" t="str">
        <f>IF(games!$A676="","",games!$A676)</f>
        <v>Shiren the Wanderer GB2: Magic Castle of the Desert</v>
      </c>
      <c r="B676">
        <f>IF($A676="","",games!$B676)</f>
        <v>2001</v>
      </c>
      <c r="C676" t="str">
        <f>IF($A676="","",games!$C676)</f>
        <v>Traditional</v>
      </c>
      <c r="D676">
        <f>IF($A676="","",COUNTIF(connections!$A$2:$A$1496,$A676)+COUNTIF(connections!$B$2:$B$1496,$A676))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IF(connections!$A675="","",IFERROR(INDEX(games!$B$2:$B$950,MATCH(connections!$A675,games!$A$2:$A$950,0)),""))</f>
        <v>2022</v>
      </c>
      <c r="U676">
        <f>IF(connections!$A675="","",IFERROR(INDEX(games!$B$2:$B$950,MATCH(connections!$B675,games!$A$2:$A$950,0)),""))</f>
        <v>2025</v>
      </c>
      <c r="V676">
        <f t="shared" si="142"/>
        <v>3</v>
      </c>
    </row>
    <row r="677" spans="1:22" x14ac:dyDescent="0.25">
      <c r="A677" t="str">
        <f>IF(games!$A677="","",games!$A677)</f>
        <v>Shiren the Wanderer: The Mystery Dungeon of Serpentcoil Island</v>
      </c>
      <c r="B677">
        <f>IF($A677="","",games!$B677)</f>
        <v>2024</v>
      </c>
      <c r="C677" t="str">
        <f>IF($A677="","",games!$C677)</f>
        <v>Traditional</v>
      </c>
      <c r="D677">
        <f>IF($A677="","",COUNTIF(connections!$A$2:$A$1496,$A677)+COUNTIF(connections!$B$2:$B$1496,$A677))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IF(connections!$A676="","",IFERROR(INDEX(games!$B$2:$B$950,MATCH(connections!$A676,games!$A$2:$A$950,0)),""))</f>
        <v>2015</v>
      </c>
      <c r="U677">
        <f>IF(connections!$A676="","",IFERROR(INDEX(games!$B$2:$B$950,MATCH(connections!$B676,games!$A$2:$A$950,0)),""))</f>
        <v>2025</v>
      </c>
      <c r="V677">
        <f t="shared" si="142"/>
        <v>10</v>
      </c>
    </row>
    <row r="678" spans="1:22" x14ac:dyDescent="0.25">
      <c r="A678" t="str">
        <f>IF(games!$A678="","",games!$A678)</f>
        <v>Shiren the Wanderer: The Tower of Fortune and the Dice of Fate</v>
      </c>
      <c r="B678">
        <f>IF($A678="","",games!$B678)</f>
        <v>2010</v>
      </c>
      <c r="C678" t="str">
        <f>IF($A678="","",games!$C678)</f>
        <v>Traditional</v>
      </c>
      <c r="D678">
        <f>IF($A678="","",COUNTIF(connections!$A$2:$A$1496,$A678)+COUNTIF(connections!$B$2:$B$1496,$A678))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IF(connections!$A677="","",IFERROR(INDEX(games!$B$2:$B$950,MATCH(connections!$A677,games!$A$2:$A$950,0)),""))</f>
        <v>2019</v>
      </c>
      <c r="U678">
        <f>IF(connections!$A677="","",IFERROR(INDEX(games!$B$2:$B$950,MATCH(connections!$B677,games!$A$2:$A$950,0)),""))</f>
        <v>2025</v>
      </c>
      <c r="V678">
        <f t="shared" si="142"/>
        <v>6</v>
      </c>
    </row>
    <row r="679" spans="1:22" x14ac:dyDescent="0.25">
      <c r="A679" t="str">
        <f>IF(games!$A679="","",games!$A679)</f>
        <v>Shogun Showdown</v>
      </c>
      <c r="B679">
        <f>IF($A679="","",games!$B679)</f>
        <v>2023</v>
      </c>
      <c r="C679" t="str">
        <f>IF($A679="","",games!$C679)</f>
        <v>Strategy</v>
      </c>
      <c r="D679">
        <f>IF($A679="","",COUNTIF(connections!$A$2:$A$1496,$A679)+COUNTIF(connections!$B$2:$B$1496,$A679))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IF(connections!$A678="","",IFERROR(INDEX(games!$B$2:$B$950,MATCH(connections!$A678,games!$A$2:$A$950,0)),""))</f>
        <v>2021</v>
      </c>
      <c r="U679">
        <f>IF(connections!$A678="","",IFERROR(INDEX(games!$B$2:$B$950,MATCH(connections!$B678,games!$A$2:$A$950,0)),""))</f>
        <v>2025</v>
      </c>
      <c r="V679">
        <f t="shared" si="142"/>
        <v>4</v>
      </c>
    </row>
    <row r="680" spans="1:22" x14ac:dyDescent="0.25">
      <c r="A680" t="str">
        <f>IF(games!$A680="","",games!$A680)</f>
        <v>Shoot First</v>
      </c>
      <c r="B680">
        <f>IF($A680="","",games!$B680)</f>
        <v>2010</v>
      </c>
      <c r="C680" t="str">
        <f>IF($A680="","",games!$C680)</f>
        <v>Action</v>
      </c>
      <c r="D680">
        <f>IF($A680="","",COUNTIF(connections!$A$2:$A$1496,$A680)+COUNTIF(connections!$B$2:$B$1496,$A680))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2021</v>
      </c>
      <c r="U680">
        <f>IF(connections!$A679="","",IFERROR(INDEX(games!$B$2:$B$950,MATCH(connections!$B679,games!$A$2:$A$950,0)),""))</f>
        <v>2023</v>
      </c>
      <c r="V680">
        <f t="shared" si="142"/>
        <v>2</v>
      </c>
    </row>
    <row r="681" spans="1:22" x14ac:dyDescent="0.25">
      <c r="A681" t="str">
        <f>IF(games!$A681="","",games!$A681)</f>
        <v>Shotgun King: The Final Checkmate</v>
      </c>
      <c r="B681">
        <f>IF($A681="","",games!$B681)</f>
        <v>2022</v>
      </c>
      <c r="C681" t="str">
        <f>IF($A681="","",games!$C681)</f>
        <v>Strategy</v>
      </c>
      <c r="D681">
        <f>IF($A681="","",COUNTIF(connections!$A$2:$A$1496,$A681)+COUNTIF(connections!$B$2:$B$1496,$A681))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IF(connections!$A680="","",IFERROR(INDEX(games!$B$2:$B$950,MATCH(connections!$A680,games!$A$2:$A$950,0)),""))</f>
        <v>2023</v>
      </c>
      <c r="U681">
        <f>IF(connections!$A680="","",IFERROR(INDEX(games!$B$2:$B$950,MATCH(connections!$B680,games!$A$2:$A$950,0)),""))</f>
        <v>2025</v>
      </c>
      <c r="V681">
        <f t="shared" si="142"/>
        <v>2</v>
      </c>
    </row>
    <row r="682" spans="1:22" x14ac:dyDescent="0.25">
      <c r="A682" t="str">
        <f>IF(games!$A682="","",games!$A682)</f>
        <v>Shovel Knight Dig</v>
      </c>
      <c r="B682">
        <f>IF($A682="","",games!$B682)</f>
        <v>2022</v>
      </c>
      <c r="C682" t="str">
        <f>IF($A682="","",games!$C682)</f>
        <v>Action</v>
      </c>
      <c r="D682">
        <f>IF($A682="","",COUNTIF(connections!$A$2:$A$1496,$A682)+COUNTIF(connections!$B$2:$B$1496,$A682))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2021</v>
      </c>
      <c r="U682">
        <f>IF(connections!$A681="","",IFERROR(INDEX(games!$B$2:$B$950,MATCH(connections!$B681,games!$A$2:$A$950,0)),""))</f>
        <v>2025</v>
      </c>
      <c r="V682">
        <f t="shared" si="142"/>
        <v>4</v>
      </c>
    </row>
    <row r="683" spans="1:22" x14ac:dyDescent="0.25">
      <c r="A683" t="str">
        <f>IF(games!$A683="","",games!$A683)</f>
        <v>Shroom and Gloom</v>
      </c>
      <c r="B683">
        <f>IF($A683="","",games!$B683)</f>
        <v>2026</v>
      </c>
      <c r="C683" t="str">
        <f>IF($A683="","",games!$C683)</f>
        <v>Deckbuilder</v>
      </c>
      <c r="D683">
        <f>IF($A683="","",COUNTIF(connections!$A$2:$A$1496,$A683)+COUNTIF(connections!$B$2:$B$1496,$A683))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IF(connections!$A682="","",IFERROR(INDEX(games!$B$2:$B$950,MATCH(connections!$A682,games!$A$2:$A$950,0)),""))</f>
        <v>2019</v>
      </c>
      <c r="U683">
        <f>IF(connections!$A682="","",IFERROR(INDEX(games!$B$2:$B$950,MATCH(connections!$B682,games!$A$2:$A$950,0)),""))</f>
        <v>2025</v>
      </c>
      <c r="V683">
        <f t="shared" si="142"/>
        <v>6</v>
      </c>
    </row>
    <row r="684" spans="1:22" x14ac:dyDescent="0.25">
      <c r="A684" t="str">
        <f>IF(games!$A684="","",games!$A684)</f>
        <v>Sil</v>
      </c>
      <c r="B684">
        <f>IF($A684="","",games!$B684)</f>
        <v>2012</v>
      </c>
      <c r="C684" t="str">
        <f>IF($A684="","",games!$C684)</f>
        <v>Traditional</v>
      </c>
      <c r="D684">
        <f>IF($A684="","",COUNTIF(connections!$A$2:$A$1496,$A684)+COUNTIF(connections!$B$2:$B$1496,$A684))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IF(connections!$A683="","",IFERROR(INDEX(games!$B$2:$B$950,MATCH(connections!$A683,games!$A$2:$A$950,0)),""))</f>
        <v>2021</v>
      </c>
      <c r="U684">
        <f>IF(connections!$A683="","",IFERROR(INDEX(games!$B$2:$B$950,MATCH(connections!$B683,games!$A$2:$A$950,0)),""))</f>
        <v>2025</v>
      </c>
      <c r="V684">
        <f t="shared" si="142"/>
        <v>4</v>
      </c>
    </row>
    <row r="685" spans="1:22" x14ac:dyDescent="0.25">
      <c r="A685" t="str">
        <f>IF(games!$A685="","",games!$A685)</f>
        <v>Sir, We Have an Orc Problem</v>
      </c>
      <c r="B685">
        <f>IF($A685="","",games!$B685)</f>
        <v>2026</v>
      </c>
      <c r="C685" t="str">
        <f>IF($A685="","",games!$C685)</f>
        <v>Strategy</v>
      </c>
      <c r="D685">
        <f>IF($A685="","",COUNTIF(connections!$A$2:$A$1496,$A685)+COUNTIF(connections!$B$2:$B$1496,$A685))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IF(connections!$A684="","",IFERROR(INDEX(games!$B$2:$B$950,MATCH(connections!$A684,games!$A$2:$A$950,0)),""))</f>
        <v>2017</v>
      </c>
      <c r="U685">
        <f>IF(connections!$A684="","",IFERROR(INDEX(games!$B$2:$B$950,MATCH(connections!$B684,games!$A$2:$A$950,0)),""))</f>
        <v>2020</v>
      </c>
      <c r="V685">
        <f t="shared" si="142"/>
        <v>3</v>
      </c>
    </row>
    <row r="686" spans="1:22" x14ac:dyDescent="0.25">
      <c r="A686" t="str">
        <f>IF(games!$A686="","",games!$A686)</f>
        <v>Skul: The Hero Slayer</v>
      </c>
      <c r="B686">
        <f>IF($A686="","",games!$B686)</f>
        <v>2020</v>
      </c>
      <c r="C686" t="str">
        <f>IF($A686="","",games!$C686)</f>
        <v>Action</v>
      </c>
      <c r="D686">
        <f>IF($A686="","",COUNTIF(connections!$A$2:$A$1496,$A686)+COUNTIF(connections!$B$2:$B$1496,$A686))</f>
        <v>3</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3.000686</v>
      </c>
      <c r="P686" t="str">
        <f>IF(OR($A686="",games!$H686=""),"",games!$H686)</f>
        <v>Yes</v>
      </c>
      <c r="Q686">
        <f t="shared" si="141"/>
        <v>3.000686</v>
      </c>
      <c r="T686">
        <f>IF(connections!$A685="","",IFERROR(INDEX(games!$B$2:$B$950,MATCH(connections!$A685,games!$A$2:$A$950,0)),""))</f>
        <v>2009</v>
      </c>
      <c r="U686">
        <f>IF(connections!$A685="","",IFERROR(INDEX(games!$B$2:$B$950,MATCH(connections!$B685,games!$A$2:$A$950,0)),""))</f>
        <v>2020</v>
      </c>
      <c r="V686">
        <f t="shared" si="142"/>
        <v>11</v>
      </c>
    </row>
    <row r="687" spans="1:22" x14ac:dyDescent="0.25">
      <c r="A687" t="str">
        <f>IF(games!$A687="","",games!$A687)</f>
        <v>Skull Horde</v>
      </c>
      <c r="B687">
        <f>IF($A687="","",games!$B687)</f>
        <v>2026</v>
      </c>
      <c r="C687" t="str">
        <f>IF($A687="","",games!$C687)</f>
        <v>Action</v>
      </c>
      <c r="D687">
        <f>IF($A687="","",COUNTIF(connections!$A$2:$A$1496,$A687)+COUNTIF(connections!$B$2:$B$1496,$A687))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1998</v>
      </c>
      <c r="U687">
        <f>IF(connections!$A686="","",IFERROR(INDEX(games!$B$2:$B$950,MATCH(connections!$B686,games!$A$2:$A$950,0)),""))</f>
        <v>2020</v>
      </c>
      <c r="V687">
        <f t="shared" si="142"/>
        <v>22</v>
      </c>
    </row>
    <row r="688" spans="1:22" x14ac:dyDescent="0.25">
      <c r="A688" t="str">
        <f>IF(games!$A688="","",games!$A688)</f>
        <v>Sky Rogue</v>
      </c>
      <c r="B688">
        <f>IF($A688="","",games!$B688)</f>
        <v>2014</v>
      </c>
      <c r="C688" t="str">
        <f>IF($A688="","",games!$C688)</f>
        <v>Action</v>
      </c>
      <c r="D688">
        <f>IF($A688="","",COUNTIF(connections!$A$2:$A$1496,$A688)+COUNTIF(connections!$B$2:$B$1496,$A688))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IF(connections!$A687="","",IFERROR(INDEX(games!$B$2:$B$950,MATCH(connections!$A687,games!$A$2:$A$950,0)),""))</f>
        <v>2017</v>
      </c>
      <c r="U688">
        <f>IF(connections!$A687="","",IFERROR(INDEX(games!$B$2:$B$950,MATCH(connections!$B687,games!$A$2:$A$950,0)),""))</f>
        <v>2020</v>
      </c>
      <c r="V688">
        <f t="shared" si="142"/>
        <v>3</v>
      </c>
    </row>
    <row r="689" spans="1:22" x14ac:dyDescent="0.25">
      <c r="A689" t="str">
        <f>IF(games!$A689="","",games!$A689)</f>
        <v>Sky's The Limit MAH-JONG</v>
      </c>
      <c r="B689">
        <f>IF($A689="","",games!$B689)</f>
        <v>2024</v>
      </c>
      <c r="C689" t="str">
        <f>IF($A689="","",games!$C689)</f>
        <v>Deckbuilder</v>
      </c>
      <c r="D689">
        <f>IF($A689="","",COUNTIF(connections!$A$2:$A$1496,$A689)+COUNTIF(connections!$B$2:$B$1496,$A689))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IF(connections!$A688="","",IFERROR(INDEX(games!$B$2:$B$950,MATCH(connections!$A688,games!$A$2:$A$950,0)),""))</f>
        <v>2016</v>
      </c>
      <c r="U689">
        <f>IF(connections!$A688="","",IFERROR(INDEX(games!$B$2:$B$950,MATCH(connections!$B688,games!$A$2:$A$950,0)),""))</f>
        <v>2024</v>
      </c>
      <c r="V689">
        <f t="shared" si="142"/>
        <v>8</v>
      </c>
    </row>
    <row r="690" spans="1:22" x14ac:dyDescent="0.25">
      <c r="A690" t="str">
        <f>IF(games!$A690="","",games!$A690)</f>
        <v>Slash'EM</v>
      </c>
      <c r="B690">
        <f>IF($A690="","",games!$B690)</f>
        <v>2006</v>
      </c>
      <c r="C690" t="str">
        <f>IF($A690="","",games!$C690)</f>
        <v>Traditional</v>
      </c>
      <c r="D690">
        <f>IF($A690="","",COUNTIF(connections!$A$2:$A$1496,$A690)+COUNTIF(connections!$B$2:$B$1496,$A690))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IF(connections!$A689="","",IFERROR(INDEX(games!$B$2:$B$950,MATCH(connections!$A689,games!$A$2:$A$950,0)),""))</f>
        <v>2011</v>
      </c>
      <c r="U690">
        <f>IF(connections!$A689="","",IFERROR(INDEX(games!$B$2:$B$950,MATCH(connections!$B689,games!$A$2:$A$950,0)),""))</f>
        <v>2024</v>
      </c>
      <c r="V690">
        <f t="shared" si="142"/>
        <v>13</v>
      </c>
    </row>
    <row r="691" spans="1:22" x14ac:dyDescent="0.25">
      <c r="A691" t="str">
        <f>IF(games!$A691="","",games!$A691)</f>
        <v>Slasher's Keep</v>
      </c>
      <c r="B691">
        <f>IF($A691="","",games!$B691)</f>
        <v>2018</v>
      </c>
      <c r="C691" t="str">
        <f>IF($A691="","",games!$C691)</f>
        <v>Action</v>
      </c>
      <c r="D691">
        <f>IF($A691="","",COUNTIF(connections!$A$2:$A$1496,$A691)+COUNTIF(connections!$B$2:$B$1496,$A691))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IF(connections!$A690="","",IFERROR(INDEX(games!$B$2:$B$950,MATCH(connections!$A690,games!$A$2:$A$950,0)),""))</f>
        <v>1994</v>
      </c>
      <c r="U691">
        <f>IF(connections!$A690="","",IFERROR(INDEX(games!$B$2:$B$950,MATCH(connections!$B690,games!$A$2:$A$950,0)),""))</f>
        <v>2006</v>
      </c>
      <c r="V691">
        <f t="shared" si="142"/>
        <v>12</v>
      </c>
    </row>
    <row r="692" spans="1:22" x14ac:dyDescent="0.25">
      <c r="A692" t="str">
        <f>IF(games!$A692="","",games!$A692)</f>
        <v>Slay the Spire</v>
      </c>
      <c r="B692">
        <f>IF($A692="","",games!$B692)</f>
        <v>2017</v>
      </c>
      <c r="C692" t="str">
        <f>IF($A692="","",games!$C692)</f>
        <v>Deckbuilder</v>
      </c>
      <c r="D692">
        <f>IF($A692="","",COUNTIF(connections!$A$2:$A$1496,$A692)+COUNTIF(connections!$B$2:$B$1496,$A692))</f>
        <v>158</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158.00069199999999</v>
      </c>
      <c r="P692" t="str">
        <f>IF(OR($A692="",games!$H692=""),"",games!$H692)</f>
        <v>Yes</v>
      </c>
      <c r="Q692">
        <f t="shared" si="141"/>
        <v>158.00069199999999</v>
      </c>
      <c r="T692">
        <f>IF(connections!$A691="","",IFERROR(INDEX(games!$B$2:$B$950,MATCH(connections!$A691,games!$A$2:$A$950,0)),""))</f>
        <v>1990</v>
      </c>
      <c r="U692">
        <f>IF(connections!$A691="","",IFERROR(INDEX(games!$B$2:$B$950,MATCH(connections!$B691,games!$A$2:$A$950,0)),""))</f>
        <v>2006</v>
      </c>
      <c r="V692">
        <f t="shared" si="142"/>
        <v>16</v>
      </c>
    </row>
    <row r="693" spans="1:22" x14ac:dyDescent="0.25">
      <c r="A693" t="str">
        <f>IF(games!$A693="","",games!$A693)</f>
        <v>Slay the Spire 2</v>
      </c>
      <c r="B693">
        <f>IF($A693="","",games!$B693)</f>
        <v>2026</v>
      </c>
      <c r="C693" t="str">
        <f>IF($A693="","",games!$C693)</f>
        <v>Deckbuilder</v>
      </c>
      <c r="D693">
        <f>IF($A693="","",COUNTIF(connections!$A$2:$A$1496,$A693)+COUNTIF(connections!$B$2:$B$1496,$A693))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IF(connections!$A692="","",IFERROR(INDEX(games!$B$2:$B$950,MATCH(connections!$A692,games!$A$2:$A$950,0)),""))</f>
        <v>1996</v>
      </c>
      <c r="U693">
        <f>IF(connections!$A692="","",IFERROR(INDEX(games!$B$2:$B$950,MATCH(connections!$B692,games!$A$2:$A$950,0)),""))</f>
        <v>2006</v>
      </c>
      <c r="V693">
        <f t="shared" si="142"/>
        <v>10</v>
      </c>
    </row>
    <row r="694" spans="1:22" x14ac:dyDescent="0.25">
      <c r="A694" t="str">
        <f>IF(games!$A694="","",games!$A694)</f>
        <v>Slice &amp; Dice</v>
      </c>
      <c r="B694">
        <f>IF($A694="","",games!$B694)</f>
        <v>2018</v>
      </c>
      <c r="C694" t="str">
        <f>IF($A694="","",games!$C694)</f>
        <v>Strategy</v>
      </c>
      <c r="D694">
        <f>IF($A694="","",COUNTIF(connections!$A$2:$A$1496,$A694)+COUNTIF(connections!$B$2:$B$1496,$A694))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IF(connections!$A693="","",IFERROR(INDEX(games!$B$2:$B$950,MATCH(connections!$A693,games!$A$2:$A$950,0)),""))</f>
        <v>1987</v>
      </c>
      <c r="U694">
        <f>IF(connections!$A693="","",IFERROR(INDEX(games!$B$2:$B$950,MATCH(connections!$B693,games!$A$2:$A$950,0)),""))</f>
        <v>2006</v>
      </c>
      <c r="V694">
        <f t="shared" si="142"/>
        <v>19</v>
      </c>
    </row>
    <row r="695" spans="1:22" x14ac:dyDescent="0.25">
      <c r="A695" t="str">
        <f>IF(games!$A695="","",games!$A695)</f>
        <v>Slime 3k: Demake</v>
      </c>
      <c r="B695">
        <f>IF($A695="","",games!$B695)</f>
        <v>2024</v>
      </c>
      <c r="C695" t="str">
        <f>IF($A695="","",games!$C695)</f>
        <v>Action</v>
      </c>
      <c r="D695">
        <f>IF($A695="","",COUNTIF(connections!$A$2:$A$1496,$A695)+COUNTIF(connections!$B$2:$B$1496,$A695))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IF(connections!$A694="","",IFERROR(INDEX(games!$B$2:$B$950,MATCH(connections!$A694,games!$A$2:$A$950,0)),""))</f>
        <v>1980</v>
      </c>
      <c r="U695">
        <f>IF(connections!$A694="","",IFERROR(INDEX(games!$B$2:$B$950,MATCH(connections!$B694,games!$A$2:$A$950,0)),""))</f>
        <v>1986</v>
      </c>
      <c r="V695">
        <f t="shared" si="142"/>
        <v>6</v>
      </c>
    </row>
    <row r="696" spans="1:22" x14ac:dyDescent="0.25">
      <c r="A696" t="str">
        <f>IF(games!$A696="","",games!$A696)</f>
        <v>Slime 3K: Rise Against Despot</v>
      </c>
      <c r="B696">
        <f>IF($A696="","",games!$B696)</f>
        <v>2023</v>
      </c>
      <c r="C696" t="str">
        <f>IF($A696="","",games!$C696)</f>
        <v>Action</v>
      </c>
      <c r="D696">
        <f>IF($A696="","",COUNTIF(connections!$A$2:$A$1496,$A696)+COUNTIF(connections!$B$2:$B$1496,$A696))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IF(connections!$A695="","",IFERROR(INDEX(games!$B$2:$B$950,MATCH(connections!$A695,games!$A$2:$A$950,0)),""))</f>
        <v>1980</v>
      </c>
      <c r="U696">
        <f>IF(connections!$A695="","",IFERROR(INDEX(games!$B$2:$B$950,MATCH(connections!$B695,games!$A$2:$A$950,0)),""))</f>
        <v>2013</v>
      </c>
      <c r="V696">
        <f t="shared" si="142"/>
        <v>33</v>
      </c>
    </row>
    <row r="697" spans="1:22" x14ac:dyDescent="0.25">
      <c r="A697" t="str">
        <f>IF(games!$A697="","",games!$A697)</f>
        <v>Slot &amp; Dungeons</v>
      </c>
      <c r="B697">
        <f>IF($A697="","",games!$B697)</f>
        <v>2025</v>
      </c>
      <c r="C697" t="str">
        <f>IF($A697="","",games!$C697)</f>
        <v>Deckbuilder</v>
      </c>
      <c r="D697">
        <f>IF($A697="","",COUNTIF(connections!$A$2:$A$1496,$A697)+COUNTIF(connections!$B$2:$B$1496,$A697))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IF(connections!$A696="","",IFERROR(INDEX(games!$B$2:$B$950,MATCH(connections!$A696,games!$A$2:$A$950,0)),""))</f>
        <v>2017</v>
      </c>
      <c r="U697">
        <f>IF(connections!$A696="","",IFERROR(INDEX(games!$B$2:$B$950,MATCH(connections!$B696,games!$A$2:$A$950,0)),""))</f>
        <v>2019</v>
      </c>
      <c r="V697">
        <f t="shared" si="142"/>
        <v>2</v>
      </c>
    </row>
    <row r="698" spans="1:22" x14ac:dyDescent="0.25">
      <c r="A698" t="str">
        <f>IF(games!$A698="","",games!$A698)</f>
        <v>Slot or Not</v>
      </c>
      <c r="B698">
        <f>IF($A698="","",games!$B698)</f>
        <v>2026</v>
      </c>
      <c r="C698" t="str">
        <f>IF($A698="","",games!$C698)</f>
        <v>Deckbuilder</v>
      </c>
      <c r="D698">
        <f>IF($A698="","",COUNTIF(connections!$A$2:$A$1496,$A698)+COUNTIF(connections!$B$2:$B$1496,$A698))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IF(connections!$A697="","",IFERROR(INDEX(games!$B$2:$B$950,MATCH(connections!$A697,games!$A$2:$A$950,0)),""))</f>
        <v>2015</v>
      </c>
      <c r="U698">
        <f>IF(connections!$A697="","",IFERROR(INDEX(games!$B$2:$B$950,MATCH(connections!$B697,games!$A$2:$A$950,0)),""))</f>
        <v>2019</v>
      </c>
      <c r="V698">
        <f t="shared" si="142"/>
        <v>4</v>
      </c>
    </row>
    <row r="699" spans="1:22" x14ac:dyDescent="0.25">
      <c r="A699" t="str">
        <f>IF(games!$A699="","",games!$A699)</f>
        <v>Slots &amp; Daggers</v>
      </c>
      <c r="B699">
        <f>IF($A699="","",games!$B699)</f>
        <v>2025</v>
      </c>
      <c r="C699" t="str">
        <f>IF($A699="","",games!$C699)</f>
        <v>Deckbuilder</v>
      </c>
      <c r="D699">
        <f>IF($A699="","",COUNTIF(connections!$A$2:$A$1496,$A699)+COUNTIF(connections!$B$2:$B$1496,$A699))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IF(connections!$A698="","",IFERROR(INDEX(games!$B$2:$B$950,MATCH(connections!$A698,games!$A$2:$A$950,0)),""))</f>
        <v>2018</v>
      </c>
      <c r="U699">
        <f>IF(connections!$A698="","",IFERROR(INDEX(games!$B$2:$B$950,MATCH(connections!$B698,games!$A$2:$A$950,0)),""))</f>
        <v>2019</v>
      </c>
      <c r="V699">
        <f t="shared" si="142"/>
        <v>1</v>
      </c>
    </row>
    <row r="700" spans="1:22" x14ac:dyDescent="0.25">
      <c r="A700" t="str">
        <f>IF(games!$A700="","",games!$A700)</f>
        <v>SNKRX</v>
      </c>
      <c r="B700">
        <f>IF($A700="","",games!$B700)</f>
        <v>2021</v>
      </c>
      <c r="C700" t="str">
        <f>IF($A700="","",games!$C700)</f>
        <v>Action</v>
      </c>
      <c r="D700">
        <f>IF($A700="","",COUNTIF(connections!$A$2:$A$1496,$A700)+COUNTIF(connections!$B$2:$B$1496,$A700))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IF(connections!$A699="","",IFERROR(INDEX(games!$B$2:$B$950,MATCH(connections!$A699,games!$A$2:$A$950,0)),""))</f>
        <v>2017</v>
      </c>
      <c r="U700">
        <f>IF(connections!$A699="","",IFERROR(INDEX(games!$B$2:$B$950,MATCH(connections!$B699,games!$A$2:$A$950,0)),""))</f>
        <v>2019</v>
      </c>
      <c r="V700">
        <f t="shared" si="142"/>
        <v>2</v>
      </c>
    </row>
    <row r="701" spans="1:22" x14ac:dyDescent="0.25">
      <c r="A701" t="str">
        <f>IF(games!$A701="","",games!$A701)</f>
        <v>Sodaman</v>
      </c>
      <c r="B701">
        <f>IF($A701="","",games!$B701)</f>
        <v>2025</v>
      </c>
      <c r="C701" t="str">
        <f>IF($A701="","",games!$C701)</f>
        <v>Action</v>
      </c>
      <c r="D701">
        <f>IF($A701="","",COUNTIF(connections!$A$2:$A$1496,$A701)+COUNTIF(connections!$B$2:$B$1496,$A701))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IF(connections!$A700="","",IFERROR(INDEX(games!$B$2:$B$950,MATCH(connections!$A700,games!$A$2:$A$950,0)),""))</f>
        <v>2021</v>
      </c>
      <c r="U701">
        <f>IF(connections!$A700="","",IFERROR(INDEX(games!$B$2:$B$950,MATCH(connections!$B700,games!$A$2:$A$950,0)),""))</f>
        <v>2026</v>
      </c>
      <c r="V701">
        <f t="shared" si="142"/>
        <v>5</v>
      </c>
    </row>
    <row r="702" spans="1:22" x14ac:dyDescent="0.25">
      <c r="A702" t="str">
        <f>IF(games!$A702="","",games!$A702)</f>
        <v>Sol Cesto</v>
      </c>
      <c r="B702">
        <f>IF($A702="","",games!$B702)</f>
        <v>2025</v>
      </c>
      <c r="C702" t="str">
        <f>IF($A702="","",games!$C702)</f>
        <v>Strategy</v>
      </c>
      <c r="D702">
        <f>IF($A702="","",COUNTIF(connections!$A$2:$A$1496,$A702)+COUNTIF(connections!$B$2:$B$1496,$A702))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IF(connections!$A701="","",IFERROR(INDEX(games!$B$2:$B$950,MATCH(connections!$A701,games!$A$2:$A$950,0)),""))</f>
        <v>2021</v>
      </c>
      <c r="U702">
        <f>IF(connections!$A701="","",IFERROR(INDEX(games!$B$2:$B$950,MATCH(connections!$B701,games!$A$2:$A$950,0)),""))</f>
        <v>2024</v>
      </c>
      <c r="V702">
        <f t="shared" si="142"/>
        <v>3</v>
      </c>
    </row>
    <row r="703" spans="1:22" x14ac:dyDescent="0.25">
      <c r="A703" t="str">
        <f>IF(games!$A703="","",games!$A703)</f>
        <v>Solitairica</v>
      </c>
      <c r="B703">
        <f>IF($A703="","",games!$B703)</f>
        <v>2016</v>
      </c>
      <c r="C703" t="str">
        <f>IF($A703="","",games!$C703)</f>
        <v>Deckbuilder</v>
      </c>
      <c r="D703">
        <f>IF($A703="","",COUNTIF(connections!$A$2:$A$1496,$A703)+COUNTIF(connections!$B$2:$B$1496,$A703))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IF(connections!$A702="","",IFERROR(INDEX(games!$B$2:$B$950,MATCH(connections!$A702,games!$A$2:$A$950,0)),""))</f>
        <v>2021</v>
      </c>
      <c r="U703">
        <f>IF(connections!$A702="","",IFERROR(INDEX(games!$B$2:$B$950,MATCH(connections!$B702,games!$A$2:$A$950,0)),""))</f>
        <v>2026</v>
      </c>
      <c r="V703">
        <f t="shared" si="142"/>
        <v>5</v>
      </c>
    </row>
    <row r="704" spans="1:22" x14ac:dyDescent="0.25">
      <c r="A704" t="str">
        <f>IF(games!$A704="","",games!$A704)</f>
        <v>Soulash</v>
      </c>
      <c r="B704">
        <f>IF($A704="","",games!$B704)</f>
        <v>2022</v>
      </c>
      <c r="C704" t="str">
        <f>IF($A704="","",games!$C704)</f>
        <v>Traditional</v>
      </c>
      <c r="D704">
        <f>IF($A704="","",COUNTIF(connections!$A$2:$A$1496,$A704)+COUNTIF(connections!$B$2:$B$1496,$A704))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IF(connections!$A703="","",IFERROR(INDEX(games!$B$2:$B$950,MATCH(connections!$A703,games!$A$2:$A$950,0)),""))</f>
        <v>2024</v>
      </c>
      <c r="U704">
        <f>IF(connections!$A703="","",IFERROR(INDEX(games!$B$2:$B$950,MATCH(connections!$B703,games!$A$2:$A$950,0)),""))</f>
        <v>2026</v>
      </c>
      <c r="V704">
        <f t="shared" si="142"/>
        <v>2</v>
      </c>
    </row>
    <row r="705" spans="1:22" x14ac:dyDescent="0.25">
      <c r="A705" t="str">
        <f>IF(games!$A705="","",games!$A705)</f>
        <v>Soulash 2</v>
      </c>
      <c r="B705">
        <f>IF($A705="","",games!$B705)</f>
        <v>2023</v>
      </c>
      <c r="C705" t="str">
        <f>IF($A705="","",games!$C705)</f>
        <v>Traditional</v>
      </c>
      <c r="D705">
        <f>IF($A705="","",COUNTIF(connections!$A$2:$A$1496,$A705)+COUNTIF(connections!$B$2:$B$1496,$A705))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IF(connections!$A704="","",IFERROR(INDEX(games!$B$2:$B$950,MATCH(connections!$A704,games!$A$2:$A$950,0)),""))</f>
        <v>2013</v>
      </c>
      <c r="U705">
        <f>IF(connections!$A704="","",IFERROR(INDEX(games!$B$2:$B$950,MATCH(connections!$B704,games!$A$2:$A$950,0)),""))</f>
        <v>2023</v>
      </c>
      <c r="V705">
        <f t="shared" si="142"/>
        <v>10</v>
      </c>
    </row>
    <row r="706" spans="1:22" x14ac:dyDescent="0.25">
      <c r="A706" t="str">
        <f>IF(games!$A706="","",games!$A706)</f>
        <v>Soulstone Survivors</v>
      </c>
      <c r="B706">
        <f>IF($A706="","",games!$B706)</f>
        <v>2022</v>
      </c>
      <c r="C706" t="str">
        <f>IF($A706="","",games!$C706)</f>
        <v>Action</v>
      </c>
      <c r="D706">
        <f>IF($A706="","",COUNTIF(connections!$A$2:$A$1496,$A706)+COUNTIF(connections!$B$2:$B$1496,$A706))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IF(connections!$A705="","",IFERROR(INDEX(games!$B$2:$B$950,MATCH(connections!$A705,games!$A$2:$A$950,0)),""))</f>
        <v>2018</v>
      </c>
      <c r="U706">
        <f>IF(connections!$A705="","",IFERROR(INDEX(games!$B$2:$B$950,MATCH(connections!$B705,games!$A$2:$A$950,0)),""))</f>
        <v>2023</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IF($A707="","",COUNTIF(connections!$A$2:$A$1496,$A707)+COUNTIF(connections!$B$2:$B$1496,$A707))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IF(connections!$A706="","",IFERROR(INDEX(games!$B$2:$B$950,MATCH(connections!$A706,games!$A$2:$A$950,0)),""))</f>
        <v>2023</v>
      </c>
      <c r="U707">
        <f>IF(connections!$A706="","",IFERROR(INDEX(games!$B$2:$B$950,MATCH(connections!$B706,games!$A$2:$A$950,0)),""))</f>
        <v>2026</v>
      </c>
      <c r="V707">
        <f t="shared" si="155"/>
        <v>3</v>
      </c>
    </row>
    <row r="708" spans="1:22" x14ac:dyDescent="0.25">
      <c r="A708" t="str">
        <f>IF(games!$A708="","",games!$A708)</f>
        <v>Space Gladiators</v>
      </c>
      <c r="B708">
        <f>IF($A708="","",games!$B708)</f>
        <v>2019</v>
      </c>
      <c r="C708" t="str">
        <f>IF($A708="","",games!$C708)</f>
        <v>Action</v>
      </c>
      <c r="D708">
        <f>IF($A708="","",COUNTIF(connections!$A$2:$A$1496,$A708)+COUNTIF(connections!$B$2:$B$1496,$A708))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IF(connections!$A707="","",IFERROR(INDEX(games!$B$2:$B$950,MATCH(connections!$A707,games!$A$2:$A$950,0)),""))</f>
        <v>2023</v>
      </c>
      <c r="U708">
        <f>IF(connections!$A707="","",IFERROR(INDEX(games!$B$2:$B$950,MATCH(connections!$B707,games!$A$2:$A$950,0)),""))</f>
        <v>2026</v>
      </c>
      <c r="V708">
        <f t="shared" si="155"/>
        <v>3</v>
      </c>
    </row>
    <row r="709" spans="1:22" x14ac:dyDescent="0.25">
      <c r="A709" t="str">
        <f>IF(games!$A709="","",games!$A709)</f>
        <v>Space Grunts</v>
      </c>
      <c r="B709">
        <f>IF($A709="","",games!$B709)</f>
        <v>2016</v>
      </c>
      <c r="C709" t="str">
        <f>IF($A709="","",games!$C709)</f>
        <v>Traditional</v>
      </c>
      <c r="D709">
        <f>IF($A709="","",COUNTIF(connections!$A$2:$A$1496,$A709)+COUNTIF(connections!$B$2:$B$1496,$A709))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IF(connections!$A708="","",IFERROR(INDEX(games!$B$2:$B$950,MATCH(connections!$A708,games!$A$2:$A$950,0)),""))</f>
        <v>1987</v>
      </c>
      <c r="U709">
        <f>IF(connections!$A708="","",IFERROR(INDEX(games!$B$2:$B$950,MATCH(connections!$B708,games!$A$2:$A$950,0)),""))</f>
        <v>1995</v>
      </c>
      <c r="V709">
        <f t="shared" si="155"/>
        <v>8</v>
      </c>
    </row>
    <row r="710" spans="1:22" x14ac:dyDescent="0.25">
      <c r="A710" t="str">
        <f>IF(games!$A710="","",games!$A710)</f>
        <v>Space Prison</v>
      </c>
      <c r="B710">
        <f>IF($A710="","",games!$B710)</f>
        <v>2024</v>
      </c>
      <c r="C710" t="str">
        <f>IF($A710="","",games!$C710)</f>
        <v>Strategy</v>
      </c>
      <c r="D710">
        <f>IF($A710="","",COUNTIF(connections!$A$2:$A$1496,$A710)+COUNTIF(connections!$B$2:$B$1496,$A710))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IF(connections!$A709="","",IFERROR(INDEX(games!$B$2:$B$950,MATCH(connections!$A709,games!$A$2:$A$950,0)),""))</f>
        <v>2015</v>
      </c>
      <c r="U710">
        <f>IF(connections!$A709="","",IFERROR(INDEX(games!$B$2:$B$950,MATCH(connections!$B709,games!$A$2:$A$950,0)),""))</f>
        <v>2023</v>
      </c>
      <c r="V710">
        <f t="shared" si="155"/>
        <v>8</v>
      </c>
    </row>
    <row r="711" spans="1:22" x14ac:dyDescent="0.25">
      <c r="A711" t="str">
        <f>IF(games!$A711="","",games!$A711)</f>
        <v>Sparklite</v>
      </c>
      <c r="B711">
        <f>IF($A711="","",games!$B711)</f>
        <v>2019</v>
      </c>
      <c r="C711" t="str">
        <f>IF($A711="","",games!$C711)</f>
        <v>Action</v>
      </c>
      <c r="D711">
        <f>IF($A711="","",COUNTIF(connections!$A$2:$A$1496,$A711)+COUNTIF(connections!$B$2:$B$1496,$A711))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IF(connections!$A710="","",IFERROR(INDEX(games!$B$2:$B$950,MATCH(connections!$A710,games!$A$2:$A$950,0)),""))</f>
        <v>2015</v>
      </c>
      <c r="U711">
        <f>IF(connections!$A710="","",IFERROR(INDEX(games!$B$2:$B$950,MATCH(connections!$B710,games!$A$2:$A$950,0)),""))</f>
        <v>2023</v>
      </c>
      <c r="V711">
        <f t="shared" si="155"/>
        <v>8</v>
      </c>
    </row>
    <row r="712" spans="1:22" x14ac:dyDescent="0.25">
      <c r="A712" t="str">
        <f>IF(games!$A712="","",games!$A712)</f>
        <v>Spellbook Demonslayers</v>
      </c>
      <c r="B712">
        <f>IF($A712="","",games!$B712)</f>
        <v>2022</v>
      </c>
      <c r="C712" t="str">
        <f>IF($A712="","",games!$C712)</f>
        <v>Action</v>
      </c>
      <c r="D712">
        <f>IF($A712="","",COUNTIF(connections!$A$2:$A$1496,$A712)+COUNTIF(connections!$B$2:$B$1496,$A712))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2023</v>
      </c>
      <c r="V712">
        <f t="shared" si="155"/>
        <v>2</v>
      </c>
    </row>
    <row r="713" spans="1:22" x14ac:dyDescent="0.25">
      <c r="A713" t="str">
        <f>IF(games!$A713="","",games!$A713)</f>
        <v>Spellmasons</v>
      </c>
      <c r="B713">
        <f>IF($A713="","",games!$B713)</f>
        <v>2023</v>
      </c>
      <c r="C713" t="str">
        <f>IF($A713="","",games!$C713)</f>
        <v>Strategy</v>
      </c>
      <c r="D713">
        <f>IF($A713="","",COUNTIF(connections!$A$2:$A$1496,$A713)+COUNTIF(connections!$B$2:$B$1496,$A713))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IF(connections!$A712="","",IFERROR(INDEX(games!$B$2:$B$950,MATCH(connections!$A712,games!$A$2:$A$950,0)),""))</f>
        <v>2012</v>
      </c>
      <c r="U713">
        <f>IF(connections!$A712="","",IFERROR(INDEX(games!$B$2:$B$950,MATCH(connections!$B712,games!$A$2:$A$950,0)),""))</f>
        <v>2024</v>
      </c>
      <c r="V713">
        <f t="shared" si="155"/>
        <v>12</v>
      </c>
    </row>
    <row r="714" spans="1:22" x14ac:dyDescent="0.25">
      <c r="A714" t="str">
        <f>IF(games!$A714="","",games!$A714)</f>
        <v>SpellRogue</v>
      </c>
      <c r="B714">
        <f>IF($A714="","",games!$B714)</f>
        <v>2024</v>
      </c>
      <c r="C714" t="str">
        <f>IF($A714="","",games!$C714)</f>
        <v>Deckbuilder</v>
      </c>
      <c r="D714">
        <f>IF($A714="","",COUNTIF(connections!$A$2:$A$1496,$A714)+COUNTIF(connections!$B$2:$B$1496,$A714))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IF(connections!$A713="","",IFERROR(INDEX(games!$B$2:$B$950,MATCH(connections!$A713,games!$A$2:$A$950,0)),""))</f>
        <v>2015</v>
      </c>
      <c r="U714">
        <f>IF(connections!$A713="","",IFERROR(INDEX(games!$B$2:$B$950,MATCH(connections!$B713,games!$A$2:$A$950,0)),""))</f>
        <v>2017</v>
      </c>
      <c r="V714">
        <f t="shared" si="155"/>
        <v>2</v>
      </c>
    </row>
    <row r="715" spans="1:22" x14ac:dyDescent="0.25">
      <c r="A715" t="str">
        <f>IF(games!$A715="","",games!$A715)</f>
        <v>Spelunky</v>
      </c>
      <c r="B715">
        <f>IF($A715="","",games!$B715)</f>
        <v>2012</v>
      </c>
      <c r="C715" t="str">
        <f>IF($A715="","",games!$C715)</f>
        <v>Action</v>
      </c>
      <c r="D715">
        <f>IF($A715="","",COUNTIF(connections!$A$2:$A$1496,$A715)+COUNTIF(connections!$B$2:$B$1496,$A715))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IF(connections!$A714="","",IFERROR(INDEX(games!$B$2:$B$950,MATCH(connections!$A714,games!$A$2:$A$950,0)),""))</f>
        <v>2008</v>
      </c>
      <c r="U715">
        <f>IF(connections!$A714="","",IFERROR(INDEX(games!$B$2:$B$950,MATCH(connections!$B714,games!$A$2:$A$950,0)),""))</f>
        <v>2017</v>
      </c>
      <c r="V715">
        <f t="shared" si="155"/>
        <v>9</v>
      </c>
    </row>
    <row r="716" spans="1:22" x14ac:dyDescent="0.25">
      <c r="A716" t="str">
        <f>IF(games!$A716="","",games!$A716)</f>
        <v>Spelunky 2</v>
      </c>
      <c r="B716">
        <f>IF($A716="","",games!$B716)</f>
        <v>2020</v>
      </c>
      <c r="C716" t="str">
        <f>IF($A716="","",games!$C716)</f>
        <v>Action</v>
      </c>
      <c r="D716">
        <f>IF($A716="","",COUNTIF(connections!$A$2:$A$1496,$A716)+COUNTIF(connections!$B$2:$B$1496,$A716))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IF(connections!$A715="","",IFERROR(INDEX(games!$B$2:$B$950,MATCH(connections!$A715,games!$A$2:$A$950,0)),""))</f>
        <v>2023</v>
      </c>
      <c r="U716">
        <f>IF(connections!$A715="","",IFERROR(INDEX(games!$B$2:$B$950,MATCH(connections!$B715,games!$A$2:$A$950,0)),""))</f>
        <v>2025</v>
      </c>
      <c r="V716">
        <f t="shared" si="155"/>
        <v>2</v>
      </c>
    </row>
    <row r="717" spans="1:22" x14ac:dyDescent="0.25">
      <c r="A717" t="str">
        <f>IF(games!$A717="","",games!$A717)</f>
        <v>Spelunky Classic</v>
      </c>
      <c r="B717">
        <f>IF($A717="","",games!$B717)</f>
        <v>2008</v>
      </c>
      <c r="C717" t="str">
        <f>IF($A717="","",games!$C717)</f>
        <v>Action</v>
      </c>
      <c r="D717">
        <f>IF($A717="","",COUNTIF(connections!$A$2:$A$1496,$A717)+COUNTIF(connections!$B$2:$B$1496,$A717))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IF(connections!$A716="","",IFERROR(INDEX(games!$B$2:$B$950,MATCH(connections!$A716,games!$A$2:$A$950,0)),""))</f>
        <v>2023</v>
      </c>
      <c r="U717">
        <f>IF(connections!$A716="","",IFERROR(INDEX(games!$B$2:$B$950,MATCH(connections!$B716,games!$A$2:$A$950,0)),""))</f>
        <v>2025</v>
      </c>
      <c r="V717">
        <f t="shared" si="155"/>
        <v>2</v>
      </c>
    </row>
    <row r="718" spans="1:22" x14ac:dyDescent="0.25">
      <c r="A718" t="str">
        <f>IF(games!$A718="","",games!$A718)</f>
        <v>Spin Hero</v>
      </c>
      <c r="B718">
        <f>IF($A718="","",games!$B718)</f>
        <v>2024</v>
      </c>
      <c r="C718" t="str">
        <f>IF($A718="","",games!$C718)</f>
        <v>Deckbuilder</v>
      </c>
      <c r="D718">
        <f>IF($A718="","",COUNTIF(connections!$A$2:$A$1496,$A718)+COUNTIF(connections!$B$2:$B$1496,$A718))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IF(connections!$A717="","",IFERROR(INDEX(games!$B$2:$B$950,MATCH(connections!$A717,games!$A$2:$A$950,0)),""))</f>
        <v>2021</v>
      </c>
      <c r="U718">
        <f>IF(connections!$A717="","",IFERROR(INDEX(games!$B$2:$B$950,MATCH(connections!$B717,games!$A$2:$A$950,0)),""))</f>
        <v>2026</v>
      </c>
      <c r="V718">
        <f t="shared" si="155"/>
        <v>5</v>
      </c>
    </row>
    <row r="719" spans="1:22" x14ac:dyDescent="0.25">
      <c r="A719" t="str">
        <f>IF(games!$A719="","",games!$A719)</f>
        <v>Spirit Hunters: Infinite Horde</v>
      </c>
      <c r="B719">
        <f>IF($A719="","",games!$B719)</f>
        <v>2022</v>
      </c>
      <c r="C719" t="str">
        <f>IF($A719="","",games!$C719)</f>
        <v>Action</v>
      </c>
      <c r="D719">
        <f>IF($A719="","",COUNTIF(connections!$A$2:$A$1496,$A719)+COUNTIF(connections!$B$2:$B$1496,$A719))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IF(connections!$A718="","",IFERROR(INDEX(games!$B$2:$B$950,MATCH(connections!$A718,games!$A$2:$A$950,0)),""))</f>
        <v>2020</v>
      </c>
      <c r="U719">
        <f>IF(connections!$A718="","",IFERROR(INDEX(games!$B$2:$B$950,MATCH(connections!$B718,games!$A$2:$A$950,0)),""))</f>
        <v>2026</v>
      </c>
      <c r="V719">
        <f t="shared" si="155"/>
        <v>6</v>
      </c>
    </row>
    <row r="720" spans="1:22" x14ac:dyDescent="0.25">
      <c r="A720" t="str">
        <f>IF(games!$A720="","",games!$A720)</f>
        <v>Spiritfall</v>
      </c>
      <c r="B720">
        <f>IF($A720="","",games!$B720)</f>
        <v>2023</v>
      </c>
      <c r="C720" t="str">
        <f>IF($A720="","",games!$C720)</f>
        <v>Action</v>
      </c>
      <c r="D720">
        <f>IF($A720="","",COUNTIF(connections!$A$2:$A$1496,$A720)+COUNTIF(connections!$B$2:$B$1496,$A720))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IF(connections!$A719="","",IFERROR(INDEX(games!$B$2:$B$950,MATCH(connections!$A719,games!$A$2:$A$950,0)),""))</f>
        <v>1987</v>
      </c>
      <c r="U720">
        <f>IF(connections!$A719="","",IFERROR(INDEX(games!$B$2:$B$950,MATCH(connections!$B719,games!$A$2:$A$950,0)),""))</f>
        <v>2019</v>
      </c>
      <c r="V720">
        <f t="shared" si="155"/>
        <v>32</v>
      </c>
    </row>
    <row r="721" spans="1:22" x14ac:dyDescent="0.25">
      <c r="A721" t="str">
        <f>IF(games!$A721="","",games!$A721)</f>
        <v>Spirits Abyss</v>
      </c>
      <c r="B721">
        <f>IF($A721="","",games!$B721)</f>
        <v>2019</v>
      </c>
      <c r="C721" t="str">
        <f>IF($A721="","",games!$C721)</f>
        <v>Action</v>
      </c>
      <c r="D721">
        <f>IF($A721="","",COUNTIF(connections!$A$2:$A$1496,$A721)+COUNTIF(connections!$B$2:$B$1496,$A721))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IF(connections!$A720="","",IFERROR(INDEX(games!$B$2:$B$950,MATCH(connections!$A720,games!$A$2:$A$950,0)),""))</f>
        <v>2011</v>
      </c>
      <c r="U721">
        <f>IF(connections!$A720="","",IFERROR(INDEX(games!$B$2:$B$950,MATCH(connections!$B720,games!$A$2:$A$950,0)),""))</f>
        <v>2019</v>
      </c>
      <c r="V721">
        <f t="shared" si="155"/>
        <v>8</v>
      </c>
    </row>
    <row r="722" spans="1:22" x14ac:dyDescent="0.25">
      <c r="A722" t="str">
        <f>IF(games!$A722="","",games!$A722)</f>
        <v>Sproggiwood</v>
      </c>
      <c r="B722">
        <f>IF($A722="","",games!$B722)</f>
        <v>2014</v>
      </c>
      <c r="C722" t="str">
        <f>IF($A722="","",games!$C722)</f>
        <v>Traditional</v>
      </c>
      <c r="D722">
        <f>IF($A722="","",COUNTIF(connections!$A$2:$A$1496,$A722)+COUNTIF(connections!$B$2:$B$1496,$A722))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IF(connections!$A721="","",IFERROR(INDEX(games!$B$2:$B$950,MATCH(connections!$A721,games!$A$2:$A$950,0)),""))</f>
        <v>2010</v>
      </c>
      <c r="U722">
        <f>IF(connections!$A721="","",IFERROR(INDEX(games!$B$2:$B$950,MATCH(connections!$B721,games!$A$2:$A$950,0)),""))</f>
        <v>2023</v>
      </c>
      <c r="V722">
        <f t="shared" si="155"/>
        <v>13</v>
      </c>
    </row>
    <row r="723" spans="1:22" x14ac:dyDescent="0.25">
      <c r="A723" t="str">
        <f>IF(games!$A723="","",games!$A723)</f>
        <v>Squeaky Squad</v>
      </c>
      <c r="B723">
        <f>IF($A723="","",games!$B723)</f>
        <v>2024</v>
      </c>
      <c r="C723" t="str">
        <f>IF($A723="","",games!$C723)</f>
        <v>Action</v>
      </c>
      <c r="D723">
        <f>IF($A723="","",COUNTIF(connections!$A$2:$A$1496,$A723)+COUNTIF(connections!$B$2:$B$1496,$A723))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IF(connections!$A722="","",IFERROR(INDEX(games!$B$2:$B$950,MATCH(connections!$A722,games!$A$2:$A$950,0)),""))</f>
        <v>2014</v>
      </c>
      <c r="U723">
        <f>IF(connections!$A722="","",IFERROR(INDEX(games!$B$2:$B$950,MATCH(connections!$B722,games!$A$2:$A$950,0)),""))</f>
        <v>2023</v>
      </c>
      <c r="V723">
        <f t="shared" si="155"/>
        <v>9</v>
      </c>
    </row>
    <row r="724" spans="1:22" x14ac:dyDescent="0.25">
      <c r="A724" t="str">
        <f>IF(games!$A724="","",games!$A724)</f>
        <v>Stackflow</v>
      </c>
      <c r="B724">
        <f>IF($A724="","",games!$B724)</f>
        <v>2025</v>
      </c>
      <c r="C724" t="str">
        <f>IF($A724="","",games!$C724)</f>
        <v>Deckbuilder</v>
      </c>
      <c r="D724">
        <f>IF($A724="","",COUNTIF(connections!$A$2:$A$1496,$A724)+COUNTIF(connections!$B$2:$B$1496,$A724))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IF(connections!$A723="","",IFERROR(INDEX(games!$B$2:$B$950,MATCH(connections!$A723,games!$A$2:$A$950,0)),""))</f>
        <v>2017</v>
      </c>
      <c r="U724">
        <f>IF(connections!$A723="","",IFERROR(INDEX(games!$B$2:$B$950,MATCH(connections!$B723,games!$A$2:$A$950,0)),""))</f>
        <v>2023</v>
      </c>
      <c r="V724">
        <f t="shared" si="155"/>
        <v>6</v>
      </c>
    </row>
    <row r="725" spans="1:22" x14ac:dyDescent="0.25">
      <c r="A725" t="str">
        <f>IF(games!$A725="","",games!$A725)</f>
        <v>Star of Providence</v>
      </c>
      <c r="B725">
        <f>IF($A725="","",games!$B725)</f>
        <v>2017</v>
      </c>
      <c r="C725" t="str">
        <f>IF($A725="","",games!$C725)</f>
        <v>Action</v>
      </c>
      <c r="D725">
        <f>IF($A725="","",COUNTIF(connections!$A$2:$A$1496,$A725)+COUNTIF(connections!$B$2:$B$1496,$A725))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IF(connections!$A724="","",IFERROR(INDEX(games!$B$2:$B$950,MATCH(connections!$A724,games!$A$2:$A$950,0)),""))</f>
        <v>2017</v>
      </c>
      <c r="U725">
        <f>IF(connections!$A724="","",IFERROR(INDEX(games!$B$2:$B$950,MATCH(connections!$B724,games!$A$2:$A$950,0)),""))</f>
        <v>2022</v>
      </c>
      <c r="V725">
        <f t="shared" si="155"/>
        <v>5</v>
      </c>
    </row>
    <row r="726" spans="1:22" x14ac:dyDescent="0.25">
      <c r="A726" t="str">
        <f>IF(games!$A726="","",games!$A726)</f>
        <v>Star Renegades</v>
      </c>
      <c r="B726">
        <f>IF($A726="","",games!$B726)</f>
        <v>2020</v>
      </c>
      <c r="C726" t="str">
        <f>IF($A726="","",games!$C726)</f>
        <v>Strategy</v>
      </c>
      <c r="D726">
        <f>IF($A726="","",COUNTIF(connections!$A$2:$A$1496,$A726)+COUNTIF(connections!$B$2:$B$1496,$A726))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IF(connections!$A725="","",IFERROR(INDEX(games!$B$2:$B$950,MATCH(connections!$A725,games!$A$2:$A$950,0)),""))</f>
        <v>2019</v>
      </c>
      <c r="U726">
        <f>IF(connections!$A725="","",IFERROR(INDEX(games!$B$2:$B$950,MATCH(connections!$B725,games!$A$2:$A$950,0)),""))</f>
        <v>2025</v>
      </c>
      <c r="V726">
        <f t="shared" si="155"/>
        <v>6</v>
      </c>
    </row>
    <row r="727" spans="1:22" x14ac:dyDescent="0.25">
      <c r="A727" t="str">
        <f>IF(games!$A727="","",games!$A727)</f>
        <v>Star Survivor</v>
      </c>
      <c r="B727">
        <f>IF($A727="","",games!$B727)</f>
        <v>2023</v>
      </c>
      <c r="C727" t="str">
        <f>IF($A727="","",games!$C727)</f>
        <v>Action</v>
      </c>
      <c r="D727">
        <f>IF($A727="","",COUNTIF(connections!$A$2:$A$1496,$A727)+COUNTIF(connections!$B$2:$B$1496,$A727))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IF(connections!$A726="","",IFERROR(INDEX(games!$B$2:$B$950,MATCH(connections!$A726,games!$A$2:$A$950,0)),""))</f>
        <v>1984</v>
      </c>
      <c r="U727">
        <f>IF(connections!$A726="","",IFERROR(INDEX(games!$B$2:$B$950,MATCH(connections!$B726,games!$A$2:$A$950,0)),""))</f>
        <v>2001</v>
      </c>
      <c r="V727">
        <f t="shared" si="155"/>
        <v>17</v>
      </c>
    </row>
    <row r="728" spans="1:22" x14ac:dyDescent="0.25">
      <c r="A728" t="str">
        <f>IF(games!$A728="","",games!$A728)</f>
        <v>Starlight Revolver</v>
      </c>
      <c r="B728">
        <f>IF($A728="","",games!$B728)</f>
        <v>2025</v>
      </c>
      <c r="C728" t="str">
        <f>IF($A728="","",games!$C728)</f>
        <v>Action</v>
      </c>
      <c r="D728">
        <f>IF($A728="","",COUNTIF(connections!$A$2:$A$1496,$A728)+COUNTIF(connections!$B$2:$B$1496,$A728))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IF(connections!$A727="","",IFERROR(INDEX(games!$B$2:$B$950,MATCH(connections!$A727,games!$A$2:$A$950,0)),""))</f>
        <v>2015</v>
      </c>
      <c r="U728">
        <f>IF(connections!$A727="","",IFERROR(INDEX(games!$B$2:$B$950,MATCH(connections!$B727,games!$A$2:$A$950,0)),""))</f>
        <v>2024</v>
      </c>
      <c r="V728">
        <f t="shared" si="155"/>
        <v>9</v>
      </c>
    </row>
    <row r="729" spans="1:22" x14ac:dyDescent="0.25">
      <c r="A729" t="str">
        <f>IF(games!$A729="","",games!$A729)</f>
        <v>StarVaders</v>
      </c>
      <c r="B729">
        <f>IF($A729="","",games!$B729)</f>
        <v>2025</v>
      </c>
      <c r="C729" t="str">
        <f>IF($A729="","",games!$C729)</f>
        <v>Deckbuilder</v>
      </c>
      <c r="D729">
        <f>IF($A729="","",COUNTIF(connections!$A$2:$A$1496,$A729)+COUNTIF(connections!$B$2:$B$1496,$A729))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IF(connections!$A728="","",IFERROR(INDEX(games!$B$2:$B$950,MATCH(connections!$A728,games!$A$2:$A$950,0)),""))</f>
        <v>2017</v>
      </c>
      <c r="U729">
        <f>IF(connections!$A728="","",IFERROR(INDEX(games!$B$2:$B$950,MATCH(connections!$B728,games!$A$2:$A$950,0)),""))</f>
        <v>2024</v>
      </c>
      <c r="V729">
        <f t="shared" si="155"/>
        <v>7</v>
      </c>
    </row>
    <row r="730" spans="1:22" x14ac:dyDescent="0.25">
      <c r="A730" t="str">
        <f>IF(games!$A730="","",games!$A730)</f>
        <v>Steve's Warehouse: Physics. Roguelike. Chaos.</v>
      </c>
      <c r="B730">
        <f>IF($A730="","",games!$B730)</f>
        <v>2025</v>
      </c>
      <c r="C730" t="str">
        <f>IF($A730="","",games!$C730)</f>
        <v>Deckbuilder</v>
      </c>
      <c r="D730">
        <f>IF($A730="","",COUNTIF(connections!$A$2:$A$1496,$A730)+COUNTIF(connections!$B$2:$B$1496,$A730))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IF(connections!$A729="","",IFERROR(INDEX(games!$B$2:$B$950,MATCH(connections!$A729,games!$A$2:$A$950,0)),""))</f>
        <v>2018</v>
      </c>
      <c r="U730">
        <f>IF(connections!$A729="","",IFERROR(INDEX(games!$B$2:$B$950,MATCH(connections!$B729,games!$A$2:$A$950,0)),""))</f>
        <v>2024</v>
      </c>
      <c r="V730">
        <f t="shared" si="155"/>
        <v>6</v>
      </c>
    </row>
    <row r="731" spans="1:22" x14ac:dyDescent="0.25">
      <c r="A731" t="str">
        <f>IF(games!$A731="","",games!$A731)</f>
        <v>Stick It to the Stickman</v>
      </c>
      <c r="B731">
        <f>IF($A731="","",games!$B731)</f>
        <v>2025</v>
      </c>
      <c r="C731" t="str">
        <f>IF($A731="","",games!$C731)</f>
        <v>Action</v>
      </c>
      <c r="D731">
        <f>IF($A731="","",COUNTIF(connections!$A$2:$A$1496,$A731)+COUNTIF(connections!$B$2:$B$1496,$A731))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IF(connections!$A730="","",IFERROR(INDEX(games!$B$2:$B$950,MATCH(connections!$A730,games!$A$2:$A$950,0)),""))</f>
        <v>2017</v>
      </c>
      <c r="U731">
        <f>IF(connections!$A730="","",IFERROR(INDEX(games!$B$2:$B$950,MATCH(connections!$B730,games!$A$2:$A$950,0)),""))</f>
        <v>2021</v>
      </c>
      <c r="V731">
        <f t="shared" si="155"/>
        <v>4</v>
      </c>
    </row>
    <row r="732" spans="1:22" x14ac:dyDescent="0.25">
      <c r="A732" t="str">
        <f>IF(games!$A732="","",games!$A732)</f>
        <v>Stolen Realm Survivors</v>
      </c>
      <c r="B732">
        <f>IF($A732="","",games!$B732)</f>
        <v>2026</v>
      </c>
      <c r="C732" t="str">
        <f>IF($A732="","",games!$C732)</f>
        <v>Action</v>
      </c>
      <c r="D732">
        <f>IF($A732="","",COUNTIF(connections!$A$2:$A$1496,$A732)+COUNTIF(connections!$B$2:$B$1496,$A732))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IF(connections!$A731="","",IFERROR(INDEX(games!$B$2:$B$950,MATCH(connections!$A731,games!$A$2:$A$950,0)),""))</f>
        <v>2021</v>
      </c>
      <c r="U732">
        <f>IF(connections!$A731="","",IFERROR(INDEX(games!$B$2:$B$950,MATCH(connections!$B731,games!$A$2:$A$950,0)),""))</f>
        <v>2023</v>
      </c>
      <c r="V732">
        <f t="shared" si="155"/>
        <v>2</v>
      </c>
    </row>
    <row r="733" spans="1:22" x14ac:dyDescent="0.25">
      <c r="A733" t="str">
        <f>IF(games!$A733="","",games!$A733)</f>
        <v>Stoneshard</v>
      </c>
      <c r="B733">
        <f>IF($A733="","",games!$B733)</f>
        <v>2020</v>
      </c>
      <c r="C733" t="str">
        <f>IF($A733="","",games!$C733)</f>
        <v>Traditional</v>
      </c>
      <c r="D733">
        <f>IF($A733="","",COUNTIF(connections!$A$2:$A$1496,$A733)+COUNTIF(connections!$B$2:$B$1496,$A733))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IF(connections!$A732="","",IFERROR(INDEX(games!$B$2:$B$950,MATCH(connections!$A732,games!$A$2:$A$950,0)),""))</f>
        <v>2023</v>
      </c>
      <c r="U733">
        <f>IF(connections!$A732="","",IFERROR(INDEX(games!$B$2:$B$950,MATCH(connections!$B732,games!$A$2:$A$950,0)),""))</f>
        <v>2026</v>
      </c>
      <c r="V733">
        <f t="shared" si="155"/>
        <v>3</v>
      </c>
    </row>
    <row r="734" spans="1:22" x14ac:dyDescent="0.25">
      <c r="A734" t="str">
        <f>IF(games!$A734="","",games!$A734)</f>
        <v>Stories from the Outbreak</v>
      </c>
      <c r="B734">
        <f>IF($A734="","",games!$B734)</f>
        <v>2023</v>
      </c>
      <c r="C734" t="str">
        <f>IF($A734="","",games!$C734)</f>
        <v>Strategy</v>
      </c>
      <c r="D734">
        <f>IF($A734="","",COUNTIF(connections!$A$2:$A$1496,$A734)+COUNTIF(connections!$B$2:$B$1496,$A734))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Strafe</v>
      </c>
      <c r="B735">
        <f>IF($A735="","",games!$B735)</f>
        <v>2017</v>
      </c>
      <c r="C735" t="str">
        <f>IF($A735="","",games!$C735)</f>
        <v>Action</v>
      </c>
      <c r="D735">
        <f>IF($A735="","",COUNTIF(connections!$A$2:$A$1496,$A735)+COUNTIF(connections!$B$2:$B$1496,$A735))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IF(connections!$A734="","",IFERROR(INDEX(games!$B$2:$B$950,MATCH(connections!$A734,games!$A$2:$A$950,0)),""))</f>
        <v>2019</v>
      </c>
      <c r="U735">
        <f>IF(connections!$A734="","",IFERROR(INDEX(games!$B$2:$B$950,MATCH(connections!$B734,games!$A$2:$A$950,0)),""))</f>
        <v>2023</v>
      </c>
      <c r="V735">
        <f t="shared" si="155"/>
        <v>4</v>
      </c>
    </row>
    <row r="736" spans="1:22" x14ac:dyDescent="0.25">
      <c r="A736" t="str">
        <f>IF(games!$A736="","",games!$A736)</f>
        <v>Strange Adventures in Infinite Space</v>
      </c>
      <c r="B736">
        <f>IF($A736="","",games!$B736)</f>
        <v>2002</v>
      </c>
      <c r="C736" t="str">
        <f>IF($A736="","",games!$C736)</f>
        <v>Strategy</v>
      </c>
      <c r="D736">
        <f>IF($A736="","",COUNTIF(connections!$A$2:$A$1496,$A736)+COUNTIF(connections!$B$2:$B$1496,$A736))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2017</v>
      </c>
      <c r="U736">
        <f>IF(connections!$A735="","",IFERROR(INDEX(games!$B$2:$B$950,MATCH(connections!$B735,games!$A$2:$A$950,0)),""))</f>
        <v>2023</v>
      </c>
      <c r="V736">
        <f t="shared" si="155"/>
        <v>6</v>
      </c>
    </row>
    <row r="737" spans="1:22" x14ac:dyDescent="0.25">
      <c r="A737" t="str">
        <f>IF(games!$A737="","",games!$A737)</f>
        <v>Streets of Rogue</v>
      </c>
      <c r="B737">
        <f>IF($A737="","",games!$B737)</f>
        <v>2019</v>
      </c>
      <c r="C737" t="str">
        <f>IF($A737="","",games!$C737)</f>
        <v>Action</v>
      </c>
      <c r="D737">
        <f>IF($A737="","",COUNTIF(connections!$A$2:$A$1496,$A737)+COUNTIF(connections!$B$2:$B$1496,$A737))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2011</v>
      </c>
      <c r="U737">
        <f>IF(connections!$A736="","",IFERROR(INDEX(games!$B$2:$B$950,MATCH(connections!$B736,games!$A$2:$A$950,0)),""))</f>
        <v>2023</v>
      </c>
      <c r="V737">
        <f t="shared" si="155"/>
        <v>12</v>
      </c>
    </row>
    <row r="738" spans="1:22" x14ac:dyDescent="0.25">
      <c r="A738" t="str">
        <f>IF(games!$A738="","",games!$A738)</f>
        <v>SULFUR</v>
      </c>
      <c r="B738">
        <f>IF($A738="","",games!$B738)</f>
        <v>2024</v>
      </c>
      <c r="C738" t="str">
        <f>IF($A738="","",games!$C738)</f>
        <v>Action</v>
      </c>
      <c r="D738">
        <f>IF($A738="","",COUNTIF(connections!$A$2:$A$1496,$A738)+COUNTIF(connections!$B$2:$B$1496,$A738))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IF(connections!$A737="","",IFERROR(INDEX(games!$B$2:$B$950,MATCH(connections!$A737,games!$A$2:$A$950,0)),""))</f>
        <v>2022</v>
      </c>
      <c r="U738">
        <f>IF(connections!$A737="","",IFERROR(INDEX(games!$B$2:$B$950,MATCH(connections!$B737,games!$A$2:$A$950,0)),""))</f>
        <v>2025</v>
      </c>
      <c r="V738">
        <f t="shared" si="155"/>
        <v>3</v>
      </c>
    </row>
    <row r="739" spans="1:22" x14ac:dyDescent="0.25">
      <c r="A739" t="str">
        <f>IF(games!$A739="","",games!$A739)</f>
        <v>Sundered</v>
      </c>
      <c r="B739">
        <f>IF($A739="","",games!$B739)</f>
        <v>2017</v>
      </c>
      <c r="C739" t="str">
        <f>IF($A739="","",games!$C739)</f>
        <v>Action</v>
      </c>
      <c r="D739">
        <f>IF($A739="","",COUNTIF(connections!$A$2:$A$1496,$A739)+COUNTIF(connections!$B$2:$B$1496,$A739))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2017</v>
      </c>
      <c r="U739">
        <f>IF(connections!$A738="","",IFERROR(INDEX(games!$B$2:$B$950,MATCH(connections!$B738,games!$A$2:$A$950,0)),""))</f>
        <v>2020</v>
      </c>
      <c r="V739">
        <f t="shared" si="155"/>
        <v>3</v>
      </c>
    </row>
    <row r="740" spans="1:22" x14ac:dyDescent="0.25">
      <c r="A740" t="str">
        <f>IF(games!$A740="","",games!$A740)</f>
        <v>Sunless Sea</v>
      </c>
      <c r="B740">
        <f>IF($A740="","",games!$B740)</f>
        <v>2015</v>
      </c>
      <c r="C740" t="str">
        <f>IF($A740="","",games!$C740)</f>
        <v>Strategy</v>
      </c>
      <c r="D740">
        <f>IF($A740="","",COUNTIF(connections!$A$2:$A$1496,$A740)+COUNTIF(connections!$B$2:$B$1496,$A740))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IF(connections!$A739="","",IFERROR(INDEX(games!$B$2:$B$950,MATCH(connections!$A739,games!$A$2:$A$950,0)),""))</f>
        <v>2008</v>
      </c>
      <c r="U740">
        <f>IF(connections!$A739="","",IFERROR(INDEX(games!$B$2:$B$950,MATCH(connections!$B739,games!$A$2:$A$950,0)),""))</f>
        <v>2018</v>
      </c>
      <c r="V740">
        <f t="shared" si="155"/>
        <v>10</v>
      </c>
    </row>
    <row r="741" spans="1:22" x14ac:dyDescent="0.25">
      <c r="A741" t="str">
        <f>IF(games!$A741="","",games!$A741)</f>
        <v>Super Auto Pets</v>
      </c>
      <c r="B741">
        <f>IF($A741="","",games!$B741)</f>
        <v>2021</v>
      </c>
      <c r="C741" t="str">
        <f>IF($A741="","",games!$C741)</f>
        <v>Strategy</v>
      </c>
      <c r="D741">
        <f>IF($A741="","",COUNTIF(connections!$A$2:$A$1496,$A741)+COUNTIF(connections!$B$2:$B$1496,$A741))</f>
        <v>15</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15.000741</v>
      </c>
      <c r="P741" t="str">
        <f>IF(OR($A741="",games!$H741=""),"",games!$H741)</f>
        <v>Yes</v>
      </c>
      <c r="Q741">
        <f t="shared" si="154"/>
        <v>15.000741</v>
      </c>
      <c r="T741">
        <f>IF(connections!$A740="","",IFERROR(INDEX(games!$B$2:$B$950,MATCH(connections!$A740,games!$A$2:$A$950,0)),""))</f>
        <v>2011</v>
      </c>
      <c r="U741">
        <f>IF(connections!$A740="","",IFERROR(INDEX(games!$B$2:$B$950,MATCH(connections!$B740,games!$A$2:$A$950,0)),""))</f>
        <v>2018</v>
      </c>
      <c r="V741">
        <f t="shared" si="155"/>
        <v>7</v>
      </c>
    </row>
    <row r="742" spans="1:22" x14ac:dyDescent="0.25">
      <c r="A742" t="str">
        <f>IF(games!$A742="","",games!$A742)</f>
        <v>Super Bullet Break</v>
      </c>
      <c r="B742">
        <f>IF($A742="","",games!$B742)</f>
        <v>2022</v>
      </c>
      <c r="C742" t="str">
        <f>IF($A742="","",games!$C742)</f>
        <v>Deckbuilder</v>
      </c>
      <c r="D742">
        <f>IF($A742="","",COUNTIF(connections!$A$2:$A$1496,$A742)+COUNTIF(connections!$B$2:$B$1496,$A742))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IF(connections!$A741="","",IFERROR(INDEX(games!$B$2:$B$950,MATCH(connections!$A741,games!$A$2:$A$950,0)),""))</f>
        <v>2019</v>
      </c>
      <c r="U742">
        <f>IF(connections!$A741="","",IFERROR(INDEX(games!$B$2:$B$950,MATCH(connections!$B741,games!$A$2:$A$950,0)),""))</f>
        <v>2025</v>
      </c>
      <c r="V742">
        <f t="shared" si="155"/>
        <v>6</v>
      </c>
    </row>
    <row r="743" spans="1:22" x14ac:dyDescent="0.25">
      <c r="A743" t="str">
        <f>IF(games!$A743="","",games!$A743)</f>
        <v>Super Fantasy Kingdom</v>
      </c>
      <c r="B743">
        <f>IF($A743="","",games!$B743)</f>
        <v>2025</v>
      </c>
      <c r="C743" t="str">
        <f>IF($A743="","",games!$C743)</f>
        <v>Strategy</v>
      </c>
      <c r="D743">
        <f>IF($A743="","",COUNTIF(connections!$A$2:$A$1496,$A743)+COUNTIF(connections!$B$2:$B$1496,$A743))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IF(connections!$A742="","",IFERROR(INDEX(games!$B$2:$B$950,MATCH(connections!$A742,games!$A$2:$A$950,0)),""))</f>
        <v>2018</v>
      </c>
      <c r="U743">
        <f>IF(connections!$A742="","",IFERROR(INDEX(games!$B$2:$B$950,MATCH(connections!$B742,games!$A$2:$A$950,0)),""))</f>
        <v>2025</v>
      </c>
      <c r="V743">
        <f t="shared" si="155"/>
        <v>7</v>
      </c>
    </row>
    <row r="744" spans="1:22" x14ac:dyDescent="0.25">
      <c r="A744" t="str">
        <f>IF(games!$A744="","",games!$A744)</f>
        <v>Super House of Dead Ninjas</v>
      </c>
      <c r="B744">
        <f>IF($A744="","",games!$B744)</f>
        <v>2013</v>
      </c>
      <c r="C744" t="str">
        <f>IF($A744="","",games!$C744)</f>
        <v>Action</v>
      </c>
      <c r="D744">
        <f>IF($A744="","",COUNTIF(connections!$A$2:$A$1496,$A744)+COUNTIF(connections!$B$2:$B$1496,$A744))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IF(connections!$A743="","",IFERROR(INDEX(games!$B$2:$B$950,MATCH(connections!$A743,games!$A$2:$A$950,0)),""))</f>
        <v>2011</v>
      </c>
      <c r="U744">
        <f>IF(connections!$A743="","",IFERROR(INDEX(games!$B$2:$B$950,MATCH(connections!$B743,games!$A$2:$A$950,0)),""))</f>
        <v>2025</v>
      </c>
      <c r="V744">
        <f t="shared" si="155"/>
        <v>14</v>
      </c>
    </row>
    <row r="745" spans="1:22" x14ac:dyDescent="0.25">
      <c r="A745" t="str">
        <f>IF(games!$A745="","",games!$A745)</f>
        <v>Super Tax City</v>
      </c>
      <c r="B745">
        <f>IF($A745="","",games!$B745)</f>
        <v>2025</v>
      </c>
      <c r="C745" t="str">
        <f>IF($A745="","",games!$C745)</f>
        <v>Deckbuilder</v>
      </c>
      <c r="D745">
        <f>IF($A745="","",COUNTIF(connections!$A$2:$A$1496,$A745)+COUNTIF(connections!$B$2:$B$1496,$A745))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2021</v>
      </c>
      <c r="U745">
        <f>IF(connections!$A744="","",IFERROR(INDEX(games!$B$2:$B$950,MATCH(connections!$B744,games!$A$2:$A$950,0)),""))</f>
        <v>2026</v>
      </c>
      <c r="V745">
        <f t="shared" si="155"/>
        <v>5</v>
      </c>
    </row>
    <row r="746" spans="1:22" x14ac:dyDescent="0.25">
      <c r="A746" t="str">
        <f>IF(games!$A746="","",games!$A746)</f>
        <v>Swapmeat</v>
      </c>
      <c r="B746">
        <f>IF($A746="","",games!$B746)</f>
        <v>2025</v>
      </c>
      <c r="C746" t="str">
        <f>IF($A746="","",games!$C746)</f>
        <v>Action</v>
      </c>
      <c r="D746">
        <f>IF($A746="","",COUNTIF(connections!$A$2:$A$1496,$A746)+COUNTIF(connections!$B$2:$B$1496,$A746))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IF(connections!$A745="","",IFERROR(INDEX(games!$B$2:$B$950,MATCH(connections!$A745,games!$A$2:$A$950,0)),""))</f>
        <v>2018</v>
      </c>
      <c r="U746">
        <f>IF(connections!$A745="","",IFERROR(INDEX(games!$B$2:$B$950,MATCH(connections!$B745,games!$A$2:$A$950,0)),""))</f>
        <v>2026</v>
      </c>
      <c r="V746">
        <f t="shared" si="155"/>
        <v>8</v>
      </c>
    </row>
    <row r="747" spans="1:22" x14ac:dyDescent="0.25">
      <c r="A747" t="str">
        <f>IF(games!$A747="","",games!$A747)</f>
        <v>Swarm Grinder</v>
      </c>
      <c r="B747">
        <f>IF($A747="","",games!$B747)</f>
        <v>2023</v>
      </c>
      <c r="C747" t="str">
        <f>IF($A747="","",games!$C747)</f>
        <v>Action</v>
      </c>
      <c r="D747">
        <f>IF($A747="","",COUNTIF(connections!$A$2:$A$1496,$A747)+COUNTIF(connections!$B$2:$B$1496,$A747))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IF(connections!$A746="","",IFERROR(INDEX(games!$B$2:$B$950,MATCH(connections!$A746,games!$A$2:$A$950,0)),""))</f>
        <v>2020</v>
      </c>
      <c r="U747">
        <f>IF(connections!$A746="","",IFERROR(INDEX(games!$B$2:$B$950,MATCH(connections!$B746,games!$A$2:$A$950,0)),""))</f>
        <v>2026</v>
      </c>
      <c r="V747">
        <f t="shared" si="155"/>
        <v>6</v>
      </c>
    </row>
    <row r="748" spans="1:22" x14ac:dyDescent="0.25">
      <c r="A748" t="str">
        <f>IF(games!$A748="","",games!$A748)</f>
        <v>Switchcars</v>
      </c>
      <c r="B748">
        <f>IF($A748="","",games!$B748)</f>
        <v>2016</v>
      </c>
      <c r="C748" t="str">
        <f>IF($A748="","",games!$C748)</f>
        <v>Action</v>
      </c>
      <c r="D748">
        <f>IF($A748="","",COUNTIF(connections!$A$2:$A$1496,$A748)+COUNTIF(connections!$B$2:$B$1496,$A748))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IF(connections!$A747="","",IFERROR(INDEX(games!$B$2:$B$950,MATCH(connections!$A747,games!$A$2:$A$950,0)),""))</f>
        <v>2017</v>
      </c>
      <c r="U748">
        <f>IF(connections!$A747="","",IFERROR(INDEX(games!$B$2:$B$950,MATCH(connections!$B747,games!$A$2:$A$950,0)),""))</f>
        <v>2026</v>
      </c>
      <c r="V748">
        <f t="shared" si="155"/>
        <v>9</v>
      </c>
    </row>
    <row r="749" spans="1:22" x14ac:dyDescent="0.25">
      <c r="A749" t="str">
        <f>IF(games!$A749="","",games!$A749)</f>
        <v>Sword of Fargoal</v>
      </c>
      <c r="B749">
        <f>IF($A749="","",games!$B749)</f>
        <v>1982</v>
      </c>
      <c r="C749" t="str">
        <f>IF($A749="","",games!$C749)</f>
        <v>Traditional</v>
      </c>
      <c r="D749">
        <f>IF($A749="","",COUNTIF(connections!$A$2:$A$1496,$A749)+COUNTIF(connections!$B$2:$B$1496,$A749))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IF(connections!$A748="","",IFERROR(INDEX(games!$B$2:$B$950,MATCH(connections!$A748,games!$A$2:$A$950,0)),""))</f>
        <v>2021</v>
      </c>
      <c r="U749">
        <f>IF(connections!$A748="","",IFERROR(INDEX(games!$B$2:$B$950,MATCH(connections!$B748,games!$A$2:$A$950,0)),""))</f>
        <v>2025</v>
      </c>
      <c r="V749">
        <f t="shared" si="155"/>
        <v>4</v>
      </c>
    </row>
    <row r="750" spans="1:22" x14ac:dyDescent="0.25">
      <c r="A750" t="str">
        <f>IF(games!$A750="","",games!$A750)</f>
        <v>Sword of the Necromancer</v>
      </c>
      <c r="B750">
        <f>IF($A750="","",games!$B750)</f>
        <v>2021</v>
      </c>
      <c r="C750" t="str">
        <f>IF($A750="","",games!$C750)</f>
        <v>Action</v>
      </c>
      <c r="D750">
        <f>IF($A750="","",COUNTIF(connections!$A$2:$A$1496,$A750)+COUNTIF(connections!$B$2:$B$1496,$A750))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2021</v>
      </c>
      <c r="U750">
        <f>IF(connections!$A749="","",IFERROR(INDEX(games!$B$2:$B$950,MATCH(connections!$B749,games!$A$2:$A$950,0)),""))</f>
        <v>2025</v>
      </c>
      <c r="V750">
        <f t="shared" si="155"/>
        <v>4</v>
      </c>
    </row>
    <row r="751" spans="1:22" x14ac:dyDescent="0.25">
      <c r="A751" t="str">
        <f>IF(games!$A751="","",games!$A751)</f>
        <v>Sword of the Necromancer: Resurrection</v>
      </c>
      <c r="B751">
        <f>IF($A751="","",games!$B751)</f>
        <v>2025</v>
      </c>
      <c r="C751" t="str">
        <f>IF($A751="","",games!$C751)</f>
        <v>Action</v>
      </c>
      <c r="D751">
        <f>IF($A751="","",COUNTIF(connections!$A$2:$A$1496,$A751)+COUNTIF(connections!$B$2:$B$1496,$A751))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IF(connections!$A750="","",IFERROR(INDEX(games!$B$2:$B$950,MATCH(connections!$A750,games!$A$2:$A$950,0)),""))</f>
        <v>2021</v>
      </c>
      <c r="U751">
        <f>IF(connections!$A750="","",IFERROR(INDEX(games!$B$2:$B$950,MATCH(connections!$B750,games!$A$2:$A$950,0)),""))</f>
        <v>2025</v>
      </c>
      <c r="V751">
        <f t="shared" si="155"/>
        <v>4</v>
      </c>
    </row>
    <row r="752" spans="1:22" x14ac:dyDescent="0.25">
      <c r="A752" t="str">
        <f>IF(games!$A752="","",games!$A752)</f>
        <v>Sword of the Stars: The Pit</v>
      </c>
      <c r="B752">
        <f>IF($A752="","",games!$B752)</f>
        <v>2013</v>
      </c>
      <c r="C752" t="str">
        <f>IF($A752="","",games!$C752)</f>
        <v>Traditional</v>
      </c>
      <c r="D752">
        <f>IF($A752="","",COUNTIF(connections!$A$2:$A$1496,$A752)+COUNTIF(connections!$B$2:$B$1496,$A752))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IF(connections!$A751="","",IFERROR(INDEX(games!$B$2:$B$950,MATCH(connections!$A751,games!$A$2:$A$950,0)),""))</f>
        <v>2020</v>
      </c>
      <c r="U752">
        <f>IF(connections!$A751="","",IFERROR(INDEX(games!$B$2:$B$950,MATCH(connections!$B751,games!$A$2:$A$950,0)),""))</f>
        <v>2025</v>
      </c>
      <c r="V752">
        <f t="shared" si="155"/>
        <v>5</v>
      </c>
    </row>
    <row r="753" spans="1:22" x14ac:dyDescent="0.25">
      <c r="A753" t="str">
        <f>IF(games!$A753="","",games!$A753)</f>
        <v>Swordship</v>
      </c>
      <c r="B753">
        <f>IF($A753="","",games!$B753)</f>
        <v>2022</v>
      </c>
      <c r="C753" t="str">
        <f>IF($A753="","",games!$C753)</f>
        <v>Action</v>
      </c>
      <c r="D753">
        <f>IF($A753="","",COUNTIF(connections!$A$2:$A$1496,$A753)+COUNTIF(connections!$B$2:$B$1496,$A753))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2021</v>
      </c>
      <c r="U753">
        <f>IF(connections!$A752="","",IFERROR(INDEX(games!$B$2:$B$950,MATCH(connections!$B752,games!$A$2:$A$950,0)),""))</f>
        <v>2025</v>
      </c>
      <c r="V753">
        <f t="shared" si="155"/>
        <v>4</v>
      </c>
    </row>
    <row r="754" spans="1:22" x14ac:dyDescent="0.25">
      <c r="A754" t="str">
        <f>IF(games!$A754="","",games!$A754)</f>
        <v>Sworn</v>
      </c>
      <c r="B754">
        <f>IF($A754="","",games!$B754)</f>
        <v>2025</v>
      </c>
      <c r="C754" t="str">
        <f>IF($A754="","",games!$C754)</f>
        <v>Action</v>
      </c>
      <c r="D754">
        <f>IF($A754="","",COUNTIF(connections!$A$2:$A$1496,$A754)+COUNTIF(connections!$B$2:$B$1496,$A754))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IF(connections!$A753="","",IFERROR(INDEX(games!$B$2:$B$950,MATCH(connections!$A753,games!$A$2:$A$950,0)),""))</f>
        <v>2017</v>
      </c>
      <c r="U754">
        <f>IF(connections!$A753="","",IFERROR(INDEX(games!$B$2:$B$950,MATCH(connections!$B753,games!$A$2:$A$950,0)),""))</f>
        <v>2024</v>
      </c>
      <c r="V754">
        <f t="shared" si="155"/>
        <v>7</v>
      </c>
    </row>
    <row r="755" spans="1:22" x14ac:dyDescent="0.25">
      <c r="A755" t="str">
        <f>IF(games!$A755="","",games!$A755)</f>
        <v>Synthetik 2</v>
      </c>
      <c r="B755">
        <f>IF($A755="","",games!$B755)</f>
        <v>2021</v>
      </c>
      <c r="C755" t="str">
        <f>IF($A755="","",games!$C755)</f>
        <v>Action</v>
      </c>
      <c r="D755">
        <f>IF($A755="","",COUNTIF(connections!$A$2:$A$1496,$A755)+COUNTIF(connections!$B$2:$B$1496,$A755))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IF(connections!$A754="","",IFERROR(INDEX(games!$B$2:$B$950,MATCH(connections!$A754,games!$A$2:$A$950,0)),""))</f>
        <v>2017</v>
      </c>
      <c r="U755">
        <f>IF(connections!$A754="","",IFERROR(INDEX(games!$B$2:$B$950,MATCH(connections!$B754,games!$A$2:$A$950,0)),""))</f>
        <v>2024</v>
      </c>
      <c r="V755">
        <f t="shared" si="155"/>
        <v>7</v>
      </c>
    </row>
    <row r="756" spans="1:22" x14ac:dyDescent="0.25">
      <c r="A756" t="str">
        <f>IF(games!$A756="","",games!$A756)</f>
        <v>Synthetik: Legion Rising</v>
      </c>
      <c r="B756">
        <f>IF($A756="","",games!$B756)</f>
        <v>2018</v>
      </c>
      <c r="C756" t="str">
        <f>IF($A756="","",games!$C756)</f>
        <v>Action</v>
      </c>
      <c r="D756">
        <f>IF($A756="","",COUNTIF(connections!$A$2:$A$1496,$A756)+COUNTIF(connections!$B$2:$B$1496,$A756))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IF(connections!$A755="","",IFERROR(INDEX(games!$B$2:$B$950,MATCH(connections!$A755,games!$A$2:$A$950,0)),""))</f>
        <v>2023</v>
      </c>
      <c r="U756">
        <f>IF(connections!$A755="","",IFERROR(INDEX(games!$B$2:$B$950,MATCH(connections!$B755,games!$A$2:$A$950,0)),""))</f>
        <v>2026</v>
      </c>
      <c r="V756">
        <f t="shared" si="155"/>
        <v>3</v>
      </c>
    </row>
    <row r="757" spans="1:22" x14ac:dyDescent="0.25">
      <c r="A757" t="str">
        <f>IF(games!$A757="","",games!$A757)</f>
        <v>Tabletop Tavern</v>
      </c>
      <c r="B757">
        <f>IF($A757="","",games!$B757)</f>
        <v>2026</v>
      </c>
      <c r="C757" t="str">
        <f>IF($A757="","",games!$C757)</f>
        <v>Strategy</v>
      </c>
      <c r="D757">
        <f>IF($A757="","",COUNTIF(connections!$A$2:$A$1496,$A757)+COUNTIF(connections!$B$2:$B$1496,$A757))</f>
        <v>5</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5.0007570000000001</v>
      </c>
      <c r="P757" t="str">
        <f>IF(OR($A757="",games!$H757=""),"",games!$H757)</f>
        <v/>
      </c>
      <c r="Q757" t="str">
        <f t="shared" si="154"/>
        <v/>
      </c>
      <c r="T757">
        <f>IF(connections!$A756="","",IFERROR(INDEX(games!$B$2:$B$950,MATCH(connections!$A756,games!$A$2:$A$950,0)),""))</f>
        <v>2024</v>
      </c>
      <c r="U757">
        <f>IF(connections!$A756="","",IFERROR(INDEX(games!$B$2:$B$950,MATCH(connections!$B756,games!$A$2:$A$950,0)),""))</f>
        <v>2026</v>
      </c>
      <c r="V757">
        <f t="shared" si="155"/>
        <v>2</v>
      </c>
    </row>
    <row r="758" spans="1:22" x14ac:dyDescent="0.25">
      <c r="A758" t="str">
        <f>IF(games!$A758="","",games!$A758)</f>
        <v>Tainted Grail: Conquest</v>
      </c>
      <c r="B758">
        <f>IF($A758="","",games!$B758)</f>
        <v>2020</v>
      </c>
      <c r="C758" t="str">
        <f>IF($A758="","",games!$C758)</f>
        <v>Deckbuilder</v>
      </c>
      <c r="D758">
        <f>IF($A758="","",COUNTIF(connections!$A$2:$A$1496,$A758)+COUNTIF(connections!$B$2:$B$1496,$A758))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IF(connections!$A757="","",IFERROR(INDEX(games!$B$2:$B$950,MATCH(connections!$A757,games!$A$2:$A$950,0)),""))</f>
        <v>2021</v>
      </c>
      <c r="U758">
        <f>IF(connections!$A757="","",IFERROR(INDEX(games!$B$2:$B$950,MATCH(connections!$B757,games!$A$2:$A$950,0)),""))</f>
        <v>2025</v>
      </c>
      <c r="V758">
        <f t="shared" si="155"/>
        <v>4</v>
      </c>
    </row>
    <row r="759" spans="1:22" x14ac:dyDescent="0.25">
      <c r="A759" t="str">
        <f>IF(games!$A759="","",games!$A759)</f>
        <v>Talented</v>
      </c>
      <c r="B759">
        <f>IF($A759="","",games!$B759)</f>
        <v>2023</v>
      </c>
      <c r="C759" t="str">
        <f>IF($A759="","",games!$C759)</f>
        <v>Action</v>
      </c>
      <c r="D759">
        <f>IF($A759="","",COUNTIF(connections!$A$2:$A$1496,$A759)+COUNTIF(connections!$B$2:$B$1496,$A759))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IF(connections!$A758="","",IFERROR(INDEX(games!$B$2:$B$950,MATCH(connections!$A758,games!$A$2:$A$950,0)),""))</f>
        <v>2018</v>
      </c>
      <c r="U759">
        <f>IF(connections!$A758="","",IFERROR(INDEX(games!$B$2:$B$950,MATCH(connections!$B758,games!$A$2:$A$950,0)),""))</f>
        <v>2024</v>
      </c>
      <c r="V759">
        <f t="shared" si="155"/>
        <v>6</v>
      </c>
    </row>
    <row r="760" spans="1:22" x14ac:dyDescent="0.25">
      <c r="A760" t="str">
        <f>IF(games!$A760="","",games!$A760)</f>
        <v>Tales of Maj'Eyal</v>
      </c>
      <c r="B760">
        <f>IF($A760="","",games!$B760)</f>
        <v>1998</v>
      </c>
      <c r="C760" t="str">
        <f>IF($A760="","",games!$C760)</f>
        <v>Traditional</v>
      </c>
      <c r="D760">
        <f>IF($A760="","",COUNTIF(connections!$A$2:$A$1496,$A760)+COUNTIF(connections!$B$2:$B$1496,$A760))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IF(connections!$A759="","",IFERROR(INDEX(games!$B$2:$B$950,MATCH(connections!$A759,games!$A$2:$A$950,0)),""))</f>
        <v>2018</v>
      </c>
      <c r="U760">
        <f>IF(connections!$A759="","",IFERROR(INDEX(games!$B$2:$B$950,MATCH(connections!$B759,games!$A$2:$A$950,0)),""))</f>
        <v>2020</v>
      </c>
      <c r="V760">
        <f t="shared" si="155"/>
        <v>2</v>
      </c>
    </row>
    <row r="761" spans="1:22" x14ac:dyDescent="0.25">
      <c r="A761" t="str">
        <f>IF(games!$A761="","",games!$A761)</f>
        <v>Talespinner</v>
      </c>
      <c r="B761">
        <f>IF($A761="","",games!$B761)</f>
        <v>2026</v>
      </c>
      <c r="C761" t="str">
        <f>IF($A761="","",games!$C761)</f>
        <v>Deckbuilder</v>
      </c>
      <c r="D761">
        <f>IF($A761="","",COUNTIF(connections!$A$2:$A$1496,$A761)+COUNTIF(connections!$B$2:$B$1496,$A761))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IF(connections!$A760="","",IFERROR(INDEX(games!$B$2:$B$950,MATCH(connections!$A760,games!$A$2:$A$950,0)),""))</f>
        <v>2019</v>
      </c>
      <c r="U761">
        <f>IF(connections!$A760="","",IFERROR(INDEX(games!$B$2:$B$950,MATCH(connections!$B760,games!$A$2:$A$950,0)),""))</f>
        <v>2021</v>
      </c>
      <c r="V761">
        <f t="shared" si="155"/>
        <v>2</v>
      </c>
    </row>
    <row r="762" spans="1:22" x14ac:dyDescent="0.25">
      <c r="A762" t="str">
        <f>IF(games!$A762="","",games!$A762)</f>
        <v>Tangledeep</v>
      </c>
      <c r="B762">
        <f>IF($A762="","",games!$B762)</f>
        <v>2017</v>
      </c>
      <c r="C762" t="str">
        <f>IF($A762="","",games!$C762)</f>
        <v>Traditional</v>
      </c>
      <c r="D762">
        <f>IF($A762="","",COUNTIF(connections!$A$2:$A$1496,$A762)+COUNTIF(connections!$B$2:$B$1496,$A762))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IF(connections!$A761="","",IFERROR(INDEX(games!$B$2:$B$950,MATCH(connections!$A761,games!$A$2:$A$950,0)),""))</f>
        <v>1996</v>
      </c>
      <c r="U762">
        <f>IF(connections!$A761="","",IFERROR(INDEX(games!$B$2:$B$950,MATCH(connections!$B761,games!$A$2:$A$950,0)),""))</f>
        <v>2026</v>
      </c>
      <c r="V762">
        <f t="shared" si="155"/>
        <v>30</v>
      </c>
    </row>
    <row r="763" spans="1:22" x14ac:dyDescent="0.25">
      <c r="A763" t="str">
        <f>IF(games!$A763="","",games!$A763)</f>
        <v>Tangy TD</v>
      </c>
      <c r="B763">
        <f>IF($A763="","",games!$B763)</f>
        <v>2026</v>
      </c>
      <c r="C763" t="str">
        <f>IF($A763="","",games!$C763)</f>
        <v>Strategy</v>
      </c>
      <c r="D763">
        <f>IF($A763="","",COUNTIF(connections!$A$2:$A$1496,$A763)+COUNTIF(connections!$B$2:$B$1496,$A763))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IF(connections!$A762="","",IFERROR(INDEX(games!$B$2:$B$950,MATCH(connections!$A762,games!$A$2:$A$950,0)),""))</f>
        <v>2011</v>
      </c>
      <c r="U763">
        <f>IF(connections!$A762="","",IFERROR(INDEX(games!$B$2:$B$950,MATCH(connections!$B762,games!$A$2:$A$950,0)),""))</f>
        <v>2026</v>
      </c>
      <c r="V763">
        <f t="shared" si="155"/>
        <v>15</v>
      </c>
    </row>
    <row r="764" spans="1:22" x14ac:dyDescent="0.25">
      <c r="A764" t="str">
        <f>IF(games!$A764="","",games!$A764)</f>
        <v>Tao's Adventure: Curse of the Demon Seal</v>
      </c>
      <c r="B764">
        <f>IF($A764="","",games!$B764)</f>
        <v>2006</v>
      </c>
      <c r="C764" t="str">
        <f>IF($A764="","",games!$C764)</f>
        <v>Traditional</v>
      </c>
      <c r="D764">
        <f>IF($A764="","",COUNTIF(connections!$A$2:$A$1496,$A764)+COUNTIF(connections!$B$2:$B$1496,$A764))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IF(connections!$A763="","",IFERROR(INDEX(games!$B$2:$B$950,MATCH(connections!$A763,games!$A$2:$A$950,0)),""))</f>
        <v>1995</v>
      </c>
      <c r="U764">
        <f>IF(connections!$A763="","",IFERROR(INDEX(games!$B$2:$B$950,MATCH(connections!$B763,games!$A$2:$A$950,0)),""))</f>
        <v>2025</v>
      </c>
      <c r="V764">
        <f t="shared" si="155"/>
        <v>30</v>
      </c>
    </row>
    <row r="765" spans="1:22" x14ac:dyDescent="0.25">
      <c r="A765" t="str">
        <f>IF(games!$A765="","",games!$A765)</f>
        <v>Tape to Tape</v>
      </c>
      <c r="B765">
        <f>IF($A765="","",games!$B765)</f>
        <v>2023</v>
      </c>
      <c r="C765" t="str">
        <f>IF($A765="","",games!$C765)</f>
        <v>Action</v>
      </c>
      <c r="D765">
        <f>IF($A765="","",COUNTIF(connections!$A$2:$A$1496,$A765)+COUNTIF(connections!$B$2:$B$1496,$A765))</f>
        <v>3</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2011</v>
      </c>
      <c r="U765">
        <f>IF(connections!$A764="","",IFERROR(INDEX(games!$B$2:$B$950,MATCH(connections!$B764,games!$A$2:$A$950,0)),""))</f>
        <v>2012</v>
      </c>
      <c r="V765">
        <f t="shared" si="155"/>
        <v>1</v>
      </c>
    </row>
    <row r="766" spans="1:22" x14ac:dyDescent="0.25">
      <c r="A766" t="str">
        <f>IF(games!$A766="","",games!$A766)</f>
        <v>Teamfight Tactics</v>
      </c>
      <c r="B766">
        <f>IF($A766="","",games!$B766)</f>
        <v>2019</v>
      </c>
      <c r="C766" t="str">
        <f>IF($A766="","",games!$C766)</f>
        <v>Strategy</v>
      </c>
      <c r="D766">
        <f>IF($A766="","",COUNTIF(connections!$A$2:$A$1496,$A766)+COUNTIF(connections!$B$2:$B$1496,$A766))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IF(connections!$A765="","",IFERROR(INDEX(games!$B$2:$B$950,MATCH(connections!$A765,games!$A$2:$A$950,0)),""))</f>
        <v>2010</v>
      </c>
      <c r="U766">
        <f>IF(connections!$A765="","",IFERROR(INDEX(games!$B$2:$B$950,MATCH(connections!$B765,games!$A$2:$A$950,0)),""))</f>
        <v>2011</v>
      </c>
      <c r="V766">
        <f t="shared" si="155"/>
        <v>1</v>
      </c>
    </row>
    <row r="767" spans="1:22" x14ac:dyDescent="0.25">
      <c r="A767" t="str">
        <f>IF(games!$A767="","",games!$A767)</f>
        <v>Tears of Metal</v>
      </c>
      <c r="B767">
        <f>IF($A767="","",games!$B767)</f>
        <v>2026</v>
      </c>
      <c r="C767" t="str">
        <f>IF($A767="","",games!$C767)</f>
        <v>Action</v>
      </c>
      <c r="D767">
        <f>IF($A767="","",COUNTIF(connections!$A$2:$A$1496,$A767)+COUNTIF(connections!$B$2:$B$1496,$A767))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IF(connections!$A766="","",IFERROR(INDEX(games!$B$2:$B$950,MATCH(connections!$A766,games!$A$2:$A$950,0)),""))</f>
        <v>1980</v>
      </c>
      <c r="U767">
        <f>IF(connections!$A766="","",IFERROR(INDEX(games!$B$2:$B$950,MATCH(connections!$B766,games!$A$2:$A$950,0)),""))</f>
        <v>1987</v>
      </c>
      <c r="V767">
        <f t="shared" si="155"/>
        <v>7</v>
      </c>
    </row>
    <row r="768" spans="1:22" x14ac:dyDescent="0.25">
      <c r="A768" t="str">
        <f>IF(games!$A768="","",games!$A768)</f>
        <v>Teenage Mutant Ninja Turtles: Splintered Fate</v>
      </c>
      <c r="B768">
        <f>IF($A768="","",games!$B768)</f>
        <v>2024</v>
      </c>
      <c r="C768" t="str">
        <f>IF($A768="","",games!$C768)</f>
        <v>Action</v>
      </c>
      <c r="D768">
        <f>IF($A768="","",COUNTIF(connections!$A$2:$A$1496,$A768)+COUNTIF(connections!$B$2:$B$1496,$A768))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1993</v>
      </c>
      <c r="U768">
        <f>IF(connections!$A767="","",IFERROR(INDEX(games!$B$2:$B$950,MATCH(connections!$B767,games!$A$2:$A$950,0)),""))</f>
        <v>2023</v>
      </c>
      <c r="V768">
        <f t="shared" si="155"/>
        <v>30</v>
      </c>
    </row>
    <row r="769" spans="1:22" x14ac:dyDescent="0.25">
      <c r="A769" t="str">
        <f>IF(games!$A769="","",games!$A769)</f>
        <v>Temtem: Swarm</v>
      </c>
      <c r="B769">
        <f>IF($A769="","",games!$B769)</f>
        <v>2024</v>
      </c>
      <c r="C769" t="str">
        <f>IF($A769="","",games!$C769)</f>
        <v>Action</v>
      </c>
      <c r="D769">
        <f>IF($A769="","",COUNTIF(connections!$A$2:$A$1496,$A769)+COUNTIF(connections!$B$2:$B$1496,$A769))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IF(connections!$A768="","",IFERROR(INDEX(games!$B$2:$B$950,MATCH(connections!$A768,games!$A$2:$A$950,0)),""))</f>
        <v>2021</v>
      </c>
      <c r="U769">
        <f>IF(connections!$A768="","",IFERROR(INDEX(games!$B$2:$B$950,MATCH(connections!$B768,games!$A$2:$A$950,0)),""))</f>
        <v>2022</v>
      </c>
      <c r="V769">
        <f t="shared" si="155"/>
        <v>1</v>
      </c>
    </row>
    <row r="770" spans="1:22" x14ac:dyDescent="0.25">
      <c r="A770" t="str">
        <f>IF(games!$A770="","",games!$A770)</f>
        <v>Terraformers</v>
      </c>
      <c r="B770">
        <f>IF($A770="","",games!$B770)</f>
        <v>2022</v>
      </c>
      <c r="C770" t="str">
        <f>IF($A770="","",games!$C770)</f>
        <v>Strategy</v>
      </c>
      <c r="D770">
        <f>IF($A770="","",COUNTIF(connections!$A$2:$A$1496,$A770)+COUNTIF(connections!$B$2:$B$1496,$A770))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2017</v>
      </c>
      <c r="U770">
        <f>IF(connections!$A769="","",IFERROR(INDEX(games!$B$2:$B$950,MATCH(connections!$B769,games!$A$2:$A$950,0)),""))</f>
        <v>2021</v>
      </c>
      <c r="V770">
        <f t="shared" ref="V770:V833" si="168">IF(OR($T770="",$U770=""),"",$U770-$T770)</f>
        <v>4</v>
      </c>
    </row>
    <row r="771" spans="1:22" x14ac:dyDescent="0.25">
      <c r="A771" t="str">
        <f>IF(games!$A771="","",games!$A771)</f>
        <v>TerraTech Legion</v>
      </c>
      <c r="B771">
        <f>IF($A771="","",games!$B771)</f>
        <v>2026</v>
      </c>
      <c r="C771" t="str">
        <f>IF($A771="","",games!$C771)</f>
        <v>Action</v>
      </c>
      <c r="D771">
        <f>IF($A771="","",COUNTIF(connections!$A$2:$A$1496,$A771)+COUNTIF(connections!$B$2:$B$1496,$A771))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IF(connections!$A770="","",IFERROR(INDEX(games!$B$2:$B$950,MATCH(connections!$A770,games!$A$2:$A$950,0)),""))</f>
        <v>1993</v>
      </c>
      <c r="U771">
        <f>IF(connections!$A770="","",IFERROR(INDEX(games!$B$2:$B$950,MATCH(connections!$B770,games!$A$2:$A$950,0)),""))</f>
        <v>2002</v>
      </c>
      <c r="V771">
        <f t="shared" si="168"/>
        <v>9</v>
      </c>
    </row>
    <row r="772" spans="1:22" x14ac:dyDescent="0.25">
      <c r="A772" t="str">
        <f>IF(games!$A772="","",games!$A772)</f>
        <v>TerRoguelike</v>
      </c>
      <c r="B772">
        <f>IF($A772="","",games!$B772)</f>
        <v>2024</v>
      </c>
      <c r="C772" t="str">
        <f>IF($A772="","",games!$C772)</f>
        <v>Action</v>
      </c>
      <c r="D772">
        <f>IF($A772="","",COUNTIF(connections!$A$2:$A$1496,$A772)+COUNTIF(connections!$B$2:$B$1496,$A772))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IF(connections!$A771="","",IFERROR(INDEX(games!$B$2:$B$950,MATCH(connections!$A771,games!$A$2:$A$950,0)),""))</f>
        <v>2002</v>
      </c>
      <c r="U772">
        <f>IF(connections!$A771="","",IFERROR(INDEX(games!$B$2:$B$950,MATCH(connections!$B771,games!$A$2:$A$950,0)),""))</f>
        <v>2003</v>
      </c>
      <c r="V772">
        <f t="shared" si="168"/>
        <v>1</v>
      </c>
    </row>
    <row r="773" spans="1:22" x14ac:dyDescent="0.25">
      <c r="A773" t="str">
        <f>IF(games!$A773="","",games!$A773)</f>
        <v>The Bazaar</v>
      </c>
      <c r="B773">
        <f>IF($A773="","",games!$B773)</f>
        <v>2025</v>
      </c>
      <c r="C773" t="str">
        <f>IF($A773="","",games!$C773)</f>
        <v>Strategy</v>
      </c>
      <c r="D773">
        <f>IF($A773="","",COUNTIF(connections!$A$2:$A$1496,$A773)+COUNTIF(connections!$B$2:$B$1496,$A773))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IF(connections!$A772="","",IFERROR(INDEX(games!$B$2:$B$950,MATCH(connections!$A772,games!$A$2:$A$950,0)),""))</f>
        <v>1993</v>
      </c>
      <c r="U773">
        <f>IF(connections!$A772="","",IFERROR(INDEX(games!$B$2:$B$950,MATCH(connections!$B772,games!$A$2:$A$950,0)),""))</f>
        <v>2020</v>
      </c>
      <c r="V773">
        <f t="shared" si="168"/>
        <v>27</v>
      </c>
    </row>
    <row r="774" spans="1:22" x14ac:dyDescent="0.25">
      <c r="A774" t="str">
        <f>IF(games!$A774="","",games!$A774)</f>
        <v>The Binding of Isaac</v>
      </c>
      <c r="B774">
        <f>IF($A774="","",games!$B774)</f>
        <v>2011</v>
      </c>
      <c r="C774" t="str">
        <f>IF($A774="","",games!$C774)</f>
        <v>Action</v>
      </c>
      <c r="D774">
        <f>IF($A774="","",COUNTIF(connections!$A$2:$A$1496,$A774)+COUNTIF(connections!$B$2:$B$1496,$A774))</f>
        <v>80</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80.000774000000007</v>
      </c>
      <c r="P774" t="str">
        <f>IF(OR($A774="",games!$H774=""),"",games!$H774)</f>
        <v>Yes</v>
      </c>
      <c r="Q774">
        <f t="shared" si="167"/>
        <v>80.000774000000007</v>
      </c>
      <c r="T774">
        <f>IF(connections!$A773="","",IFERROR(INDEX(games!$B$2:$B$950,MATCH(connections!$A773,games!$A$2:$A$950,0)),""))</f>
        <v>2020</v>
      </c>
      <c r="U774">
        <f>IF(connections!$A773="","",IFERROR(INDEX(games!$B$2:$B$950,MATCH(connections!$B773,games!$A$2:$A$950,0)),""))</f>
        <v>2022</v>
      </c>
      <c r="V774">
        <f t="shared" si="168"/>
        <v>2</v>
      </c>
    </row>
    <row r="775" spans="1:22" x14ac:dyDescent="0.25">
      <c r="A775" t="str">
        <f>IF(games!$A775="","",games!$A775)</f>
        <v>The Binding of Isaac: Rebirth</v>
      </c>
      <c r="B775">
        <f>IF($A775="","",games!$B775)</f>
        <v>2014</v>
      </c>
      <c r="C775" t="str">
        <f>IF($A775="","",games!$C775)</f>
        <v>Action</v>
      </c>
      <c r="D775">
        <f>IF($A775="","",COUNTIF(connections!$A$2:$A$1496,$A775)+COUNTIF(connections!$B$2:$B$1496,$A775))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IF(connections!$A774="","",IFERROR(INDEX(games!$B$2:$B$950,MATCH(connections!$A774,games!$A$2:$A$950,0)),""))</f>
        <v>2014</v>
      </c>
      <c r="U775">
        <f>IF(connections!$A774="","",IFERROR(INDEX(games!$B$2:$B$950,MATCH(connections!$B774,games!$A$2:$A$950,0)),""))</f>
        <v>2017</v>
      </c>
      <c r="V775">
        <f t="shared" si="168"/>
        <v>3</v>
      </c>
    </row>
    <row r="776" spans="1:22" x14ac:dyDescent="0.25">
      <c r="A776" t="str">
        <f>IF(games!$A776="","",games!$A776)</f>
        <v>The Doors of Trithius</v>
      </c>
      <c r="B776">
        <f>IF($A776="","",games!$B776)</f>
        <v>2021</v>
      </c>
      <c r="C776" t="str">
        <f>IF($A776="","",games!$C776)</f>
        <v>Traditional</v>
      </c>
      <c r="D776">
        <f>IF($A776="","",COUNTIF(connections!$A$2:$A$1496,$A776)+COUNTIF(connections!$B$2:$B$1496,$A776))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IF(connections!$A775="","",IFERROR(INDEX(games!$B$2:$B$950,MATCH(connections!$A775,games!$A$2:$A$950,0)),""))</f>
        <v>2017</v>
      </c>
      <c r="U776">
        <f>IF(connections!$A775="","",IFERROR(INDEX(games!$B$2:$B$950,MATCH(connections!$B775,games!$A$2:$A$950,0)),""))</f>
        <v>2020</v>
      </c>
      <c r="V776">
        <f t="shared" si="168"/>
        <v>3</v>
      </c>
    </row>
    <row r="777" spans="1:22" x14ac:dyDescent="0.25">
      <c r="A777" t="str">
        <f>IF(games!$A777="","",games!$A777)</f>
        <v>The Dungeon RPG</v>
      </c>
      <c r="B777">
        <f>IF($A777="","",games!$B777)</f>
        <v>2000</v>
      </c>
      <c r="C777" t="str">
        <f>IF($A777="","",games!$C777)</f>
        <v>Traditional</v>
      </c>
      <c r="D777">
        <f>IF($A777="","",COUNTIF(connections!$A$2:$A$1496,$A777)+COUNTIF(connections!$B$2:$B$1496,$A777))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IF(connections!$A776="","",IFERROR(INDEX(games!$B$2:$B$950,MATCH(connections!$A776,games!$A$2:$A$950,0)),""))</f>
        <v>2023</v>
      </c>
      <c r="U777">
        <f>IF(connections!$A776="","",IFERROR(INDEX(games!$B$2:$B$950,MATCH(connections!$B776,games!$A$2:$A$950,0)),""))</f>
        <v>2025</v>
      </c>
      <c r="V777">
        <f t="shared" si="168"/>
        <v>2</v>
      </c>
    </row>
    <row r="778" spans="1:22" x14ac:dyDescent="0.25">
      <c r="A778" t="str">
        <f>IF(games!$A778="","",games!$A778)</f>
        <v>The Fable: Manga Build Roguelike</v>
      </c>
      <c r="B778">
        <f>IF($A778="","",games!$B778)</f>
        <v>2025</v>
      </c>
      <c r="C778" t="str">
        <f>IF($A778="","",games!$C778)</f>
        <v>Deckbuilder</v>
      </c>
      <c r="D778">
        <f>IF($A778="","",COUNTIF(connections!$A$2:$A$1496,$A778)+COUNTIF(connections!$B$2:$B$1496,$A778))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IF(connections!$A777="","",IFERROR(INDEX(games!$B$2:$B$950,MATCH(connections!$A777,games!$A$2:$A$950,0)),""))</f>
        <v>2020</v>
      </c>
      <c r="U778">
        <f>IF(connections!$A777="","",IFERROR(INDEX(games!$B$2:$B$950,MATCH(connections!$B777,games!$A$2:$A$950,0)),""))</f>
        <v>2025</v>
      </c>
      <c r="V778">
        <f t="shared" si="168"/>
        <v>5</v>
      </c>
    </row>
    <row r="779" spans="1:22" x14ac:dyDescent="0.25">
      <c r="A779" t="str">
        <f>IF(games!$A779="","",games!$A779)</f>
        <v>The Flame in the Flood</v>
      </c>
      <c r="B779">
        <f>IF($A779="","",games!$B779)</f>
        <v>2016</v>
      </c>
      <c r="C779" t="str">
        <f>IF($A779="","",games!$C779)</f>
        <v>Action</v>
      </c>
      <c r="D779">
        <f>IF($A779="","",COUNTIF(connections!$A$2:$A$1496,$A779)+COUNTIF(connections!$B$2:$B$1496,$A779))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2022</v>
      </c>
      <c r="U779">
        <f>IF(connections!$A778="","",IFERROR(INDEX(games!$B$2:$B$950,MATCH(connections!$B778,games!$A$2:$A$950,0)),""))</f>
        <v>2025</v>
      </c>
      <c r="V779">
        <f t="shared" si="168"/>
        <v>3</v>
      </c>
    </row>
    <row r="780" spans="1:22" x14ac:dyDescent="0.25">
      <c r="A780" t="str">
        <f>IF(games!$A780="","",games!$A780)</f>
        <v>The Ground Gives Way</v>
      </c>
      <c r="B780">
        <f>IF($A780="","",games!$B780)</f>
        <v>2014</v>
      </c>
      <c r="C780" t="str">
        <f>IF($A780="","",games!$C780)</f>
        <v>Traditional</v>
      </c>
      <c r="D780">
        <f>IF($A780="","",COUNTIF(connections!$A$2:$A$1496,$A780)+COUNTIF(connections!$B$2:$B$1496,$A780))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IF(connections!$A779="","",IFERROR(INDEX(games!$B$2:$B$950,MATCH(connections!$A779,games!$A$2:$A$950,0)),""))</f>
        <v>2021</v>
      </c>
      <c r="U780">
        <f>IF(connections!$A779="","",IFERROR(INDEX(games!$B$2:$B$950,MATCH(connections!$B779,games!$A$2:$A$950,0)),""))</f>
        <v>2025</v>
      </c>
      <c r="V780">
        <f t="shared" si="168"/>
        <v>4</v>
      </c>
    </row>
    <row r="781" spans="1:22" x14ac:dyDescent="0.25">
      <c r="A781" t="str">
        <f>IF(games!$A781="","",games!$A781)</f>
        <v>The Guided Fate Paradox</v>
      </c>
      <c r="B781">
        <f>IF($A781="","",games!$B781)</f>
        <v>2013</v>
      </c>
      <c r="C781" t="str">
        <f>IF($A781="","",games!$C781)</f>
        <v>Traditional</v>
      </c>
      <c r="D781">
        <f>IF($A781="","",COUNTIF(connections!$A$2:$A$1496,$A781)+COUNTIF(connections!$B$2:$B$1496,$A781))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IF(connections!$A780="","",IFERROR(INDEX(games!$B$2:$B$950,MATCH(connections!$A780,games!$A$2:$A$950,0)),""))</f>
        <v>2012</v>
      </c>
      <c r="U781">
        <f>IF(connections!$A780="","",IFERROR(INDEX(games!$B$2:$B$950,MATCH(connections!$B780,games!$A$2:$A$950,0)),""))</f>
        <v>2015</v>
      </c>
      <c r="V781">
        <f t="shared" si="168"/>
        <v>3</v>
      </c>
    </row>
    <row r="782" spans="1:22" x14ac:dyDescent="0.25">
      <c r="A782" t="str">
        <f>IF(games!$A782="","",games!$A782)</f>
        <v>The King is Watching</v>
      </c>
      <c r="B782">
        <f>IF($A782="","",games!$B782)</f>
        <v>2025</v>
      </c>
      <c r="C782" t="str">
        <f>IF($A782="","",games!$C782)</f>
        <v>Strategy</v>
      </c>
      <c r="D782">
        <f>IF($A782="","",COUNTIF(connections!$A$2:$A$1496,$A782)+COUNTIF(connections!$B$2:$B$1496,$A782))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IF(connections!$A781="","",IFERROR(INDEX(games!$B$2:$B$950,MATCH(connections!$A781,games!$A$2:$A$950,0)),""))</f>
        <v>2008</v>
      </c>
      <c r="U782">
        <f>IF(connections!$A781="","",IFERROR(INDEX(games!$B$2:$B$950,MATCH(connections!$B781,games!$A$2:$A$950,0)),""))</f>
        <v>2015</v>
      </c>
      <c r="V782">
        <f t="shared" si="168"/>
        <v>7</v>
      </c>
    </row>
    <row r="783" spans="1:22" x14ac:dyDescent="0.25">
      <c r="A783" t="str">
        <f>IF(games!$A783="","",games!$A783)</f>
        <v>The Last Flame</v>
      </c>
      <c r="B783">
        <f>IF($A783="","",games!$B783)</f>
        <v>2024</v>
      </c>
      <c r="C783" t="str">
        <f>IF($A783="","",games!$C783)</f>
        <v>Strategy</v>
      </c>
      <c r="D783">
        <f>IF($A783="","",COUNTIF(connections!$A$2:$A$1496,$A783)+COUNTIF(connections!$B$2:$B$1496,$A783))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IF(connections!$A782="","",IFERROR(INDEX(games!$B$2:$B$950,MATCH(connections!$A782,games!$A$2:$A$950,0)),""))</f>
        <v>2011</v>
      </c>
      <c r="U783">
        <f>IF(connections!$A782="","",IFERROR(INDEX(games!$B$2:$B$950,MATCH(connections!$B782,games!$A$2:$A$950,0)),""))</f>
        <v>2015</v>
      </c>
      <c r="V783">
        <f t="shared" si="168"/>
        <v>4</v>
      </c>
    </row>
    <row r="784" spans="1:22" x14ac:dyDescent="0.25">
      <c r="A784" t="str">
        <f>IF(games!$A784="","",games!$A784)</f>
        <v>The Last Game</v>
      </c>
      <c r="B784">
        <f>IF($A784="","",games!$B784)</f>
        <v>2023</v>
      </c>
      <c r="C784" t="str">
        <f>IF($A784="","",games!$C784)</f>
        <v>Action</v>
      </c>
      <c r="D784">
        <f>IF($A784="","",COUNTIF(connections!$A$2:$A$1496,$A784)+COUNTIF(connections!$B$2:$B$1496,$A784))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IF(connections!$A783="","",IFERROR(INDEX(games!$B$2:$B$950,MATCH(connections!$A783,games!$A$2:$A$950,0)),""))</f>
        <v>2025</v>
      </c>
      <c r="U784">
        <f>IF(connections!$A783="","",IFERROR(INDEX(games!$B$2:$B$950,MATCH(connections!$B783,games!$A$2:$A$950,0)),""))</f>
        <v>2026</v>
      </c>
      <c r="V784">
        <f t="shared" si="168"/>
        <v>1</v>
      </c>
    </row>
    <row r="785" spans="1:22" x14ac:dyDescent="0.25">
      <c r="A785" t="str">
        <f>IF(games!$A785="","",games!$A785)</f>
        <v>The Last Spell</v>
      </c>
      <c r="B785">
        <f>IF($A785="","",games!$B785)</f>
        <v>2021</v>
      </c>
      <c r="C785" t="str">
        <f>IF($A785="","",games!$C785)</f>
        <v>Strategy</v>
      </c>
      <c r="D785">
        <f>IF($A785="","",COUNTIF(connections!$A$2:$A$1496,$A785)+COUNTIF(connections!$B$2:$B$1496,$A785))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IF(connections!$A784="","",IFERROR(INDEX(games!$B$2:$B$950,MATCH(connections!$A784,games!$A$2:$A$950,0)),""))</f>
        <v>2024</v>
      </c>
      <c r="U785">
        <f>IF(connections!$A784="","",IFERROR(INDEX(games!$B$2:$B$950,MATCH(connections!$B784,games!$A$2:$A$950,0)),""))</f>
        <v>2026</v>
      </c>
      <c r="V785">
        <f t="shared" si="168"/>
        <v>2</v>
      </c>
    </row>
    <row r="786" spans="1:22" x14ac:dyDescent="0.25">
      <c r="A786" t="str">
        <f>IF(games!$A786="","",games!$A786)</f>
        <v>The Legend of Bum-Bo</v>
      </c>
      <c r="B786">
        <f>IF($A786="","",games!$B786)</f>
        <v>2019</v>
      </c>
      <c r="C786" t="str">
        <f>IF($A786="","",games!$C786)</f>
        <v>Strategy</v>
      </c>
      <c r="D786">
        <f>IF($A786="","",COUNTIF(connections!$A$2:$A$1496,$A786)+COUNTIF(connections!$B$2:$B$1496,$A786))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IF(connections!$A785="","",IFERROR(INDEX(games!$B$2:$B$950,MATCH(connections!$A785,games!$A$2:$A$950,0)),""))</f>
        <v>2017</v>
      </c>
      <c r="U786">
        <f>IF(connections!$A785="","",IFERROR(INDEX(games!$B$2:$B$950,MATCH(connections!$B785,games!$A$2:$A$950,0)),""))</f>
        <v>2026</v>
      </c>
      <c r="V786">
        <f t="shared" si="168"/>
        <v>9</v>
      </c>
    </row>
    <row r="787" spans="1:22" x14ac:dyDescent="0.25">
      <c r="A787" t="str">
        <f>IF(games!$A787="","",games!$A787)</f>
        <v>The Loopler</v>
      </c>
      <c r="B787">
        <f>IF($A787="","",games!$B787)</f>
        <v>2026</v>
      </c>
      <c r="C787" t="str">
        <f>IF($A787="","",games!$C787)</f>
        <v>Deckbuilder</v>
      </c>
      <c r="D787">
        <f>IF($A787="","",COUNTIF(connections!$A$2:$A$1496,$A787)+COUNTIF(connections!$B$2:$B$1496,$A787))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2022</v>
      </c>
      <c r="U787">
        <f>IF(connections!$A786="","",IFERROR(INDEX(games!$B$2:$B$950,MATCH(connections!$B786,games!$A$2:$A$950,0)),""))</f>
        <v>2024</v>
      </c>
      <c r="V787">
        <f t="shared" si="168"/>
        <v>2</v>
      </c>
    </row>
    <row r="788" spans="1:22" x14ac:dyDescent="0.25">
      <c r="A788" t="str">
        <f>IF(games!$A788="","",games!$A788)</f>
        <v>The Magus Circle</v>
      </c>
      <c r="B788">
        <f>IF($A788="","",games!$B788)</f>
        <v>2026</v>
      </c>
      <c r="C788" t="str">
        <f>IF($A788="","",games!$C788)</f>
        <v>Action</v>
      </c>
      <c r="D788">
        <f>IF($A788="","",COUNTIF(connections!$A$2:$A$1496,$A788)+COUNTIF(connections!$B$2:$B$1496,$A788))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IF(connections!$A787="","",IFERROR(INDEX(games!$B$2:$B$950,MATCH(connections!$A787,games!$A$2:$A$950,0)),""))</f>
        <v>2013</v>
      </c>
      <c r="U788">
        <f>IF(connections!$A787="","",IFERROR(INDEX(games!$B$2:$B$950,MATCH(connections!$B787,games!$A$2:$A$950,0)),""))</f>
        <v>2018</v>
      </c>
      <c r="V788">
        <f t="shared" si="168"/>
        <v>5</v>
      </c>
    </row>
    <row r="789" spans="1:22" x14ac:dyDescent="0.25">
      <c r="A789" t="str">
        <f>IF(games!$A789="","",games!$A789)</f>
        <v>The Nightmare of Druaga</v>
      </c>
      <c r="B789">
        <f>IF($A789="","",games!$B789)</f>
        <v>2004</v>
      </c>
      <c r="C789" t="str">
        <f>IF($A789="","",games!$C789)</f>
        <v>Traditional</v>
      </c>
      <c r="D789">
        <f>IF($A789="","",COUNTIF(connections!$A$2:$A$1496,$A789)+COUNTIF(connections!$B$2:$B$1496,$A789))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IF(connections!$A788="","",IFERROR(INDEX(games!$B$2:$B$950,MATCH(connections!$A788,games!$A$2:$A$950,0)),""))</f>
        <v>2011</v>
      </c>
      <c r="U789">
        <f>IF(connections!$A788="","",IFERROR(INDEX(games!$B$2:$B$950,MATCH(connections!$B788,games!$A$2:$A$950,0)),""))</f>
        <v>2018</v>
      </c>
      <c r="V789">
        <f t="shared" si="168"/>
        <v>7</v>
      </c>
    </row>
    <row r="790" spans="1:22" x14ac:dyDescent="0.25">
      <c r="A790" t="str">
        <f>IF(games!$A790="","",games!$A790)</f>
        <v>The Ouroboros King</v>
      </c>
      <c r="B790">
        <f>IF($A790="","",games!$B790)</f>
        <v>2023</v>
      </c>
      <c r="C790" t="str">
        <f>IF($A790="","",games!$C790)</f>
        <v>Strategy</v>
      </c>
      <c r="D790">
        <f>IF($A790="","",COUNTIF(connections!$A$2:$A$1496,$A790)+COUNTIF(connections!$B$2:$B$1496,$A790))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IF(connections!$A789="","",IFERROR(INDEX(games!$B$2:$B$950,MATCH(connections!$A789,games!$A$2:$A$950,0)),""))</f>
        <v>2018</v>
      </c>
      <c r="U790">
        <f>IF(connections!$A789="","",IFERROR(INDEX(games!$B$2:$B$950,MATCH(connections!$B789,games!$A$2:$A$950,0)),""))</f>
        <v>2025</v>
      </c>
      <c r="V790">
        <f t="shared" si="168"/>
        <v>7</v>
      </c>
    </row>
    <row r="791" spans="1:22" x14ac:dyDescent="0.25">
      <c r="A791" t="str">
        <f>IF(games!$A791="","",games!$A791)</f>
        <v>The Rogue Prince of Persia</v>
      </c>
      <c r="B791">
        <f>IF($A791="","",games!$B791)</f>
        <v>2024</v>
      </c>
      <c r="C791" t="str">
        <f>IF($A791="","",games!$C791)</f>
        <v>Action</v>
      </c>
      <c r="D791">
        <f>IF($A791="","",COUNTIF(connections!$A$2:$A$1496,$A791)+COUNTIF(connections!$B$2:$B$1496,$A791))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IF(connections!$A790="","",IFERROR(INDEX(games!$B$2:$B$950,MATCH(connections!$A790,games!$A$2:$A$950,0)),""))</f>
        <v>2019</v>
      </c>
      <c r="U791" t="str">
        <f>IF(connections!$A790="","",IFERROR(INDEX(games!$B$2:$B$950,MATCH(connections!$B790,games!$A$2:$A$950,0)),""))</f>
        <v/>
      </c>
      <c r="V791" t="str">
        <f t="shared" si="168"/>
        <v/>
      </c>
    </row>
    <row r="792" spans="1:22" x14ac:dyDescent="0.25">
      <c r="A792" t="str">
        <f>IF(games!$A792="","",games!$A792)</f>
        <v>The Royal Writ</v>
      </c>
      <c r="B792">
        <f>IF($A792="","",games!$B792)</f>
        <v>2025</v>
      </c>
      <c r="C792" t="str">
        <f>IF($A792="","",games!$C792)</f>
        <v>Deckbuilder</v>
      </c>
      <c r="D792">
        <f>IF($A792="","",COUNTIF(connections!$A$2:$A$1496,$A792)+COUNTIF(connections!$B$2:$B$1496,$A792))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IF(connections!$A791="","",IFERROR(INDEX(games!$B$2:$B$950,MATCH(connections!$A791,games!$A$2:$A$950,0)),""))</f>
        <v>1994</v>
      </c>
      <c r="U792">
        <f>IF(connections!$A791="","",IFERROR(INDEX(games!$B$2:$B$950,MATCH(connections!$B791,games!$A$2:$A$950,0)),""))</f>
        <v>2023</v>
      </c>
      <c r="V792">
        <f t="shared" si="168"/>
        <v>29</v>
      </c>
    </row>
    <row r="793" spans="1:22" x14ac:dyDescent="0.25">
      <c r="A793" t="str">
        <f>IF(games!$A793="","",games!$A793)</f>
        <v>The Spell Brigade</v>
      </c>
      <c r="B793">
        <f>IF($A793="","",games!$B793)</f>
        <v>2024</v>
      </c>
      <c r="C793" t="str">
        <f>IF($A793="","",games!$C793)</f>
        <v>Action</v>
      </c>
      <c r="D793">
        <f>IF($A793="","",COUNTIF(connections!$A$2:$A$1496,$A793)+COUNTIF(connections!$B$2:$B$1496,$A793))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IF(connections!$A792="","",IFERROR(INDEX(games!$B$2:$B$950,MATCH(connections!$A792,games!$A$2:$A$950,0)),""))</f>
        <v>2009</v>
      </c>
      <c r="U793">
        <f>IF(connections!$A792="","",IFERROR(INDEX(games!$B$2:$B$950,MATCH(connections!$B792,games!$A$2:$A$950,0)),""))</f>
        <v>2023</v>
      </c>
      <c r="V793">
        <f t="shared" si="168"/>
        <v>14</v>
      </c>
    </row>
    <row r="794" spans="1:22" x14ac:dyDescent="0.25">
      <c r="A794" t="str">
        <f>IF(games!$A794="","",games!$A794)</f>
        <v>The Spirit Lift</v>
      </c>
      <c r="B794">
        <f>IF($A794="","",games!$B794)</f>
        <v>2026</v>
      </c>
      <c r="C794" t="str">
        <f>IF($A794="","",games!$C794)</f>
        <v>Deckbuilder</v>
      </c>
      <c r="D794">
        <f>IF($A794="","",COUNTIF(connections!$A$2:$A$1496,$A794)+COUNTIF(connections!$B$2:$B$1496,$A794))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IF(connections!$A793="","",IFERROR(INDEX(games!$B$2:$B$950,MATCH(connections!$A793,games!$A$2:$A$950,0)),""))</f>
        <v>1987</v>
      </c>
      <c r="U794">
        <f>IF(connections!$A793="","",IFERROR(INDEX(games!$B$2:$B$950,MATCH(connections!$B793,games!$A$2:$A$950,0)),""))</f>
        <v>2023</v>
      </c>
      <c r="V794">
        <f t="shared" si="168"/>
        <v>36</v>
      </c>
    </row>
    <row r="795" spans="1:22" x14ac:dyDescent="0.25">
      <c r="A795" t="str">
        <f>IF(games!$A795="","",games!$A795)</f>
        <v>The Unliving</v>
      </c>
      <c r="B795">
        <f>IF($A795="","",games!$B795)</f>
        <v>2022</v>
      </c>
      <c r="C795" t="str">
        <f>IF($A795="","",games!$C795)</f>
        <v>Action</v>
      </c>
      <c r="D795">
        <f>IF($A795="","",COUNTIF(connections!$A$2:$A$1496,$A795)+COUNTIF(connections!$B$2:$B$1496,$A795))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IF(connections!$A794="","",IFERROR(INDEX(games!$B$2:$B$950,MATCH(connections!$A794,games!$A$2:$A$950,0)),""))</f>
        <v>2017</v>
      </c>
      <c r="U795">
        <f>IF(connections!$A794="","",IFERROR(INDEX(games!$B$2:$B$950,MATCH(connections!$B794,games!$A$2:$A$950,0)),""))</f>
        <v>2023</v>
      </c>
      <c r="V795">
        <f t="shared" si="168"/>
        <v>6</v>
      </c>
    </row>
    <row r="796" spans="1:22" x14ac:dyDescent="0.25">
      <c r="A796" t="str">
        <f>IF(games!$A796="","",games!$A796)</f>
        <v>The Void Rains Upon Her Heart</v>
      </c>
      <c r="B796">
        <f>IF($A796="","",games!$B796)</f>
        <v>2018</v>
      </c>
      <c r="C796" t="str">
        <f>IF($A796="","",games!$C796)</f>
        <v>Action</v>
      </c>
      <c r="D796">
        <f>IF($A796="","",COUNTIF(connections!$A$2:$A$1496,$A796)+COUNTIF(connections!$B$2:$B$1496,$A796))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2023</v>
      </c>
      <c r="U796">
        <f>IF(connections!$A795="","",IFERROR(INDEX(games!$B$2:$B$950,MATCH(connections!$B795,games!$A$2:$A$950,0)),""))</f>
        <v>2026</v>
      </c>
      <c r="V796">
        <f t="shared" si="168"/>
        <v>3</v>
      </c>
    </row>
    <row r="797" spans="1:22" x14ac:dyDescent="0.25">
      <c r="A797" t="str">
        <f>IF(games!$A797="","",games!$A797)</f>
        <v>The World is Your Weapon</v>
      </c>
      <c r="B797">
        <f>IF($A797="","",games!$B797)</f>
        <v>2014</v>
      </c>
      <c r="C797" t="str">
        <f>IF($A797="","",games!$C797)</f>
        <v>Traditional</v>
      </c>
      <c r="D797">
        <f>IF($A797="","",COUNTIF(connections!$A$2:$A$1496,$A797)+COUNTIF(connections!$B$2:$B$1496,$A797))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IF(connections!$A796="","",IFERROR(INDEX(games!$B$2:$B$950,MATCH(connections!$A796,games!$A$2:$A$950,0)),""))</f>
        <v>2020</v>
      </c>
      <c r="U797">
        <f>IF(connections!$A796="","",IFERROR(INDEX(games!$B$2:$B$950,MATCH(connections!$B796,games!$A$2:$A$950,0)),""))</f>
        <v>2026</v>
      </c>
      <c r="V797">
        <f t="shared" si="168"/>
        <v>6</v>
      </c>
    </row>
    <row r="798" spans="1:22" x14ac:dyDescent="0.25">
      <c r="A798" t="str">
        <f>IF(games!$A798="","",games!$A798)</f>
        <v>There Are No Orcs</v>
      </c>
      <c r="B798">
        <f>IF($A798="","",games!$B798)</f>
        <v>2025</v>
      </c>
      <c r="C798" t="str">
        <f>IF($A798="","",games!$C798)</f>
        <v>Strategy</v>
      </c>
      <c r="D798">
        <f>IF($A798="","",COUNTIF(connections!$A$2:$A$1496,$A798)+COUNTIF(connections!$B$2:$B$1496,$A798))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IF(connections!$A797="","",IFERROR(INDEX(games!$B$2:$B$950,MATCH(connections!$A797,games!$A$2:$A$950,0)),""))</f>
        <v>1980</v>
      </c>
      <c r="U798">
        <f>IF(connections!$A797="","",IFERROR(INDEX(games!$B$2:$B$950,MATCH(connections!$B797,games!$A$2:$A$950,0)),""))</f>
        <v>1983</v>
      </c>
      <c r="V798">
        <f t="shared" si="168"/>
        <v>3</v>
      </c>
    </row>
    <row r="799" spans="1:22" x14ac:dyDescent="0.25">
      <c r="A799" t="str">
        <f>IF(games!$A799="","",games!$A799)</f>
        <v>Tic Tactic</v>
      </c>
      <c r="B799">
        <f>IF($A799="","",games!$B799)</f>
        <v>2025</v>
      </c>
      <c r="C799" t="str">
        <f>IF($A799="","",games!$C799)</f>
        <v>Deckbuilder</v>
      </c>
      <c r="D799">
        <f>IF($A799="","",COUNTIF(connections!$A$2:$A$1496,$A799)+COUNTIF(connections!$B$2:$B$1496,$A799))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IF(connections!$A798="","",IFERROR(INDEX(games!$B$2:$B$950,MATCH(connections!$A798,games!$A$2:$A$950,0)),""))</f>
        <v>2017</v>
      </c>
      <c r="U799">
        <f>IF(connections!$A798="","",IFERROR(INDEX(games!$B$2:$B$950,MATCH(connections!$B798,games!$A$2:$A$950,0)),""))</f>
        <v>2024</v>
      </c>
      <c r="V799">
        <f t="shared" si="168"/>
        <v>7</v>
      </c>
    </row>
    <row r="800" spans="1:22" x14ac:dyDescent="0.25">
      <c r="A800" t="str">
        <f>IF(games!$A800="","",games!$A800)</f>
        <v>Time Survivors</v>
      </c>
      <c r="B800">
        <f>IF($A800="","",games!$B800)</f>
        <v>2023</v>
      </c>
      <c r="C800" t="str">
        <f>IF($A800="","",games!$C800)</f>
        <v>Action</v>
      </c>
      <c r="D800">
        <f>IF($A800="","",COUNTIF(connections!$A$2:$A$1496,$A800)+COUNTIF(connections!$B$2:$B$1496,$A800))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2017</v>
      </c>
      <c r="U800">
        <f>IF(connections!$A799="","",IFERROR(INDEX(games!$B$2:$B$950,MATCH(connections!$B799,games!$A$2:$A$950,0)),""))</f>
        <v>2023</v>
      </c>
      <c r="V800">
        <f t="shared" si="168"/>
        <v>6</v>
      </c>
    </row>
    <row r="801" spans="1:22" x14ac:dyDescent="0.25">
      <c r="A801" t="str">
        <f>IF(games!$A801="","",games!$A801)</f>
        <v>Time Wasters</v>
      </c>
      <c r="B801">
        <f>IF($A801="","",games!$B801)</f>
        <v>2023</v>
      </c>
      <c r="C801" t="str">
        <f>IF($A801="","",games!$C801)</f>
        <v>Action</v>
      </c>
      <c r="D801">
        <f>IF($A801="","",COUNTIF(connections!$A$2:$A$1496,$A801)+COUNTIF(connections!$B$2:$B$1496,$A801))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2021</v>
      </c>
      <c r="U801">
        <f>IF(connections!$A800="","",IFERROR(INDEX(games!$B$2:$B$950,MATCH(connections!$B800,games!$A$2:$A$950,0)),""))</f>
        <v>2023</v>
      </c>
      <c r="V801">
        <f t="shared" si="168"/>
        <v>2</v>
      </c>
    </row>
    <row r="802" spans="1:22" x14ac:dyDescent="0.25">
      <c r="A802" t="str">
        <f>IF(games!$A802="","",games!$A802)</f>
        <v>Tinker Shot</v>
      </c>
      <c r="B802">
        <f>IF($A802="","",games!$B802)</f>
        <v>2026</v>
      </c>
      <c r="C802" t="str">
        <f>IF($A802="","",games!$C802)</f>
        <v>Deckbuilder</v>
      </c>
      <c r="D802">
        <f>IF($A802="","",COUNTIF(connections!$A$2:$A$1496,$A802)+COUNTIF(connections!$B$2:$B$1496,$A802))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IF(connections!$A801="","",IFERROR(INDEX(games!$B$2:$B$950,MATCH(connections!$A801,games!$A$2:$A$950,0)),""))</f>
        <v>2014</v>
      </c>
      <c r="U802">
        <f>IF(connections!$A801="","",IFERROR(INDEX(games!$B$2:$B$950,MATCH(connections!$B801,games!$A$2:$A$950,0)),""))</f>
        <v>2018</v>
      </c>
      <c r="V802">
        <f t="shared" si="168"/>
        <v>4</v>
      </c>
    </row>
    <row r="803" spans="1:22" x14ac:dyDescent="0.25">
      <c r="A803" t="str">
        <f>IF(games!$A803="","",games!$A803)</f>
        <v>Tiny Auto Knights</v>
      </c>
      <c r="B803">
        <f>IF($A803="","",games!$B803)</f>
        <v>2025</v>
      </c>
      <c r="C803" t="str">
        <f>IF($A803="","",games!$C803)</f>
        <v>Deckbuilder</v>
      </c>
      <c r="D803">
        <f>IF($A803="","",COUNTIF(connections!$A$2:$A$1496,$A803)+COUNTIF(connections!$B$2:$B$1496,$A803))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IF(connections!$A802="","",IFERROR(INDEX(games!$B$2:$B$950,MATCH(connections!$A802,games!$A$2:$A$950,0)),""))</f>
        <v>2018</v>
      </c>
      <c r="U803">
        <f>IF(connections!$A802="","",IFERROR(INDEX(games!$B$2:$B$950,MATCH(connections!$B802,games!$A$2:$A$950,0)),""))</f>
        <v>2022</v>
      </c>
      <c r="V803">
        <f t="shared" si="168"/>
        <v>4</v>
      </c>
    </row>
    <row r="804" spans="1:22" x14ac:dyDescent="0.25">
      <c r="A804" t="str">
        <f>IF(games!$A804="","",games!$A804)</f>
        <v>Tiny Rogues</v>
      </c>
      <c r="B804">
        <f>IF($A804="","",games!$B804)</f>
        <v>2022</v>
      </c>
      <c r="C804" t="str">
        <f>IF($A804="","",games!$C804)</f>
        <v>Action</v>
      </c>
      <c r="D804">
        <f>IF($A804="","",COUNTIF(connections!$A$2:$A$1496,$A804)+COUNTIF(connections!$B$2:$B$1496,$A804))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IF(connections!$A803="","",IFERROR(INDEX(games!$B$2:$B$950,MATCH(connections!$A803,games!$A$2:$A$950,0)),""))</f>
        <v>2010</v>
      </c>
      <c r="U804">
        <f>IF(connections!$A803="","",IFERROR(INDEX(games!$B$2:$B$950,MATCH(connections!$B803,games!$A$2:$A$950,0)),""))</f>
        <v>2011</v>
      </c>
      <c r="V804">
        <f t="shared" si="168"/>
        <v>1</v>
      </c>
    </row>
    <row r="805" spans="1:22" x14ac:dyDescent="0.25">
      <c r="A805" t="str">
        <f>IF(games!$A805="","",games!$A805)</f>
        <v>Tinyfolks</v>
      </c>
      <c r="B805">
        <f>IF($A805="","",games!$B805)</f>
        <v>2022</v>
      </c>
      <c r="C805" t="str">
        <f>IF($A805="","",games!$C805)</f>
        <v>Strategy</v>
      </c>
      <c r="D805">
        <f>IF($A805="","",COUNTIF(connections!$A$2:$A$1496,$A805)+COUNTIF(connections!$B$2:$B$1496,$A805))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2008</v>
      </c>
      <c r="U805">
        <f>IF(connections!$A804="","",IFERROR(INDEX(games!$B$2:$B$950,MATCH(connections!$B804,games!$A$2:$A$950,0)),""))</f>
        <v>2023</v>
      </c>
      <c r="V805">
        <f t="shared" si="168"/>
        <v>15</v>
      </c>
    </row>
    <row r="806" spans="1:22" x14ac:dyDescent="0.25">
      <c r="A806" t="str">
        <f>IF(games!$A806="","",games!$A806)</f>
        <v>ToeJam &amp; Earl</v>
      </c>
      <c r="B806">
        <f>IF($A806="","",games!$B806)</f>
        <v>1991</v>
      </c>
      <c r="C806" t="str">
        <f>IF($A806="","",games!$C806)</f>
        <v>Action</v>
      </c>
      <c r="D806">
        <f>IF($A806="","",COUNTIF(connections!$A$2:$A$1496,$A806)+COUNTIF(connections!$B$2:$B$1496,$A806))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IF(connections!$A805="","",IFERROR(INDEX(games!$B$2:$B$950,MATCH(connections!$A805,games!$A$2:$A$950,0)),""))</f>
        <v>2020</v>
      </c>
      <c r="U806">
        <f>IF(connections!$A805="","",IFERROR(INDEX(games!$B$2:$B$950,MATCH(connections!$B805,games!$A$2:$A$950,0)),""))</f>
        <v>2021</v>
      </c>
      <c r="V806">
        <f t="shared" si="168"/>
        <v>1</v>
      </c>
    </row>
    <row r="807" spans="1:22" x14ac:dyDescent="0.25">
      <c r="A807" t="str">
        <f>IF(games!$A807="","",games!$A807)</f>
        <v>ToeJam &amp; Earl: Back in the Groove!</v>
      </c>
      <c r="B807">
        <f>IF($A807="","",games!$B807)</f>
        <v>2019</v>
      </c>
      <c r="C807" t="str">
        <f>IF($A807="","",games!$C807)</f>
        <v>Action</v>
      </c>
      <c r="D807">
        <f>IF($A807="","",COUNTIF(connections!$A$2:$A$1496,$A807)+COUNTIF(connections!$B$2:$B$1496,$A807))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IF(connections!$A806="","",IFERROR(INDEX(games!$B$2:$B$950,MATCH(connections!$A806,games!$A$2:$A$950,0)),""))</f>
        <v>2021</v>
      </c>
      <c r="U807">
        <f>IF(connections!$A806="","",IFERROR(INDEX(games!$B$2:$B$950,MATCH(connections!$B806,games!$A$2:$A$950,0)),""))</f>
        <v>2025</v>
      </c>
      <c r="V807">
        <f t="shared" si="168"/>
        <v>4</v>
      </c>
    </row>
    <row r="808" spans="1:22" x14ac:dyDescent="0.25">
      <c r="A808" t="str">
        <f>IF(games!$A808="","",games!$A808)</f>
        <v>TombStar</v>
      </c>
      <c r="B808">
        <f>IF($A808="","",games!$B808)</f>
        <v>2022</v>
      </c>
      <c r="C808" t="str">
        <f>IF($A808="","",games!$C808)</f>
        <v>Action</v>
      </c>
      <c r="D808">
        <f>IF($A808="","",COUNTIF(connections!$A$2:$A$1496,$A808)+COUNTIF(connections!$B$2:$B$1496,$A808))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IF(connections!$A807="","",IFERROR(INDEX(games!$B$2:$B$950,MATCH(connections!$A807,games!$A$2:$A$950,0)),""))</f>
        <v>2014</v>
      </c>
      <c r="U808">
        <f>IF(connections!$A807="","",IFERROR(INDEX(games!$B$2:$B$950,MATCH(connections!$B807,games!$A$2:$A$950,0)),""))</f>
        <v>2016</v>
      </c>
      <c r="V808">
        <f t="shared" si="168"/>
        <v>2</v>
      </c>
    </row>
    <row r="809" spans="1:22" x14ac:dyDescent="0.25">
      <c r="A809" t="str">
        <f>IF(games!$A809="","",games!$A809)</f>
        <v>Torneko: The Last Hope</v>
      </c>
      <c r="B809">
        <f>IF($A809="","",games!$B809)</f>
        <v>1999</v>
      </c>
      <c r="C809" t="str">
        <f>IF($A809="","",games!$C809)</f>
        <v>Traditional</v>
      </c>
      <c r="D809">
        <f>IF($A809="","",COUNTIF(connections!$A$2:$A$1496,$A809)+COUNTIF(connections!$B$2:$B$1496,$A809))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IF(connections!$A808="","",IFERROR(INDEX(games!$B$2:$B$950,MATCH(connections!$A808,games!$A$2:$A$950,0)),""))</f>
        <v>1987</v>
      </c>
      <c r="U809">
        <f>IF(connections!$A808="","",IFERROR(INDEX(games!$B$2:$B$950,MATCH(connections!$B808,games!$A$2:$A$950,0)),""))</f>
        <v>1995</v>
      </c>
      <c r="V809">
        <f t="shared" si="168"/>
        <v>8</v>
      </c>
    </row>
    <row r="810" spans="1:22" x14ac:dyDescent="0.25">
      <c r="A810" t="str">
        <f>IF(games!$A810="","",games!$A810)</f>
        <v>Torneko's Great Adventure 3</v>
      </c>
      <c r="B810">
        <f>IF($A810="","",games!$B810)</f>
        <v>2002</v>
      </c>
      <c r="C810" t="str">
        <f>IF($A810="","",games!$C810)</f>
        <v>Traditional</v>
      </c>
      <c r="D810">
        <f>IF($A810="","",COUNTIF(connections!$A$2:$A$1496,$A810)+COUNTIF(connections!$B$2:$B$1496,$A810))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IF(connections!$A809="","",IFERROR(INDEX(games!$B$2:$B$950,MATCH(connections!$A809,games!$A$2:$A$950,0)),""))</f>
        <v>1993</v>
      </c>
      <c r="U810">
        <f>IF(connections!$A809="","",IFERROR(INDEX(games!$B$2:$B$950,MATCH(connections!$B809,games!$A$2:$A$950,0)),""))</f>
        <v>1995</v>
      </c>
      <c r="V810">
        <f t="shared" si="168"/>
        <v>2</v>
      </c>
    </row>
    <row r="811" spans="1:22" x14ac:dyDescent="0.25">
      <c r="A811" t="str">
        <f>IF(games!$A811="","",games!$A811)</f>
        <v>Torneko's Great Adventure: Mystery Dungeon</v>
      </c>
      <c r="B811">
        <f>IF($A811="","",games!$B811)</f>
        <v>1993</v>
      </c>
      <c r="C811" t="str">
        <f>IF($A811="","",games!$C811)</f>
        <v>Traditional</v>
      </c>
      <c r="D811">
        <f>IF($A811="","",COUNTIF(connections!$A$2:$A$1496,$A811)+COUNTIF(connections!$B$2:$B$1496,$A811))</f>
        <v>28</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28.000810999999999</v>
      </c>
      <c r="P811" t="str">
        <f>IF(OR($A811="",games!$H811=""),"",games!$H811)</f>
        <v>Yes</v>
      </c>
      <c r="Q811">
        <f t="shared" si="167"/>
        <v>28.000810999999999</v>
      </c>
      <c r="T811">
        <f>IF(connections!$A810="","",IFERROR(INDEX(games!$B$2:$B$950,MATCH(connections!$A810,games!$A$2:$A$950,0)),""))</f>
        <v>2021</v>
      </c>
      <c r="U811">
        <f>IF(connections!$A810="","",IFERROR(INDEX(games!$B$2:$B$950,MATCH(connections!$B810,games!$A$2:$A$950,0)),""))</f>
        <v>2024</v>
      </c>
      <c r="V811">
        <f t="shared" si="168"/>
        <v>3</v>
      </c>
    </row>
    <row r="812" spans="1:22" x14ac:dyDescent="0.25">
      <c r="A812" t="str">
        <f>IF(games!$A812="","",games!$A812)</f>
        <v>Touhou Crawl</v>
      </c>
      <c r="B812">
        <f>IF($A812="","",games!$B812)</f>
        <v>2025</v>
      </c>
      <c r="C812" t="str">
        <f>IF($A812="","",games!$C812)</f>
        <v>Traditional</v>
      </c>
      <c r="D812">
        <f>IF($A812="","",COUNTIF(connections!$A$2:$A$1496,$A812)+COUNTIF(connections!$B$2:$B$1496,$A812))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IF(connections!$A811="","",IFERROR(INDEX(games!$B$2:$B$950,MATCH(connections!$A811,games!$A$2:$A$950,0)),""))</f>
        <v>2015</v>
      </c>
      <c r="U812">
        <f>IF(connections!$A811="","",IFERROR(INDEX(games!$B$2:$B$950,MATCH(connections!$B811,games!$A$2:$A$950,0)),""))</f>
        <v>2022</v>
      </c>
      <c r="V812">
        <f t="shared" si="168"/>
        <v>7</v>
      </c>
    </row>
    <row r="813" spans="1:22" x14ac:dyDescent="0.25">
      <c r="A813" t="str">
        <f>IF(games!$A813="","",games!$A813)</f>
        <v>Touhou Genso Wanderer: Foresight</v>
      </c>
      <c r="B813">
        <f>IF($A813="","",games!$B813)</f>
        <v>2024</v>
      </c>
      <c r="C813" t="str">
        <f>IF($A813="","",games!$C813)</f>
        <v>Traditional</v>
      </c>
      <c r="D813">
        <f>IF($A813="","",COUNTIF(connections!$A$2:$A$1496,$A813)+COUNTIF(connections!$B$2:$B$1496,$A813))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IF(connections!$A812="","",IFERROR(INDEX(games!$B$2:$B$950,MATCH(connections!$A812,games!$A$2:$A$950,0)),""))</f>
        <v>2017</v>
      </c>
      <c r="U813">
        <f>IF(connections!$A812="","",IFERROR(INDEX(games!$B$2:$B$950,MATCH(connections!$B812,games!$A$2:$A$950,0)),""))</f>
        <v>2022</v>
      </c>
      <c r="V813">
        <f t="shared" si="168"/>
        <v>5</v>
      </c>
    </row>
    <row r="814" spans="1:22" x14ac:dyDescent="0.25">
      <c r="A814" t="str">
        <f>IF(games!$A814="","",games!$A814)</f>
        <v>Touhou Genso Wanderer: Lotus Labyrinth R</v>
      </c>
      <c r="B814">
        <f>IF($A814="","",games!$B814)</f>
        <v>2021</v>
      </c>
      <c r="C814" t="str">
        <f>IF($A814="","",games!$C814)</f>
        <v>Traditional</v>
      </c>
      <c r="D814">
        <f>IF($A814="","",COUNTIF(connections!$A$2:$A$1496,$A814)+COUNTIF(connections!$B$2:$B$1496,$A814))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IF(connections!$A813="","",IFERROR(INDEX(games!$B$2:$B$950,MATCH(connections!$A813,games!$A$2:$A$950,0)),""))</f>
        <v>2016</v>
      </c>
      <c r="U814">
        <f>IF(connections!$A813="","",IFERROR(INDEX(games!$B$2:$B$950,MATCH(connections!$B813,games!$A$2:$A$950,0)),""))</f>
        <v>2022</v>
      </c>
      <c r="V814">
        <f t="shared" si="168"/>
        <v>6</v>
      </c>
    </row>
    <row r="815" spans="1:22" x14ac:dyDescent="0.25">
      <c r="A815" t="str">
        <f>IF(games!$A815="","",games!$A815)</f>
        <v>Touhou: Lost Branch of Legend</v>
      </c>
      <c r="B815">
        <f>IF($A815="","",games!$B815)</f>
        <v>2022</v>
      </c>
      <c r="C815" t="str">
        <f>IF($A815="","",games!$C815)</f>
        <v>Deckbuilder</v>
      </c>
      <c r="D815">
        <f>IF($A815="","",COUNTIF(connections!$A$2:$A$1496,$A815)+COUNTIF(connections!$B$2:$B$1496,$A815))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IF(connections!$A814="","",IFERROR(INDEX(games!$B$2:$B$950,MATCH(connections!$A814,games!$A$2:$A$950,0)),""))</f>
        <v>2015</v>
      </c>
      <c r="U815">
        <f>IF(connections!$A814="","",IFERROR(INDEX(games!$B$2:$B$950,MATCH(connections!$B814,games!$A$2:$A$950,0)),""))</f>
        <v>2022</v>
      </c>
      <c r="V815">
        <f t="shared" si="168"/>
        <v>7</v>
      </c>
    </row>
    <row r="816" spans="1:22" x14ac:dyDescent="0.25">
      <c r="A816" t="str">
        <f>IF(games!$A816="","",games!$A816)</f>
        <v>Tower Dominion</v>
      </c>
      <c r="B816">
        <f>IF($A816="","",games!$B816)</f>
        <v>2025</v>
      </c>
      <c r="C816" t="str">
        <f>IF($A816="","",games!$C816)</f>
        <v>Strategy</v>
      </c>
      <c r="D816">
        <f>IF($A816="","",COUNTIF(connections!$A$2:$A$1496,$A816)+COUNTIF(connections!$B$2:$B$1496,$A816))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IF(connections!$A815="","",IFERROR(INDEX(games!$B$2:$B$950,MATCH(connections!$A815,games!$A$2:$A$950,0)),""))</f>
        <v>2022</v>
      </c>
      <c r="U816">
        <f>IF(connections!$A815="","",IFERROR(INDEX(games!$B$2:$B$950,MATCH(connections!$B815,games!$A$2:$A$950,0)),""))</f>
        <v>2024</v>
      </c>
      <c r="V816">
        <f t="shared" si="168"/>
        <v>2</v>
      </c>
    </row>
    <row r="817" spans="1:22" x14ac:dyDescent="0.25">
      <c r="A817" t="str">
        <f>IF(games!$A817="","",games!$A817)</f>
        <v>Tower Escape</v>
      </c>
      <c r="B817">
        <f>IF($A817="","",games!$B817)</f>
        <v>2023</v>
      </c>
      <c r="C817" t="str">
        <f>IF($A817="","",games!$C817)</f>
        <v>Deckbuilder</v>
      </c>
      <c r="D817">
        <f>IF($A817="","",COUNTIF(connections!$A$2:$A$1496,$A817)+COUNTIF(connections!$B$2:$B$1496,$A817))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IF(connections!$A816="","",IFERROR(INDEX(games!$B$2:$B$950,MATCH(connections!$A816,games!$A$2:$A$950,0)),""))</f>
        <v>2018</v>
      </c>
      <c r="U817">
        <f>IF(connections!$A816="","",IFERROR(INDEX(games!$B$2:$B$950,MATCH(connections!$B816,games!$A$2:$A$950,0)),""))</f>
        <v>2019</v>
      </c>
      <c r="V817">
        <f t="shared" si="168"/>
        <v>1</v>
      </c>
    </row>
    <row r="818" spans="1:22" x14ac:dyDescent="0.25">
      <c r="A818" t="str">
        <f>IF(games!$A818="","",games!$A818)</f>
        <v>Tower Factory</v>
      </c>
      <c r="B818">
        <f>IF($A818="","",games!$B818)</f>
        <v>2024</v>
      </c>
      <c r="C818" t="str">
        <f>IF($A818="","",games!$C818)</f>
        <v>Strategy</v>
      </c>
      <c r="D818">
        <f>IF($A818="","",COUNTIF(connections!$A$2:$A$1496,$A818)+COUNTIF(connections!$B$2:$B$1496,$A818))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IF(connections!$A817="","",IFERROR(INDEX(games!$B$2:$B$950,MATCH(connections!$A817,games!$A$2:$A$950,0)),""))</f>
        <v>2016</v>
      </c>
      <c r="U818">
        <f>IF(connections!$A817="","",IFERROR(INDEX(games!$B$2:$B$950,MATCH(connections!$B817,games!$A$2:$A$950,0)),""))</f>
        <v>2019</v>
      </c>
      <c r="V818">
        <f t="shared" si="168"/>
        <v>3</v>
      </c>
    </row>
    <row r="819" spans="1:22" x14ac:dyDescent="0.25">
      <c r="A819" t="str">
        <f>IF(games!$A819="","",games!$A819)</f>
        <v>Tower Fortress</v>
      </c>
      <c r="B819">
        <f>IF($A819="","",games!$B819)</f>
        <v>2017</v>
      </c>
      <c r="C819" t="str">
        <f>IF($A819="","",games!$C819)</f>
        <v>Action</v>
      </c>
      <c r="D819">
        <f>IF($A819="","",COUNTIF(connections!$A$2:$A$1496,$A819)+COUNTIF(connections!$B$2:$B$1496,$A819))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IF(connections!$A818="","",IFERROR(INDEX(games!$B$2:$B$950,MATCH(connections!$A818,games!$A$2:$A$950,0)),""))</f>
        <v>2011</v>
      </c>
      <c r="U819">
        <f>IF(connections!$A818="","",IFERROR(INDEX(games!$B$2:$B$950,MATCH(connections!$B818,games!$A$2:$A$950,0)),""))</f>
        <v>2019</v>
      </c>
      <c r="V819">
        <f t="shared" si="168"/>
        <v>8</v>
      </c>
    </row>
    <row r="820" spans="1:22" x14ac:dyDescent="0.25">
      <c r="A820" t="str">
        <f>IF(games!$A820="","",games!$A820)</f>
        <v>Tower of Guns</v>
      </c>
      <c r="B820">
        <f>IF($A820="","",games!$B820)</f>
        <v>2014</v>
      </c>
      <c r="C820" t="str">
        <f>IF($A820="","",games!$C820)</f>
        <v>Action</v>
      </c>
      <c r="D820">
        <f>IF($A820="","",COUNTIF(connections!$A$2:$A$1496,$A820)+COUNTIF(connections!$B$2:$B$1496,$A820))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IF(connections!$A819="","",IFERROR(INDEX(games!$B$2:$B$950,MATCH(connections!$A819,games!$A$2:$A$950,0)),""))</f>
        <v>2019</v>
      </c>
      <c r="U820">
        <f>IF(connections!$A819="","",IFERROR(INDEX(games!$B$2:$B$950,MATCH(connections!$B819,games!$A$2:$A$950,0)),""))</f>
        <v>2025</v>
      </c>
      <c r="V820">
        <f t="shared" si="168"/>
        <v>6</v>
      </c>
    </row>
    <row r="821" spans="1:22" x14ac:dyDescent="0.25">
      <c r="A821" t="str">
        <f>IF(games!$A821="","",games!$A821)</f>
        <v>Tower Tactics: Liberation</v>
      </c>
      <c r="B821">
        <f>IF($A821="","",games!$B821)</f>
        <v>2021</v>
      </c>
      <c r="C821" t="str">
        <f>IF($A821="","",games!$C821)</f>
        <v>Deckbuilder</v>
      </c>
      <c r="D821">
        <f>IF($A821="","",COUNTIF(connections!$A$2:$A$1496,$A821)+COUNTIF(connections!$B$2:$B$1496,$A821))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2021</v>
      </c>
      <c r="U821">
        <f>IF(connections!$A820="","",IFERROR(INDEX(games!$B$2:$B$950,MATCH(connections!$B820,games!$A$2:$A$950,0)),""))</f>
        <v>2022</v>
      </c>
      <c r="V821">
        <f t="shared" si="168"/>
        <v>1</v>
      </c>
    </row>
    <row r="822" spans="1:22" x14ac:dyDescent="0.25">
      <c r="A822" t="str">
        <f>IF(games!$A822="","",games!$A822)</f>
        <v>Toy Smash Kaboom!</v>
      </c>
      <c r="B822">
        <f>IF($A822="","",games!$B822)</f>
        <v>2025</v>
      </c>
      <c r="C822" t="str">
        <f>IF($A822="","",games!$C822)</f>
        <v>Deckbuilder</v>
      </c>
      <c r="D822">
        <f>IF($A822="","",COUNTIF(connections!$A$2:$A$1496,$A822)+COUNTIF(connections!$B$2:$B$1496,$A822))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1984</v>
      </c>
      <c r="U822">
        <f>IF(connections!$A821="","",IFERROR(INDEX(games!$B$2:$B$950,MATCH(connections!$B821,games!$A$2:$A$950,0)),""))</f>
        <v>1987</v>
      </c>
      <c r="V822">
        <f t="shared" si="168"/>
        <v>3</v>
      </c>
    </row>
    <row r="823" spans="1:22" x14ac:dyDescent="0.25">
      <c r="A823" t="str">
        <f>IF(games!$A823="","",games!$A823)</f>
        <v>Trash of the Titans</v>
      </c>
      <c r="B823">
        <f>IF($A823="","",games!$B823)</f>
        <v>2024</v>
      </c>
      <c r="C823" t="str">
        <f>IF($A823="","",games!$C823)</f>
        <v>Strategy</v>
      </c>
      <c r="D823">
        <f>IF($A823="","",COUNTIF(connections!$A$2:$A$1496,$A823)+COUNTIF(connections!$B$2:$B$1496,$A823))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IF(connections!$A822="","",IFERROR(INDEX(games!$B$2:$B$950,MATCH(connections!$A822,games!$A$2:$A$950,0)),""))</f>
        <v>2020</v>
      </c>
      <c r="U823">
        <f>IF(connections!$A822="","",IFERROR(INDEX(games!$B$2:$B$950,MATCH(connections!$B822,games!$A$2:$A$950,0)),""))</f>
        <v>2025</v>
      </c>
      <c r="V823">
        <f t="shared" si="168"/>
        <v>5</v>
      </c>
    </row>
    <row r="824" spans="1:22" x14ac:dyDescent="0.25">
      <c r="A824" t="str">
        <f>IF(games!$A824="","",games!$A824)</f>
        <v>Trials of Fire</v>
      </c>
      <c r="B824">
        <f>IF($A824="","",games!$B824)</f>
        <v>2019</v>
      </c>
      <c r="C824" t="str">
        <f>IF($A824="","",games!$C824)</f>
        <v>Deckbuilder</v>
      </c>
      <c r="D824">
        <f>IF($A824="","",COUNTIF(connections!$A$2:$A$1496,$A824)+COUNTIF(connections!$B$2:$B$1496,$A824))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IF(connections!$A823="","",IFERROR(INDEX(games!$B$2:$B$950,MATCH(connections!$A823,games!$A$2:$A$950,0)),""))</f>
        <v>2019</v>
      </c>
      <c r="U824">
        <f>IF(connections!$A823="","",IFERROR(INDEX(games!$B$2:$B$950,MATCH(connections!$B823,games!$A$2:$A$950,0)),""))</f>
        <v>2025</v>
      </c>
      <c r="V824">
        <f t="shared" si="168"/>
        <v>6</v>
      </c>
    </row>
    <row r="825" spans="1:22" x14ac:dyDescent="0.25">
      <c r="A825" t="str">
        <f>IF(games!$A825="","",games!$A825)</f>
        <v>TumbleSeed</v>
      </c>
      <c r="B825">
        <f>IF($A825="","",games!$B825)</f>
        <v>2017</v>
      </c>
      <c r="C825" t="str">
        <f>IF($A825="","",games!$C825)</f>
        <v>Action</v>
      </c>
      <c r="D825">
        <f>IF($A825="","",COUNTIF(connections!$A$2:$A$1496,$A825)+COUNTIF(connections!$B$2:$B$1496,$A825))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2019</v>
      </c>
      <c r="U825">
        <f>IF(connections!$A824="","",IFERROR(INDEX(games!$B$2:$B$950,MATCH(connections!$B824,games!$A$2:$A$950,0)),""))</f>
        <v>2021</v>
      </c>
      <c r="V825">
        <f t="shared" si="168"/>
        <v>2</v>
      </c>
    </row>
    <row r="826" spans="1:22" x14ac:dyDescent="0.25">
      <c r="A826" t="str">
        <f>IF(games!$A826="","",games!$A826)</f>
        <v>Turnbound</v>
      </c>
      <c r="B826">
        <f>IF($A826="","",games!$B826)</f>
        <v>2026</v>
      </c>
      <c r="C826" t="str">
        <f>IF($A826="","",games!$C826)</f>
        <v>Deckbuilder</v>
      </c>
      <c r="D826">
        <f>IF($A826="","",COUNTIF(connections!$A$2:$A$1496,$A826)+COUNTIF(connections!$B$2:$B$1496,$A826))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IF(connections!$A825="","",IFERROR(INDEX(games!$B$2:$B$950,MATCH(connections!$A825,games!$A$2:$A$950,0)),""))</f>
        <v>2021</v>
      </c>
      <c r="U826">
        <f>IF(connections!$A825="","",IFERROR(INDEX(games!$B$2:$B$950,MATCH(connections!$B825,games!$A$2:$A$950,0)),""))</f>
        <v>2025</v>
      </c>
      <c r="V826">
        <f t="shared" si="168"/>
        <v>4</v>
      </c>
    </row>
    <row r="827" spans="1:22" x14ac:dyDescent="0.25">
      <c r="A827" t="str">
        <f>IF(games!$A827="","",games!$A827)</f>
        <v>Tyrant's Realm</v>
      </c>
      <c r="B827">
        <f>IF($A827="","",games!$B827)</f>
        <v>2025</v>
      </c>
      <c r="C827" t="str">
        <f>IF($A827="","",games!$C827)</f>
        <v>Action</v>
      </c>
      <c r="D827">
        <f>IF($A827="","",COUNTIF(connections!$A$2:$A$1496,$A827)+COUNTIF(connections!$B$2:$B$1496,$A827))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2021</v>
      </c>
      <c r="U827">
        <f>IF(connections!$A826="","",IFERROR(INDEX(games!$B$2:$B$950,MATCH(connections!$B826,games!$A$2:$A$950,0)),""))</f>
        <v>2024</v>
      </c>
      <c r="V827">
        <f t="shared" si="168"/>
        <v>3</v>
      </c>
    </row>
    <row r="828" spans="1:22" x14ac:dyDescent="0.25">
      <c r="A828" t="str">
        <f>IF(games!$A828="","",games!$A828)</f>
        <v>Ultima Ratio Regum</v>
      </c>
      <c r="B828">
        <f>IF($A828="","",games!$B828)</f>
        <v>2012</v>
      </c>
      <c r="C828" t="str">
        <f>IF($A828="","",games!$C828)</f>
        <v>Traditional</v>
      </c>
      <c r="D828">
        <f>IF($A828="","",COUNTIF(connections!$A$2:$A$1496,$A828)+COUNTIF(connections!$B$2:$B$1496,$A828))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IF(connections!$A827="","",IFERROR(INDEX(games!$B$2:$B$950,MATCH(connections!$A827,games!$A$2:$A$950,0)),""))</f>
        <v>2021</v>
      </c>
      <c r="U828">
        <f>IF(connections!$A827="","",IFERROR(INDEX(games!$B$2:$B$950,MATCH(connections!$B827,games!$A$2:$A$950,0)),""))</f>
        <v>2026</v>
      </c>
      <c r="V828">
        <f t="shared" si="168"/>
        <v>5</v>
      </c>
    </row>
    <row r="829" spans="1:22" x14ac:dyDescent="0.25">
      <c r="A829" t="str">
        <f>IF(games!$A829="","",games!$A829)</f>
        <v>Ultimate ADOM</v>
      </c>
      <c r="B829">
        <f>IF($A829="","",games!$B829)</f>
        <v>2021</v>
      </c>
      <c r="C829" t="str">
        <f>IF($A829="","",games!$C829)</f>
        <v>Traditional</v>
      </c>
      <c r="D829">
        <f>IF($A829="","",COUNTIF(connections!$A$2:$A$1496,$A829)+COUNTIF(connections!$B$2:$B$1496,$A829))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IF(connections!$A828="","",IFERROR(INDEX(games!$B$2:$B$950,MATCH(connections!$A828,games!$A$2:$A$950,0)),""))</f>
        <v>2024</v>
      </c>
      <c r="U829">
        <f>IF(connections!$A828="","",IFERROR(INDEX(games!$B$2:$B$950,MATCH(connections!$B828,games!$A$2:$A$950,0)),""))</f>
        <v>2026</v>
      </c>
      <c r="V829">
        <f t="shared" si="168"/>
        <v>2</v>
      </c>
    </row>
    <row r="830" spans="1:22" x14ac:dyDescent="0.25">
      <c r="A830" t="str">
        <f>IF(games!$A830="","",games!$A830)</f>
        <v>Ultrapool</v>
      </c>
      <c r="B830">
        <f>IF($A830="","",games!$B830)</f>
        <v>2026</v>
      </c>
      <c r="C830" t="str">
        <f>IF($A830="","",games!$C830)</f>
        <v>Deckbuilder</v>
      </c>
      <c r="D830">
        <f>IF($A830="","",COUNTIF(connections!$A$2:$A$1496,$A830)+COUNTIF(connections!$B$2:$B$1496,$A830))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IF(connections!$A829="","",IFERROR(INDEX(games!$B$2:$B$950,MATCH(connections!$A829,games!$A$2:$A$950,0)),""))</f>
        <v>2017</v>
      </c>
      <c r="U830">
        <f>IF(connections!$A829="","",IFERROR(INDEX(games!$B$2:$B$950,MATCH(connections!$B829,games!$A$2:$A$950,0)),""))</f>
        <v>2026</v>
      </c>
      <c r="V830">
        <f t="shared" si="168"/>
        <v>9</v>
      </c>
    </row>
    <row r="831" spans="1:22" x14ac:dyDescent="0.25">
      <c r="A831" t="str">
        <f>IF(games!$A831="","",games!$A831)</f>
        <v>Uma Musume: Pretty Derby</v>
      </c>
      <c r="B831">
        <f>IF($A831="","",games!$B831)</f>
        <v>2021</v>
      </c>
      <c r="C831" t="str">
        <f>IF($A831="","",games!$C831)</f>
        <v>Strategy</v>
      </c>
      <c r="D831">
        <f>IF($A831="","",COUNTIF(connections!$A$2:$A$1496,$A831)+COUNTIF(connections!$B$2:$B$1496,$A831))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2021</v>
      </c>
      <c r="U831">
        <f>IF(connections!$A830="","",IFERROR(INDEX(games!$B$2:$B$950,MATCH(connections!$B830,games!$A$2:$A$950,0)),""))</f>
        <v>2026</v>
      </c>
      <c r="V831">
        <f t="shared" si="168"/>
        <v>5</v>
      </c>
    </row>
    <row r="832" spans="1:22" x14ac:dyDescent="0.25">
      <c r="A832" t="str">
        <f>IF(games!$A832="","",games!$A832)</f>
        <v>Underdogs</v>
      </c>
      <c r="B832">
        <f>IF($A832="","",games!$B832)</f>
        <v>2024</v>
      </c>
      <c r="C832" t="str">
        <f>IF($A832="","",games!$C832)</f>
        <v>Action</v>
      </c>
      <c r="D832">
        <f>IF($A832="","",COUNTIF(connections!$A$2:$A$1496,$A832)+COUNTIF(connections!$B$2:$B$1496,$A832))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IF(connections!$A831="","",IFERROR(INDEX(games!$B$2:$B$950,MATCH(connections!$A831,games!$A$2:$A$950,0)),""))</f>
        <v>2025</v>
      </c>
      <c r="U832">
        <f>IF(connections!$A831="","",IFERROR(INDEX(games!$B$2:$B$950,MATCH(connections!$B831,games!$A$2:$A$950,0)),""))</f>
        <v>2026</v>
      </c>
      <c r="V832">
        <f t="shared" si="168"/>
        <v>1</v>
      </c>
    </row>
    <row r="833" spans="1:22" x14ac:dyDescent="0.25">
      <c r="A833" t="str">
        <f>IF(games!$A833="","",games!$A833)</f>
        <v>UnderMine</v>
      </c>
      <c r="B833">
        <f>IF($A833="","",games!$B833)</f>
        <v>2019</v>
      </c>
      <c r="C833" t="str">
        <f>IF($A833="","",games!$C833)</f>
        <v>Action</v>
      </c>
      <c r="D833">
        <f>IF($A833="","",COUNTIF(connections!$A$2:$A$1496,$A833)+COUNTIF(connections!$B$2:$B$1496,$A833))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IF(connections!$A832="","",IFERROR(INDEX(games!$B$2:$B$950,MATCH(connections!$A832,games!$A$2:$A$950,0)),""))</f>
        <v>2008</v>
      </c>
      <c r="U833">
        <f>IF(connections!$A832="","",IFERROR(INDEX(games!$B$2:$B$950,MATCH(connections!$B832,games!$A$2:$A$950,0)),""))</f>
        <v>2019</v>
      </c>
      <c r="V833">
        <f t="shared" si="168"/>
        <v>11</v>
      </c>
    </row>
    <row r="834" spans="1:22" x14ac:dyDescent="0.25">
      <c r="A834" t="str">
        <f>IF(games!$A834="","",games!$A834)</f>
        <v>UnderMine 2</v>
      </c>
      <c r="B834">
        <f>IF($A834="","",games!$B834)</f>
        <v>2025</v>
      </c>
      <c r="C834" t="str">
        <f>IF($A834="","",games!$C834)</f>
        <v>Action</v>
      </c>
      <c r="D834">
        <f>IF($A834="","",COUNTIF(connections!$A$2:$A$1496,$A834)+COUNTIF(connections!$B$2:$B$1496,$A834))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IF(connections!$A833="","",IFERROR(INDEX(games!$B$2:$B$950,MATCH(connections!$A833,games!$A$2:$A$950,0)),""))</f>
        <v>2021</v>
      </c>
      <c r="U834">
        <f>IF(connections!$A833="","",IFERROR(INDEX(games!$B$2:$B$950,MATCH(connections!$B833,games!$A$2:$A$950,0)),""))</f>
        <v>2022</v>
      </c>
      <c r="V834">
        <f t="shared" ref="V834:V897" si="181">IF(OR($T834="",$U834=""),"",$U834-$T834)</f>
        <v>1</v>
      </c>
    </row>
    <row r="835" spans="1:22" x14ac:dyDescent="0.25">
      <c r="A835" t="str">
        <f>IF(games!$A835="","",games!$A835)</f>
        <v>Unexplored</v>
      </c>
      <c r="B835">
        <f>IF($A835="","",games!$B835)</f>
        <v>2017</v>
      </c>
      <c r="C835" t="str">
        <f>IF($A835="","",games!$C835)</f>
        <v>Action</v>
      </c>
      <c r="D835">
        <f>IF($A835="","",COUNTIF(connections!$A$2:$A$1496,$A835)+COUNTIF(connections!$B$2:$B$1496,$A835))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IF(connections!$A834="","",IFERROR(INDEX(games!$B$2:$B$950,MATCH(connections!$A834,games!$A$2:$A$950,0)),""))</f>
        <v>2022</v>
      </c>
      <c r="U835">
        <f>IF(connections!$A834="","",IFERROR(INDEX(games!$B$2:$B$950,MATCH(connections!$B834,games!$A$2:$A$950,0)),""))</f>
        <v>2025</v>
      </c>
      <c r="V835">
        <f t="shared" si="181"/>
        <v>3</v>
      </c>
    </row>
    <row r="836" spans="1:22" x14ac:dyDescent="0.25">
      <c r="A836" t="str">
        <f>IF(games!$A836="","",games!$A836)</f>
        <v>Unexplored 2: The Wayfarer's Legacy</v>
      </c>
      <c r="B836">
        <f>IF($A836="","",games!$B836)</f>
        <v>2022</v>
      </c>
      <c r="C836" t="str">
        <f>IF($A836="","",games!$C836)</f>
        <v>Action</v>
      </c>
      <c r="D836">
        <f>IF($A836="","",COUNTIF(connections!$A$2:$A$1496,$A836)+COUNTIF(connections!$B$2:$B$1496,$A836))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IF(connections!$A835="","",IFERROR(INDEX(games!$B$2:$B$950,MATCH(connections!$A835,games!$A$2:$A$950,0)),""))</f>
        <v>2011</v>
      </c>
      <c r="U836">
        <f>IF(connections!$A835="","",IFERROR(INDEX(games!$B$2:$B$950,MATCH(connections!$B835,games!$A$2:$A$950,0)),""))</f>
        <v>2025</v>
      </c>
      <c r="V836">
        <f t="shared" si="181"/>
        <v>14</v>
      </c>
    </row>
    <row r="837" spans="1:22" x14ac:dyDescent="0.25">
      <c r="A837" t="str">
        <f>IF(games!$A837="","",games!$A837)</f>
        <v>UnReal World</v>
      </c>
      <c r="B837">
        <f>IF($A837="","",games!$B837)</f>
        <v>1992</v>
      </c>
      <c r="C837" t="str">
        <f>IF($A837="","",games!$C837)</f>
        <v>Traditional</v>
      </c>
      <c r="D837">
        <f>IF($A837="","",COUNTIF(connections!$A$2:$A$1496,$A837)+COUNTIF(connections!$B$2:$B$1496,$A837))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IF(connections!$A836="","",IFERROR(INDEX(games!$B$2:$B$950,MATCH(connections!$A836,games!$A$2:$A$950,0)),""))</f>
        <v>2021</v>
      </c>
      <c r="U837">
        <f>IF(connections!$A836="","",IFERROR(INDEX(games!$B$2:$B$950,MATCH(connections!$B836,games!$A$2:$A$950,0)),""))</f>
        <v>2023</v>
      </c>
      <c r="V837">
        <f t="shared" si="181"/>
        <v>2</v>
      </c>
    </row>
    <row r="838" spans="1:22" x14ac:dyDescent="0.25">
      <c r="A838" t="str">
        <f>IF(games!$A838="","",games!$A838)</f>
        <v>Vagante</v>
      </c>
      <c r="B838">
        <f>IF($A838="","",games!$B838)</f>
        <v>2018</v>
      </c>
      <c r="C838" t="str">
        <f>IF($A838="","",games!$C838)</f>
        <v>Action</v>
      </c>
      <c r="D838">
        <f>IF($A838="","",COUNTIF(connections!$A$2:$A$1496,$A838)+COUNTIF(connections!$B$2:$B$1496,$A838))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IF(connections!$A837="","",IFERROR(INDEX(games!$B$2:$B$950,MATCH(connections!$A837,games!$A$2:$A$950,0)),""))</f>
        <v>2022</v>
      </c>
      <c r="U838">
        <f>IF(connections!$A837="","",IFERROR(INDEX(games!$B$2:$B$950,MATCH(connections!$B837,games!$A$2:$A$950,0)),""))</f>
        <v>2025</v>
      </c>
      <c r="V838">
        <f t="shared" si="181"/>
        <v>3</v>
      </c>
    </row>
    <row r="839" spans="1:22" x14ac:dyDescent="0.25">
      <c r="A839" t="str">
        <f>IF(games!$A839="","",games!$A839)</f>
        <v>Vampire Crawlers</v>
      </c>
      <c r="B839">
        <f>IF($A839="","",games!$B839)</f>
        <v>2026</v>
      </c>
      <c r="C839" t="str">
        <f>IF($A839="","",games!$C839)</f>
        <v>Deckbuilder</v>
      </c>
      <c r="D839">
        <f>IF($A839="","",COUNTIF(connections!$A$2:$A$1496,$A839)+COUNTIF(connections!$B$2:$B$1496,$A839))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IF(connections!$A838="","",IFERROR(INDEX(games!$B$2:$B$950,MATCH(connections!$A838,games!$A$2:$A$950,0)),""))</f>
        <v>2017</v>
      </c>
      <c r="U839">
        <f>IF(connections!$A838="","",IFERROR(INDEX(games!$B$2:$B$950,MATCH(connections!$B838,games!$A$2:$A$950,0)),""))</f>
        <v>2025</v>
      </c>
      <c r="V839">
        <f t="shared" si="181"/>
        <v>8</v>
      </c>
    </row>
    <row r="840" spans="1:22" x14ac:dyDescent="0.25">
      <c r="A840" t="str">
        <f>IF(games!$A840="","",games!$A840)</f>
        <v>Vampire Hunters</v>
      </c>
      <c r="B840">
        <f>IF($A840="","",games!$B840)</f>
        <v>2023</v>
      </c>
      <c r="C840" t="str">
        <f>IF($A840="","",games!$C840)</f>
        <v>Action</v>
      </c>
      <c r="D840">
        <f>IF($A840="","",COUNTIF(connections!$A$2:$A$1496,$A840)+COUNTIF(connections!$B$2:$B$1496,$A840))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IF(connections!$A839="","",IFERROR(INDEX(games!$B$2:$B$950,MATCH(connections!$A839,games!$A$2:$A$950,0)),""))</f>
        <v>2013</v>
      </c>
      <c r="U840">
        <f>IF(connections!$A839="","",IFERROR(INDEX(games!$B$2:$B$950,MATCH(connections!$B839,games!$A$2:$A$950,0)),""))</f>
        <v>2022</v>
      </c>
      <c r="V840">
        <f t="shared" si="181"/>
        <v>9</v>
      </c>
    </row>
    <row r="841" spans="1:22" x14ac:dyDescent="0.25">
      <c r="A841" t="str">
        <f>IF(games!$A841="","",games!$A841)</f>
        <v>Vampire Survivors</v>
      </c>
      <c r="B841">
        <f>IF($A841="","",games!$B841)</f>
        <v>2021</v>
      </c>
      <c r="C841" t="str">
        <f>IF($A841="","",games!$C841)</f>
        <v>Action</v>
      </c>
      <c r="D841">
        <f>IF($A841="","",COUNTIF(connections!$A$2:$A$1496,$A841)+COUNTIF(connections!$B$2:$B$1496,$A841))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IF(connections!$A840="","",IFERROR(INDEX(games!$B$2:$B$950,MATCH(connections!$A840,games!$A$2:$A$950,0)),""))</f>
        <v>2011</v>
      </c>
      <c r="U841">
        <f>IF(connections!$A840="","",IFERROR(INDEX(games!$B$2:$B$950,MATCH(connections!$B840,games!$A$2:$A$950,0)),""))</f>
        <v>2022</v>
      </c>
      <c r="V841">
        <f t="shared" si="181"/>
        <v>11</v>
      </c>
    </row>
    <row r="842" spans="1:22" x14ac:dyDescent="0.25">
      <c r="A842" t="str">
        <f>IF(games!$A842="","",games!$A842)</f>
        <v>Vault of the Void</v>
      </c>
      <c r="B842">
        <f>IF($A842="","",games!$B842)</f>
        <v>2020</v>
      </c>
      <c r="C842" t="str">
        <f>IF($A842="","",games!$C842)</f>
        <v>Deckbuilder</v>
      </c>
      <c r="D842">
        <f>IF($A842="","",COUNTIF(connections!$A$2:$A$1496,$A842)+COUNTIF(connections!$B$2:$B$1496,$A842))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IF(connections!$A841="","",IFERROR(INDEX(games!$B$2:$B$950,MATCH(connections!$A841,games!$A$2:$A$950,0)),""))</f>
        <v>2021</v>
      </c>
      <c r="U842">
        <f>IF(connections!$A841="","",IFERROR(INDEX(games!$B$2:$B$950,MATCH(connections!$B841,games!$A$2:$A$950,0)),""))</f>
        <v>2022</v>
      </c>
      <c r="V842">
        <f t="shared" si="181"/>
        <v>1</v>
      </c>
    </row>
    <row r="843" spans="1:22" x14ac:dyDescent="0.25">
      <c r="A843" t="str">
        <f>IF(games!$A843="","",games!$A843)</f>
        <v>Vellum</v>
      </c>
      <c r="B843">
        <f>IF($A843="","",games!$B843)</f>
        <v>2024</v>
      </c>
      <c r="C843" t="str">
        <f>IF($A843="","",games!$C843)</f>
        <v>Action</v>
      </c>
      <c r="D843">
        <f>IF($A843="","",COUNTIF(connections!$A$2:$A$1496,$A843)+COUNTIF(connections!$B$2:$B$1496,$A843))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IF(connections!$A842="","",IFERROR(INDEX(games!$B$2:$B$950,MATCH(connections!$A842,games!$A$2:$A$950,0)),""))</f>
        <v>2011</v>
      </c>
      <c r="U843">
        <f>IF(connections!$A842="","",IFERROR(INDEX(games!$B$2:$B$950,MATCH(connections!$B842,games!$A$2:$A$950,0)),""))</f>
        <v>2019</v>
      </c>
      <c r="V843">
        <f t="shared" si="181"/>
        <v>8</v>
      </c>
    </row>
    <row r="844" spans="1:22" x14ac:dyDescent="0.25">
      <c r="A844" t="str">
        <f>IF(games!$A844="","",games!$A844)</f>
        <v>Vital Shell</v>
      </c>
      <c r="B844">
        <f>IF($A844="","",games!$B844)</f>
        <v>2026</v>
      </c>
      <c r="C844" t="str">
        <f>IF($A844="","",games!$C844)</f>
        <v>Action</v>
      </c>
      <c r="D844">
        <f>IF($A844="","",COUNTIF(connections!$A$2:$A$1496,$A844)+COUNTIF(connections!$B$2:$B$1496,$A844))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IF(connections!$A843="","",IFERROR(INDEX(games!$B$2:$B$950,MATCH(connections!$A843,games!$A$2:$A$950,0)),""))</f>
        <v>2014</v>
      </c>
      <c r="U844">
        <f>IF(connections!$A843="","",IFERROR(INDEX(games!$B$2:$B$950,MATCH(connections!$B843,games!$A$2:$A$950,0)),""))</f>
        <v>2019</v>
      </c>
      <c r="V844">
        <f t="shared" si="181"/>
        <v>5</v>
      </c>
    </row>
    <row r="845" spans="1:22" x14ac:dyDescent="0.25">
      <c r="A845" t="str">
        <f>IF(games!$A845="","",games!$A845)</f>
        <v>Vivid Knight</v>
      </c>
      <c r="B845">
        <f>IF($A845="","",games!$B845)</f>
        <v>2021</v>
      </c>
      <c r="C845" t="str">
        <f>IF($A845="","",games!$C845)</f>
        <v>Deckbuilder</v>
      </c>
      <c r="D845">
        <f>IF($A845="","",COUNTIF(connections!$A$2:$A$1496,$A845)+COUNTIF(connections!$B$2:$B$1496,$A845))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IF(connections!$A844="","",IFERROR(INDEX(games!$B$2:$B$950,MATCH(connections!$A844,games!$A$2:$A$950,0)),""))</f>
        <v>2012</v>
      </c>
      <c r="U845">
        <f>IF(connections!$A844="","",IFERROR(INDEX(games!$B$2:$B$950,MATCH(connections!$B844,games!$A$2:$A$950,0)),""))</f>
        <v>2019</v>
      </c>
      <c r="V845">
        <f t="shared" si="181"/>
        <v>7</v>
      </c>
    </row>
    <row r="846" spans="1:22" x14ac:dyDescent="0.25">
      <c r="A846" t="str">
        <f>IF(games!$A846="","",games!$A846)</f>
        <v>Vivid World</v>
      </c>
      <c r="B846">
        <f>IF($A846="","",games!$B846)</f>
        <v>2025</v>
      </c>
      <c r="C846" t="str">
        <f>IF($A846="","",games!$C846)</f>
        <v>Deckbuilder</v>
      </c>
      <c r="D846">
        <f>IF($A846="","",COUNTIF(connections!$A$2:$A$1496,$A846)+COUNTIF(connections!$B$2:$B$1496,$A846))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Voice of Belldona</v>
      </c>
      <c r="B847">
        <f>IF($A847="","",games!$B847)</f>
        <v>2026</v>
      </c>
      <c r="C847" t="str">
        <f>IF($A847="","",games!$C847)</f>
        <v>Deckbuilder</v>
      </c>
      <c r="D847">
        <f>IF($A847="","",COUNTIF(connections!$A$2:$A$1496,$A847)+COUNTIF(connections!$B$2:$B$1496,$A847))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IF(connections!$A846="","",IFERROR(INDEX(games!$B$2:$B$950,MATCH(connections!$A846,games!$A$2:$A$950,0)),""))</f>
        <v>2011</v>
      </c>
      <c r="U847">
        <f>IF(connections!$A846="","",IFERROR(INDEX(games!$B$2:$B$950,MATCH(connections!$B846,games!$A$2:$A$950,0)),""))</f>
        <v>2024</v>
      </c>
      <c r="V847">
        <f t="shared" si="181"/>
        <v>13</v>
      </c>
    </row>
    <row r="848" spans="1:22" x14ac:dyDescent="0.25">
      <c r="A848" t="str">
        <f>IF(games!$A848="","",games!$A848)</f>
        <v>Void Bastards</v>
      </c>
      <c r="B848">
        <f>IF($A848="","",games!$B848)</f>
        <v>2019</v>
      </c>
      <c r="C848" t="str">
        <f>IF($A848="","",games!$C848)</f>
        <v>Action</v>
      </c>
      <c r="D848">
        <f>IF($A848="","",COUNTIF(connections!$A$2:$A$1496,$A848)+COUNTIF(connections!$B$2:$B$1496,$A848))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IF(connections!$A847="","",IFERROR(INDEX(games!$B$2:$B$950,MATCH(connections!$A847,games!$A$2:$A$950,0)),""))</f>
        <v>2021</v>
      </c>
      <c r="U848">
        <f>IF(connections!$A847="","",IFERROR(INDEX(games!$B$2:$B$950,MATCH(connections!$B847,games!$A$2:$A$950,0)),""))</f>
        <v>2024</v>
      </c>
      <c r="V848">
        <f t="shared" si="181"/>
        <v>3</v>
      </c>
    </row>
    <row r="849" spans="1:22" x14ac:dyDescent="0.25">
      <c r="A849" t="str">
        <f>IF(games!$A849="","",games!$A849)</f>
        <v>Void Scrappers</v>
      </c>
      <c r="B849">
        <f>IF($A849="","",games!$B849)</f>
        <v>2022</v>
      </c>
      <c r="C849" t="str">
        <f>IF($A849="","",games!$C849)</f>
        <v>Action</v>
      </c>
      <c r="D849">
        <f>IF($A849="","",COUNTIF(connections!$A$2:$A$1496,$A849)+COUNTIF(connections!$B$2:$B$1496,$A849))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IF(connections!$A848="","",IFERROR(INDEX(games!$B$2:$B$950,MATCH(connections!$A848,games!$A$2:$A$950,0)),""))</f>
        <v>2012</v>
      </c>
      <c r="U849">
        <f>IF(connections!$A848="","",IFERROR(INDEX(games!$B$2:$B$950,MATCH(connections!$B848,games!$A$2:$A$950,0)),""))</f>
        <v>2015</v>
      </c>
      <c r="V849">
        <f t="shared" si="181"/>
        <v>3</v>
      </c>
    </row>
    <row r="850" spans="1:22" x14ac:dyDescent="0.25">
      <c r="A850" t="str">
        <f>IF(games!$A850="","",games!$A850)</f>
        <v>Void War</v>
      </c>
      <c r="B850">
        <f>IF($A850="","",games!$B850)</f>
        <v>2024</v>
      </c>
      <c r="C850" t="str">
        <f>IF($A850="","",games!$C850)</f>
        <v>Strategy</v>
      </c>
      <c r="D850">
        <f>IF($A850="","",COUNTIF(connections!$A$2:$A$1496,$A850)+COUNTIF(connections!$B$2:$B$1496,$A850))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IF(connections!$A849="","",IFERROR(INDEX(games!$B$2:$B$950,MATCH(connections!$A849,games!$A$2:$A$950,0)),""))</f>
        <v>2010</v>
      </c>
      <c r="U850">
        <f>IF(connections!$A849="","",IFERROR(INDEX(games!$B$2:$B$950,MATCH(connections!$B849,games!$A$2:$A$950,0)),""))</f>
        <v>2015</v>
      </c>
      <c r="V850">
        <f t="shared" si="181"/>
        <v>5</v>
      </c>
    </row>
    <row r="851" spans="1:22" x14ac:dyDescent="0.25">
      <c r="A851" t="str">
        <f>IF(games!$A851="","",games!$A851)</f>
        <v>Voidigo</v>
      </c>
      <c r="B851">
        <f>IF($A851="","",games!$B851)</f>
        <v>2023</v>
      </c>
      <c r="C851" t="str">
        <f>IF($A851="","",games!$C851)</f>
        <v>Action</v>
      </c>
      <c r="D851">
        <f>IF($A851="","",COUNTIF(connections!$A$2:$A$1496,$A851)+COUNTIF(connections!$B$2:$B$1496,$A851))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2008</v>
      </c>
      <c r="U851">
        <f>IF(connections!$A850="","",IFERROR(INDEX(games!$B$2:$B$950,MATCH(connections!$B850,games!$A$2:$A$950,0)),""))</f>
        <v>2015</v>
      </c>
      <c r="V851">
        <f t="shared" si="181"/>
        <v>7</v>
      </c>
    </row>
    <row r="852" spans="1:22" x14ac:dyDescent="0.25">
      <c r="A852" t="str">
        <f>IF(games!$A852="","",games!$A852)</f>
        <v>Voids Vigil</v>
      </c>
      <c r="B852">
        <f>IF($A852="","",games!$B852)</f>
        <v>2024</v>
      </c>
      <c r="C852" t="str">
        <f>IF($A852="","",games!$C852)</f>
        <v>Action</v>
      </c>
      <c r="D852">
        <f>IF($A852="","",COUNTIF(connections!$A$2:$A$1496,$A852)+COUNTIF(connections!$B$2:$B$1496,$A852))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IF(connections!$A851="","",IFERROR(INDEX(games!$B$2:$B$950,MATCH(connections!$A851,games!$A$2:$A$950,0)),""))</f>
        <v>2011</v>
      </c>
      <c r="U852">
        <f>IF(connections!$A851="","",IFERROR(INDEX(games!$B$2:$B$950,MATCH(connections!$B851,games!$A$2:$A$950,0)),""))</f>
        <v>2015</v>
      </c>
      <c r="V852">
        <f t="shared" si="181"/>
        <v>4</v>
      </c>
    </row>
    <row r="853" spans="1:22" x14ac:dyDescent="0.25">
      <c r="A853" t="str">
        <f>IF(games!$A853="","",games!$A853)</f>
        <v>Voin</v>
      </c>
      <c r="B853">
        <f>IF($A853="","",games!$B853)</f>
        <v>2024</v>
      </c>
      <c r="C853" t="str">
        <f>IF($A853="","",games!$C853)</f>
        <v>Action</v>
      </c>
      <c r="D853">
        <f>IF($A853="","",COUNTIF(connections!$A$2:$A$1496,$A853)+COUNTIF(connections!$B$2:$B$1496,$A853))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IF(connections!$A852="","",IFERROR(INDEX(games!$B$2:$B$950,MATCH(connections!$A852,games!$A$2:$A$950,0)),""))</f>
        <v>2019</v>
      </c>
      <c r="U853">
        <f>IF(connections!$A852="","",IFERROR(INDEX(games!$B$2:$B$950,MATCH(connections!$B852,games!$A$2:$A$950,0)),""))</f>
        <v>2025</v>
      </c>
      <c r="V853">
        <f t="shared" si="181"/>
        <v>6</v>
      </c>
    </row>
    <row r="854" spans="1:22" x14ac:dyDescent="0.25">
      <c r="A854" t="str">
        <f>IF(games!$A854="","",games!$A854)</f>
        <v>Waku Waku Puyo Puyo Dungeon</v>
      </c>
      <c r="B854">
        <f>IF($A854="","",games!$B854)</f>
        <v>1998</v>
      </c>
      <c r="C854" t="str">
        <f>IF($A854="","",games!$C854)</f>
        <v>Traditional</v>
      </c>
      <c r="D854">
        <f>IF($A854="","",COUNTIF(connections!$A$2:$A$1496,$A854)+COUNTIF(connections!$B$2:$B$1496,$A854))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IF(connections!$A853="","",IFERROR(INDEX(games!$B$2:$B$950,MATCH(connections!$A853,games!$A$2:$A$950,0)),""))</f>
        <v>2023</v>
      </c>
      <c r="U854">
        <f>IF(connections!$A853="","",IFERROR(INDEX(games!$B$2:$B$950,MATCH(connections!$B853,games!$A$2:$A$950,0)),""))</f>
        <v>2026</v>
      </c>
      <c r="V854">
        <f t="shared" si="181"/>
        <v>3</v>
      </c>
    </row>
    <row r="855" spans="1:22" x14ac:dyDescent="0.25">
      <c r="A855" t="str">
        <f>IF(games!$A855="","",games!$A855)</f>
        <v>Wall World</v>
      </c>
      <c r="B855">
        <f>IF($A855="","",games!$B855)</f>
        <v>2023</v>
      </c>
      <c r="C855" t="str">
        <f>IF($A855="","",games!$C855)</f>
        <v>Strategy</v>
      </c>
      <c r="D855">
        <f>IF($A855="","",COUNTIF(connections!$A$2:$A$1496,$A855)+COUNTIF(connections!$B$2:$B$1496,$A855))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IF(connections!$A854="","",IFERROR(INDEX(games!$B$2:$B$950,MATCH(connections!$A854,games!$A$2:$A$950,0)),""))</f>
        <v>2021</v>
      </c>
      <c r="U855">
        <f>IF(connections!$A854="","",IFERROR(INDEX(games!$B$2:$B$950,MATCH(connections!$B854,games!$A$2:$A$950,0)),""))</f>
        <v>2026</v>
      </c>
      <c r="V855">
        <f t="shared" si="181"/>
        <v>5</v>
      </c>
    </row>
    <row r="856" spans="1:22" x14ac:dyDescent="0.25">
      <c r="A856" t="str">
        <f>IF(games!$A856="","",games!$A856)</f>
        <v>Wall World 2</v>
      </c>
      <c r="B856">
        <f>IF($A856="","",games!$B856)</f>
        <v>2025</v>
      </c>
      <c r="C856" t="str">
        <f>IF($A856="","",games!$C856)</f>
        <v>Strategy</v>
      </c>
      <c r="D856">
        <f>IF($A856="","",COUNTIF(connections!$A$2:$A$1496,$A856)+COUNTIF(connections!$B$2:$B$1496,$A856))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IF(connections!$A855="","",IFERROR(INDEX(games!$B$2:$B$950,MATCH(connections!$A855,games!$A$2:$A$950,0)),""))</f>
        <v>2025</v>
      </c>
      <c r="U856">
        <f>IF(connections!$A855="","",IFERROR(INDEX(games!$B$2:$B$950,MATCH(connections!$B855,games!$A$2:$A$950,0)),""))</f>
        <v>2026</v>
      </c>
      <c r="V856">
        <f t="shared" si="181"/>
        <v>1</v>
      </c>
    </row>
    <row r="857" spans="1:22" x14ac:dyDescent="0.25">
      <c r="A857" t="str">
        <f>IF(games!$A857="","",games!$A857)</f>
        <v>Wanderburg</v>
      </c>
      <c r="B857">
        <f>IF($A857="","",games!$B857)</f>
        <v>2026</v>
      </c>
      <c r="C857" t="str">
        <f>IF($A857="","",games!$C857)</f>
        <v>Action</v>
      </c>
      <c r="D857">
        <f>IF($A857="","",COUNTIF(connections!$A$2:$A$1496,$A857)+COUNTIF(connections!$B$2:$B$1496,$A857))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IF(connections!$A856="","",IFERROR(INDEX(games!$B$2:$B$950,MATCH(connections!$A856,games!$A$2:$A$950,0)),""))</f>
        <v>2018</v>
      </c>
      <c r="U857">
        <f>IF(connections!$A856="","",IFERROR(INDEX(games!$B$2:$B$950,MATCH(connections!$B856,games!$A$2:$A$950,0)),""))</f>
        <v>2023</v>
      </c>
      <c r="V857">
        <f t="shared" si="181"/>
        <v>5</v>
      </c>
    </row>
    <row r="858" spans="1:22" x14ac:dyDescent="0.25">
      <c r="A858" t="str">
        <f>IF(games!$A858="","",games!$A858)</f>
        <v>Warhammer Survivors</v>
      </c>
      <c r="B858">
        <f>IF($A858="","",games!$B858)</f>
        <v>2026</v>
      </c>
      <c r="C858" t="str">
        <f>IF($A858="","",games!$C858)</f>
        <v>Action</v>
      </c>
      <c r="D858">
        <f>IF($A858="","",COUNTIF(connections!$A$2:$A$1496,$A858)+COUNTIF(connections!$B$2:$B$1496,$A858))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IF(connections!$A857="","",IFERROR(INDEX(games!$B$2:$B$950,MATCH(connections!$A857,games!$A$2:$A$950,0)),""))</f>
        <v>2017</v>
      </c>
      <c r="U858">
        <f>IF(connections!$A857="","",IFERROR(INDEX(games!$B$2:$B$950,MATCH(connections!$B857,games!$A$2:$A$950,0)),""))</f>
        <v>2021</v>
      </c>
      <c r="V858">
        <f t="shared" si="181"/>
        <v>4</v>
      </c>
    </row>
    <row r="859" spans="1:22" x14ac:dyDescent="0.25">
      <c r="A859" t="str">
        <f>IF(games!$A859="","",games!$A859)</f>
        <v>WarpVector</v>
      </c>
      <c r="B859">
        <f>IF($A859="","",games!$B859)</f>
        <v>2023</v>
      </c>
      <c r="C859" t="str">
        <f>IF($A859="","",games!$C859)</f>
        <v>Traditional</v>
      </c>
      <c r="D859">
        <f>IF($A859="","",COUNTIF(connections!$A$2:$A$1496,$A859)+COUNTIF(connections!$B$2:$B$1496,$A859))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IF(connections!$A858="","",IFERROR(INDEX(games!$B$2:$B$950,MATCH(connections!$A858,games!$A$2:$A$950,0)),""))</f>
        <v>2011</v>
      </c>
      <c r="U859">
        <f>IF(connections!$A858="","",IFERROR(INDEX(games!$B$2:$B$950,MATCH(connections!$B858,games!$A$2:$A$950,0)),""))</f>
        <v>2021</v>
      </c>
      <c r="V859">
        <f t="shared" si="181"/>
        <v>10</v>
      </c>
    </row>
    <row r="860" spans="1:22" x14ac:dyDescent="0.25">
      <c r="A860" t="str">
        <f>IF(games!$A860="","",games!$A860)</f>
        <v>Warriors: Abyss</v>
      </c>
      <c r="B860">
        <f>IF($A860="","",games!$B860)</f>
        <v>2025</v>
      </c>
      <c r="C860" t="str">
        <f>IF($A860="","",games!$C860)</f>
        <v>Action</v>
      </c>
      <c r="D860">
        <f>IF($A860="","",COUNTIF(connections!$A$2:$A$1496,$A860)+COUNTIF(connections!$B$2:$B$1496,$A860))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IF(connections!$A859="","",IFERROR(INDEX(games!$B$2:$B$950,MATCH(connections!$A859,games!$A$2:$A$950,0)),""))</f>
        <v>2023</v>
      </c>
      <c r="U860">
        <f>IF(connections!$A859="","",IFERROR(INDEX(games!$B$2:$B$950,MATCH(connections!$B859,games!$A$2:$A$950,0)),""))</f>
        <v>2026</v>
      </c>
      <c r="V860">
        <f t="shared" si="181"/>
        <v>3</v>
      </c>
    </row>
    <row r="861" spans="1:22" x14ac:dyDescent="0.25">
      <c r="A861" t="str">
        <f>IF(games!$A861="","",games!$A861)</f>
        <v>Warsim: The Realm of Aslona</v>
      </c>
      <c r="B861">
        <f>IF($A861="","",games!$B861)</f>
        <v>2017</v>
      </c>
      <c r="C861" t="str">
        <f>IF($A861="","",games!$C861)</f>
        <v>Strategy</v>
      </c>
      <c r="D861">
        <f>IF($A861="","",COUNTIF(connections!$A$2:$A$1496,$A861)+COUNTIF(connections!$B$2:$B$1496,$A861))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IF(connections!$A860="","",IFERROR(INDEX(games!$B$2:$B$950,MATCH(connections!$A860,games!$A$2:$A$950,0)),""))</f>
        <v>2016</v>
      </c>
      <c r="U861">
        <f>IF(connections!$A860="","",IFERROR(INDEX(games!$B$2:$B$950,MATCH(connections!$B860,games!$A$2:$A$950,0)),""))</f>
        <v>2025</v>
      </c>
      <c r="V861">
        <f t="shared" si="181"/>
        <v>9</v>
      </c>
    </row>
    <row r="862" spans="1:22" x14ac:dyDescent="0.25">
      <c r="A862" t="str">
        <f>IF(games!$A862="","",games!$A862)</f>
        <v>Wayward</v>
      </c>
      <c r="B862">
        <f>IF($A862="","",games!$B862)</f>
        <v>2011</v>
      </c>
      <c r="C862" t="str">
        <f>IF($A862="","",games!$C862)</f>
        <v>Traditional</v>
      </c>
      <c r="D862">
        <f>IF($A862="","",COUNTIF(connections!$A$2:$A$1496,$A862)+COUNTIF(connections!$B$2:$B$1496,$A862))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IF(connections!$A861="","",IFERROR(INDEX(games!$B$2:$B$950,MATCH(connections!$A861,games!$A$2:$A$950,0)),""))</f>
        <v>2015</v>
      </c>
      <c r="U862">
        <f>IF(connections!$A861="","",IFERROR(INDEX(games!$B$2:$B$950,MATCH(connections!$B861,games!$A$2:$A$950,0)),""))</f>
        <v>2025</v>
      </c>
      <c r="V862">
        <f t="shared" si="181"/>
        <v>10</v>
      </c>
    </row>
    <row r="863" spans="1:22" x14ac:dyDescent="0.25">
      <c r="A863" t="str">
        <f>IF(games!$A863="","",games!$A863)</f>
        <v>WazHack</v>
      </c>
      <c r="B863">
        <f>IF($A863="","",games!$B863)</f>
        <v>2012</v>
      </c>
      <c r="C863" t="str">
        <f>IF($A863="","",games!$C863)</f>
        <v>Strategy</v>
      </c>
      <c r="D863">
        <f>IF($A863="","",COUNTIF(connections!$A$2:$A$1496,$A863)+COUNTIF(connections!$B$2:$B$1496,$A863))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IF(connections!$A862="","",IFERROR(INDEX(games!$B$2:$B$950,MATCH(connections!$A862,games!$A$2:$A$950,0)),""))</f>
        <v>2024</v>
      </c>
      <c r="U863">
        <f>IF(connections!$A862="","",IFERROR(INDEX(games!$B$2:$B$950,MATCH(connections!$B862,games!$A$2:$A$950,0)),""))</f>
        <v>2026</v>
      </c>
      <c r="V863">
        <f t="shared" si="181"/>
        <v>2</v>
      </c>
    </row>
    <row r="864" spans="1:22" x14ac:dyDescent="0.25">
      <c r="A864" t="str">
        <f>IF(games!$A864="","",games!$A864)</f>
        <v>We Need To Go Deeper</v>
      </c>
      <c r="B864">
        <f>IF($A864="","",games!$B864)</f>
        <v>2017</v>
      </c>
      <c r="C864" t="str">
        <f>IF($A864="","",games!$C864)</f>
        <v>Action</v>
      </c>
      <c r="D864">
        <f>IF($A864="","",COUNTIF(connections!$A$2:$A$1496,$A864)+COUNTIF(connections!$B$2:$B$1496,$A864))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IF(connections!$A863="","",IFERROR(INDEX(games!$B$2:$B$950,MATCH(connections!$A863,games!$A$2:$A$950,0)),""))</f>
        <v>2015</v>
      </c>
      <c r="U864">
        <f>IF(connections!$A863="","",IFERROR(INDEX(games!$B$2:$B$950,MATCH(connections!$B863,games!$A$2:$A$950,0)),""))</f>
        <v>2026</v>
      </c>
      <c r="V864">
        <f t="shared" si="181"/>
        <v>11</v>
      </c>
    </row>
    <row r="865" spans="1:22" x14ac:dyDescent="0.25">
      <c r="A865" t="str">
        <f>IF(games!$A865="","",games!$A865)</f>
        <v>Weird Worlds: Return to Infinite Space</v>
      </c>
      <c r="B865">
        <f>IF($A865="","",games!$B865)</f>
        <v>2005</v>
      </c>
      <c r="C865" t="str">
        <f>IF($A865="","",games!$C865)</f>
        <v>Strategy</v>
      </c>
      <c r="D865">
        <f>IF($A865="","",COUNTIF(connections!$A$2:$A$1496,$A865)+COUNTIF(connections!$B$2:$B$1496,$A865))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IF(connections!$A864="","",IFERROR(INDEX(games!$B$2:$B$950,MATCH(connections!$A864,games!$A$2:$A$950,0)),""))</f>
        <v>2020</v>
      </c>
      <c r="U865">
        <f>IF(connections!$A864="","",IFERROR(INDEX(games!$B$2:$B$950,MATCH(connections!$B864,games!$A$2:$A$950,0)),""))</f>
        <v>2026</v>
      </c>
      <c r="V865">
        <f t="shared" si="181"/>
        <v>6</v>
      </c>
    </row>
    <row r="866" spans="1:22" x14ac:dyDescent="0.25">
      <c r="A866" t="str">
        <f>IF(games!$A866="","",games!$A866)</f>
        <v>West of Dead</v>
      </c>
      <c r="B866">
        <f>IF($A866="","",games!$B866)</f>
        <v>2020</v>
      </c>
      <c r="C866" t="str">
        <f>IF($A866="","",games!$C866)</f>
        <v>Action</v>
      </c>
      <c r="D866">
        <f>IF($A866="","",COUNTIF(connections!$A$2:$A$1496,$A866)+COUNTIF(connections!$B$2:$B$1496,$A866))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IF(connections!$A865="","",IFERROR(INDEX(games!$B$2:$B$950,MATCH(connections!$A865,games!$A$2:$A$950,0)),""))</f>
        <v>1980</v>
      </c>
      <c r="U866">
        <f>IF(connections!$A865="","",IFERROR(INDEX(games!$B$2:$B$950,MATCH(connections!$B865,games!$A$2:$A$950,0)),""))</f>
        <v>1987</v>
      </c>
      <c r="V866">
        <f t="shared" si="181"/>
        <v>7</v>
      </c>
    </row>
    <row r="867" spans="1:22" x14ac:dyDescent="0.25">
      <c r="A867" t="str">
        <f>IF(games!$A867="","",games!$A867)</f>
        <v>Whisker Squadron: Survivor</v>
      </c>
      <c r="B867">
        <f>IF($A867="","",games!$B867)</f>
        <v>2025</v>
      </c>
      <c r="C867" t="str">
        <f>IF($A867="","",games!$C867)</f>
        <v>Action</v>
      </c>
      <c r="D867">
        <f>IF($A867="","",COUNTIF(connections!$A$2:$A$1496,$A867)+COUNTIF(connections!$B$2:$B$1496,$A867))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IF(connections!$A866="","",IFERROR(INDEX(games!$B$2:$B$950,MATCH(connections!$A866,games!$A$2:$A$950,0)),""))</f>
        <v>1993</v>
      </c>
      <c r="U867">
        <f>IF(connections!$A866="","",IFERROR(INDEX(games!$B$2:$B$950,MATCH(connections!$B866,games!$A$2:$A$950,0)),""))</f>
        <v>2015</v>
      </c>
      <c r="V867">
        <f t="shared" si="181"/>
        <v>22</v>
      </c>
    </row>
    <row r="868" spans="1:22" x14ac:dyDescent="0.25">
      <c r="A868" t="str">
        <f>IF(games!$A868="","",games!$A868)</f>
        <v>White Knuckle</v>
      </c>
      <c r="B868">
        <f>IF($A868="","",games!$B868)</f>
        <v>2025</v>
      </c>
      <c r="C868" t="str">
        <f>IF($A868="","",games!$C868)</f>
        <v>Action</v>
      </c>
      <c r="D868">
        <f>IF($A868="","",COUNTIF(connections!$A$2:$A$1496,$A868)+COUNTIF(connections!$B$2:$B$1496,$A868))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IF(connections!$A867="","",IFERROR(INDEX(games!$B$2:$B$950,MATCH(connections!$A867,games!$A$2:$A$950,0)),""))</f>
        <v>2017</v>
      </c>
      <c r="U868">
        <f>IF(connections!$A867="","",IFERROR(INDEX(games!$B$2:$B$950,MATCH(connections!$B867,games!$A$2:$A$950,0)),""))</f>
        <v>2019</v>
      </c>
      <c r="V868">
        <f t="shared" si="181"/>
        <v>2</v>
      </c>
    </row>
    <row r="869" spans="1:22" x14ac:dyDescent="0.25">
      <c r="A869" t="str">
        <f>IF(games!$A869="","",games!$A869)</f>
        <v>Wild Bastards</v>
      </c>
      <c r="B869">
        <f>IF($A869="","",games!$B869)</f>
        <v>2024</v>
      </c>
      <c r="C869" t="str">
        <f>IF($A869="","",games!$C869)</f>
        <v>Action</v>
      </c>
      <c r="D869">
        <f>IF($A869="","",COUNTIF(connections!$A$2:$A$1496,$A869)+COUNTIF(connections!$B$2:$B$1496,$A869))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IF(connections!$A868="","",IFERROR(INDEX(games!$B$2:$B$950,MATCH(connections!$A868,games!$A$2:$A$950,0)),""))</f>
        <v>2015</v>
      </c>
      <c r="U869">
        <f>IF(connections!$A868="","",IFERROR(INDEX(games!$B$2:$B$950,MATCH(connections!$B868,games!$A$2:$A$950,0)),""))</f>
        <v>2017</v>
      </c>
      <c r="V869">
        <f t="shared" si="181"/>
        <v>2</v>
      </c>
    </row>
    <row r="870" spans="1:22" x14ac:dyDescent="0.25">
      <c r="A870" t="str">
        <f>IF(games!$A870="","",games!$A870)</f>
        <v>Wildermyth</v>
      </c>
      <c r="B870">
        <f>IF($A870="","",games!$B870)</f>
        <v>2019</v>
      </c>
      <c r="C870" t="str">
        <f>IF($A870="","",games!$C870)</f>
        <v>Strategy</v>
      </c>
      <c r="D870">
        <f>IF($A870="","",COUNTIF(connections!$A$2:$A$1496,$A870)+COUNTIF(connections!$B$2:$B$1496,$A870))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IF(connections!$A869="","",IFERROR(INDEX(games!$B$2:$B$950,MATCH(connections!$A869,games!$A$2:$A$950,0)),""))</f>
        <v>2023</v>
      </c>
      <c r="U870">
        <f>IF(connections!$A869="","",IFERROR(INDEX(games!$B$2:$B$950,MATCH(connections!$B869,games!$A$2:$A$950,0)),""))</f>
        <v>2025</v>
      </c>
      <c r="V870">
        <f t="shared" si="181"/>
        <v>2</v>
      </c>
    </row>
    <row r="871" spans="1:22" x14ac:dyDescent="0.25">
      <c r="A871" t="str">
        <f>IF(games!$A871="","",games!$A871)</f>
        <v>Wildfrost</v>
      </c>
      <c r="B871">
        <f>IF($A871="","",games!$B871)</f>
        <v>2023</v>
      </c>
      <c r="C871" t="str">
        <f>IF($A871="","",games!$C871)</f>
        <v>Deckbuilder</v>
      </c>
      <c r="D871">
        <f>IF($A871="","",COUNTIF(connections!$A$2:$A$1496,$A871)+COUNTIF(connections!$B$2:$B$1496,$A871))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IF(connections!$A870="","",IFERROR(INDEX(games!$B$2:$B$950,MATCH(connections!$A870,games!$A$2:$A$950,0)),""))</f>
        <v>2024</v>
      </c>
      <c r="U871">
        <f>IF(connections!$A870="","",IFERROR(INDEX(games!$B$2:$B$950,MATCH(connections!$B870,games!$A$2:$A$950,0)),""))</f>
        <v>2025</v>
      </c>
      <c r="V871">
        <f t="shared" si="181"/>
        <v>1</v>
      </c>
    </row>
    <row r="872" spans="1:22" x14ac:dyDescent="0.25">
      <c r="A872" t="str">
        <f>IF(games!$A872="","",games!$A872)</f>
        <v>Windblown</v>
      </c>
      <c r="B872">
        <f>IF($A872="","",games!$B872)</f>
        <v>2024</v>
      </c>
      <c r="C872" t="str">
        <f>IF($A872="","",games!$C872)</f>
        <v>Action</v>
      </c>
      <c r="D872">
        <f>IF($A872="","",COUNTIF(connections!$A$2:$A$1496,$A872)+COUNTIF(connections!$B$2:$B$1496,$A872))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IF(connections!$A871="","",IFERROR(INDEX(games!$B$2:$B$950,MATCH(connections!$A871,games!$A$2:$A$950,0)),""))</f>
        <v>2021</v>
      </c>
      <c r="U872">
        <f>IF(connections!$A871="","",IFERROR(INDEX(games!$B$2:$B$950,MATCH(connections!$B871,games!$A$2:$A$950,0)),""))</f>
        <v>2025</v>
      </c>
      <c r="V872">
        <f t="shared" si="181"/>
        <v>4</v>
      </c>
    </row>
    <row r="873" spans="1:22" x14ac:dyDescent="0.25">
      <c r="A873" t="str">
        <f>IF(games!$A873="","",games!$A873)</f>
        <v>Winnie's Hole</v>
      </c>
      <c r="B873">
        <f>IF($A873="","",games!$B873)</f>
        <v>2026</v>
      </c>
      <c r="C873" t="str">
        <f>IF($A873="","",games!$C873)</f>
        <v>Deckbuilder</v>
      </c>
      <c r="D873">
        <f>IF($A873="","",COUNTIF(connections!$A$2:$A$1496,$A873)+COUNTIF(connections!$B$2:$B$1496,$A873))</f>
        <v>4</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2012</v>
      </c>
      <c r="U873">
        <f>IF(connections!$A872="","",IFERROR(INDEX(games!$B$2:$B$950,MATCH(connections!$B872,games!$A$2:$A$950,0)),""))</f>
        <v>2020</v>
      </c>
      <c r="V873">
        <f t="shared" si="181"/>
        <v>8</v>
      </c>
    </row>
    <row r="874" spans="1:22" x14ac:dyDescent="0.25">
      <c r="A874" t="str">
        <f>IF(games!$A874="","",games!$A874)</f>
        <v>Wireworks</v>
      </c>
      <c r="B874">
        <f>IF($A874="","",games!$B874)</f>
        <v>2026</v>
      </c>
      <c r="C874" t="str">
        <f>IF($A874="","",games!$C874)</f>
        <v>Strategy</v>
      </c>
      <c r="D874">
        <f>IF($A874="","",COUNTIF(connections!$A$2:$A$1496,$A874)+COUNTIF(connections!$B$2:$B$1496,$A874))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IF(connections!$A873="","",IFERROR(INDEX(games!$B$2:$B$950,MATCH(connections!$A873,games!$A$2:$A$950,0)),""))</f>
        <v>2015</v>
      </c>
      <c r="U874">
        <f>IF(connections!$A873="","",IFERROR(INDEX(games!$B$2:$B$950,MATCH(connections!$B873,games!$A$2:$A$950,0)),""))</f>
        <v>2020</v>
      </c>
      <c r="V874">
        <f t="shared" si="181"/>
        <v>5</v>
      </c>
    </row>
    <row r="875" spans="1:22" x14ac:dyDescent="0.25">
      <c r="A875" t="str">
        <f>IF(games!$A875="","",games!$A875)</f>
        <v>Witchfire</v>
      </c>
      <c r="B875">
        <f>IF($A875="","",games!$B875)</f>
        <v>2023</v>
      </c>
      <c r="C875" t="str">
        <f>IF($A875="","",games!$C875)</f>
        <v>Action</v>
      </c>
      <c r="D875">
        <f>IF($A875="","",COUNTIF(connections!$A$2:$A$1496,$A875)+COUNTIF(connections!$B$2:$B$1496,$A875))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IF(connections!$A874="","",IFERROR(INDEX(games!$B$2:$B$950,MATCH(connections!$A874,games!$A$2:$A$950,0)),""))</f>
        <v>2017</v>
      </c>
      <c r="U875">
        <f>IF(connections!$A874="","",IFERROR(INDEX(games!$B$2:$B$950,MATCH(connections!$B874,games!$A$2:$A$950,0)),""))</f>
        <v>2020</v>
      </c>
      <c r="V875">
        <f t="shared" si="181"/>
        <v>3</v>
      </c>
    </row>
    <row r="876" spans="1:22" x14ac:dyDescent="0.25">
      <c r="A876" t="str">
        <f>IF(games!$A876="","",games!$A876)</f>
        <v>Witch's Apocalyptic Journey</v>
      </c>
      <c r="B876">
        <f>IF($A876="","",games!$B876)</f>
        <v>2026</v>
      </c>
      <c r="C876" t="str">
        <f>IF($A876="","",games!$C876)</f>
        <v>Deckbuilder</v>
      </c>
      <c r="D876">
        <f>IF($A876="","",COUNTIF(connections!$A$2:$A$1496,$A876)+COUNTIF(connections!$B$2:$B$1496,$A876))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IF(connections!$A875="","",IFERROR(INDEX(games!$B$2:$B$950,MATCH(connections!$A875,games!$A$2:$A$950,0)),""))</f>
        <v>1995</v>
      </c>
      <c r="U876">
        <f>IF(connections!$A875="","",IFERROR(INDEX(games!$B$2:$B$950,MATCH(connections!$B875,games!$A$2:$A$950,0)),""))</f>
        <v>2014</v>
      </c>
      <c r="V876">
        <f t="shared" si="181"/>
        <v>19</v>
      </c>
    </row>
    <row r="877" spans="1:22" x14ac:dyDescent="0.25">
      <c r="A877" t="str">
        <f>IF(games!$A877="","",games!$A877)</f>
        <v>Wizard of Legend</v>
      </c>
      <c r="B877">
        <f>IF($A877="","",games!$B877)</f>
        <v>2018</v>
      </c>
      <c r="C877" t="str">
        <f>IF($A877="","",games!$C877)</f>
        <v>Action</v>
      </c>
      <c r="D877">
        <f>IF($A877="","",COUNTIF(connections!$A$2:$A$1496,$A877)+COUNTIF(connections!$B$2:$B$1496,$A877))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IF(connections!$A876="","",IFERROR(INDEX(games!$B$2:$B$950,MATCH(connections!$A876,games!$A$2:$A$950,0)),""))</f>
        <v>1993</v>
      </c>
      <c r="U877">
        <f>IF(connections!$A876="","",IFERROR(INDEX(games!$B$2:$B$950,MATCH(connections!$B876,games!$A$2:$A$950,0)),""))</f>
        <v>2014</v>
      </c>
      <c r="V877">
        <f t="shared" si="181"/>
        <v>21</v>
      </c>
    </row>
    <row r="878" spans="1:22" x14ac:dyDescent="0.25">
      <c r="A878" t="str">
        <f>IF(games!$A878="","",games!$A878)</f>
        <v>Wizard of Legend 2</v>
      </c>
      <c r="B878">
        <f>IF($A878="","",games!$B878)</f>
        <v>2024</v>
      </c>
      <c r="C878" t="str">
        <f>IF($A878="","",games!$C878)</f>
        <v>Action</v>
      </c>
      <c r="D878">
        <f>IF($A878="","",COUNTIF(connections!$A$2:$A$1496,$A878)+COUNTIF(connections!$B$2:$B$1496,$A878))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IF(connections!$A877="","",IFERROR(INDEX(games!$B$2:$B$950,MATCH(connections!$A877,games!$A$2:$A$950,0)),""))</f>
        <v>2012</v>
      </c>
      <c r="U878">
        <f>IF(connections!$A877="","",IFERROR(INDEX(games!$B$2:$B$950,MATCH(connections!$B877,games!$A$2:$A$950,0)),""))</f>
        <v>2019</v>
      </c>
      <c r="V878">
        <f t="shared" si="181"/>
        <v>7</v>
      </c>
    </row>
    <row r="879" spans="1:22" x14ac:dyDescent="0.25">
      <c r="A879" t="str">
        <f>IF(games!$A879="","",games!$A879)</f>
        <v>WizardChess</v>
      </c>
      <c r="B879">
        <f>IF($A879="","",games!$B879)</f>
        <v>2021</v>
      </c>
      <c r="C879" t="str">
        <f>IF($A879="","",games!$C879)</f>
        <v>Strategy</v>
      </c>
      <c r="D879">
        <f>IF($A879="","",COUNTIF(connections!$A$2:$A$1496,$A879)+COUNTIF(connections!$B$2:$B$1496,$A879))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2015</v>
      </c>
      <c r="U879">
        <f>IF(connections!$A878="","",IFERROR(INDEX(games!$B$2:$B$950,MATCH(connections!$B878,games!$A$2:$A$950,0)),""))</f>
        <v>2026</v>
      </c>
      <c r="V879">
        <f t="shared" si="181"/>
        <v>11</v>
      </c>
    </row>
    <row r="880" spans="1:22" x14ac:dyDescent="0.25">
      <c r="A880" t="str">
        <f>IF(games!$A880="","",games!$A880)</f>
        <v>Word Play</v>
      </c>
      <c r="B880">
        <f>IF($A880="","",games!$B880)</f>
        <v>2025</v>
      </c>
      <c r="C880" t="str">
        <f>IF($A880="","",games!$C880)</f>
        <v>Deckbuilder</v>
      </c>
      <c r="D880">
        <f>IF($A880="","",COUNTIF(connections!$A$2:$A$1496,$A880)+COUNTIF(connections!$B$2:$B$1496,$A880))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Yes</v>
      </c>
      <c r="Q880">
        <f t="shared" si="180"/>
        <v>1.00088</v>
      </c>
      <c r="T880">
        <f>IF(connections!$A879="","",IFERROR(INDEX(games!$B$2:$B$950,MATCH(connections!$A879,games!$A$2:$A$950,0)),""))</f>
        <v>2017</v>
      </c>
      <c r="U880">
        <f>IF(connections!$A879="","",IFERROR(INDEX(games!$B$2:$B$950,MATCH(connections!$B879,games!$A$2:$A$950,0)),""))</f>
        <v>2026</v>
      </c>
      <c r="V880">
        <f t="shared" si="181"/>
        <v>9</v>
      </c>
    </row>
    <row r="881" spans="1:22" x14ac:dyDescent="0.25">
      <c r="A881" t="str">
        <f>IF(games!$A881="","",games!$A881)</f>
        <v>Wordatro!</v>
      </c>
      <c r="B881">
        <f>IF($A881="","",games!$B881)</f>
        <v>2025</v>
      </c>
      <c r="C881" t="str">
        <f>IF($A881="","",games!$C881)</f>
        <v>Deckbuilder</v>
      </c>
      <c r="D881">
        <f>IF($A881="","",COUNTIF(connections!$A$2:$A$1496,$A881)+COUNTIF(connections!$B$2:$B$1496,$A881))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IF(connections!$A880="","",IFERROR(INDEX(games!$B$2:$B$950,MATCH(connections!$A880,games!$A$2:$A$950,0)),""))</f>
        <v>2022</v>
      </c>
      <c r="U881">
        <f>IF(connections!$A880="","",IFERROR(INDEX(games!$B$2:$B$950,MATCH(connections!$B880,games!$A$2:$A$950,0)),""))</f>
        <v>2026</v>
      </c>
      <c r="V881">
        <f t="shared" si="181"/>
        <v>4</v>
      </c>
    </row>
    <row r="882" spans="1:22" x14ac:dyDescent="0.25">
      <c r="A882" t="str">
        <f>IF(games!$A882="","",games!$A882)</f>
        <v>Words Can Kill</v>
      </c>
      <c r="B882">
        <f>IF($A882="","",games!$B882)</f>
        <v>2022</v>
      </c>
      <c r="C882" t="str">
        <f>IF($A882="","",games!$C882)</f>
        <v>Deckbuilder</v>
      </c>
      <c r="D882">
        <f>IF($A882="","",COUNTIF(connections!$A$2:$A$1496,$A882)+COUNTIF(connections!$B$2:$B$1496,$A882))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IF(connections!$A881="","",IFERROR(INDEX(games!$B$2:$B$950,MATCH(connections!$A881,games!$A$2:$A$950,0)),""))</f>
        <v>2018</v>
      </c>
      <c r="U882">
        <f>IF(connections!$A881="","",IFERROR(INDEX(games!$B$2:$B$950,MATCH(connections!$B881,games!$A$2:$A$950,0)),""))</f>
        <v>2026</v>
      </c>
      <c r="V882">
        <f t="shared" si="181"/>
        <v>8</v>
      </c>
    </row>
    <row r="883" spans="1:22" x14ac:dyDescent="0.25">
      <c r="A883" t="str">
        <f>IF(games!$A883="","",games!$A883)</f>
        <v>Worlds Upon The Wind</v>
      </c>
      <c r="B883">
        <f>IF($A883="","",games!$B883)</f>
        <v>2026</v>
      </c>
      <c r="C883" t="str">
        <f>IF($A883="","",games!$C883)</f>
        <v>Deckbuilder</v>
      </c>
      <c r="D883">
        <f>IF($A883="","",COUNTIF(connections!$A$2:$A$1496,$A883)+COUNTIF(connections!$B$2:$B$1496,$A883))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IF(connections!$A882="","",IFERROR(INDEX(games!$B$2:$B$950,MATCH(connections!$A882,games!$A$2:$A$950,0)),""))</f>
        <v>2021</v>
      </c>
      <c r="U883">
        <f>IF(connections!$A882="","",IFERROR(INDEX(games!$B$2:$B$950,MATCH(connections!$B882,games!$A$2:$A$950,0)),""))</f>
        <v>2026</v>
      </c>
      <c r="V883">
        <f t="shared" si="181"/>
        <v>5</v>
      </c>
    </row>
    <row r="884" spans="1:22" x14ac:dyDescent="0.25">
      <c r="A884" t="str">
        <f>IF(games!$A884="","",games!$A884)</f>
        <v>Yasha: Legends of the Demon Blade</v>
      </c>
      <c r="B884">
        <f>IF($A884="","",games!$B884)</f>
        <v>2025</v>
      </c>
      <c r="C884" t="str">
        <f>IF($A884="","",games!$C884)</f>
        <v>Action</v>
      </c>
      <c r="D884">
        <f>IF($A884="","",COUNTIF(connections!$A$2:$A$1496,$A884)+COUNTIF(connections!$B$2:$B$1496,$A884))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1996</v>
      </c>
      <c r="U884">
        <f>IF(connections!$A883="","",IFERROR(INDEX(games!$B$2:$B$950,MATCH(connections!$B883,games!$A$2:$A$950,0)),""))</f>
        <v>2014</v>
      </c>
      <c r="V884">
        <f t="shared" si="181"/>
        <v>18</v>
      </c>
    </row>
    <row r="885" spans="1:22" x14ac:dyDescent="0.25">
      <c r="A885" t="str">
        <f>IF(games!$A885="","",games!$A885)</f>
        <v>Yet Another Zombie Survivors</v>
      </c>
      <c r="B885">
        <f>IF($A885="","",games!$B885)</f>
        <v>2023</v>
      </c>
      <c r="C885" t="str">
        <f>IF($A885="","",games!$C885)</f>
        <v>Action</v>
      </c>
      <c r="D885">
        <f>IF($A885="","",COUNTIF(connections!$A$2:$A$1496,$A885)+COUNTIF(connections!$B$2:$B$1496,$A885))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IF(connections!$A884="","",IFERROR(INDEX(games!$B$2:$B$950,MATCH(connections!$A884,games!$A$2:$A$950,0)),""))</f>
        <v>2013</v>
      </c>
      <c r="U885">
        <f>IF(connections!$A884="","",IFERROR(INDEX(games!$B$2:$B$950,MATCH(connections!$B884,games!$A$2:$A$950,0)),""))</f>
        <v>2014</v>
      </c>
      <c r="V885">
        <f t="shared" si="181"/>
        <v>1</v>
      </c>
    </row>
    <row r="886" spans="1:22" x14ac:dyDescent="0.25">
      <c r="A886" t="str">
        <f>IF(games!$A886="","",games!$A886)</f>
        <v>Yohane the Parhelion: Numazu in the Mirage</v>
      </c>
      <c r="B886">
        <f>IF($A886="","",games!$B886)</f>
        <v>2024</v>
      </c>
      <c r="C886" t="str">
        <f>IF($A886="","",games!$C886)</f>
        <v>Deckbuilder</v>
      </c>
      <c r="D886">
        <f>IF($A886="","",COUNTIF(connections!$A$2:$A$1496,$A886)+COUNTIF(connections!$B$2:$B$1496,$A886))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2012</v>
      </c>
      <c r="U886">
        <f>IF(connections!$A885="","",IFERROR(INDEX(games!$B$2:$B$950,MATCH(connections!$B885,games!$A$2:$A$950,0)),""))</f>
        <v>2014</v>
      </c>
      <c r="V886">
        <f t="shared" si="181"/>
        <v>2</v>
      </c>
    </row>
    <row r="887" spans="1:22" x14ac:dyDescent="0.25">
      <c r="A887" t="str">
        <f>IF(games!$A887="","",games!$A887)</f>
        <v>Youdanji</v>
      </c>
      <c r="B887">
        <f>IF($A887="","",games!$B887)</f>
        <v>2017</v>
      </c>
      <c r="C887" t="str">
        <f>IF($A887="","",games!$C887)</f>
        <v>Traditional</v>
      </c>
      <c r="D887">
        <f>IF($A887="","",COUNTIF(connections!$A$2:$A$1496,$A887)+COUNTIF(connections!$B$2:$B$1496,$A887))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IF(connections!$A886="","",IFERROR(INDEX(games!$B$2:$B$950,MATCH(connections!$A886,games!$A$2:$A$950,0)),""))</f>
        <v>2011</v>
      </c>
      <c r="U887">
        <f>IF(connections!$A886="","",IFERROR(INDEX(games!$B$2:$B$950,MATCH(connections!$B886,games!$A$2:$A$950,0)),""))</f>
        <v>2014</v>
      </c>
      <c r="V887">
        <f t="shared" si="181"/>
        <v>3</v>
      </c>
    </row>
    <row r="888" spans="1:22" x14ac:dyDescent="0.25">
      <c r="A888" t="str">
        <f>IF(games!$A888="","",games!$A888)</f>
        <v>Z.H.P. Unlosing Ranger VS Darkdeath Evilman</v>
      </c>
      <c r="B888">
        <f>IF($A888="","",games!$B888)</f>
        <v>2010</v>
      </c>
      <c r="C888" t="str">
        <f>IF($A888="","",games!$C888)</f>
        <v>Traditional</v>
      </c>
      <c r="D888">
        <f>IF($A888="","",COUNTIF(connections!$A$2:$A$1496,$A888)+COUNTIF(connections!$B$2:$B$1496,$A888))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IF(connections!$A887="","",IFERROR(INDEX(games!$B$2:$B$950,MATCH(connections!$A887,games!$A$2:$A$950,0)),""))</f>
        <v>1987</v>
      </c>
      <c r="U888">
        <f>IF(connections!$A887="","",IFERROR(INDEX(games!$B$2:$B$950,MATCH(connections!$B887,games!$A$2:$A$950,0)),""))</f>
        <v>2022</v>
      </c>
      <c r="V888">
        <f t="shared" si="181"/>
        <v>35</v>
      </c>
    </row>
    <row r="889" spans="1:22" x14ac:dyDescent="0.25">
      <c r="A889" t="str">
        <f>IF(games!$A889="","",games!$A889)</f>
        <v>Zangband</v>
      </c>
      <c r="B889">
        <f>IF($A889="","",games!$B889)</f>
        <v>1994</v>
      </c>
      <c r="C889" t="str">
        <f>IF($A889="","",games!$C889)</f>
        <v>Traditional</v>
      </c>
      <c r="D889">
        <f>IF($A889="","",COUNTIF(connections!$A$2:$A$1496,$A889)+COUNTIF(connections!$B$2:$B$1496,$A889))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IF(connections!$A888="","",IFERROR(INDEX(games!$B$2:$B$950,MATCH(connections!$A888,games!$A$2:$A$950,0)),""))</f>
        <v>2017</v>
      </c>
      <c r="U889">
        <f>IF(connections!$A888="","",IFERROR(INDEX(games!$B$2:$B$950,MATCH(connections!$B888,games!$A$2:$A$950,0)),""))</f>
        <v>2025</v>
      </c>
      <c r="V889">
        <f t="shared" si="181"/>
        <v>8</v>
      </c>
    </row>
    <row r="890" spans="1:22" x14ac:dyDescent="0.25">
      <c r="A890" t="str">
        <f>IF(games!$A890="","",games!$A890)</f>
        <v>Zet Zillions</v>
      </c>
      <c r="B890">
        <f>IF($A890="","",games!$B890)</f>
        <v>2024</v>
      </c>
      <c r="C890" t="str">
        <f>IF($A890="","",games!$C890)</f>
        <v>Deckbuilder</v>
      </c>
      <c r="D890">
        <f>IF($A890="","",COUNTIF(connections!$A$2:$A$1496,$A890)+COUNTIF(connections!$B$2:$B$1496,$A890))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IF(connections!$A889="","",IFERROR(INDEX(games!$B$2:$B$950,MATCH(connections!$A889,games!$A$2:$A$950,0)),""))</f>
        <v>2005</v>
      </c>
      <c r="U890">
        <f>IF(connections!$A889="","",IFERROR(INDEX(games!$B$2:$B$950,MATCH(connections!$B889,games!$A$2:$A$950,0)),""))</f>
        <v>2025</v>
      </c>
      <c r="V890">
        <f t="shared" si="181"/>
        <v>20</v>
      </c>
    </row>
    <row r="891" spans="1:22" x14ac:dyDescent="0.25">
      <c r="A891" t="str">
        <f>IF(games!$A891="","",games!$A891)</f>
        <v>Ziggurat</v>
      </c>
      <c r="B891">
        <f>IF($A891="","",games!$B891)</f>
        <v>2014</v>
      </c>
      <c r="C891" t="str">
        <f>IF($A891="","",games!$C891)</f>
        <v>Action</v>
      </c>
      <c r="D891">
        <f>IF($A891="","",COUNTIF(connections!$A$2:$A$1496,$A891)+COUNTIF(connections!$B$2:$B$1496,$A891))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2011</v>
      </c>
      <c r="U891">
        <f>IF(connections!$A890="","",IFERROR(INDEX(games!$B$2:$B$950,MATCH(connections!$B890,games!$A$2:$A$950,0)),""))</f>
        <v>2023</v>
      </c>
      <c r="V891">
        <f t="shared" si="181"/>
        <v>12</v>
      </c>
    </row>
    <row r="892" spans="1:22" x14ac:dyDescent="0.25">
      <c r="A892" t="str">
        <f>IF(games!$A892="","",games!$A892)</f>
        <v>Ziggurat 2</v>
      </c>
      <c r="B892">
        <f>IF($A892="","",games!$B892)</f>
        <v>2020</v>
      </c>
      <c r="C892" t="str">
        <f>IF($A892="","",games!$C892)</f>
        <v>Action</v>
      </c>
      <c r="D892">
        <f>IF($A892="","",COUNTIF(connections!$A$2:$A$1496,$A892)+COUNTIF(connections!$B$2:$B$1496,$A892))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2016</v>
      </c>
      <c r="U892">
        <f>IF(connections!$A891="","",IFERROR(INDEX(games!$B$2:$B$950,MATCH(connections!$B891,games!$A$2:$A$950,0)),""))</f>
        <v>2026</v>
      </c>
      <c r="V892">
        <f t="shared" si="181"/>
        <v>10</v>
      </c>
    </row>
    <row r="893" spans="1:22" x14ac:dyDescent="0.25">
      <c r="A893" t="str">
        <f>IF(games!$A893="","",games!$A893)</f>
        <v>ZMAngband</v>
      </c>
      <c r="B893">
        <f>IF($A893="","",games!$B893)</f>
        <v>2025</v>
      </c>
      <c r="C893" t="str">
        <f>IF($A893="","",games!$C893)</f>
        <v>Traditional</v>
      </c>
      <c r="D893">
        <f>IF($A893="","",COUNTIF(connections!$A$2:$A$1496,$A893)+COUNTIF(connections!$B$2:$B$1496,$A893))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IF(connections!$A892="","",IFERROR(INDEX(games!$B$2:$B$950,MATCH(connections!$A892,games!$A$2:$A$950,0)),""))</f>
        <v>2023</v>
      </c>
      <c r="U893">
        <f>IF(connections!$A892="","",IFERROR(INDEX(games!$B$2:$B$950,MATCH(connections!$B892,games!$A$2:$A$950,0)),""))</f>
        <v>2025</v>
      </c>
      <c r="V893">
        <f t="shared" si="181"/>
        <v>2</v>
      </c>
    </row>
    <row r="894" spans="1:22" x14ac:dyDescent="0.25">
      <c r="A894" t="str">
        <f>IF(games!$A894="","",games!$A894)</f>
        <v>Zoeti</v>
      </c>
      <c r="B894">
        <f>IF($A894="","",games!$B894)</f>
        <v>2023</v>
      </c>
      <c r="C894" t="str">
        <f>IF($A894="","",games!$C894)</f>
        <v>Deckbuilder</v>
      </c>
      <c r="D894">
        <f>IF($A894="","",COUNTIF(connections!$A$2:$A$1496,$A894)+COUNTIF(connections!$B$2:$B$1496,$A894))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IF(connections!$A893="","",IFERROR(INDEX(games!$B$2:$B$950,MATCH(connections!$A893,games!$A$2:$A$950,0)),""))</f>
        <v>2016</v>
      </c>
      <c r="U894">
        <f>IF(connections!$A893="","",IFERROR(INDEX(games!$B$2:$B$950,MATCH(connections!$B893,games!$A$2:$A$950,0)),""))</f>
        <v>2021</v>
      </c>
      <c r="V894">
        <f t="shared" si="181"/>
        <v>5</v>
      </c>
    </row>
    <row r="895" spans="1:22" x14ac:dyDescent="0.25">
      <c r="A895" t="str">
        <f>IF(games!$A895="","",games!$A895)</f>
        <v>Zoominoes</v>
      </c>
      <c r="B895">
        <f>IF($A895="","",games!$B895)</f>
        <v>2026</v>
      </c>
      <c r="C895" t="str">
        <f>IF($A895="","",games!$C895)</f>
        <v>Deckbuilder</v>
      </c>
      <c r="D895">
        <f>IF($A895="","",COUNTIF(connections!$A$2:$A$1496,$A895)+COUNTIF(connections!$B$2:$B$1496,$A895))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Zorbus</v>
      </c>
      <c r="B896">
        <f>IF($A896="","",games!$B896)</f>
        <v>2022</v>
      </c>
      <c r="C896" t="str">
        <f>IF($A896="","",games!$C896)</f>
        <v>Traditional</v>
      </c>
      <c r="D896">
        <f>IF($A896="","",COUNTIF(connections!$A$2:$A$1496,$A896)+COUNTIF(connections!$B$2:$B$1496,$A896))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IF(connections!$A895="","",IFERROR(INDEX(games!$B$2:$B$950,MATCH(connections!$A895,games!$A$2:$A$950,0)),""))</f>
        <v>2006</v>
      </c>
      <c r="U896">
        <f>IF(connections!$A895="","",IFERROR(INDEX(games!$B$2:$B$950,MATCH(connections!$B895,games!$A$2:$A$950,0)),""))</f>
        <v>2023</v>
      </c>
      <c r="V896">
        <f t="shared" si="181"/>
        <v>17</v>
      </c>
    </row>
    <row r="897" spans="1:22" x14ac:dyDescent="0.25">
      <c r="A897" t="str">
        <f>IF(games!$A897="","",games!$A897)</f>
        <v>Lost Eidolons: Veil of the Witch</v>
      </c>
      <c r="B897">
        <f>IF($A897="","",games!$B897)</f>
        <v>2024</v>
      </c>
      <c r="C897" t="str">
        <f>IF($A897="","",games!$C897)</f>
        <v>Strategy</v>
      </c>
      <c r="D897">
        <f>IF($A897="","",COUNTIF(connections!$A$2:$A$1496,$A897)+COUNTIF(connections!$B$2:$B$1496,$A897))</f>
        <v>2</v>
      </c>
      <c r="E897">
        <f t="shared" si="169"/>
        <v>2</v>
      </c>
      <c r="F897">
        <f t="shared" si="170"/>
        <v>13</v>
      </c>
      <c r="G897" t="e">
        <f t="shared" si="171"/>
        <v>#N/A</v>
      </c>
      <c r="H897" t="e">
        <f t="shared" si="172"/>
        <v>#N/A</v>
      </c>
      <c r="I897">
        <f t="shared" si="173"/>
        <v>2024</v>
      </c>
      <c r="J897">
        <f t="shared" si="174"/>
        <v>2.2989999999999999</v>
      </c>
      <c r="K897" t="e">
        <f t="shared" si="175"/>
        <v>#N/A</v>
      </c>
      <c r="L897" t="e">
        <f t="shared" si="176"/>
        <v>#N/A</v>
      </c>
      <c r="M897" t="e">
        <f t="shared" si="177"/>
        <v>#N/A</v>
      </c>
      <c r="N897" t="e">
        <f t="shared" si="178"/>
        <v>#N/A</v>
      </c>
      <c r="O897">
        <f t="shared" si="179"/>
        <v>2.0008970000000001</v>
      </c>
      <c r="P897" t="str">
        <f>IF(OR($A897="",games!$H897=""),"",games!$H897)</f>
        <v/>
      </c>
      <c r="Q897" t="str">
        <f t="shared" si="180"/>
        <v/>
      </c>
      <c r="T897">
        <f>IF(connections!$A896="","",IFERROR(INDEX(games!$B$2:$B$950,MATCH(connections!$A896,games!$A$2:$A$950,0)),""))</f>
        <v>2020</v>
      </c>
      <c r="U897">
        <f>IF(connections!$A896="","",IFERROR(INDEX(games!$B$2:$B$950,MATCH(connections!$B896,games!$A$2:$A$950,0)),""))</f>
        <v>2023</v>
      </c>
      <c r="V897">
        <f t="shared" si="181"/>
        <v>3</v>
      </c>
    </row>
    <row r="898" spans="1:22" x14ac:dyDescent="0.25">
      <c r="A898" t="str">
        <f>IF(games!$A898="","",games!$A898)</f>
        <v>Rogue Blight</v>
      </c>
      <c r="B898">
        <f>IF($A898="","",games!$B898)</f>
        <v>2026</v>
      </c>
      <c r="C898" t="str">
        <f>IF($A898="","",games!$C898)</f>
        <v>Action</v>
      </c>
      <c r="D898">
        <f>IF($A898="","",COUNTIF(connections!$A$2:$A$1496,$A898)+COUNTIF(connections!$B$2:$B$1496,$A898))</f>
        <v>1</v>
      </c>
      <c r="E898">
        <f t="shared" ref="E898:E950" si="182">IF($A898="","",IFERROR(MATCH($C898,$R$2:$R$5,0),0))</f>
        <v>1</v>
      </c>
      <c r="F898">
        <f t="shared" ref="F898:F950" si="183">IF($A898="","",MOD(ROW(),34))</f>
        <v>14</v>
      </c>
      <c r="G898">
        <f t="shared" ref="G898:G950" si="184">IF($A898="",NA(),IF($C898="Action",$B898,NA()))</f>
        <v>2026</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1998</v>
      </c>
      <c r="U898">
        <f>IF(connections!$A897="","",IFERROR(INDEX(games!$B$2:$B$950,MATCH(connections!$B897,games!$A$2:$A$950,0)),""))</f>
        <v>2023</v>
      </c>
      <c r="V898">
        <f t="shared" ref="V898:V961" si="194">IF(OR($T898="",$U898=""),"",$U898-$T898)</f>
        <v>25</v>
      </c>
    </row>
    <row r="899" spans="1:22" x14ac:dyDescent="0.25">
      <c r="A899" t="str">
        <f>IF(games!$A899="","",games!$A899)</f>
        <v>Fushigi no Pixel Dungeon</v>
      </c>
      <c r="B899">
        <f>IF($A899="","",games!$B899)</f>
        <v>2018</v>
      </c>
      <c r="C899" t="str">
        <f>IF($A899="","",games!$C899)</f>
        <v>Traditional</v>
      </c>
      <c r="D899">
        <f>IF($A899="","",COUNTIF(connections!$A$2:$A$1496,$A899)+COUNTIF(connections!$B$2:$B$1496,$A899))</f>
        <v>3</v>
      </c>
      <c r="E899">
        <f t="shared" si="182"/>
        <v>4</v>
      </c>
      <c r="F899">
        <f t="shared" si="183"/>
        <v>15</v>
      </c>
      <c r="G899" t="e">
        <f t="shared" si="184"/>
        <v>#N/A</v>
      </c>
      <c r="H899" t="e">
        <f t="shared" si="185"/>
        <v>#N/A</v>
      </c>
      <c r="I899" t="e">
        <f t="shared" si="186"/>
        <v>#N/A</v>
      </c>
      <c r="J899" t="e">
        <f t="shared" si="187"/>
        <v>#N/A</v>
      </c>
      <c r="K899" t="e">
        <f t="shared" si="188"/>
        <v>#N/A</v>
      </c>
      <c r="L899" t="e">
        <f t="shared" si="189"/>
        <v>#N/A</v>
      </c>
      <c r="M899">
        <f t="shared" si="190"/>
        <v>2018</v>
      </c>
      <c r="N899">
        <f t="shared" si="191"/>
        <v>4.3449999999999998</v>
      </c>
      <c r="O899">
        <f t="shared" si="192"/>
        <v>3.000899</v>
      </c>
      <c r="P899" t="str">
        <f>IF(OR($A899="",games!$H899=""),"",games!$H899)</f>
        <v>Yes</v>
      </c>
      <c r="Q899">
        <f t="shared" si="193"/>
        <v>3.000899</v>
      </c>
      <c r="T899">
        <f>IF(connections!$A898="","",IFERROR(INDEX(games!$B$2:$B$950,MATCH(connections!$A898,games!$A$2:$A$950,0)),""))</f>
        <v>2016</v>
      </c>
      <c r="U899">
        <f>IF(connections!$A898="","",IFERROR(INDEX(games!$B$2:$B$950,MATCH(connections!$B898,games!$A$2:$A$950,0)),""))</f>
        <v>2026</v>
      </c>
      <c r="V899">
        <f t="shared" si="194"/>
        <v>10</v>
      </c>
    </row>
    <row r="900" spans="1:22" x14ac:dyDescent="0.25">
      <c r="A900" t="str">
        <f>IF(games!$A900="","",games!$A900)</f>
        <v>Slayblade</v>
      </c>
      <c r="B900">
        <f>IF($A900="","",games!$B900)</f>
        <v>2026</v>
      </c>
      <c r="C900" t="str">
        <f>IF($A900="","",games!$C900)</f>
        <v>Action</v>
      </c>
      <c r="D900">
        <f>IF($A900="","",COUNTIF(connections!$A$2:$A$1496,$A900)+COUNTIF(connections!$B$2:$B$1496,$A900))</f>
        <v>0</v>
      </c>
      <c r="E900">
        <f t="shared" si="182"/>
        <v>1</v>
      </c>
      <c r="F900">
        <f t="shared" si="183"/>
        <v>16</v>
      </c>
      <c r="G900">
        <f t="shared" si="184"/>
        <v>2026</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Yes</v>
      </c>
      <c r="Q900">
        <f t="shared" si="193"/>
        <v>8.9999999999999998E-4</v>
      </c>
      <c r="T900">
        <f>IF(connections!$A899="","",IFERROR(INDEX(games!$B$2:$B$950,MATCH(connections!$A899,games!$A$2:$A$950,0)),""))</f>
        <v>2019</v>
      </c>
      <c r="U900">
        <f>IF(connections!$A899="","",IFERROR(INDEX(games!$B$2:$B$950,MATCH(connections!$B899,games!$A$2:$A$950,0)),""))</f>
        <v>2026</v>
      </c>
      <c r="V900">
        <f t="shared" si="194"/>
        <v>7</v>
      </c>
    </row>
    <row r="901" spans="1:22" x14ac:dyDescent="0.25">
      <c r="A901" t="str">
        <f>IF(games!$A901="","",games!$A901)</f>
        <v/>
      </c>
      <c r="B901" t="str">
        <f>IF($A901="","",games!$B901)</f>
        <v/>
      </c>
      <c r="C901" t="str">
        <f>IF($A901="","",games!$C901)</f>
        <v/>
      </c>
      <c r="D901" t="str">
        <f>IF($A901="","",COUNTIF(connections!$A$2:$A$1496,$A901)+COUNTIF(connections!$B$2:$B$1496,$A901))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IF(connections!$A900="","",IFERROR(INDEX(games!$B$2:$B$950,MATCH(connections!$A900,games!$A$2:$A$950,0)),""))</f>
        <v>2011</v>
      </c>
      <c r="U901">
        <f>IF(connections!$A900="","",IFERROR(INDEX(games!$B$2:$B$950,MATCH(connections!$B900,games!$A$2:$A$950,0)),""))</f>
        <v>2026</v>
      </c>
      <c r="V901">
        <f t="shared" si="194"/>
        <v>15</v>
      </c>
    </row>
    <row r="902" spans="1:22" x14ac:dyDescent="0.25">
      <c r="A902" t="str">
        <f>IF(games!$A902="","",games!$A902)</f>
        <v/>
      </c>
      <c r="B902" t="str">
        <f>IF($A902="","",games!$B902)</f>
        <v/>
      </c>
      <c r="C902" t="str">
        <f>IF($A902="","",games!$C902)</f>
        <v/>
      </c>
      <c r="D902" t="str">
        <f>IF($A902="","",COUNTIF(connections!$A$2:$A$1496,$A902)+COUNTIF(connections!$B$2:$B$1496,$A902))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IF(connections!$A901="","",IFERROR(INDEX(games!$B$2:$B$950,MATCH(connections!$A901,games!$A$2:$A$950,0)),""))</f>
        <v>1987</v>
      </c>
      <c r="U902">
        <f>IF(connections!$A901="","",IFERROR(INDEX(games!$B$2:$B$950,MATCH(connections!$B901,games!$A$2:$A$950,0)),""))</f>
        <v>2015</v>
      </c>
      <c r="V902">
        <f t="shared" si="194"/>
        <v>28</v>
      </c>
    </row>
    <row r="903" spans="1:22" x14ac:dyDescent="0.25">
      <c r="A903" t="str">
        <f>IF(games!$A903="","",games!$A903)</f>
        <v/>
      </c>
      <c r="B903" t="str">
        <f>IF($A903="","",games!$B903)</f>
        <v/>
      </c>
      <c r="C903" t="str">
        <f>IF($A903="","",games!$C903)</f>
        <v/>
      </c>
      <c r="D903" t="str">
        <f>IF($A903="","",COUNTIF(connections!$A$2:$A$1496,$A903)+COUNTIF(connections!$B$2:$B$1496,$A903))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IF(connections!$A902="","",IFERROR(INDEX(games!$B$2:$B$950,MATCH(connections!$A902,games!$A$2:$A$950,0)),""))</f>
        <v>2018</v>
      </c>
      <c r="U903">
        <f>IF(connections!$A902="","",IFERROR(INDEX(games!$B$2:$B$950,MATCH(connections!$B902,games!$A$2:$A$950,0)),""))</f>
        <v>2021</v>
      </c>
      <c r="V903">
        <f t="shared" si="194"/>
        <v>3</v>
      </c>
    </row>
    <row r="904" spans="1:22" x14ac:dyDescent="0.25">
      <c r="A904" t="str">
        <f>IF(games!$A904="","",games!$A904)</f>
        <v/>
      </c>
      <c r="B904" t="str">
        <f>IF($A904="","",games!$B904)</f>
        <v/>
      </c>
      <c r="C904" t="str">
        <f>IF($A904="","",games!$C904)</f>
        <v/>
      </c>
      <c r="D904" t="str">
        <f>IF($A904="","",COUNTIF(connections!$A$2:$A$1496,$A904)+COUNTIF(connections!$B$2:$B$1496,$A904))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IF(connections!$A903="","",IFERROR(INDEX(games!$B$2:$B$950,MATCH(connections!$A903,games!$A$2:$A$950,0)),""))</f>
        <v>2017</v>
      </c>
      <c r="U904">
        <f>IF(connections!$A903="","",IFERROR(INDEX(games!$B$2:$B$950,MATCH(connections!$B903,games!$A$2:$A$950,0)),""))</f>
        <v>2021</v>
      </c>
      <c r="V904">
        <f t="shared" si="194"/>
        <v>4</v>
      </c>
    </row>
    <row r="905" spans="1:22" x14ac:dyDescent="0.25">
      <c r="A905" t="str">
        <f>IF(games!$A905="","",games!$A905)</f>
        <v/>
      </c>
      <c r="B905" t="str">
        <f>IF($A905="","",games!$B905)</f>
        <v/>
      </c>
      <c r="C905" t="str">
        <f>IF($A905="","",games!$C905)</f>
        <v/>
      </c>
      <c r="D905" t="str">
        <f>IF($A905="","",COUNTIF(connections!$A$2:$A$1496,$A905)+COUNTIF(connections!$B$2:$B$1496,$A905))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IF(connections!$A904="","",IFERROR(INDEX(games!$B$2:$B$950,MATCH(connections!$A904,games!$A$2:$A$950,0)),""))</f>
        <v>2022</v>
      </c>
      <c r="U905">
        <f>IF(connections!$A904="","",IFERROR(INDEX(games!$B$2:$B$950,MATCH(connections!$B904,games!$A$2:$A$950,0)),""))</f>
        <v>2026</v>
      </c>
      <c r="V905">
        <f t="shared" si="194"/>
        <v>4</v>
      </c>
    </row>
    <row r="906" spans="1:22" x14ac:dyDescent="0.25">
      <c r="A906" t="str">
        <f>IF(games!$A906="","",games!$A906)</f>
        <v/>
      </c>
      <c r="B906" t="str">
        <f>IF($A906="","",games!$B906)</f>
        <v/>
      </c>
      <c r="C906" t="str">
        <f>IF($A906="","",games!$C906)</f>
        <v/>
      </c>
      <c r="D906" t="str">
        <f>IF($A906="","",COUNTIF(connections!$A$2:$A$1496,$A906)+COUNTIF(connections!$B$2:$B$1496,$A906))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IF(connections!$A905="","",IFERROR(INDEX(games!$B$2:$B$950,MATCH(connections!$A905,games!$A$2:$A$950,0)),""))</f>
        <v>2021</v>
      </c>
      <c r="U906">
        <f>IF(connections!$A905="","",IFERROR(INDEX(games!$B$2:$B$950,MATCH(connections!$B905,games!$A$2:$A$950,0)),""))</f>
        <v>2026</v>
      </c>
      <c r="V906">
        <f t="shared" si="194"/>
        <v>5</v>
      </c>
    </row>
    <row r="907" spans="1:22" x14ac:dyDescent="0.25">
      <c r="A907" t="str">
        <f>IF(games!$A907="","",games!$A907)</f>
        <v/>
      </c>
      <c r="B907" t="str">
        <f>IF($A907="","",games!$B907)</f>
        <v/>
      </c>
      <c r="C907" t="str">
        <f>IF($A907="","",games!$C907)</f>
        <v/>
      </c>
      <c r="D907" t="str">
        <f>IF($A907="","",COUNTIF(connections!$A$2:$A$1496,$A907)+COUNTIF(connections!$B$2:$B$1496,$A907))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IF(connections!$A906="","",IFERROR(INDEX(games!$B$2:$B$950,MATCH(connections!$A906,games!$A$2:$A$950,0)),""))</f>
        <v>2017</v>
      </c>
      <c r="U907">
        <f>IF(connections!$A906="","",IFERROR(INDEX(games!$B$2:$B$950,MATCH(connections!$B906,games!$A$2:$A$950,0)),""))</f>
        <v>2022</v>
      </c>
      <c r="V907">
        <f t="shared" si="194"/>
        <v>5</v>
      </c>
    </row>
    <row r="908" spans="1:22" x14ac:dyDescent="0.25">
      <c r="A908" t="str">
        <f>IF(games!$A908="","",games!$A908)</f>
        <v/>
      </c>
      <c r="B908" t="str">
        <f>IF($A908="","",games!$B908)</f>
        <v/>
      </c>
      <c r="C908" t="str">
        <f>IF($A908="","",games!$C908)</f>
        <v/>
      </c>
      <c r="D908" t="str">
        <f>IF($A908="","",COUNTIF(connections!$A$2:$A$1496,$A908)+COUNTIF(connections!$B$2:$B$1496,$A908))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IF(connections!$A907="","",IFERROR(INDEX(games!$B$2:$B$950,MATCH(connections!$A907,games!$A$2:$A$950,0)),""))</f>
        <v>2023</v>
      </c>
      <c r="U908">
        <f>IF(connections!$A907="","",IFERROR(INDEX(games!$B$2:$B$950,MATCH(connections!$B907,games!$A$2:$A$950,0)),""))</f>
        <v>2026</v>
      </c>
      <c r="V908">
        <f t="shared" si="194"/>
        <v>3</v>
      </c>
    </row>
    <row r="909" spans="1:22" x14ac:dyDescent="0.25">
      <c r="A909" t="str">
        <f>IF(games!$A909="","",games!$A909)</f>
        <v/>
      </c>
      <c r="B909" t="str">
        <f>IF($A909="","",games!$B909)</f>
        <v/>
      </c>
      <c r="C909" t="str">
        <f>IF($A909="","",games!$C909)</f>
        <v/>
      </c>
      <c r="D909" t="str">
        <f>IF($A909="","",COUNTIF(connections!$A$2:$A$1496,$A909)+COUNTIF(connections!$B$2:$B$1496,$A909))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IF(connections!$A908="","",IFERROR(INDEX(games!$B$2:$B$950,MATCH(connections!$A908,games!$A$2:$A$950,0)),""))</f>
        <v>2024</v>
      </c>
      <c r="U909">
        <f>IF(connections!$A908="","",IFERROR(INDEX(games!$B$2:$B$950,MATCH(connections!$B908,games!$A$2:$A$950,0)),""))</f>
        <v>2026</v>
      </c>
      <c r="V909">
        <f t="shared" si="194"/>
        <v>2</v>
      </c>
    </row>
    <row r="910" spans="1:22" x14ac:dyDescent="0.25">
      <c r="A910" t="str">
        <f>IF(games!$A910="","",games!$A910)</f>
        <v/>
      </c>
      <c r="B910" t="str">
        <f>IF($A910="","",games!$B910)</f>
        <v/>
      </c>
      <c r="C910" t="str">
        <f>IF($A910="","",games!$C910)</f>
        <v/>
      </c>
      <c r="D910" t="str">
        <f>IF($A910="","",COUNTIF(connections!$A$2:$A$1496,$A910)+COUNTIF(connections!$B$2:$B$1496,$A910))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IF(connections!$A909="","",IFERROR(INDEX(games!$B$2:$B$950,MATCH(connections!$A909,games!$A$2:$A$950,0)),""))</f>
        <v>2022</v>
      </c>
      <c r="U910">
        <f>IF(connections!$A909="","",IFERROR(INDEX(games!$B$2:$B$950,MATCH(connections!$B909,games!$A$2:$A$950,0)),""))</f>
        <v>2026</v>
      </c>
      <c r="V910">
        <f t="shared" si="194"/>
        <v>4</v>
      </c>
    </row>
    <row r="911" spans="1:22" x14ac:dyDescent="0.25">
      <c r="A911" t="str">
        <f>IF(games!$A911="","",games!$A911)</f>
        <v/>
      </c>
      <c r="B911" t="str">
        <f>IF($A911="","",games!$B911)</f>
        <v/>
      </c>
      <c r="C911" t="str">
        <f>IF($A911="","",games!$C911)</f>
        <v/>
      </c>
      <c r="D911" t="str">
        <f>IF($A911="","",COUNTIF(connections!$A$2:$A$1496,$A911)+COUNTIF(connections!$B$2:$B$1496,$A911))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IF(connections!$A910="","",IFERROR(INDEX(games!$B$2:$B$950,MATCH(connections!$A910,games!$A$2:$A$950,0)),""))</f>
        <v>2022</v>
      </c>
      <c r="U911">
        <f>IF(connections!$A910="","",IFERROR(INDEX(games!$B$2:$B$950,MATCH(connections!$B910,games!$A$2:$A$950,0)),""))</f>
        <v>2026</v>
      </c>
      <c r="V911">
        <f t="shared" si="194"/>
        <v>4</v>
      </c>
    </row>
    <row r="912" spans="1:22" x14ac:dyDescent="0.25">
      <c r="A912" t="str">
        <f>IF(games!$A912="","",games!$A912)</f>
        <v/>
      </c>
      <c r="B912" t="str">
        <f>IF($A912="","",games!$B912)</f>
        <v/>
      </c>
      <c r="C912" t="str">
        <f>IF($A912="","",games!$C912)</f>
        <v/>
      </c>
      <c r="D912" t="str">
        <f>IF($A912="","",COUNTIF(connections!$A$2:$A$1496,$A912)+COUNTIF(connections!$B$2:$B$1496,$A912))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IF(connections!$A911="","",IFERROR(INDEX(games!$B$2:$B$950,MATCH(connections!$A911,games!$A$2:$A$950,0)),""))</f>
        <v>2025</v>
      </c>
      <c r="U912">
        <f>IF(connections!$A911="","",IFERROR(INDEX(games!$B$2:$B$950,MATCH(connections!$B911,games!$A$2:$A$950,0)),""))</f>
        <v>2026</v>
      </c>
      <c r="V912">
        <f t="shared" si="194"/>
        <v>1</v>
      </c>
    </row>
    <row r="913" spans="1:22" x14ac:dyDescent="0.25">
      <c r="A913" t="str">
        <f>IF(games!$A913="","",games!$A913)</f>
        <v/>
      </c>
      <c r="B913" t="str">
        <f>IF($A913="","",games!$B913)</f>
        <v/>
      </c>
      <c r="C913" t="str">
        <f>IF($A913="","",games!$C913)</f>
        <v/>
      </c>
      <c r="D913" t="str">
        <f>IF($A913="","",COUNTIF(connections!$A$2:$A$1496,$A913)+COUNTIF(connections!$B$2:$B$1496,$A913))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IF(connections!$A912="","",IFERROR(INDEX(games!$B$2:$B$950,MATCH(connections!$A912,games!$A$2:$A$950,0)),""))</f>
        <v>2022</v>
      </c>
      <c r="U913">
        <f>IF(connections!$A912="","",IFERROR(INDEX(games!$B$2:$B$950,MATCH(connections!$B912,games!$A$2:$A$950,0)),""))</f>
        <v>2026</v>
      </c>
      <c r="V913">
        <f t="shared" si="194"/>
        <v>4</v>
      </c>
    </row>
    <row r="914" spans="1:22" x14ac:dyDescent="0.25">
      <c r="A914" t="str">
        <f>IF(games!$A914="","",games!$A914)</f>
        <v/>
      </c>
      <c r="B914" t="str">
        <f>IF($A914="","",games!$B914)</f>
        <v/>
      </c>
      <c r="C914" t="str">
        <f>IF($A914="","",games!$C914)</f>
        <v/>
      </c>
      <c r="D914" t="str">
        <f>IF($A914="","",COUNTIF(connections!$A$2:$A$1496,$A914)+COUNTIF(connections!$B$2:$B$1496,$A914))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IF(connections!$A913="","",IFERROR(INDEX(games!$B$2:$B$950,MATCH(connections!$A913,games!$A$2:$A$950,0)),""))</f>
        <v>2025</v>
      </c>
      <c r="U914">
        <f>IF(connections!$A913="","",IFERROR(INDEX(games!$B$2:$B$950,MATCH(connections!$B913,games!$A$2:$A$950,0)),""))</f>
        <v>2026</v>
      </c>
      <c r="V914">
        <f t="shared" si="194"/>
        <v>1</v>
      </c>
    </row>
    <row r="915" spans="1:22" x14ac:dyDescent="0.25">
      <c r="A915" t="str">
        <f>IF(games!$A915="","",games!$A915)</f>
        <v/>
      </c>
      <c r="B915" t="str">
        <f>IF($A915="","",games!$B915)</f>
        <v/>
      </c>
      <c r="C915" t="str">
        <f>IF($A915="","",games!$C915)</f>
        <v/>
      </c>
      <c r="D915" t="str">
        <f>IF($A915="","",COUNTIF(connections!$A$2:$A$1496,$A915)+COUNTIF(connections!$B$2:$B$1496,$A915))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IF(connections!$A914="","",IFERROR(INDEX(games!$B$2:$B$950,MATCH(connections!$A914,games!$A$2:$A$950,0)),""))</f>
        <v>2024</v>
      </c>
      <c r="U915">
        <f>IF(connections!$A914="","",IFERROR(INDEX(games!$B$2:$B$950,MATCH(connections!$B914,games!$A$2:$A$950,0)),""))</f>
        <v>2026</v>
      </c>
      <c r="V915">
        <f t="shared" si="194"/>
        <v>2</v>
      </c>
    </row>
    <row r="916" spans="1:22" x14ac:dyDescent="0.25">
      <c r="A916" t="str">
        <f>IF(games!$A916="","",games!$A916)</f>
        <v/>
      </c>
      <c r="B916" t="str">
        <f>IF($A916="","",games!$B916)</f>
        <v/>
      </c>
      <c r="C916" t="str">
        <f>IF($A916="","",games!$C916)</f>
        <v/>
      </c>
      <c r="D916" t="str">
        <f>IF($A916="","",COUNTIF(connections!$A$2:$A$1496,$A916)+COUNTIF(connections!$B$2:$B$1496,$A916))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IF(connections!$A915="","",IFERROR(INDEX(games!$B$2:$B$950,MATCH(connections!$A915,games!$A$2:$A$950,0)),""))</f>
        <v>2025</v>
      </c>
      <c r="U916">
        <f>IF(connections!$A915="","",IFERROR(INDEX(games!$B$2:$B$950,MATCH(connections!$B915,games!$A$2:$A$950,0)),""))</f>
        <v>2026</v>
      </c>
      <c r="V916">
        <f t="shared" si="194"/>
        <v>1</v>
      </c>
    </row>
    <row r="917" spans="1:22" x14ac:dyDescent="0.25">
      <c r="A917" t="str">
        <f>IF(games!$A917="","",games!$A917)</f>
        <v/>
      </c>
      <c r="B917" t="str">
        <f>IF($A917="","",games!$B917)</f>
        <v/>
      </c>
      <c r="C917" t="str">
        <f>IF($A917="","",games!$C917)</f>
        <v/>
      </c>
      <c r="D917" t="str">
        <f>IF($A917="","",COUNTIF(connections!$A$2:$A$1496,$A917)+COUNTIF(connections!$B$2:$B$1496,$A917))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IF(connections!$A916="","",IFERROR(INDEX(games!$B$2:$B$950,MATCH(connections!$A916,games!$A$2:$A$950,0)),""))</f>
        <v>2011</v>
      </c>
      <c r="U917">
        <f>IF(connections!$A916="","",IFERROR(INDEX(games!$B$2:$B$950,MATCH(connections!$B916,games!$A$2:$A$950,0)),""))</f>
        <v>2026</v>
      </c>
      <c r="V917">
        <f t="shared" si="194"/>
        <v>15</v>
      </c>
    </row>
    <row r="918" spans="1:22" x14ac:dyDescent="0.25">
      <c r="A918" t="str">
        <f>IF(games!$A918="","",games!$A918)</f>
        <v/>
      </c>
      <c r="B918" t="str">
        <f>IF($A918="","",games!$B918)</f>
        <v/>
      </c>
      <c r="C918" t="str">
        <f>IF($A918="","",games!$C918)</f>
        <v/>
      </c>
      <c r="D918" t="str">
        <f>IF($A918="","",COUNTIF(connections!$A$2:$A$1496,$A918)+COUNTIF(connections!$B$2:$B$1496,$A918))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IF(connections!$A917="","",IFERROR(INDEX(games!$B$2:$B$950,MATCH(connections!$A917,games!$A$2:$A$950,0)),""))</f>
        <v>2020</v>
      </c>
      <c r="U918">
        <f>IF(connections!$A917="","",IFERROR(INDEX(games!$B$2:$B$950,MATCH(connections!$B917,games!$A$2:$A$950,0)),""))</f>
        <v>2024</v>
      </c>
      <c r="V918">
        <f t="shared" si="194"/>
        <v>4</v>
      </c>
    </row>
    <row r="919" spans="1:22" x14ac:dyDescent="0.25">
      <c r="A919" t="str">
        <f>IF(games!$A919="","",games!$A919)</f>
        <v/>
      </c>
      <c r="B919" t="str">
        <f>IF($A919="","",games!$B919)</f>
        <v/>
      </c>
      <c r="C919" t="str">
        <f>IF($A919="","",games!$C919)</f>
        <v/>
      </c>
      <c r="D919" t="str">
        <f>IF($A919="","",COUNTIF(connections!$A$2:$A$1496,$A919)+COUNTIF(connections!$B$2:$B$1496,$A919))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IF(connections!$A918="","",IFERROR(INDEX(games!$B$2:$B$950,MATCH(connections!$A918,games!$A$2:$A$950,0)),""))</f>
        <v>2022</v>
      </c>
      <c r="U919">
        <f>IF(connections!$A918="","",IFERROR(INDEX(games!$B$2:$B$950,MATCH(connections!$B918,games!$A$2:$A$950,0)),""))</f>
        <v>2024</v>
      </c>
      <c r="V919">
        <f t="shared" si="194"/>
        <v>2</v>
      </c>
    </row>
    <row r="920" spans="1:22" x14ac:dyDescent="0.25">
      <c r="A920" t="str">
        <f>IF(games!$A920="","",games!$A920)</f>
        <v/>
      </c>
      <c r="B920" t="str">
        <f>IF($A920="","",games!$B920)</f>
        <v/>
      </c>
      <c r="C920" t="str">
        <f>IF($A920="","",games!$C920)</f>
        <v/>
      </c>
      <c r="D920" t="str">
        <f>IF($A920="","",COUNTIF(connections!$A$2:$A$1496,$A920)+COUNTIF(connections!$B$2:$B$1496,$A920))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IF(connections!$A919="","",IFERROR(INDEX(games!$B$2:$B$950,MATCH(connections!$A919,games!$A$2:$A$950,0)),""))</f>
        <v>2021</v>
      </c>
      <c r="U920">
        <f>IF(connections!$A919="","",IFERROR(INDEX(games!$B$2:$B$950,MATCH(connections!$B919,games!$A$2:$A$950,0)),""))</f>
        <v>2024</v>
      </c>
      <c r="V920">
        <f t="shared" si="194"/>
        <v>3</v>
      </c>
    </row>
    <row r="921" spans="1:22" x14ac:dyDescent="0.25">
      <c r="A921" t="str">
        <f>IF(games!$A921="","",games!$A921)</f>
        <v/>
      </c>
      <c r="B921" t="str">
        <f>IF($A921="","",games!$B921)</f>
        <v/>
      </c>
      <c r="C921" t="str">
        <f>IF($A921="","",games!$C921)</f>
        <v/>
      </c>
      <c r="D921" t="str">
        <f>IF($A921="","",COUNTIF(connections!$A$2:$A$1496,$A921)+COUNTIF(connections!$B$2:$B$1496,$A921))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IF(connections!$A920="","",IFERROR(INDEX(games!$B$2:$B$950,MATCH(connections!$A920,games!$A$2:$A$950,0)),""))</f>
        <v>1996</v>
      </c>
      <c r="U921">
        <f>IF(connections!$A920="","",IFERROR(INDEX(games!$B$2:$B$950,MATCH(connections!$B920,games!$A$2:$A$950,0)),""))</f>
        <v>2023</v>
      </c>
      <c r="V921">
        <f t="shared" si="194"/>
        <v>27</v>
      </c>
    </row>
    <row r="922" spans="1:22" x14ac:dyDescent="0.25">
      <c r="A922" t="str">
        <f>IF(games!$A922="","",games!$A922)</f>
        <v/>
      </c>
      <c r="B922" t="str">
        <f>IF($A922="","",games!$B922)</f>
        <v/>
      </c>
      <c r="C922" t="str">
        <f>IF($A922="","",games!$C922)</f>
        <v/>
      </c>
      <c r="D922" t="str">
        <f>IF($A922="","",COUNTIF(connections!$A$2:$A$1496,$A922)+COUNTIF(connections!$B$2:$B$1496,$A922))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IF(connections!$A921="","",IFERROR(INDEX(games!$B$2:$B$950,MATCH(connections!$A921,games!$A$2:$A$950,0)),""))</f>
        <v>2021</v>
      </c>
      <c r="U922">
        <f>IF(connections!$A921="","",IFERROR(INDEX(games!$B$2:$B$950,MATCH(connections!$B921,games!$A$2:$A$950,0)),""))</f>
        <v>2023</v>
      </c>
      <c r="V922">
        <f t="shared" si="194"/>
        <v>2</v>
      </c>
    </row>
    <row r="923" spans="1:22" x14ac:dyDescent="0.25">
      <c r="A923" t="str">
        <f>IF(games!$A923="","",games!$A923)</f>
        <v/>
      </c>
      <c r="B923" t="str">
        <f>IF($A923="","",games!$B923)</f>
        <v/>
      </c>
      <c r="C923" t="str">
        <f>IF($A923="","",games!$C923)</f>
        <v/>
      </c>
      <c r="D923" t="str">
        <f>IF($A923="","",COUNTIF(connections!$A$2:$A$1496,$A923)+COUNTIF(connections!$B$2:$B$1496,$A923))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2023</v>
      </c>
      <c r="U923">
        <f>IF(connections!$A922="","",IFERROR(INDEX(games!$B$2:$B$950,MATCH(connections!$B922,games!$A$2:$A$950,0)),""))</f>
        <v>2025</v>
      </c>
      <c r="V923">
        <f t="shared" si="194"/>
        <v>2</v>
      </c>
    </row>
    <row r="924" spans="1:22" x14ac:dyDescent="0.25">
      <c r="A924" t="str">
        <f>IF(games!$A924="","",games!$A924)</f>
        <v/>
      </c>
      <c r="B924" t="str">
        <f>IF($A924="","",games!$B924)</f>
        <v/>
      </c>
      <c r="C924" t="str">
        <f>IF($A924="","",games!$C924)</f>
        <v/>
      </c>
      <c r="D924" t="str">
        <f>IF($A924="","",COUNTIF(connections!$A$2:$A$1496,$A924)+COUNTIF(connections!$B$2:$B$1496,$A924))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2009</v>
      </c>
      <c r="U924">
        <f>IF(connections!$A923="","",IFERROR(INDEX(games!$B$2:$B$950,MATCH(connections!$B923,games!$A$2:$A$950,0)),""))</f>
        <v>2012</v>
      </c>
      <c r="V924">
        <f t="shared" si="194"/>
        <v>3</v>
      </c>
    </row>
    <row r="925" spans="1:22" x14ac:dyDescent="0.25">
      <c r="A925" t="str">
        <f>IF(games!$A925="","",games!$A925)</f>
        <v/>
      </c>
      <c r="B925" t="str">
        <f>IF($A925="","",games!$B925)</f>
        <v/>
      </c>
      <c r="C925" t="str">
        <f>IF($A925="","",games!$C925)</f>
        <v/>
      </c>
      <c r="D925" t="str">
        <f>IF($A925="","",COUNTIF(connections!$A$2:$A$1496,$A925)+COUNTIF(connections!$B$2:$B$1496,$A925))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2023</v>
      </c>
      <c r="U925">
        <f>IF(connections!$A924="","",IFERROR(INDEX(games!$B$2:$B$950,MATCH(connections!$B924,games!$A$2:$A$950,0)),""))</f>
        <v>2026</v>
      </c>
      <c r="V925">
        <f t="shared" si="194"/>
        <v>3</v>
      </c>
    </row>
    <row r="926" spans="1:22" x14ac:dyDescent="0.25">
      <c r="A926" t="str">
        <f>IF(games!$A926="","",games!$A926)</f>
        <v/>
      </c>
      <c r="B926" t="str">
        <f>IF($A926="","",games!$B926)</f>
        <v/>
      </c>
      <c r="C926" t="str">
        <f>IF($A926="","",games!$C926)</f>
        <v/>
      </c>
      <c r="D926" t="str">
        <f>IF($A926="","",COUNTIF(connections!$A$2:$A$1496,$A926)+COUNTIF(connections!$B$2:$B$1496,$A926))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2021</v>
      </c>
      <c r="U926">
        <f>IF(connections!$A925="","",IFERROR(INDEX(games!$B$2:$B$950,MATCH(connections!$B925,games!$A$2:$A$950,0)),""))</f>
        <v>2021</v>
      </c>
      <c r="V926">
        <f t="shared" si="194"/>
        <v>0</v>
      </c>
    </row>
    <row r="927" spans="1:22" x14ac:dyDescent="0.25">
      <c r="A927" t="str">
        <f>IF(games!$A927="","",games!$A927)</f>
        <v/>
      </c>
      <c r="B927" t="str">
        <f>IF($A927="","",games!$B927)</f>
        <v/>
      </c>
      <c r="C927" t="str">
        <f>IF($A927="","",games!$C927)</f>
        <v/>
      </c>
      <c r="D927" t="str">
        <f>IF($A927="","",COUNTIF(connections!$A$2:$A$1496,$A927)+COUNTIF(connections!$B$2:$B$1496,$A927))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2017</v>
      </c>
      <c r="U927">
        <f>IF(connections!$A926="","",IFERROR(INDEX(games!$B$2:$B$950,MATCH(connections!$B926,games!$A$2:$A$950,0)),""))</f>
        <v>2026</v>
      </c>
      <c r="V927">
        <f t="shared" si="194"/>
        <v>9</v>
      </c>
    </row>
    <row r="928" spans="1:22" x14ac:dyDescent="0.25">
      <c r="A928" t="str">
        <f>IF(games!$A928="","",games!$A928)</f>
        <v/>
      </c>
      <c r="B928" t="str">
        <f>IF($A928="","",games!$B928)</f>
        <v/>
      </c>
      <c r="C928" t="str">
        <f>IF($A928="","",games!$C928)</f>
        <v/>
      </c>
      <c r="D928" t="str">
        <f>IF($A928="","",COUNTIF(connections!$A$2:$A$1496,$A928)+COUNTIF(connections!$B$2:$B$1496,$A928))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2021</v>
      </c>
      <c r="U928">
        <f>IF(connections!$A927="","",IFERROR(INDEX(games!$B$2:$B$950,MATCH(connections!$B927,games!$A$2:$A$950,0)),""))</f>
        <v>2022</v>
      </c>
      <c r="V928">
        <f t="shared" si="194"/>
        <v>1</v>
      </c>
    </row>
    <row r="929" spans="1:22" x14ac:dyDescent="0.25">
      <c r="A929" t="str">
        <f>IF(games!$A929="","",games!$A929)</f>
        <v/>
      </c>
      <c r="B929" t="str">
        <f>IF($A929="","",games!$B929)</f>
        <v/>
      </c>
      <c r="C929" t="str">
        <f>IF($A929="","",games!$C929)</f>
        <v/>
      </c>
      <c r="D929" t="str">
        <f>IF($A929="","",COUNTIF(connections!$A$2:$A$1496,$A929)+COUNTIF(connections!$B$2:$B$1496,$A929))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2017</v>
      </c>
      <c r="U929">
        <f>IF(connections!$A928="","",IFERROR(INDEX(games!$B$2:$B$950,MATCH(connections!$B928,games!$A$2:$A$950,0)),""))</f>
        <v>2026</v>
      </c>
      <c r="V929">
        <f t="shared" si="194"/>
        <v>9</v>
      </c>
    </row>
    <row r="930" spans="1:22" x14ac:dyDescent="0.25">
      <c r="A930" t="str">
        <f>IF(games!$A930="","",games!$A930)</f>
        <v/>
      </c>
      <c r="B930" t="str">
        <f>IF($A930="","",games!$B930)</f>
        <v/>
      </c>
      <c r="C930" t="str">
        <f>IF($A930="","",games!$C930)</f>
        <v/>
      </c>
      <c r="D930" t="str">
        <f>IF($A930="","",COUNTIF(connections!$A$2:$A$1496,$A930)+COUNTIF(connections!$B$2:$B$1496,$A930))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2019</v>
      </c>
      <c r="U930">
        <f>IF(connections!$A929="","",IFERROR(INDEX(games!$B$2:$B$950,MATCH(connections!$B929,games!$A$2:$A$950,0)),""))</f>
        <v>2021</v>
      </c>
      <c r="V930">
        <f t="shared" si="194"/>
        <v>2</v>
      </c>
    </row>
    <row r="931" spans="1:22" x14ac:dyDescent="0.25">
      <c r="A931" t="str">
        <f>IF(games!$A931="","",games!$A931)</f>
        <v/>
      </c>
      <c r="B931" t="str">
        <f>IF($A931="","",games!$B931)</f>
        <v/>
      </c>
      <c r="C931" t="str">
        <f>IF($A931="","",games!$C931)</f>
        <v/>
      </c>
      <c r="D931" t="str">
        <f>IF($A931="","",COUNTIF(connections!$A$2:$A$1496,$A931)+COUNTIF(connections!$B$2:$B$1496,$A931))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2021</v>
      </c>
      <c r="U931">
        <f>IF(connections!$A930="","",IFERROR(INDEX(games!$B$2:$B$950,MATCH(connections!$B930,games!$A$2:$A$950,0)),""))</f>
        <v>2026</v>
      </c>
      <c r="V931">
        <f t="shared" si="194"/>
        <v>5</v>
      </c>
    </row>
    <row r="932" spans="1:22" x14ac:dyDescent="0.25">
      <c r="A932" t="str">
        <f>IF(games!$A932="","",games!$A932)</f>
        <v/>
      </c>
      <c r="B932" t="str">
        <f>IF($A932="","",games!$B932)</f>
        <v/>
      </c>
      <c r="C932" t="str">
        <f>IF($A932="","",games!$C932)</f>
        <v/>
      </c>
      <c r="D932" t="str">
        <f>IF($A932="","",COUNTIF(connections!$A$2:$A$1496,$A932)+COUNTIF(connections!$B$2:$B$1496,$A932))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2017</v>
      </c>
      <c r="U932">
        <f>IF(connections!$A931="","",IFERROR(INDEX(games!$B$2:$B$950,MATCH(connections!$B931,games!$A$2:$A$950,0)),""))</f>
        <v>2026</v>
      </c>
      <c r="V932">
        <f t="shared" si="194"/>
        <v>9</v>
      </c>
    </row>
    <row r="933" spans="1:22" x14ac:dyDescent="0.25">
      <c r="A933" t="str">
        <f>IF(games!$A933="","",games!$A933)</f>
        <v/>
      </c>
      <c r="B933" t="str">
        <f>IF($A933="","",games!$B933)</f>
        <v/>
      </c>
      <c r="C933" t="str">
        <f>IF($A933="","",games!$C933)</f>
        <v/>
      </c>
      <c r="D933" t="str">
        <f>IF($A933="","",COUNTIF(connections!$A$2:$A$1496,$A933)+COUNTIF(connections!$B$2:$B$1496,$A933))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2007</v>
      </c>
      <c r="U933">
        <f>IF(connections!$A932="","",IFERROR(INDEX(games!$B$2:$B$950,MATCH(connections!$B932,games!$A$2:$A$950,0)),""))</f>
        <v>2009</v>
      </c>
      <c r="V933">
        <f t="shared" si="194"/>
        <v>2</v>
      </c>
    </row>
    <row r="934" spans="1:22" x14ac:dyDescent="0.25">
      <c r="A934" t="str">
        <f>IF(games!$A934="","",games!$A934)</f>
        <v/>
      </c>
      <c r="B934" t="str">
        <f>IF($A934="","",games!$B934)</f>
        <v/>
      </c>
      <c r="C934" t="str">
        <f>IF($A934="","",games!$C934)</f>
        <v/>
      </c>
      <c r="D934" t="str">
        <f>IF($A934="","",COUNTIF(connections!$A$2:$A$1496,$A934)+COUNTIF(connections!$B$2:$B$1496,$A934))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2005</v>
      </c>
      <c r="U934">
        <f>IF(connections!$A933="","",IFERROR(INDEX(games!$B$2:$B$950,MATCH(connections!$B933,games!$A$2:$A$950,0)),""))</f>
        <v>2007</v>
      </c>
      <c r="V934">
        <f t="shared" si="194"/>
        <v>2</v>
      </c>
    </row>
    <row r="935" spans="1:22" x14ac:dyDescent="0.25">
      <c r="A935" t="str">
        <f>IF(games!$A935="","",games!$A935)</f>
        <v/>
      </c>
      <c r="B935" t="str">
        <f>IF($A935="","",games!$B935)</f>
        <v/>
      </c>
      <c r="C935" t="str">
        <f>IF($A935="","",games!$C935)</f>
        <v/>
      </c>
      <c r="D935" t="str">
        <f>IF($A935="","",COUNTIF(connections!$A$2:$A$1496,$A935)+COUNTIF(connections!$B$2:$B$1496,$A935))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2005</v>
      </c>
      <c r="U935">
        <f>IF(connections!$A934="","",IFERROR(INDEX(games!$B$2:$B$950,MATCH(connections!$B934,games!$A$2:$A$950,0)),""))</f>
        <v>2012</v>
      </c>
      <c r="V935">
        <f t="shared" si="194"/>
        <v>7</v>
      </c>
    </row>
    <row r="936" spans="1:22" x14ac:dyDescent="0.25">
      <c r="A936" t="str">
        <f>IF(games!$A936="","",games!$A936)</f>
        <v/>
      </c>
      <c r="B936" t="str">
        <f>IF($A936="","",games!$B936)</f>
        <v/>
      </c>
      <c r="C936" t="str">
        <f>IF($A936="","",games!$C936)</f>
        <v/>
      </c>
      <c r="D936" t="str">
        <f>IF($A936="","",COUNTIF(connections!$A$2:$A$1496,$A936)+COUNTIF(connections!$B$2:$B$1496,$A936))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1993</v>
      </c>
      <c r="U936">
        <f>IF(connections!$A935="","",IFERROR(INDEX(games!$B$2:$B$950,MATCH(connections!$B935,games!$A$2:$A$950,0)),""))</f>
        <v>2005</v>
      </c>
      <c r="V936">
        <f t="shared" si="194"/>
        <v>12</v>
      </c>
    </row>
    <row r="937" spans="1:22" x14ac:dyDescent="0.25">
      <c r="A937" t="str">
        <f>IF(games!$A937="","",games!$A937)</f>
        <v/>
      </c>
      <c r="B937" t="str">
        <f>IF($A937="","",games!$B937)</f>
        <v/>
      </c>
      <c r="C937" t="str">
        <f>IF($A937="","",games!$C937)</f>
        <v/>
      </c>
      <c r="D937" t="str">
        <f>IF($A937="","",COUNTIF(connections!$A$2:$A$1496,$A937)+COUNTIF(connections!$B$2:$B$1496,$A937))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2005</v>
      </c>
      <c r="U937">
        <f>IF(connections!$A936="","",IFERROR(INDEX(games!$B$2:$B$950,MATCH(connections!$B936,games!$A$2:$A$950,0)),""))</f>
        <v>2020</v>
      </c>
      <c r="V937">
        <f t="shared" si="194"/>
        <v>15</v>
      </c>
    </row>
    <row r="938" spans="1:22" x14ac:dyDescent="0.25">
      <c r="A938" t="str">
        <f>IF(games!$A938="","",games!$A938)</f>
        <v/>
      </c>
      <c r="B938" t="str">
        <f>IF($A938="","",games!$B938)</f>
        <v/>
      </c>
      <c r="C938" t="str">
        <f>IF($A938="","",games!$C938)</f>
        <v/>
      </c>
      <c r="D938" t="str">
        <f>IF($A938="","",COUNTIF(connections!$A$2:$A$1496,$A938)+COUNTIF(connections!$B$2:$B$1496,$A938))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2005</v>
      </c>
      <c r="U938">
        <f>IF(connections!$A937="","",IFERROR(INDEX(games!$B$2:$B$950,MATCH(connections!$B937,games!$A$2:$A$950,0)),""))</f>
        <v>2015</v>
      </c>
      <c r="V938">
        <f t="shared" si="194"/>
        <v>10</v>
      </c>
    </row>
    <row r="939" spans="1:22" x14ac:dyDescent="0.25">
      <c r="A939" t="str">
        <f>IF(games!$A939="","",games!$A939)</f>
        <v/>
      </c>
      <c r="B939" t="str">
        <f>IF($A939="","",games!$B939)</f>
        <v/>
      </c>
      <c r="C939" t="str">
        <f>IF($A939="","",games!$C939)</f>
        <v/>
      </c>
      <c r="D939" t="str">
        <f>IF($A939="","",COUNTIF(connections!$A$2:$A$1496,$A939)+COUNTIF(connections!$B$2:$B$1496,$A939))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2021</v>
      </c>
      <c r="U939">
        <f>IF(connections!$A938="","",IFERROR(INDEX(games!$B$2:$B$950,MATCH(connections!$B938,games!$A$2:$A$950,0)),""))</f>
        <v>2026</v>
      </c>
      <c r="V939">
        <f t="shared" si="194"/>
        <v>5</v>
      </c>
    </row>
    <row r="940" spans="1:22" x14ac:dyDescent="0.25">
      <c r="A940" t="str">
        <f>IF(games!$A940="","",games!$A940)</f>
        <v/>
      </c>
      <c r="B940" t="str">
        <f>IF($A940="","",games!$B940)</f>
        <v/>
      </c>
      <c r="C940" t="str">
        <f>IF($A940="","",games!$C940)</f>
        <v/>
      </c>
      <c r="D940" t="str">
        <f>IF($A940="","",COUNTIF(connections!$A$2:$A$1496,$A940)+COUNTIF(connections!$B$2:$B$1496,$A940))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2020</v>
      </c>
      <c r="U940">
        <f>IF(connections!$A939="","",IFERROR(INDEX(games!$B$2:$B$950,MATCH(connections!$B939,games!$A$2:$A$950,0)),""))</f>
        <v>2024</v>
      </c>
      <c r="V940">
        <f t="shared" si="194"/>
        <v>4</v>
      </c>
    </row>
    <row r="941" spans="1:22" x14ac:dyDescent="0.25">
      <c r="A941" t="str">
        <f>IF(games!$A941="","",games!$A941)</f>
        <v/>
      </c>
      <c r="B941" t="str">
        <f>IF($A941="","",games!$B941)</f>
        <v/>
      </c>
      <c r="C941" t="str">
        <f>IF($A941="","",games!$C941)</f>
        <v/>
      </c>
      <c r="D941" t="str">
        <f>IF($A941="","",COUNTIF(connections!$A$2:$A$1496,$A941)+COUNTIF(connections!$B$2:$B$1496,$A941))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2021</v>
      </c>
      <c r="U941">
        <f>IF(connections!$A940="","",IFERROR(INDEX(games!$B$2:$B$950,MATCH(connections!$B940,games!$A$2:$A$950,0)),""))</f>
        <v>2025</v>
      </c>
      <c r="V941">
        <f t="shared" si="194"/>
        <v>4</v>
      </c>
    </row>
    <row r="942" spans="1:22" x14ac:dyDescent="0.25">
      <c r="A942" t="str">
        <f>IF(games!$A942="","",games!$A942)</f>
        <v/>
      </c>
      <c r="B942" t="str">
        <f>IF($A942="","",games!$B942)</f>
        <v/>
      </c>
      <c r="C942" t="str">
        <f>IF($A942="","",games!$C942)</f>
        <v/>
      </c>
      <c r="D942" t="str">
        <f>IF($A942="","",COUNTIF(connections!$A$2:$A$1496,$A942)+COUNTIF(connections!$B$2:$B$1496,$A942))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2024</v>
      </c>
      <c r="U942">
        <f>IF(connections!$A941="","",IFERROR(INDEX(games!$B$2:$B$950,MATCH(connections!$B941,games!$A$2:$A$950,0)),""))</f>
        <v>2025</v>
      </c>
      <c r="V942">
        <f t="shared" si="194"/>
        <v>1</v>
      </c>
    </row>
    <row r="943" spans="1:22" x14ac:dyDescent="0.25">
      <c r="A943" t="str">
        <f>IF(games!$A943="","",games!$A943)</f>
        <v/>
      </c>
      <c r="B943" t="str">
        <f>IF($A943="","",games!$B943)</f>
        <v/>
      </c>
      <c r="C943" t="str">
        <f>IF($A943="","",games!$C943)</f>
        <v/>
      </c>
      <c r="D943" t="str">
        <f>IF($A943="","",COUNTIF(connections!$A$2:$A$1496,$A943)+COUNTIF(connections!$B$2:$B$1496,$A943))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2025</v>
      </c>
      <c r="V943">
        <f t="shared" si="194"/>
        <v>8</v>
      </c>
    </row>
    <row r="944" spans="1:22" x14ac:dyDescent="0.25">
      <c r="A944" t="str">
        <f>IF(games!$A944="","",games!$A944)</f>
        <v/>
      </c>
      <c r="B944" t="str">
        <f>IF($A944="","",games!$B944)</f>
        <v/>
      </c>
      <c r="C944" t="str">
        <f>IF($A944="","",games!$C944)</f>
        <v/>
      </c>
      <c r="D944" t="str">
        <f>IF($A944="","",COUNTIF(connections!$A$2:$A$1496,$A944)+COUNTIF(connections!$B$2:$B$1496,$A944))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1994</v>
      </c>
      <c r="U944">
        <f>IF(connections!$A943="","",IFERROR(INDEX(games!$B$2:$B$950,MATCH(connections!$B943,games!$A$2:$A$950,0)),""))</f>
        <v>2003</v>
      </c>
      <c r="V944">
        <f t="shared" si="194"/>
        <v>9</v>
      </c>
    </row>
    <row r="945" spans="1:22" x14ac:dyDescent="0.25">
      <c r="A945" t="str">
        <f>IF(games!$A945="","",games!$A945)</f>
        <v/>
      </c>
      <c r="B945" t="str">
        <f>IF($A945="","",games!$B945)</f>
        <v/>
      </c>
      <c r="C945" t="str">
        <f>IF($A945="","",games!$C945)</f>
        <v/>
      </c>
      <c r="D945" t="str">
        <f>IF($A945="","",COUNTIF(connections!$A$2:$A$1496,$A945)+COUNTIF(connections!$B$2:$B$1496,$A945))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1990</v>
      </c>
      <c r="U945">
        <f>IF(connections!$A944="","",IFERROR(INDEX(games!$B$2:$B$950,MATCH(connections!$B944,games!$A$2:$A$950,0)),""))</f>
        <v>2003</v>
      </c>
      <c r="V945">
        <f t="shared" si="194"/>
        <v>13</v>
      </c>
    </row>
    <row r="946" spans="1:22" x14ac:dyDescent="0.25">
      <c r="A946" t="str">
        <f>IF(games!$A946="","",games!$A946)</f>
        <v/>
      </c>
      <c r="B946" t="str">
        <f>IF($A946="","",games!$B946)</f>
        <v/>
      </c>
      <c r="C946" t="str">
        <f>IF($A946="","",games!$C946)</f>
        <v/>
      </c>
      <c r="D946" t="str">
        <f>IF($A946="","",COUNTIF(connections!$A$2:$A$1496,$A946)+COUNTIF(connections!$B$2:$B$1496,$A946))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1996</v>
      </c>
      <c r="U946">
        <f>IF(connections!$A945="","",IFERROR(INDEX(games!$B$2:$B$950,MATCH(connections!$B945,games!$A$2:$A$950,0)),""))</f>
        <v>2003</v>
      </c>
      <c r="V946">
        <f t="shared" si="194"/>
        <v>7</v>
      </c>
    </row>
    <row r="947" spans="1:22" x14ac:dyDescent="0.25">
      <c r="A947" t="str">
        <f>IF(games!$A947="","",games!$A947)</f>
        <v/>
      </c>
      <c r="B947" t="str">
        <f>IF($A947="","",games!$B947)</f>
        <v/>
      </c>
      <c r="C947" t="str">
        <f>IF($A947="","",games!$C947)</f>
        <v/>
      </c>
      <c r="D947" t="str">
        <f>IF($A947="","",COUNTIF(connections!$A$2:$A$1496,$A947)+COUNTIF(connections!$B$2:$B$1496,$A947))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1995</v>
      </c>
      <c r="U947">
        <f>IF(connections!$A946="","",IFERROR(INDEX(games!$B$2:$B$950,MATCH(connections!$B946,games!$A$2:$A$950,0)),""))</f>
        <v>2003</v>
      </c>
      <c r="V947">
        <f t="shared" si="194"/>
        <v>8</v>
      </c>
    </row>
    <row r="948" spans="1:22" x14ac:dyDescent="0.25">
      <c r="A948" t="str">
        <f>IF(games!$A948="","",games!$A948)</f>
        <v/>
      </c>
      <c r="B948" t="str">
        <f>IF($A948="","",games!$B948)</f>
        <v/>
      </c>
      <c r="C948" t="str">
        <f>IF($A948="","",games!$C948)</f>
        <v/>
      </c>
      <c r="D948" t="str">
        <f>IF($A948="","",COUNTIF(connections!$A$2:$A$1496,$A948)+COUNTIF(connections!$B$2:$B$1496,$A948))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1983</v>
      </c>
      <c r="U948">
        <f>IF(connections!$A947="","",IFERROR(INDEX(games!$B$2:$B$950,MATCH(connections!$B947,games!$A$2:$A$950,0)),""))</f>
        <v>2003</v>
      </c>
      <c r="V948">
        <f t="shared" si="194"/>
        <v>20</v>
      </c>
    </row>
    <row r="949" spans="1:22" x14ac:dyDescent="0.25">
      <c r="A949" t="str">
        <f>IF(games!$A949="","",games!$A949)</f>
        <v/>
      </c>
      <c r="B949" t="str">
        <f>IF($A949="","",games!$B949)</f>
        <v/>
      </c>
      <c r="C949" t="str">
        <f>IF($A949="","",games!$C949)</f>
        <v/>
      </c>
      <c r="D949" t="str">
        <f>IF($A949="","",COUNTIF(connections!$A$2:$A$1496,$A949)+COUNTIF(connections!$B$2:$B$1496,$A949))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1987</v>
      </c>
      <c r="U949">
        <f>IF(connections!$A948="","",IFERROR(INDEX(games!$B$2:$B$950,MATCH(connections!$B948,games!$A$2:$A$950,0)),""))</f>
        <v>2003</v>
      </c>
      <c r="V949">
        <f t="shared" si="194"/>
        <v>16</v>
      </c>
    </row>
    <row r="950" spans="1:22" x14ac:dyDescent="0.25">
      <c r="A950" t="str">
        <f>IF(games!$A950="","",games!$A950)</f>
        <v/>
      </c>
      <c r="B950" t="str">
        <f>IF($A950="","",games!$B950)</f>
        <v/>
      </c>
      <c r="C950" t="str">
        <f>IF($A950="","",games!$C950)</f>
        <v/>
      </c>
      <c r="D950" t="str">
        <f>IF($A950="","",COUNTIF(connections!$A$2:$A$1496,$A950)+COUNTIF(connections!$B$2:$B$1496,$A950))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2019</v>
      </c>
      <c r="U950">
        <f>IF(connections!$A949="","",IFERROR(INDEX(games!$B$2:$B$950,MATCH(connections!$B949,games!$A$2:$A$950,0)),""))</f>
        <v>2024</v>
      </c>
      <c r="V950">
        <f t="shared" si="194"/>
        <v>5</v>
      </c>
    </row>
    <row r="951" spans="1:22" x14ac:dyDescent="0.25">
      <c r="T951">
        <f>IF(connections!$A950="","",IFERROR(INDEX(games!$B$2:$B$950,MATCH(connections!$A950,games!$A$2:$A$950,0)),""))</f>
        <v>2011</v>
      </c>
      <c r="U951">
        <f>IF(connections!$A950="","",IFERROR(INDEX(games!$B$2:$B$950,MATCH(connections!$B950,games!$A$2:$A$950,0)),""))</f>
        <v>2026</v>
      </c>
      <c r="V951">
        <f t="shared" si="194"/>
        <v>15</v>
      </c>
    </row>
    <row r="952" spans="1:22" x14ac:dyDescent="0.25">
      <c r="T952">
        <f>IF(connections!$A951="","",IFERROR(INDEX(games!$B$2:$B$950,MATCH(connections!$A951,games!$A$2:$A$950,0)),""))</f>
        <v>2019</v>
      </c>
      <c r="U952">
        <f>IF(connections!$A951="","",IFERROR(INDEX(games!$B$2:$B$950,MATCH(connections!$B951,games!$A$2:$A$950,0)),""))</f>
        <v>2026</v>
      </c>
      <c r="V952">
        <f t="shared" si="194"/>
        <v>7</v>
      </c>
    </row>
    <row r="953" spans="1:22" x14ac:dyDescent="0.25">
      <c r="T953">
        <f>IF(connections!$A952="","",IFERROR(INDEX(games!$B$2:$B$950,MATCH(connections!$A952,games!$A$2:$A$950,0)),""))</f>
        <v>2019</v>
      </c>
      <c r="U953">
        <f>IF(connections!$A952="","",IFERROR(INDEX(games!$B$2:$B$950,MATCH(connections!$B952,games!$A$2:$A$950,0)),""))</f>
        <v>2022</v>
      </c>
      <c r="V953">
        <f t="shared" si="194"/>
        <v>3</v>
      </c>
    </row>
    <row r="954" spans="1:22" x14ac:dyDescent="0.25">
      <c r="T954">
        <f>IF(connections!$A953="","",IFERROR(INDEX(games!$B$2:$B$950,MATCH(connections!$A953,games!$A$2:$A$950,0)),""))</f>
        <v>2013</v>
      </c>
      <c r="U954">
        <f>IF(connections!$A953="","",IFERROR(INDEX(games!$B$2:$B$950,MATCH(connections!$B953,games!$A$2:$A$950,0)),""))</f>
        <v>2022</v>
      </c>
      <c r="V954">
        <f t="shared" si="194"/>
        <v>9</v>
      </c>
    </row>
    <row r="955" spans="1:22" x14ac:dyDescent="0.25">
      <c r="T955">
        <f>IF(connections!$A954="","",IFERROR(INDEX(games!$B$2:$B$950,MATCH(connections!$A954,games!$A$2:$A$950,0)),""))</f>
        <v>2018</v>
      </c>
      <c r="U955">
        <f>IF(connections!$A954="","",IFERROR(INDEX(games!$B$2:$B$950,MATCH(connections!$B954,games!$A$2:$A$950,0)),""))</f>
        <v>2022</v>
      </c>
      <c r="V955">
        <f t="shared" si="194"/>
        <v>4</v>
      </c>
    </row>
    <row r="956" spans="1:22" x14ac:dyDescent="0.25">
      <c r="T956">
        <f>IF(connections!$A955="","",IFERROR(INDEX(games!$B$2:$B$950,MATCH(connections!$A955,games!$A$2:$A$950,0)),""))</f>
        <v>2022</v>
      </c>
      <c r="U956">
        <f>IF(connections!$A955="","",IFERROR(INDEX(games!$B$2:$B$950,MATCH(connections!$B955,games!$A$2:$A$950,0)),""))</f>
        <v>2024</v>
      </c>
      <c r="V956">
        <f t="shared" si="194"/>
        <v>2</v>
      </c>
    </row>
    <row r="957" spans="1:22" x14ac:dyDescent="0.25">
      <c r="T957">
        <f>IF(connections!$A956="","",IFERROR(INDEX(games!$B$2:$B$950,MATCH(connections!$A956,games!$A$2:$A$950,0)),""))</f>
        <v>2002</v>
      </c>
      <c r="U957">
        <f>IF(connections!$A956="","",IFERROR(INDEX(games!$B$2:$B$950,MATCH(connections!$B956,games!$A$2:$A$950,0)),""))</f>
        <v>2023</v>
      </c>
      <c r="V957">
        <f t="shared" si="194"/>
        <v>21</v>
      </c>
    </row>
    <row r="958" spans="1:22" x14ac:dyDescent="0.25">
      <c r="T958">
        <f>IF(connections!$A957="","",IFERROR(INDEX(games!$B$2:$B$950,MATCH(connections!$A957,games!$A$2:$A$950,0)),""))</f>
        <v>1980</v>
      </c>
      <c r="U958">
        <f>IF(connections!$A957="","",IFERROR(INDEX(games!$B$2:$B$950,MATCH(connections!$B957,games!$A$2:$A$950,0)),""))</f>
        <v>2023</v>
      </c>
      <c r="V958">
        <f t="shared" si="194"/>
        <v>43</v>
      </c>
    </row>
    <row r="959" spans="1:22" x14ac:dyDescent="0.25">
      <c r="T959">
        <f>IF(connections!$A958="","",IFERROR(INDEX(games!$B$2:$B$950,MATCH(connections!$A958,games!$A$2:$A$950,0)),""))</f>
        <v>2010</v>
      </c>
      <c r="U959">
        <f>IF(connections!$A958="","",IFERROR(INDEX(games!$B$2:$B$950,MATCH(connections!$B958,games!$A$2:$A$950,0)),""))</f>
        <v>2014</v>
      </c>
      <c r="V959">
        <f t="shared" si="194"/>
        <v>4</v>
      </c>
    </row>
    <row r="960" spans="1:22" x14ac:dyDescent="0.25">
      <c r="T960">
        <f>IF(connections!$A959="","",IFERROR(INDEX(games!$B$2:$B$950,MATCH(connections!$A959,games!$A$2:$A$950,0)),""))</f>
        <v>2011</v>
      </c>
      <c r="U960">
        <f>IF(connections!$A959="","",IFERROR(INDEX(games!$B$2:$B$950,MATCH(connections!$B959,games!$A$2:$A$950,0)),""))</f>
        <v>2014</v>
      </c>
      <c r="V960">
        <f t="shared" si="194"/>
        <v>3</v>
      </c>
    </row>
    <row r="961" spans="20:22" x14ac:dyDescent="0.25">
      <c r="T961">
        <f>IF(connections!$A960="","",IFERROR(INDEX(games!$B$2:$B$950,MATCH(connections!$A960,games!$A$2:$A$950,0)),""))</f>
        <v>2019</v>
      </c>
      <c r="U961">
        <f>IF(connections!$A960="","",IFERROR(INDEX(games!$B$2:$B$950,MATCH(connections!$B960,games!$A$2:$A$950,0)),""))</f>
        <v>2024</v>
      </c>
      <c r="V961">
        <f t="shared" si="194"/>
        <v>5</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2024</v>
      </c>
      <c r="U963">
        <f>IF(connections!$A962="","",IFERROR(INDEX(games!$B$2:$B$950,MATCH(connections!$B962,games!$A$2:$A$950,0)),""))</f>
        <v>2026</v>
      </c>
      <c r="V963">
        <f t="shared" si="195"/>
        <v>2</v>
      </c>
    </row>
    <row r="964" spans="20:22" x14ac:dyDescent="0.25">
      <c r="T964">
        <f>IF(connections!$A963="","",IFERROR(INDEX(games!$B$2:$B$950,MATCH(connections!$A963,games!$A$2:$A$950,0)),""))</f>
        <v>2014</v>
      </c>
      <c r="U964">
        <f>IF(connections!$A963="","",IFERROR(INDEX(games!$B$2:$B$950,MATCH(connections!$B963,games!$A$2:$A$950,0)),""))</f>
        <v>2024</v>
      </c>
      <c r="V964">
        <f t="shared" si="195"/>
        <v>10</v>
      </c>
    </row>
    <row r="965" spans="20:22" x14ac:dyDescent="0.25">
      <c r="T965">
        <f>IF(connections!$A964="","",IFERROR(INDEX(games!$B$2:$B$950,MATCH(connections!$A964,games!$A$2:$A$950,0)),""))</f>
        <v>2022</v>
      </c>
      <c r="U965">
        <f>IF(connections!$A964="","",IFERROR(INDEX(games!$B$2:$B$950,MATCH(connections!$B964,games!$A$2:$A$950,0)),""))</f>
        <v>2024</v>
      </c>
      <c r="V965">
        <f t="shared" si="195"/>
        <v>2</v>
      </c>
    </row>
    <row r="966" spans="20:22" x14ac:dyDescent="0.25">
      <c r="T966">
        <f>IF(connections!$A965="","",IFERROR(INDEX(games!$B$2:$B$950,MATCH(connections!$A965,games!$A$2:$A$950,0)),""))</f>
        <v>1987</v>
      </c>
      <c r="U966">
        <f>IF(connections!$A965="","",IFERROR(INDEX(games!$B$2:$B$950,MATCH(connections!$B965,games!$A$2:$A$950,0)),""))</f>
        <v>1992</v>
      </c>
      <c r="V966">
        <f t="shared" si="195"/>
        <v>5</v>
      </c>
    </row>
    <row r="967" spans="20:22" x14ac:dyDescent="0.25">
      <c r="T967">
        <f>IF(connections!$A966="","",IFERROR(INDEX(games!$B$2:$B$950,MATCH(connections!$A966,games!$A$2:$A$950,0)),""))</f>
        <v>1980</v>
      </c>
      <c r="U967">
        <f>IF(connections!$A966="","",IFERROR(INDEX(games!$B$2:$B$950,MATCH(connections!$B966,games!$A$2:$A$950,0)),""))</f>
        <v>1992</v>
      </c>
      <c r="V967">
        <f t="shared" si="195"/>
        <v>12</v>
      </c>
    </row>
    <row r="968" spans="20:22" x14ac:dyDescent="0.25">
      <c r="T968">
        <f>IF(connections!$A967="","",IFERROR(INDEX(games!$B$2:$B$950,MATCH(connections!$A967,games!$A$2:$A$950,0)),""))</f>
        <v>2016</v>
      </c>
      <c r="U968">
        <f>IF(connections!$A967="","",IFERROR(INDEX(games!$B$2:$B$950,MATCH(connections!$B967,games!$A$2:$A$950,0)),""))</f>
        <v>2024</v>
      </c>
      <c r="V968">
        <f t="shared" si="195"/>
        <v>8</v>
      </c>
    </row>
    <row r="969" spans="20:22" x14ac:dyDescent="0.25">
      <c r="T969">
        <f>IF(connections!$A968="","",IFERROR(INDEX(games!$B$2:$B$950,MATCH(connections!$A968,games!$A$2:$A$950,0)),""))</f>
        <v>2015</v>
      </c>
      <c r="U969">
        <f>IF(connections!$A968="","",IFERROR(INDEX(games!$B$2:$B$950,MATCH(connections!$B968,games!$A$2:$A$950,0)),""))</f>
        <v>2024</v>
      </c>
      <c r="V969">
        <f t="shared" si="195"/>
        <v>9</v>
      </c>
    </row>
    <row r="970" spans="20:22" x14ac:dyDescent="0.25">
      <c r="T970">
        <f>IF(connections!$A969="","",IFERROR(INDEX(games!$B$2:$B$950,MATCH(connections!$A969,games!$A$2:$A$950,0)),""))</f>
        <v>2011</v>
      </c>
      <c r="U970">
        <f>IF(connections!$A969="","",IFERROR(INDEX(games!$B$2:$B$950,MATCH(connections!$B969,games!$A$2:$A$950,0)),""))</f>
        <v>2015</v>
      </c>
      <c r="V970">
        <f t="shared" si="195"/>
        <v>4</v>
      </c>
    </row>
    <row r="971" spans="20:22" x14ac:dyDescent="0.25">
      <c r="T971">
        <f>IF(connections!$A970="","",IFERROR(INDEX(games!$B$2:$B$950,MATCH(connections!$A970,games!$A$2:$A$950,0)),""))</f>
        <v>2012</v>
      </c>
      <c r="U971">
        <f>IF(connections!$A970="","",IFERROR(INDEX(games!$B$2:$B$950,MATCH(connections!$B970,games!$A$2:$A$950,0)),""))</f>
        <v>2026</v>
      </c>
      <c r="V971">
        <f t="shared" si="195"/>
        <v>14</v>
      </c>
    </row>
    <row r="972" spans="20:22" x14ac:dyDescent="0.25">
      <c r="T972">
        <f>IF(connections!$A971="","",IFERROR(INDEX(games!$B$2:$B$950,MATCH(connections!$A971,games!$A$2:$A$950,0)),""))</f>
        <v>2016</v>
      </c>
      <c r="U972">
        <f>IF(connections!$A971="","",IFERROR(INDEX(games!$B$2:$B$950,MATCH(connections!$B971,games!$A$2:$A$950,0)),""))</f>
        <v>2019</v>
      </c>
      <c r="V972">
        <f t="shared" si="195"/>
        <v>3</v>
      </c>
    </row>
    <row r="973" spans="20:22" x14ac:dyDescent="0.25">
      <c r="T973">
        <f>IF(connections!$A972="","",IFERROR(INDEX(games!$B$2:$B$950,MATCH(connections!$A972,games!$A$2:$A$950,0)),""))</f>
        <v>2017</v>
      </c>
      <c r="U973">
        <f>IF(connections!$A972="","",IFERROR(INDEX(games!$B$2:$B$950,MATCH(connections!$B972,games!$A$2:$A$950,0)),""))</f>
        <v>2019</v>
      </c>
      <c r="V973">
        <f t="shared" si="195"/>
        <v>2</v>
      </c>
    </row>
    <row r="974" spans="20:22" x14ac:dyDescent="0.25">
      <c r="T974">
        <f>IF(connections!$A973="","",IFERROR(INDEX(games!$B$2:$B$950,MATCH(connections!$A973,games!$A$2:$A$950,0)),""))</f>
        <v>2020</v>
      </c>
      <c r="U974">
        <f>IF(connections!$A973="","",IFERROR(INDEX(games!$B$2:$B$950,MATCH(connections!$B973,games!$A$2:$A$950,0)),""))</f>
        <v>2023</v>
      </c>
      <c r="V974">
        <f t="shared" si="195"/>
        <v>3</v>
      </c>
    </row>
    <row r="975" spans="20:22" x14ac:dyDescent="0.25">
      <c r="T975">
        <f>IF(connections!$A974="","",IFERROR(INDEX(games!$B$2:$B$950,MATCH(connections!$A974,games!$A$2:$A$950,0)),""))</f>
        <v>2018</v>
      </c>
      <c r="U975">
        <f>IF(connections!$A974="","",IFERROR(INDEX(games!$B$2:$B$950,MATCH(connections!$B974,games!$A$2:$A$950,0)),""))</f>
        <v>2025</v>
      </c>
      <c r="V975">
        <f t="shared" si="195"/>
        <v>7</v>
      </c>
    </row>
    <row r="976" spans="20:22" x14ac:dyDescent="0.25">
      <c r="T976">
        <f>IF(connections!$A975="","",IFERROR(INDEX(games!$B$2:$B$950,MATCH(connections!$A975,games!$A$2:$A$950,0)),""))</f>
        <v>2019</v>
      </c>
      <c r="U976">
        <f>IF(connections!$A975="","",IFERROR(INDEX(games!$B$2:$B$950,MATCH(connections!$B975,games!$A$2:$A$950,0)),""))</f>
        <v>2025</v>
      </c>
      <c r="V976">
        <f t="shared" si="195"/>
        <v>6</v>
      </c>
    </row>
    <row r="977" spans="20:22" x14ac:dyDescent="0.25">
      <c r="T977">
        <f>IF(connections!$A976="","",IFERROR(INDEX(games!$B$2:$B$950,MATCH(connections!$A976,games!$A$2:$A$950,0)),""))</f>
        <v>2019</v>
      </c>
      <c r="U977">
        <f>IF(connections!$A976="","",IFERROR(INDEX(games!$B$2:$B$950,MATCH(connections!$B976,games!$A$2:$A$950,0)),""))</f>
        <v>2024</v>
      </c>
      <c r="V977">
        <f t="shared" si="195"/>
        <v>5</v>
      </c>
    </row>
    <row r="978" spans="20:22" x14ac:dyDescent="0.25">
      <c r="T978">
        <f>IF(connections!$A977="","",IFERROR(INDEX(games!$B$2:$B$950,MATCH(connections!$A977,games!$A$2:$A$950,0)),""))</f>
        <v>2020</v>
      </c>
      <c r="U978">
        <f>IF(connections!$A977="","",IFERROR(INDEX(games!$B$2:$B$950,MATCH(connections!$B977,games!$A$2:$A$950,0)),""))</f>
        <v>2024</v>
      </c>
      <c r="V978">
        <f t="shared" si="195"/>
        <v>4</v>
      </c>
    </row>
    <row r="979" spans="20:22" x14ac:dyDescent="0.25">
      <c r="T979">
        <f>IF(connections!$A978="","",IFERROR(INDEX(games!$B$2:$B$950,MATCH(connections!$A978,games!$A$2:$A$950,0)),""))</f>
        <v>1987</v>
      </c>
      <c r="U979">
        <f>IF(connections!$A978="","",IFERROR(INDEX(games!$B$2:$B$950,MATCH(connections!$B978,games!$A$2:$A$950,0)),""))</f>
        <v>2010</v>
      </c>
      <c r="V979">
        <f t="shared" si="195"/>
        <v>23</v>
      </c>
    </row>
    <row r="980" spans="20:22" x14ac:dyDescent="0.25">
      <c r="T980">
        <f>IF(connections!$A979="","",IFERROR(INDEX(games!$B$2:$B$950,MATCH(connections!$A979,games!$A$2:$A$950,0)),""))</f>
        <v>2008</v>
      </c>
      <c r="U980">
        <f>IF(connections!$A979="","",IFERROR(INDEX(games!$B$2:$B$950,MATCH(connections!$B979,games!$A$2:$A$950,0)),""))</f>
        <v>2010</v>
      </c>
      <c r="V980">
        <f t="shared" si="195"/>
        <v>2</v>
      </c>
    </row>
    <row r="981" spans="20:22" x14ac:dyDescent="0.25">
      <c r="T981">
        <f>IF(connections!$A980="","",IFERROR(INDEX(games!$B$2:$B$950,MATCH(connections!$A980,games!$A$2:$A$950,0)),""))</f>
        <v>2015</v>
      </c>
      <c r="U981">
        <f>IF(connections!$A980="","",IFERROR(INDEX(games!$B$2:$B$950,MATCH(connections!$B980,games!$A$2:$A$950,0)),""))</f>
        <v>2012</v>
      </c>
      <c r="V981">
        <f t="shared" si="195"/>
        <v>-3</v>
      </c>
    </row>
    <row r="982" spans="20:22" x14ac:dyDescent="0.25">
      <c r="T982">
        <f>IF(connections!$A981="","",IFERROR(INDEX(games!$B$2:$B$950,MATCH(connections!$A981,games!$A$2:$A$950,0)),""))</f>
        <v>1980</v>
      </c>
      <c r="U982">
        <f>IF(connections!$A981="","",IFERROR(INDEX(games!$B$2:$B$950,MATCH(connections!$B981,games!$A$2:$A$950,0)),""))</f>
        <v>2012</v>
      </c>
      <c r="V982">
        <f t="shared" si="195"/>
        <v>32</v>
      </c>
    </row>
    <row r="983" spans="20:22" x14ac:dyDescent="0.25">
      <c r="T983">
        <f>IF(connections!$A982="","",IFERROR(INDEX(games!$B$2:$B$950,MATCH(connections!$A982,games!$A$2:$A$950,0)),""))</f>
        <v>2008</v>
      </c>
      <c r="U983">
        <f>IF(connections!$A982="","",IFERROR(INDEX(games!$B$2:$B$950,MATCH(connections!$B982,games!$A$2:$A$950,0)),""))</f>
        <v>2012</v>
      </c>
      <c r="V983">
        <f t="shared" si="195"/>
        <v>4</v>
      </c>
    </row>
    <row r="984" spans="20:22" x14ac:dyDescent="0.25">
      <c r="T984">
        <f>IF(connections!$A983="","",IFERROR(INDEX(games!$B$2:$B$950,MATCH(connections!$A983,games!$A$2:$A$950,0)),""))</f>
        <v>1996</v>
      </c>
      <c r="U984">
        <f>IF(connections!$A983="","",IFERROR(INDEX(games!$B$2:$B$950,MATCH(connections!$B983,games!$A$2:$A$950,0)),""))</f>
        <v>2025</v>
      </c>
      <c r="V984">
        <f t="shared" si="195"/>
        <v>29</v>
      </c>
    </row>
    <row r="985" spans="20:22" x14ac:dyDescent="0.25">
      <c r="T985">
        <f>IF(connections!$A984="","",IFERROR(INDEX(games!$B$2:$B$950,MATCH(connections!$A984,games!$A$2:$A$950,0)),""))</f>
        <v>2019</v>
      </c>
      <c r="U985">
        <f>IF(connections!$A984="","",IFERROR(INDEX(games!$B$2:$B$950,MATCH(connections!$B984,games!$A$2:$A$950,0)),""))</f>
        <v>2025</v>
      </c>
      <c r="V985">
        <f t="shared" si="195"/>
        <v>6</v>
      </c>
    </row>
    <row r="986" spans="20:22" x14ac:dyDescent="0.25">
      <c r="T986">
        <f>IF(connections!$A985="","",IFERROR(INDEX(games!$B$2:$B$950,MATCH(connections!$A985,games!$A$2:$A$950,0)),""))</f>
        <v>2012</v>
      </c>
      <c r="U986">
        <f>IF(connections!$A985="","",IFERROR(INDEX(games!$B$2:$B$950,MATCH(connections!$B985,games!$A$2:$A$950,0)),""))</f>
        <v>2015</v>
      </c>
      <c r="V986">
        <f t="shared" si="195"/>
        <v>3</v>
      </c>
    </row>
    <row r="987" spans="20:22" x14ac:dyDescent="0.25">
      <c r="T987">
        <f>IF(connections!$A986="","",IFERROR(INDEX(games!$B$2:$B$950,MATCH(connections!$A986,games!$A$2:$A$950,0)),""))</f>
        <v>2015</v>
      </c>
      <c r="U987">
        <f>IF(connections!$A986="","",IFERROR(INDEX(games!$B$2:$B$950,MATCH(connections!$B986,games!$A$2:$A$950,0)),""))</f>
        <v>2022</v>
      </c>
      <c r="V987">
        <f t="shared" si="195"/>
        <v>7</v>
      </c>
    </row>
    <row r="988" spans="20:22" x14ac:dyDescent="0.25">
      <c r="T988">
        <f>IF(connections!$A987="","",IFERROR(INDEX(games!$B$2:$B$950,MATCH(connections!$A987,games!$A$2:$A$950,0)),""))</f>
        <v>2023</v>
      </c>
      <c r="U988">
        <f>IF(connections!$A987="","",IFERROR(INDEX(games!$B$2:$B$950,MATCH(connections!$B987,games!$A$2:$A$950,0)),""))</f>
        <v>2025</v>
      </c>
      <c r="V988">
        <f t="shared" si="195"/>
        <v>2</v>
      </c>
    </row>
    <row r="989" spans="20:22" x14ac:dyDescent="0.25">
      <c r="T989">
        <f>IF(connections!$A988="","",IFERROR(INDEX(games!$B$2:$B$950,MATCH(connections!$A988,games!$A$2:$A$950,0)),""))</f>
        <v>2017</v>
      </c>
      <c r="U989">
        <f>IF(connections!$A988="","",IFERROR(INDEX(games!$B$2:$B$950,MATCH(connections!$B988,games!$A$2:$A$950,0)),""))</f>
        <v>2025</v>
      </c>
      <c r="V989">
        <f t="shared" si="195"/>
        <v>8</v>
      </c>
    </row>
    <row r="990" spans="20:22" x14ac:dyDescent="0.25">
      <c r="T990">
        <f>IF(connections!$A989="","",IFERROR(INDEX(games!$B$2:$B$950,MATCH(connections!$A989,games!$A$2:$A$950,0)),""))</f>
        <v>2021</v>
      </c>
      <c r="U990">
        <f>IF(connections!$A989="","",IFERROR(INDEX(games!$B$2:$B$950,MATCH(connections!$B989,games!$A$2:$A$950,0)),""))</f>
        <v>2023</v>
      </c>
      <c r="V990">
        <f t="shared" si="195"/>
        <v>2</v>
      </c>
    </row>
    <row r="991" spans="20:22" x14ac:dyDescent="0.25">
      <c r="T991">
        <f>IF(connections!$A990="","",IFERROR(INDEX(games!$B$2:$B$950,MATCH(connections!$A990,games!$A$2:$A$950,0)),""))</f>
        <v>2011</v>
      </c>
      <c r="U991">
        <f>IF(connections!$A990="","",IFERROR(INDEX(games!$B$2:$B$950,MATCH(connections!$B990,games!$A$2:$A$950,0)),""))</f>
        <v>2021</v>
      </c>
      <c r="V991">
        <f t="shared" si="195"/>
        <v>10</v>
      </c>
    </row>
    <row r="992" spans="20:22" x14ac:dyDescent="0.25">
      <c r="T992">
        <f>IF(connections!$A991="","",IFERROR(INDEX(games!$B$2:$B$950,MATCH(connections!$A991,games!$A$2:$A$950,0)),""))</f>
        <v>2021</v>
      </c>
      <c r="U992">
        <f>IF(connections!$A991="","",IFERROR(INDEX(games!$B$2:$B$950,MATCH(connections!$B991,games!$A$2:$A$950,0)),""))</f>
        <v>2025</v>
      </c>
      <c r="V992">
        <f t="shared" si="195"/>
        <v>4</v>
      </c>
    </row>
    <row r="993" spans="20:22" x14ac:dyDescent="0.25">
      <c r="T993">
        <f>IF(connections!$A992="","",IFERROR(INDEX(games!$B$2:$B$950,MATCH(connections!$A992,games!$A$2:$A$950,0)),""))</f>
        <v>2023</v>
      </c>
      <c r="U993">
        <f>IF(connections!$A992="","",IFERROR(INDEX(games!$B$2:$B$950,MATCH(connections!$B992,games!$A$2:$A$950,0)),""))</f>
        <v>2025</v>
      </c>
      <c r="V993">
        <f t="shared" si="195"/>
        <v>2</v>
      </c>
    </row>
    <row r="994" spans="20:22" x14ac:dyDescent="0.25">
      <c r="T994">
        <f>IF(connections!$A993="","",IFERROR(INDEX(games!$B$2:$B$950,MATCH(connections!$A993,games!$A$2:$A$950,0)),""))</f>
        <v>2009</v>
      </c>
      <c r="U994">
        <f>IF(connections!$A993="","",IFERROR(INDEX(games!$B$2:$B$950,MATCH(connections!$B993,games!$A$2:$A$950,0)),""))</f>
        <v>2020</v>
      </c>
      <c r="V994">
        <f t="shared" si="195"/>
        <v>11</v>
      </c>
    </row>
    <row r="995" spans="20:22" x14ac:dyDescent="0.25">
      <c r="T995">
        <f>IF(connections!$A994="","",IFERROR(INDEX(games!$B$2:$B$950,MATCH(connections!$A994,games!$A$2:$A$950,0)),""))</f>
        <v>1996</v>
      </c>
      <c r="U995">
        <f>IF(connections!$A994="","",IFERROR(INDEX(games!$B$2:$B$950,MATCH(connections!$B994,games!$A$2:$A$950,0)),""))</f>
        <v>2020</v>
      </c>
      <c r="V995">
        <f t="shared" si="195"/>
        <v>24</v>
      </c>
    </row>
    <row r="996" spans="20:22" x14ac:dyDescent="0.25">
      <c r="T996">
        <f>IF(connections!$A995="","",IFERROR(INDEX(games!$B$2:$B$950,MATCH(connections!$A995,games!$A$2:$A$950,0)),""))</f>
        <v>2006</v>
      </c>
      <c r="U996">
        <f>IF(connections!$A995="","",IFERROR(INDEX(games!$B$2:$B$950,MATCH(connections!$B995,games!$A$2:$A$950,0)),""))</f>
        <v>2020</v>
      </c>
      <c r="V996">
        <f t="shared" si="195"/>
        <v>14</v>
      </c>
    </row>
    <row r="997" spans="20:22" x14ac:dyDescent="0.25">
      <c r="T997">
        <f>IF(connections!$A996="","",IFERROR(INDEX(games!$B$2:$B$950,MATCH(connections!$A996,games!$A$2:$A$950,0)),""))</f>
        <v>1987</v>
      </c>
      <c r="U997">
        <f>IF(connections!$A996="","",IFERROR(INDEX(games!$B$2:$B$950,MATCH(connections!$B996,games!$A$2:$A$950,0)),""))</f>
        <v>2020</v>
      </c>
      <c r="V997">
        <f t="shared" si="195"/>
        <v>33</v>
      </c>
    </row>
    <row r="998" spans="20:22" x14ac:dyDescent="0.25">
      <c r="T998">
        <f>IF(connections!$A997="","",IFERROR(INDEX(games!$B$2:$B$950,MATCH(connections!$A997,games!$A$2:$A$950,0)),""))</f>
        <v>1998</v>
      </c>
      <c r="U998">
        <f>IF(connections!$A997="","",IFERROR(INDEX(games!$B$2:$B$950,MATCH(connections!$B997,games!$A$2:$A$950,0)),""))</f>
        <v>2020</v>
      </c>
      <c r="V998">
        <f t="shared" si="195"/>
        <v>22</v>
      </c>
    </row>
    <row r="999" spans="20:22" x14ac:dyDescent="0.25">
      <c r="T999">
        <f>IF(connections!$A998="","",IFERROR(INDEX(games!$B$2:$B$950,MATCH(connections!$A998,games!$A$2:$A$950,0)),""))</f>
        <v>2020</v>
      </c>
      <c r="U999">
        <f>IF(connections!$A998="","",IFERROR(INDEX(games!$B$2:$B$950,MATCH(connections!$B998,games!$A$2:$A$950,0)),""))</f>
        <v>2024</v>
      </c>
      <c r="V999">
        <f t="shared" si="195"/>
        <v>4</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2020</v>
      </c>
      <c r="U1001">
        <f>IF(connections!$A1000="","",IFERROR(INDEX(games!$B$2:$B$950,MATCH(connections!$B1000,games!$A$2:$A$950,0)),""))</f>
        <v>2026</v>
      </c>
      <c r="V1001">
        <f t="shared" si="195"/>
        <v>6</v>
      </c>
    </row>
    <row r="1002" spans="20:22" x14ac:dyDescent="0.25">
      <c r="T1002">
        <f>IF(connections!$A1001="","",IFERROR(INDEX(games!$B$2:$B$950,MATCH(connections!$A1001,games!$A$2:$A$950,0)),""))</f>
        <v>2021</v>
      </c>
      <c r="U1002">
        <f>IF(connections!$A1001="","",IFERROR(INDEX(games!$B$2:$B$950,MATCH(connections!$B1001,games!$A$2:$A$950,0)),""))</f>
        <v>2026</v>
      </c>
      <c r="V1002">
        <f t="shared" si="195"/>
        <v>5</v>
      </c>
    </row>
    <row r="1003" spans="20:22" x14ac:dyDescent="0.25">
      <c r="T1003">
        <f>IF(connections!$A1002="","",IFERROR(INDEX(games!$B$2:$B$950,MATCH(connections!$A1002,games!$A$2:$A$950,0)),""))</f>
        <v>2017</v>
      </c>
      <c r="U1003">
        <f>IF(connections!$A1002="","",IFERROR(INDEX(games!$B$2:$B$950,MATCH(connections!$B1002,games!$A$2:$A$950,0)),""))</f>
        <v>2022</v>
      </c>
      <c r="V1003">
        <f t="shared" si="195"/>
        <v>5</v>
      </c>
    </row>
    <row r="1004" spans="20:22" x14ac:dyDescent="0.25">
      <c r="T1004">
        <f>IF(connections!$A1003="","",IFERROR(INDEX(games!$B$2:$B$950,MATCH(connections!$A1003,games!$A$2:$A$950,0)),""))</f>
        <v>2017</v>
      </c>
      <c r="U1004">
        <f>IF(connections!$A1003="","",IFERROR(INDEX(games!$B$2:$B$950,MATCH(connections!$B1003,games!$A$2:$A$950,0)),""))</f>
        <v>2020</v>
      </c>
      <c r="V1004">
        <f t="shared" si="195"/>
        <v>3</v>
      </c>
    </row>
    <row r="1005" spans="20:22" x14ac:dyDescent="0.25">
      <c r="T1005">
        <f>IF(connections!$A1004="","",IFERROR(INDEX(games!$B$2:$B$950,MATCH(connections!$A1004,games!$A$2:$A$950,0)),""))</f>
        <v>2015</v>
      </c>
      <c r="U1005">
        <f>IF(connections!$A1004="","",IFERROR(INDEX(games!$B$2:$B$950,MATCH(connections!$B1004,games!$A$2:$A$950,0)),""))</f>
        <v>2017</v>
      </c>
      <c r="V1005">
        <f t="shared" si="195"/>
        <v>2</v>
      </c>
    </row>
    <row r="1006" spans="20:22" x14ac:dyDescent="0.25">
      <c r="T1006">
        <f>IF(connections!$A1005="","",IFERROR(INDEX(games!$B$2:$B$950,MATCH(connections!$A1005,games!$A$2:$A$950,0)),""))</f>
        <v>2013</v>
      </c>
      <c r="U1006">
        <f>IF(connections!$A1005="","",IFERROR(INDEX(games!$B$2:$B$950,MATCH(connections!$B1005,games!$A$2:$A$950,0)),""))</f>
        <v>2020</v>
      </c>
      <c r="V1006">
        <f t="shared" si="195"/>
        <v>7</v>
      </c>
    </row>
    <row r="1007" spans="20:22" x14ac:dyDescent="0.25">
      <c r="T1007">
        <f>IF(connections!$A1006="","",IFERROR(INDEX(games!$B$2:$B$950,MATCH(connections!$A1006,games!$A$2:$A$950,0)),""))</f>
        <v>2013</v>
      </c>
      <c r="U1007">
        <f>IF(connections!$A1006="","",IFERROR(INDEX(games!$B$2:$B$950,MATCH(connections!$B1006,games!$A$2:$A$950,0)),""))</f>
        <v>2023</v>
      </c>
      <c r="V1007">
        <f t="shared" si="195"/>
        <v>10</v>
      </c>
    </row>
    <row r="1008" spans="20:22" x14ac:dyDescent="0.25">
      <c r="T1008">
        <f>IF(connections!$A1007="","",IFERROR(INDEX(games!$B$2:$B$950,MATCH(connections!$A1007,games!$A$2:$A$950,0)),""))</f>
        <v>2013</v>
      </c>
      <c r="U1008">
        <f>IF(connections!$A1007="","",IFERROR(INDEX(games!$B$2:$B$950,MATCH(connections!$B1007,games!$A$2:$A$950,0)),""))</f>
        <v>2014</v>
      </c>
      <c r="V1008">
        <f t="shared" si="195"/>
        <v>1</v>
      </c>
    </row>
    <row r="1009" spans="20:22" x14ac:dyDescent="0.25">
      <c r="T1009">
        <f>IF(connections!$A1008="","",IFERROR(INDEX(games!$B$2:$B$950,MATCH(connections!$A1008,games!$A$2:$A$950,0)),""))</f>
        <v>2012</v>
      </c>
      <c r="U1009">
        <f>IF(connections!$A1008="","",IFERROR(INDEX(games!$B$2:$B$950,MATCH(connections!$B1008,games!$A$2:$A$950,0)),""))</f>
        <v>2014</v>
      </c>
      <c r="V1009">
        <f t="shared" si="195"/>
        <v>2</v>
      </c>
    </row>
    <row r="1010" spans="20:22" x14ac:dyDescent="0.25">
      <c r="T1010">
        <f>IF(connections!$A1009="","",IFERROR(INDEX(games!$B$2:$B$950,MATCH(connections!$A1009,games!$A$2:$A$950,0)),""))</f>
        <v>2018</v>
      </c>
      <c r="U1010">
        <f>IF(connections!$A1009="","",IFERROR(INDEX(games!$B$2:$B$950,MATCH(connections!$B1009,games!$A$2:$A$950,0)),""))</f>
        <v>2020</v>
      </c>
      <c r="V1010">
        <f t="shared" si="195"/>
        <v>2</v>
      </c>
    </row>
    <row r="1011" spans="20:22" x14ac:dyDescent="0.25">
      <c r="T1011">
        <f>IF(connections!$A1010="","",IFERROR(INDEX(games!$B$2:$B$950,MATCH(connections!$A1010,games!$A$2:$A$950,0)),""))</f>
        <v>2016</v>
      </c>
      <c r="U1011">
        <f>IF(connections!$A1010="","",IFERROR(INDEX(games!$B$2:$B$950,MATCH(connections!$B1010,games!$A$2:$A$950,0)),""))</f>
        <v>2020</v>
      </c>
      <c r="V1011">
        <f t="shared" si="195"/>
        <v>4</v>
      </c>
    </row>
    <row r="1012" spans="20:22" x14ac:dyDescent="0.25">
      <c r="T1012">
        <f>IF(connections!$A1011="","",IFERROR(INDEX(games!$B$2:$B$950,MATCH(connections!$A1011,games!$A$2:$A$950,0)),""))</f>
        <v>2020</v>
      </c>
      <c r="U1012">
        <f>IF(connections!$A1011="","",IFERROR(INDEX(games!$B$2:$B$950,MATCH(connections!$B1011,games!$A$2:$A$950,0)),""))</f>
        <v>2020</v>
      </c>
      <c r="V1012">
        <f t="shared" si="195"/>
        <v>0</v>
      </c>
    </row>
    <row r="1013" spans="20:22" x14ac:dyDescent="0.25">
      <c r="T1013">
        <f>IF(connections!$A1012="","",IFERROR(INDEX(games!$B$2:$B$950,MATCH(connections!$A1012,games!$A$2:$A$950,0)),""))</f>
        <v>2015</v>
      </c>
      <c r="U1013">
        <f>IF(connections!$A1012="","",IFERROR(INDEX(games!$B$2:$B$950,MATCH(connections!$B1012,games!$A$2:$A$950,0)),""))</f>
        <v>2020</v>
      </c>
      <c r="V1013">
        <f t="shared" si="195"/>
        <v>5</v>
      </c>
    </row>
    <row r="1014" spans="20:22" x14ac:dyDescent="0.25">
      <c r="T1014">
        <f>IF(connections!$A1013="","",IFERROR(INDEX(games!$B$2:$B$950,MATCH(connections!$A1013,games!$A$2:$A$950,0)),""))</f>
        <v>2015</v>
      </c>
      <c r="U1014">
        <f>IF(connections!$A1013="","",IFERROR(INDEX(games!$B$2:$B$950,MATCH(connections!$B1013,games!$A$2:$A$950,0)),""))</f>
        <v>2024</v>
      </c>
      <c r="V1014">
        <f t="shared" si="195"/>
        <v>9</v>
      </c>
    </row>
    <row r="1015" spans="20:22" x14ac:dyDescent="0.25">
      <c r="T1015">
        <f>IF(connections!$A1014="","",IFERROR(INDEX(games!$B$2:$B$950,MATCH(connections!$A1014,games!$A$2:$A$950,0)),""))</f>
        <v>2022</v>
      </c>
      <c r="U1015">
        <f>IF(connections!$A1014="","",IFERROR(INDEX(games!$B$2:$B$950,MATCH(connections!$B1014,games!$A$2:$A$950,0)),""))</f>
        <v>2024</v>
      </c>
      <c r="V1015">
        <f t="shared" si="195"/>
        <v>2</v>
      </c>
    </row>
    <row r="1016" spans="20:22" x14ac:dyDescent="0.25">
      <c r="T1016">
        <f>IF(connections!$A1015="","",IFERROR(INDEX(games!$B$2:$B$950,MATCH(connections!$A1015,games!$A$2:$A$950,0)),""))</f>
        <v>2020</v>
      </c>
      <c r="U1016">
        <f>IF(connections!$A1015="","",IFERROR(INDEX(games!$B$2:$B$950,MATCH(connections!$B1015,games!$A$2:$A$950,0)),""))</f>
        <v>2024</v>
      </c>
      <c r="V1016">
        <f t="shared" si="195"/>
        <v>4</v>
      </c>
    </row>
    <row r="1017" spans="20:22" x14ac:dyDescent="0.25">
      <c r="T1017">
        <f>IF(connections!$A1016="","",IFERROR(INDEX(games!$B$2:$B$950,MATCH(connections!$A1016,games!$A$2:$A$950,0)),""))</f>
        <v>2017</v>
      </c>
      <c r="U1017">
        <f>IF(connections!$A1016="","",IFERROR(INDEX(games!$B$2:$B$950,MATCH(connections!$B1016,games!$A$2:$A$950,0)),""))</f>
        <v>2024</v>
      </c>
      <c r="V1017">
        <f t="shared" si="195"/>
        <v>7</v>
      </c>
    </row>
    <row r="1018" spans="20:22" x14ac:dyDescent="0.25">
      <c r="T1018">
        <f>IF(connections!$A1017="","",IFERROR(INDEX(games!$B$2:$B$950,MATCH(connections!$A1017,games!$A$2:$A$950,0)),""))</f>
        <v>1994</v>
      </c>
      <c r="U1018">
        <f>IF(connections!$A1017="","",IFERROR(INDEX(games!$B$2:$B$950,MATCH(connections!$B1017,games!$A$2:$A$950,0)),""))</f>
        <v>2019</v>
      </c>
      <c r="V1018">
        <f t="shared" si="195"/>
        <v>25</v>
      </c>
    </row>
    <row r="1019" spans="20:22" x14ac:dyDescent="0.25">
      <c r="T1019">
        <f>IF(connections!$A1018="","",IFERROR(INDEX(games!$B$2:$B$950,MATCH(connections!$A1018,games!$A$2:$A$950,0)),""))</f>
        <v>1998</v>
      </c>
      <c r="U1019">
        <f>IF(connections!$A1018="","",IFERROR(INDEX(games!$B$2:$B$950,MATCH(connections!$B1018,games!$A$2:$A$950,0)),""))</f>
        <v>2019</v>
      </c>
      <c r="V1019">
        <f t="shared" si="195"/>
        <v>21</v>
      </c>
    </row>
    <row r="1020" spans="20:22" x14ac:dyDescent="0.25">
      <c r="T1020">
        <f>IF(connections!$A1019="","",IFERROR(INDEX(games!$B$2:$B$950,MATCH(connections!$A1019,games!$A$2:$A$950,0)),""))</f>
        <v>2023</v>
      </c>
      <c r="U1020">
        <f>IF(connections!$A1019="","",IFERROR(INDEX(games!$B$2:$B$950,MATCH(connections!$B1019,games!$A$2:$A$950,0)),""))</f>
        <v>2026</v>
      </c>
      <c r="V1020">
        <f t="shared" si="195"/>
        <v>3</v>
      </c>
    </row>
    <row r="1021" spans="20:22" x14ac:dyDescent="0.25">
      <c r="T1021">
        <f>IF(connections!$A1020="","",IFERROR(INDEX(games!$B$2:$B$950,MATCH(connections!$A1020,games!$A$2:$A$950,0)),""))</f>
        <v>2021</v>
      </c>
      <c r="U1021">
        <f>IF(connections!$A1020="","",IFERROR(INDEX(games!$B$2:$B$950,MATCH(connections!$B1020,games!$A$2:$A$950,0)),""))</f>
        <v>2026</v>
      </c>
      <c r="V1021">
        <f t="shared" si="195"/>
        <v>5</v>
      </c>
    </row>
    <row r="1022" spans="20:22" x14ac:dyDescent="0.25">
      <c r="T1022">
        <f>IF(connections!$A1021="","",IFERROR(INDEX(games!$B$2:$B$950,MATCH(connections!$A1021,games!$A$2:$A$950,0)),""))</f>
        <v>1980</v>
      </c>
      <c r="U1022">
        <f>IF(connections!$A1021="","",IFERROR(INDEX(games!$B$2:$B$950,MATCH(connections!$B1021,games!$A$2:$A$950,0)),""))</f>
        <v>2007</v>
      </c>
      <c r="V1022">
        <f t="shared" si="195"/>
        <v>27</v>
      </c>
    </row>
    <row r="1023" spans="20:22" x14ac:dyDescent="0.25">
      <c r="T1023">
        <f>IF(connections!$A1022="","",IFERROR(INDEX(games!$B$2:$B$950,MATCH(connections!$A1022,games!$A$2:$A$950,0)),""))</f>
        <v>2000</v>
      </c>
      <c r="U1023">
        <f>IF(connections!$A1022="","",IFERROR(INDEX(games!$B$2:$B$950,MATCH(connections!$B1022,games!$A$2:$A$950,0)),""))</f>
        <v>2007</v>
      </c>
      <c r="V1023">
        <f t="shared" si="195"/>
        <v>7</v>
      </c>
    </row>
    <row r="1024" spans="20:22" x14ac:dyDescent="0.25">
      <c r="T1024">
        <f>IF(connections!$A1023="","",IFERROR(INDEX(games!$B$2:$B$950,MATCH(connections!$A1023,games!$A$2:$A$950,0)),""))</f>
        <v>2013</v>
      </c>
      <c r="U1024">
        <f>IF(connections!$A1023="","",IFERROR(INDEX(games!$B$2:$B$950,MATCH(connections!$B1023,games!$A$2:$A$950,0)),""))</f>
        <v>2021</v>
      </c>
      <c r="V1024">
        <f t="shared" si="195"/>
        <v>8</v>
      </c>
    </row>
    <row r="1025" spans="20:22" x14ac:dyDescent="0.25">
      <c r="T1025">
        <f>IF(connections!$A1024="","",IFERROR(INDEX(games!$B$2:$B$950,MATCH(connections!$A1024,games!$A$2:$A$950,0)),""))</f>
        <v>2008</v>
      </c>
      <c r="U1025">
        <f>IF(connections!$A1024="","",IFERROR(INDEX(games!$B$2:$B$950,MATCH(connections!$B1024,games!$A$2:$A$950,0)),""))</f>
        <v>2013</v>
      </c>
      <c r="V1025">
        <f t="shared" si="195"/>
        <v>5</v>
      </c>
    </row>
    <row r="1026" spans="20:22" x14ac:dyDescent="0.25">
      <c r="T1026">
        <f>IF(connections!$A1025="","",IFERROR(INDEX(games!$B$2:$B$950,MATCH(connections!$A1025,games!$A$2:$A$950,0)),""))</f>
        <v>2011</v>
      </c>
      <c r="U1026">
        <f>IF(connections!$A1025="","",IFERROR(INDEX(games!$B$2:$B$950,MATCH(connections!$B1025,games!$A$2:$A$950,0)),""))</f>
        <v>2013</v>
      </c>
      <c r="V1026">
        <f t="shared" ref="V1026:V1089" si="196">IF(OR($T1026="",$U1026=""),"",$U1026-$T1026)</f>
        <v>2</v>
      </c>
    </row>
    <row r="1027" spans="20:22" x14ac:dyDescent="0.25">
      <c r="T1027">
        <f>IF(connections!$A1026="","",IFERROR(INDEX(games!$B$2:$B$950,MATCH(connections!$A1026,games!$A$2:$A$950,0)),""))</f>
        <v>2013</v>
      </c>
      <c r="U1027">
        <f>IF(connections!$A1026="","",IFERROR(INDEX(games!$B$2:$B$950,MATCH(connections!$B1026,games!$A$2:$A$950,0)),""))</f>
        <v>2020</v>
      </c>
      <c r="V1027">
        <f t="shared" si="196"/>
        <v>7</v>
      </c>
    </row>
    <row r="1028" spans="20:22" x14ac:dyDescent="0.25">
      <c r="T1028">
        <f>IF(connections!$A1027="","",IFERROR(INDEX(games!$B$2:$B$950,MATCH(connections!$A1027,games!$A$2:$A$950,0)),""))</f>
        <v>2017</v>
      </c>
      <c r="U1028">
        <f>IF(connections!$A1027="","",IFERROR(INDEX(games!$B$2:$B$950,MATCH(connections!$B1027,games!$A$2:$A$950,0)),""))</f>
        <v>2021</v>
      </c>
      <c r="V1028">
        <f t="shared" si="196"/>
        <v>4</v>
      </c>
    </row>
    <row r="1029" spans="20:22" x14ac:dyDescent="0.25">
      <c r="T1029">
        <f>IF(connections!$A1028="","",IFERROR(INDEX(games!$B$2:$B$950,MATCH(connections!$A1028,games!$A$2:$A$950,0)),""))</f>
        <v>2023</v>
      </c>
      <c r="U1029">
        <f>IF(connections!$A1028="","",IFERROR(INDEX(games!$B$2:$B$950,MATCH(connections!$B1028,games!$A$2:$A$950,0)),""))</f>
        <v>2024</v>
      </c>
      <c r="V1029">
        <f t="shared" si="196"/>
        <v>1</v>
      </c>
    </row>
    <row r="1030" spans="20:22" x14ac:dyDescent="0.25">
      <c r="T1030">
        <f>IF(connections!$A1029="","",IFERROR(INDEX(games!$B$2:$B$950,MATCH(connections!$A1029,games!$A$2:$A$950,0)),""))</f>
        <v>2022</v>
      </c>
      <c r="U1030">
        <f>IF(connections!$A1029="","",IFERROR(INDEX(games!$B$2:$B$950,MATCH(connections!$B1029,games!$A$2:$A$950,0)),""))</f>
        <v>2024</v>
      </c>
      <c r="V1030">
        <f t="shared" si="196"/>
        <v>2</v>
      </c>
    </row>
    <row r="1031" spans="20:22" x14ac:dyDescent="0.25">
      <c r="T1031">
        <f>IF(connections!$A1030="","",IFERROR(INDEX(games!$B$2:$B$950,MATCH(connections!$A1030,games!$A$2:$A$950,0)),""))</f>
        <v>2012</v>
      </c>
      <c r="U1031">
        <f>IF(connections!$A1030="","",IFERROR(INDEX(games!$B$2:$B$950,MATCH(connections!$B1030,games!$A$2:$A$950,0)),""))</f>
        <v>2024</v>
      </c>
      <c r="V1031">
        <f t="shared" si="196"/>
        <v>12</v>
      </c>
    </row>
    <row r="1032" spans="20:22" x14ac:dyDescent="0.25">
      <c r="T1032">
        <f>IF(connections!$A1031="","",IFERROR(INDEX(games!$B$2:$B$950,MATCH(connections!$A1031,games!$A$2:$A$950,0)),""))</f>
        <v>2018</v>
      </c>
      <c r="U1032">
        <f>IF(connections!$A1031="","",IFERROR(INDEX(games!$B$2:$B$950,MATCH(connections!$B1031,games!$A$2:$A$950,0)),""))</f>
        <v>2024</v>
      </c>
      <c r="V1032">
        <f t="shared" si="196"/>
        <v>6</v>
      </c>
    </row>
    <row r="1033" spans="20:22" x14ac:dyDescent="0.25">
      <c r="T1033">
        <f>IF(connections!$A1032="","",IFERROR(INDEX(games!$B$2:$B$950,MATCH(connections!$A1032,games!$A$2:$A$950,0)),""))</f>
        <v>2022</v>
      </c>
      <c r="U1033">
        <f>IF(connections!$A1032="","",IFERROR(INDEX(games!$B$2:$B$950,MATCH(connections!$B1032,games!$A$2:$A$950,0)),""))</f>
        <v>2024</v>
      </c>
      <c r="V1033">
        <f t="shared" si="196"/>
        <v>2</v>
      </c>
    </row>
    <row r="1034" spans="20:22" x14ac:dyDescent="0.25">
      <c r="T1034">
        <f>IF(connections!$A1033="","",IFERROR(INDEX(games!$B$2:$B$950,MATCH(connections!$A1033,games!$A$2:$A$950,0)),""))</f>
        <v>2017</v>
      </c>
      <c r="U1034">
        <f>IF(connections!$A1033="","",IFERROR(INDEX(games!$B$2:$B$950,MATCH(connections!$B1033,games!$A$2:$A$950,0)),""))</f>
        <v>2024</v>
      </c>
      <c r="V1034">
        <f t="shared" si="196"/>
        <v>7</v>
      </c>
    </row>
    <row r="1035" spans="20:22" x14ac:dyDescent="0.25">
      <c r="T1035">
        <f>IF(connections!$A1034="","",IFERROR(INDEX(games!$B$2:$B$950,MATCH(connections!$A1034,games!$A$2:$A$950,0)),""))</f>
        <v>2011</v>
      </c>
      <c r="U1035">
        <f>IF(connections!$A1034="","",IFERROR(INDEX(games!$B$2:$B$950,MATCH(connections!$B1034,games!$A$2:$A$950,0)),""))</f>
        <v>2016</v>
      </c>
      <c r="V1035">
        <f t="shared" si="196"/>
        <v>5</v>
      </c>
    </row>
    <row r="1036" spans="20:22" x14ac:dyDescent="0.25">
      <c r="T1036">
        <f>IF(connections!$A1035="","",IFERROR(INDEX(games!$B$2:$B$950,MATCH(connections!$A1035,games!$A$2:$A$950,0)),""))</f>
        <v>1982</v>
      </c>
      <c r="U1036">
        <f>IF(connections!$A1035="","",IFERROR(INDEX(games!$B$2:$B$950,MATCH(connections!$B1035,games!$A$2:$A$950,0)),""))</f>
        <v>2016</v>
      </c>
      <c r="V1036">
        <f t="shared" si="196"/>
        <v>34</v>
      </c>
    </row>
    <row r="1037" spans="20:22" x14ac:dyDescent="0.25">
      <c r="T1037">
        <f>IF(connections!$A1036="","",IFERROR(INDEX(games!$B$2:$B$950,MATCH(connections!$A1036,games!$A$2:$A$950,0)),""))</f>
        <v>2017</v>
      </c>
      <c r="U1037">
        <f>IF(connections!$A1036="","",IFERROR(INDEX(games!$B$2:$B$950,MATCH(connections!$B1036,games!$A$2:$A$950,0)),""))</f>
        <v>2022</v>
      </c>
      <c r="V1037">
        <f t="shared" si="196"/>
        <v>5</v>
      </c>
    </row>
    <row r="1038" spans="20:22" x14ac:dyDescent="0.25">
      <c r="T1038">
        <f>IF(connections!$A1037="","",IFERROR(INDEX(games!$B$2:$B$950,MATCH(connections!$A1037,games!$A$2:$A$950,0)),""))</f>
        <v>2021</v>
      </c>
      <c r="U1038">
        <f>IF(connections!$A1037="","",IFERROR(INDEX(games!$B$2:$B$950,MATCH(connections!$B1037,games!$A$2:$A$950,0)),""))</f>
        <v>2022</v>
      </c>
      <c r="V1038">
        <f t="shared" si="196"/>
        <v>1</v>
      </c>
    </row>
    <row r="1039" spans="20:22" x14ac:dyDescent="0.25">
      <c r="T1039">
        <f>IF(connections!$A1038="","",IFERROR(INDEX(games!$B$2:$B$950,MATCH(connections!$A1038,games!$A$2:$A$950,0)),""))</f>
        <v>2017</v>
      </c>
      <c r="U1039">
        <f>IF(connections!$A1038="","",IFERROR(INDEX(games!$B$2:$B$950,MATCH(connections!$B1038,games!$A$2:$A$950,0)),""))</f>
        <v>2021</v>
      </c>
      <c r="V1039">
        <f t="shared" si="196"/>
        <v>4</v>
      </c>
    </row>
    <row r="1040" spans="20:22" x14ac:dyDescent="0.25">
      <c r="T1040">
        <f>IF(connections!$A1039="","",IFERROR(INDEX(games!$B$2:$B$950,MATCH(connections!$A1039,games!$A$2:$A$950,0)),""))</f>
        <v>2009</v>
      </c>
      <c r="U1040">
        <f>IF(connections!$A1039="","",IFERROR(INDEX(games!$B$2:$B$950,MATCH(connections!$B1039,games!$A$2:$A$950,0)),""))</f>
        <v>2023</v>
      </c>
      <c r="V1040">
        <f t="shared" si="196"/>
        <v>14</v>
      </c>
    </row>
    <row r="1041" spans="20:22" x14ac:dyDescent="0.25">
      <c r="T1041">
        <f>IF(connections!$A1040="","",IFERROR(INDEX(games!$B$2:$B$950,MATCH(connections!$A1040,games!$A$2:$A$950,0)),""))</f>
        <v>1980</v>
      </c>
      <c r="U1041">
        <f>IF(connections!$A1040="","",IFERROR(INDEX(games!$B$2:$B$950,MATCH(connections!$B1040,games!$A$2:$A$950,0)),""))</f>
        <v>2023</v>
      </c>
      <c r="V1041">
        <f t="shared" si="196"/>
        <v>43</v>
      </c>
    </row>
    <row r="1042" spans="20:22" x14ac:dyDescent="0.25">
      <c r="T1042">
        <f>IF(connections!$A1041="","",IFERROR(INDEX(games!$B$2:$B$950,MATCH(connections!$A1041,games!$A$2:$A$950,0)),""))</f>
        <v>2023</v>
      </c>
      <c r="U1042">
        <f>IF(connections!$A1041="","",IFERROR(INDEX(games!$B$2:$B$950,MATCH(connections!$B1041,games!$A$2:$A$950,0)),""))</f>
        <v>2026</v>
      </c>
      <c r="V1042">
        <f t="shared" si="196"/>
        <v>3</v>
      </c>
    </row>
    <row r="1043" spans="20:22" x14ac:dyDescent="0.25">
      <c r="T1043">
        <f>IF(connections!$A1042="","",IFERROR(INDEX(games!$B$2:$B$950,MATCH(connections!$A1042,games!$A$2:$A$950,0)),""))</f>
        <v>2017</v>
      </c>
      <c r="U1043">
        <f>IF(connections!$A1042="","",IFERROR(INDEX(games!$B$2:$B$950,MATCH(connections!$B1042,games!$A$2:$A$950,0)),""))</f>
        <v>2026</v>
      </c>
      <c r="V1043">
        <f t="shared" si="196"/>
        <v>9</v>
      </c>
    </row>
    <row r="1044" spans="20:22" x14ac:dyDescent="0.25">
      <c r="T1044">
        <f>IF(connections!$A1043="","",IFERROR(INDEX(games!$B$2:$B$950,MATCH(connections!$A1043,games!$A$2:$A$950,0)),""))</f>
        <v>1980</v>
      </c>
      <c r="U1044">
        <f>IF(connections!$A1043="","",IFERROR(INDEX(games!$B$2:$B$950,MATCH(connections!$B1043,games!$A$2:$A$950,0)),""))</f>
        <v>2014</v>
      </c>
      <c r="V1044">
        <f t="shared" si="196"/>
        <v>34</v>
      </c>
    </row>
    <row r="1045" spans="20:22" x14ac:dyDescent="0.25">
      <c r="T1045">
        <f>IF(connections!$A1044="","",IFERROR(INDEX(games!$B$2:$B$950,MATCH(connections!$A1044,games!$A$2:$A$950,0)),""))</f>
        <v>2023</v>
      </c>
      <c r="U1045">
        <f>IF(connections!$A1044="","",IFERROR(INDEX(games!$B$2:$B$950,MATCH(connections!$B1044,games!$A$2:$A$950,0)),""))</f>
        <v>2024</v>
      </c>
      <c r="V1045">
        <f t="shared" si="196"/>
        <v>1</v>
      </c>
    </row>
    <row r="1046" spans="20:22" x14ac:dyDescent="0.25">
      <c r="T1046">
        <f>IF(connections!$A1045="","",IFERROR(INDEX(games!$B$2:$B$950,MATCH(connections!$A1045,games!$A$2:$A$950,0)),""))</f>
        <v>2021</v>
      </c>
      <c r="U1046">
        <f>IF(connections!$A1045="","",IFERROR(INDEX(games!$B$2:$B$950,MATCH(connections!$B1045,games!$A$2:$A$950,0)),""))</f>
        <v>2024</v>
      </c>
      <c r="V1046">
        <f t="shared" si="196"/>
        <v>3</v>
      </c>
    </row>
    <row r="1047" spans="20:22" x14ac:dyDescent="0.25">
      <c r="T1047">
        <f>IF(connections!$A1046="","",IFERROR(INDEX(games!$B$2:$B$950,MATCH(connections!$A1046,games!$A$2:$A$950,0)),""))</f>
        <v>2024</v>
      </c>
      <c r="U1047">
        <f>IF(connections!$A1046="","",IFERROR(INDEX(games!$B$2:$B$950,MATCH(connections!$B1046,games!$A$2:$A$950,0)),""))</f>
        <v>2026</v>
      </c>
      <c r="V1047">
        <f t="shared" si="196"/>
        <v>2</v>
      </c>
    </row>
    <row r="1048" spans="20:22" x14ac:dyDescent="0.25">
      <c r="T1048">
        <f>IF(connections!$A1047="","",IFERROR(INDEX(games!$B$2:$B$950,MATCH(connections!$A1047,games!$A$2:$A$950,0)),""))</f>
        <v>2023</v>
      </c>
      <c r="U1048">
        <f>IF(connections!$A1047="","",IFERROR(INDEX(games!$B$2:$B$950,MATCH(connections!$B1047,games!$A$2:$A$950,0)),""))</f>
        <v>2025</v>
      </c>
      <c r="V1048">
        <f t="shared" si="196"/>
        <v>2</v>
      </c>
    </row>
    <row r="1049" spans="20:22" x14ac:dyDescent="0.25">
      <c r="T1049">
        <f>IF(connections!$A1048="","",IFERROR(INDEX(games!$B$2:$B$950,MATCH(connections!$A1048,games!$A$2:$A$950,0)),""))</f>
        <v>2021</v>
      </c>
      <c r="U1049">
        <f>IF(connections!$A1048="","",IFERROR(INDEX(games!$B$2:$B$950,MATCH(connections!$B1048,games!$A$2:$A$950,0)),""))</f>
        <v>2025</v>
      </c>
      <c r="V1049">
        <f t="shared" si="196"/>
        <v>4</v>
      </c>
    </row>
    <row r="1050" spans="20:22" x14ac:dyDescent="0.25">
      <c r="T1050">
        <f>IF(connections!$A1049="","",IFERROR(INDEX(games!$B$2:$B$950,MATCH(connections!$A1049,games!$A$2:$A$950,0)),""))</f>
        <v>2017</v>
      </c>
      <c r="U1050">
        <f>IF(connections!$A1049="","",IFERROR(INDEX(games!$B$2:$B$950,MATCH(connections!$B1049,games!$A$2:$A$950,0)),""))</f>
        <v>2025</v>
      </c>
      <c r="V1050">
        <f t="shared" si="196"/>
        <v>8</v>
      </c>
    </row>
    <row r="1051" spans="20:22" x14ac:dyDescent="0.25">
      <c r="T1051">
        <f>IF(connections!$A1050="","",IFERROR(INDEX(games!$B$2:$B$950,MATCH(connections!$A1050,games!$A$2:$A$950,0)),""))</f>
        <v>2021</v>
      </c>
      <c r="U1051">
        <f>IF(connections!$A1050="","",IFERROR(INDEX(games!$B$2:$B$950,MATCH(connections!$B1050,games!$A$2:$A$950,0)),""))</f>
        <v>2025</v>
      </c>
      <c r="V1051">
        <f t="shared" si="196"/>
        <v>4</v>
      </c>
    </row>
    <row r="1052" spans="20:22" x14ac:dyDescent="0.25">
      <c r="T1052">
        <f>IF(connections!$A1051="","",IFERROR(INDEX(games!$B$2:$B$950,MATCH(connections!$A1051,games!$A$2:$A$950,0)),""))</f>
        <v>2022</v>
      </c>
      <c r="U1052">
        <f>IF(connections!$A1051="","",IFERROR(INDEX(games!$B$2:$B$950,MATCH(connections!$B1051,games!$A$2:$A$950,0)),""))</f>
        <v>2026</v>
      </c>
      <c r="V1052">
        <f t="shared" si="196"/>
        <v>4</v>
      </c>
    </row>
    <row r="1053" spans="20:22" x14ac:dyDescent="0.25">
      <c r="T1053">
        <f>IF(connections!$A1052="","",IFERROR(INDEX(games!$B$2:$B$950,MATCH(connections!$A1052,games!$A$2:$A$950,0)),""))</f>
        <v>2023</v>
      </c>
      <c r="U1053">
        <f>IF(connections!$A1052="","",IFERROR(INDEX(games!$B$2:$B$950,MATCH(connections!$B1052,games!$A$2:$A$950,0)),""))</f>
        <v>2025</v>
      </c>
      <c r="V1053">
        <f t="shared" si="196"/>
        <v>2</v>
      </c>
    </row>
    <row r="1054" spans="20:22" x14ac:dyDescent="0.25">
      <c r="T1054">
        <f>IF(connections!$A1053="","",IFERROR(INDEX(games!$B$2:$B$950,MATCH(connections!$A1053,games!$A$2:$A$950,0)),""))</f>
        <v>2015</v>
      </c>
      <c r="U1054">
        <f>IF(connections!$A1053="","",IFERROR(INDEX(games!$B$2:$B$950,MATCH(connections!$B1053,games!$A$2:$A$950,0)),""))</f>
        <v>2025</v>
      </c>
      <c r="V1054">
        <f t="shared" si="196"/>
        <v>10</v>
      </c>
    </row>
    <row r="1055" spans="20:22" x14ac:dyDescent="0.25">
      <c r="T1055">
        <f>IF(connections!$A1054="","",IFERROR(INDEX(games!$B$2:$B$950,MATCH(connections!$A1054,games!$A$2:$A$950,0)),""))</f>
        <v>1996</v>
      </c>
      <c r="U1055">
        <f>IF(connections!$A1054="","",IFERROR(INDEX(games!$B$2:$B$950,MATCH(connections!$B1054,games!$A$2:$A$950,0)),""))</f>
        <v>2025</v>
      </c>
      <c r="V1055">
        <f t="shared" si="196"/>
        <v>29</v>
      </c>
    </row>
    <row r="1056" spans="20:22" x14ac:dyDescent="0.25">
      <c r="T1056">
        <f>IF(connections!$A1055="","",IFERROR(INDEX(games!$B$2:$B$950,MATCH(connections!$A1055,games!$A$2:$A$950,0)),""))</f>
        <v>2021</v>
      </c>
      <c r="U1056">
        <f>IF(connections!$A1055="","",IFERROR(INDEX(games!$B$2:$B$950,MATCH(connections!$B1055,games!$A$2:$A$950,0)),""))</f>
        <v>2025</v>
      </c>
      <c r="V1056">
        <f t="shared" si="196"/>
        <v>4</v>
      </c>
    </row>
    <row r="1057" spans="20:22" x14ac:dyDescent="0.25">
      <c r="T1057">
        <f>IF(connections!$A1056="","",IFERROR(INDEX(games!$B$2:$B$950,MATCH(connections!$A1056,games!$A$2:$A$950,0)),""))</f>
        <v>2023</v>
      </c>
      <c r="U1057">
        <f>IF(connections!$A1056="","",IFERROR(INDEX(games!$B$2:$B$950,MATCH(connections!$B1056,games!$A$2:$A$950,0)),""))</f>
        <v>2026</v>
      </c>
      <c r="V1057">
        <f t="shared" si="196"/>
        <v>3</v>
      </c>
    </row>
    <row r="1058" spans="20:22" x14ac:dyDescent="0.25">
      <c r="T1058">
        <f>IF(connections!$A1057="","",IFERROR(INDEX(games!$B$2:$B$950,MATCH(connections!$A1057,games!$A$2:$A$950,0)),""))</f>
        <v>2017</v>
      </c>
      <c r="U1058">
        <f>IF(connections!$A1057="","",IFERROR(INDEX(games!$B$2:$B$950,MATCH(connections!$B1057,games!$A$2:$A$950,0)),""))</f>
        <v>2026</v>
      </c>
      <c r="V1058">
        <f t="shared" si="196"/>
        <v>9</v>
      </c>
    </row>
    <row r="1059" spans="20:22" x14ac:dyDescent="0.25">
      <c r="T1059">
        <f>IF(connections!$A1058="","",IFERROR(INDEX(games!$B$2:$B$950,MATCH(connections!$A1058,games!$A$2:$A$950,0)),""))</f>
        <v>2021</v>
      </c>
      <c r="U1059">
        <f>IF(connections!$A1058="","",IFERROR(INDEX(games!$B$2:$B$950,MATCH(connections!$B1058,games!$A$2:$A$950,0)),""))</f>
        <v>2023</v>
      </c>
      <c r="V1059">
        <f t="shared" si="196"/>
        <v>2</v>
      </c>
    </row>
    <row r="1060" spans="20:22" x14ac:dyDescent="0.25">
      <c r="T1060">
        <f>IF(connections!$A1059="","",IFERROR(INDEX(games!$B$2:$B$950,MATCH(connections!$A1059,games!$A$2:$A$950,0)),""))</f>
        <v>2017</v>
      </c>
      <c r="U1060">
        <f>IF(connections!$A1059="","",IFERROR(INDEX(games!$B$2:$B$950,MATCH(connections!$B1059,games!$A$2:$A$950,0)),""))</f>
        <v>2023</v>
      </c>
      <c r="V1060">
        <f t="shared" si="196"/>
        <v>6</v>
      </c>
    </row>
    <row r="1061" spans="20:22" x14ac:dyDescent="0.25">
      <c r="T1061">
        <f>IF(connections!$A1060="","",IFERROR(INDEX(games!$B$2:$B$950,MATCH(connections!$A1060,games!$A$2:$A$950,0)),""))</f>
        <v>2021</v>
      </c>
      <c r="U1061">
        <f>IF(connections!$A1060="","",IFERROR(INDEX(games!$B$2:$B$950,MATCH(connections!$B1060,games!$A$2:$A$950,0)),""))</f>
        <v>2022</v>
      </c>
      <c r="V1061">
        <f t="shared" si="196"/>
        <v>1</v>
      </c>
    </row>
    <row r="1062" spans="20:22" x14ac:dyDescent="0.25">
      <c r="T1062">
        <f>IF(connections!$A1061="","",IFERROR(INDEX(games!$B$2:$B$950,MATCH(connections!$A1061,games!$A$2:$A$950,0)),""))</f>
        <v>2010</v>
      </c>
      <c r="U1062">
        <f>IF(connections!$A1061="","",IFERROR(INDEX(games!$B$2:$B$950,MATCH(connections!$B1061,games!$A$2:$A$950,0)),""))</f>
        <v>2010</v>
      </c>
      <c r="V1062">
        <f t="shared" si="196"/>
        <v>0</v>
      </c>
    </row>
    <row r="1063" spans="20:22" x14ac:dyDescent="0.25">
      <c r="T1063">
        <f>IF(connections!$A1062="","",IFERROR(INDEX(games!$B$2:$B$950,MATCH(connections!$A1062,games!$A$2:$A$950,0)),""))</f>
        <v>2016</v>
      </c>
      <c r="U1063">
        <f>IF(connections!$A1062="","",IFERROR(INDEX(games!$B$2:$B$950,MATCH(connections!$B1062,games!$A$2:$A$950,0)),""))</f>
        <v>2024</v>
      </c>
      <c r="V1063">
        <f t="shared" si="196"/>
        <v>8</v>
      </c>
    </row>
    <row r="1064" spans="20:22" x14ac:dyDescent="0.25">
      <c r="T1064">
        <f>IF(connections!$A1063="","",IFERROR(INDEX(games!$B$2:$B$950,MATCH(connections!$A1063,games!$A$2:$A$950,0)),""))</f>
        <v>2015</v>
      </c>
      <c r="U1064">
        <f>IF(connections!$A1063="","",IFERROR(INDEX(games!$B$2:$B$950,MATCH(connections!$B1063,games!$A$2:$A$950,0)),""))</f>
        <v>2024</v>
      </c>
      <c r="V1064">
        <f t="shared" si="196"/>
        <v>9</v>
      </c>
    </row>
    <row r="1065" spans="20:22" x14ac:dyDescent="0.25">
      <c r="T1065">
        <f>IF(connections!$A1064="","",IFERROR(INDEX(games!$B$2:$B$950,MATCH(connections!$A1064,games!$A$2:$A$950,0)),""))</f>
        <v>2018</v>
      </c>
      <c r="U1065">
        <f>IF(connections!$A1064="","",IFERROR(INDEX(games!$B$2:$B$950,MATCH(connections!$B1064,games!$A$2:$A$950,0)),""))</f>
        <v>2024</v>
      </c>
      <c r="V1065">
        <f t="shared" si="196"/>
        <v>6</v>
      </c>
    </row>
    <row r="1066" spans="20:22" x14ac:dyDescent="0.25">
      <c r="T1066">
        <f>IF(connections!$A1065="","",IFERROR(INDEX(games!$B$2:$B$950,MATCH(connections!$A1065,games!$A$2:$A$950,0)),""))</f>
        <v>2021</v>
      </c>
      <c r="U1066">
        <f>IF(connections!$A1065="","",IFERROR(INDEX(games!$B$2:$B$950,MATCH(connections!$B1065,games!$A$2:$A$950,0)),""))</f>
        <v>2022</v>
      </c>
      <c r="V1066">
        <f t="shared" si="196"/>
        <v>1</v>
      </c>
    </row>
    <row r="1067" spans="20:22" x14ac:dyDescent="0.25">
      <c r="T1067">
        <f>IF(connections!$A1066="","",IFERROR(INDEX(games!$B$2:$B$950,MATCH(connections!$A1066,games!$A$2:$A$950,0)),""))</f>
        <v>2023</v>
      </c>
      <c r="U1067">
        <f>IF(connections!$A1066="","",IFERROR(INDEX(games!$B$2:$B$950,MATCH(connections!$B1066,games!$A$2:$A$950,0)),""))</f>
        <v>2023</v>
      </c>
      <c r="V1067">
        <f t="shared" si="196"/>
        <v>0</v>
      </c>
    </row>
    <row r="1068" spans="20:22" x14ac:dyDescent="0.25">
      <c r="T1068">
        <f>IF(connections!$A1067="","",IFERROR(INDEX(games!$B$2:$B$950,MATCH(connections!$A1067,games!$A$2:$A$950,0)),""))</f>
        <v>2011</v>
      </c>
      <c r="U1068">
        <f>IF(connections!$A1067="","",IFERROR(INDEX(games!$B$2:$B$950,MATCH(connections!$B1067,games!$A$2:$A$950,0)),""))</f>
        <v>2023</v>
      </c>
      <c r="V1068">
        <f t="shared" si="196"/>
        <v>12</v>
      </c>
    </row>
    <row r="1069" spans="20:22" x14ac:dyDescent="0.25">
      <c r="T1069">
        <f>IF(connections!$A1068="","",IFERROR(INDEX(games!$B$2:$B$950,MATCH(connections!$A1068,games!$A$2:$A$950,0)),""))</f>
        <v>2019</v>
      </c>
      <c r="U1069">
        <f>IF(connections!$A1068="","",IFERROR(INDEX(games!$B$2:$B$950,MATCH(connections!$B1068,games!$A$2:$A$950,0)),""))</f>
        <v>2020</v>
      </c>
      <c r="V1069">
        <f t="shared" si="196"/>
        <v>1</v>
      </c>
    </row>
    <row r="1070" spans="20:22" x14ac:dyDescent="0.25">
      <c r="T1070">
        <f>IF(connections!$A1069="","",IFERROR(INDEX(games!$B$2:$B$950,MATCH(connections!$A1069,games!$A$2:$A$950,0)),""))</f>
        <v>2018</v>
      </c>
      <c r="U1070">
        <f>IF(connections!$A1069="","",IFERROR(INDEX(games!$B$2:$B$950,MATCH(connections!$B1069,games!$A$2:$A$950,0)),""))</f>
        <v>2020</v>
      </c>
      <c r="V1070">
        <f t="shared" si="196"/>
        <v>2</v>
      </c>
    </row>
    <row r="1071" spans="20:22" x14ac:dyDescent="0.25">
      <c r="T1071">
        <f>IF(connections!$A1070="","",IFERROR(INDEX(games!$B$2:$B$950,MATCH(connections!$A1070,games!$A$2:$A$950,0)),""))</f>
        <v>2015</v>
      </c>
      <c r="U1071">
        <f>IF(connections!$A1070="","",IFERROR(INDEX(games!$B$2:$B$950,MATCH(connections!$B1070,games!$A$2:$A$950,0)),""))</f>
        <v>2020</v>
      </c>
      <c r="V1071">
        <f t="shared" si="196"/>
        <v>5</v>
      </c>
    </row>
    <row r="1072" spans="20:22" x14ac:dyDescent="0.25">
      <c r="T1072">
        <f>IF(connections!$A1071="","",IFERROR(INDEX(games!$B$2:$B$950,MATCH(connections!$A1071,games!$A$2:$A$950,0)),""))</f>
        <v>2017</v>
      </c>
      <c r="U1072">
        <f>IF(connections!$A1071="","",IFERROR(INDEX(games!$B$2:$B$950,MATCH(connections!$B1071,games!$A$2:$A$950,0)),""))</f>
        <v>2020</v>
      </c>
      <c r="V1072">
        <f t="shared" si="196"/>
        <v>3</v>
      </c>
    </row>
    <row r="1073" spans="20:22" x14ac:dyDescent="0.25">
      <c r="T1073">
        <f>IF(connections!$A1072="","",IFERROR(INDEX(games!$B$2:$B$950,MATCH(connections!$A1072,games!$A$2:$A$950,0)),""))</f>
        <v>2017</v>
      </c>
      <c r="U1073">
        <f>IF(connections!$A1072="","",IFERROR(INDEX(games!$B$2:$B$950,MATCH(connections!$B1072,games!$A$2:$A$950,0)),""))</f>
        <v>2020</v>
      </c>
      <c r="V1073">
        <f t="shared" si="196"/>
        <v>3</v>
      </c>
    </row>
    <row r="1074" spans="20:22" x14ac:dyDescent="0.25">
      <c r="T1074">
        <f>IF(connections!$A1073="","",IFERROR(INDEX(games!$B$2:$B$950,MATCH(connections!$A1073,games!$A$2:$A$950,0)),""))</f>
        <v>2021</v>
      </c>
      <c r="U1074">
        <f>IF(connections!$A1073="","",IFERROR(INDEX(games!$B$2:$B$950,MATCH(connections!$B1073,games!$A$2:$A$950,0)),""))</f>
        <v>2023</v>
      </c>
      <c r="V1074">
        <f t="shared" si="196"/>
        <v>2</v>
      </c>
    </row>
    <row r="1075" spans="20:22" x14ac:dyDescent="0.25">
      <c r="T1075">
        <f>IF(connections!$A1074="","",IFERROR(INDEX(games!$B$2:$B$950,MATCH(connections!$A1074,games!$A$2:$A$950,0)),""))</f>
        <v>2021</v>
      </c>
      <c r="U1075">
        <f>IF(connections!$A1074="","",IFERROR(INDEX(games!$B$2:$B$950,MATCH(connections!$B1074,games!$A$2:$A$950,0)),""))</f>
        <v>2023</v>
      </c>
      <c r="V1075">
        <f t="shared" si="196"/>
        <v>2</v>
      </c>
    </row>
    <row r="1076" spans="20:22" x14ac:dyDescent="0.25">
      <c r="T1076">
        <f>IF(connections!$A1075="","",IFERROR(INDEX(games!$B$2:$B$950,MATCH(connections!$A1075,games!$A$2:$A$950,0)),""))</f>
        <v>2017</v>
      </c>
      <c r="U1076">
        <f>IF(connections!$A1075="","",IFERROR(INDEX(games!$B$2:$B$950,MATCH(connections!$B1075,games!$A$2:$A$950,0)),""))</f>
        <v>2025</v>
      </c>
      <c r="V1076">
        <f t="shared" si="196"/>
        <v>8</v>
      </c>
    </row>
    <row r="1077" spans="20:22" x14ac:dyDescent="0.25">
      <c r="T1077">
        <f>IF(connections!$A1076="","",IFERROR(INDEX(games!$B$2:$B$950,MATCH(connections!$A1076,games!$A$2:$A$950,0)),""))</f>
        <v>2019</v>
      </c>
      <c r="U1077">
        <f>IF(connections!$A1076="","",IFERROR(INDEX(games!$B$2:$B$950,MATCH(connections!$B1076,games!$A$2:$A$950,0)),""))</f>
        <v>2025</v>
      </c>
      <c r="V1077">
        <f t="shared" si="196"/>
        <v>6</v>
      </c>
    </row>
    <row r="1078" spans="20:22" x14ac:dyDescent="0.25">
      <c r="T1078">
        <f>IF(connections!$A1077="","",IFERROR(INDEX(games!$B$2:$B$950,MATCH(connections!$A1077,games!$A$2:$A$950,0)),""))</f>
        <v>1996</v>
      </c>
      <c r="U1078">
        <f>IF(connections!$A1077="","",IFERROR(INDEX(games!$B$2:$B$950,MATCH(connections!$B1077,games!$A$2:$A$950,0)),""))</f>
        <v>2025</v>
      </c>
      <c r="V1078">
        <f t="shared" si="196"/>
        <v>29</v>
      </c>
    </row>
    <row r="1079" spans="20:22" x14ac:dyDescent="0.25">
      <c r="T1079">
        <f>IF(connections!$A1078="","",IFERROR(INDEX(games!$B$2:$B$950,MATCH(connections!$A1078,games!$A$2:$A$950,0)),""))</f>
        <v>2018</v>
      </c>
      <c r="U1079">
        <f>IF(connections!$A1078="","",IFERROR(INDEX(games!$B$2:$B$950,MATCH(connections!$B1078,games!$A$2:$A$950,0)),""))</f>
        <v>2025</v>
      </c>
      <c r="V1079">
        <f t="shared" si="196"/>
        <v>7</v>
      </c>
    </row>
    <row r="1080" spans="20:22" x14ac:dyDescent="0.25">
      <c r="T1080">
        <f>IF(connections!$A1079="","",IFERROR(INDEX(games!$B$2:$B$950,MATCH(connections!$A1079,games!$A$2:$A$950,0)),""))</f>
        <v>2016</v>
      </c>
      <c r="U1080">
        <f>IF(connections!$A1079="","",IFERROR(INDEX(games!$B$2:$B$950,MATCH(connections!$B1079,games!$A$2:$A$950,0)),""))</f>
        <v>2025</v>
      </c>
      <c r="V1080">
        <f t="shared" si="196"/>
        <v>9</v>
      </c>
    </row>
    <row r="1081" spans="20:22" x14ac:dyDescent="0.25">
      <c r="T1081">
        <f>IF(connections!$A1080="","",IFERROR(INDEX(games!$B$2:$B$950,MATCH(connections!$A1080,games!$A$2:$A$950,0)),""))</f>
        <v>2019</v>
      </c>
      <c r="U1081">
        <f>IF(connections!$A1080="","",IFERROR(INDEX(games!$B$2:$B$950,MATCH(connections!$B1080,games!$A$2:$A$950,0)),""))</f>
        <v>2025</v>
      </c>
      <c r="V1081">
        <f t="shared" si="196"/>
        <v>6</v>
      </c>
    </row>
    <row r="1082" spans="20:22" x14ac:dyDescent="0.25">
      <c r="T1082">
        <f>IF(connections!$A1081="","",IFERROR(INDEX(games!$B$2:$B$950,MATCH(connections!$A1081,games!$A$2:$A$950,0)),""))</f>
        <v>2019</v>
      </c>
      <c r="U1082">
        <f>IF(connections!$A1081="","",IFERROR(INDEX(games!$B$2:$B$950,MATCH(connections!$B1081,games!$A$2:$A$950,0)),""))</f>
        <v>2025</v>
      </c>
      <c r="V1082">
        <f t="shared" si="196"/>
        <v>6</v>
      </c>
    </row>
    <row r="1083" spans="20:22" x14ac:dyDescent="0.25">
      <c r="T1083">
        <f>IF(connections!$A1082="","",IFERROR(INDEX(games!$B$2:$B$950,MATCH(connections!$A1082,games!$A$2:$A$950,0)),""))</f>
        <v>2025</v>
      </c>
      <c r="U1083">
        <f>IF(connections!$A1082="","",IFERROR(INDEX(games!$B$2:$B$950,MATCH(connections!$B1082,games!$A$2:$A$950,0)),""))</f>
        <v>2026</v>
      </c>
      <c r="V1083">
        <f t="shared" si="196"/>
        <v>1</v>
      </c>
    </row>
    <row r="1084" spans="20:22" x14ac:dyDescent="0.25">
      <c r="T1084">
        <f>IF(connections!$A1083="","",IFERROR(INDEX(games!$B$2:$B$950,MATCH(connections!$A1083,games!$A$2:$A$950,0)),""))</f>
        <v>2019</v>
      </c>
      <c r="U1084">
        <f>IF(connections!$A1083="","",IFERROR(INDEX(games!$B$2:$B$950,MATCH(connections!$B1083,games!$A$2:$A$950,0)),""))</f>
        <v>2026</v>
      </c>
      <c r="V1084">
        <f t="shared" si="196"/>
        <v>7</v>
      </c>
    </row>
    <row r="1085" spans="20:22" x14ac:dyDescent="0.25">
      <c r="T1085">
        <f>IF(connections!$A1084="","",IFERROR(INDEX(games!$B$2:$B$950,MATCH(connections!$A1084,games!$A$2:$A$950,0)),""))</f>
        <v>2020</v>
      </c>
      <c r="U1085">
        <f>IF(connections!$A1084="","",IFERROR(INDEX(games!$B$2:$B$950,MATCH(connections!$B1084,games!$A$2:$A$950,0)),""))</f>
        <v>2026</v>
      </c>
      <c r="V1085">
        <f t="shared" si="196"/>
        <v>6</v>
      </c>
    </row>
    <row r="1086" spans="20:22" x14ac:dyDescent="0.25">
      <c r="T1086">
        <f>IF(connections!$A1085="","",IFERROR(INDEX(games!$B$2:$B$950,MATCH(connections!$A1085,games!$A$2:$A$950,0)),""))</f>
        <v>1994</v>
      </c>
      <c r="U1086">
        <f>IF(connections!$A1085="","",IFERROR(INDEX(games!$B$2:$B$950,MATCH(connections!$B1085,games!$A$2:$A$950,0)),""))</f>
        <v>2015</v>
      </c>
      <c r="V1086">
        <f t="shared" si="196"/>
        <v>21</v>
      </c>
    </row>
    <row r="1087" spans="20:22" x14ac:dyDescent="0.25">
      <c r="T1087">
        <f>IF(connections!$A1086="","",IFERROR(INDEX(games!$B$2:$B$950,MATCH(connections!$A1086,games!$A$2:$A$950,0)),""))</f>
        <v>1987</v>
      </c>
      <c r="U1087">
        <f>IF(connections!$A1086="","",IFERROR(INDEX(games!$B$2:$B$950,MATCH(connections!$B1086,games!$A$2:$A$950,0)),""))</f>
        <v>2015</v>
      </c>
      <c r="V1087">
        <f t="shared" si="196"/>
        <v>28</v>
      </c>
    </row>
    <row r="1088" spans="20:22" x14ac:dyDescent="0.25">
      <c r="T1088">
        <f>IF(connections!$A1087="","",IFERROR(INDEX(games!$B$2:$B$950,MATCH(connections!$A1087,games!$A$2:$A$950,0)),""))</f>
        <v>2015</v>
      </c>
      <c r="U1088">
        <f>IF(connections!$A1087="","",IFERROR(INDEX(games!$B$2:$B$950,MATCH(connections!$B1087,games!$A$2:$A$950,0)),""))</f>
        <v>2025</v>
      </c>
      <c r="V1088">
        <f t="shared" si="196"/>
        <v>10</v>
      </c>
    </row>
    <row r="1089" spans="20:22" x14ac:dyDescent="0.25">
      <c r="T1089">
        <f>IF(connections!$A1088="","",IFERROR(INDEX(games!$B$2:$B$950,MATCH(connections!$A1088,games!$A$2:$A$950,0)),""))</f>
        <v>2019</v>
      </c>
      <c r="U1089">
        <f>IF(connections!$A1088="","",IFERROR(INDEX(games!$B$2:$B$950,MATCH(connections!$B1088,games!$A$2:$A$950,0)),""))</f>
        <v>2025</v>
      </c>
      <c r="V1089">
        <f t="shared" si="196"/>
        <v>6</v>
      </c>
    </row>
    <row r="1090" spans="20:22" x14ac:dyDescent="0.25">
      <c r="T1090">
        <f>IF(connections!$A1089="","",IFERROR(INDEX(games!$B$2:$B$950,MATCH(connections!$A1089,games!$A$2:$A$950,0)),""))</f>
        <v>2017</v>
      </c>
      <c r="U1090">
        <f>IF(connections!$A1089="","",IFERROR(INDEX(games!$B$2:$B$950,MATCH(connections!$B1089,games!$A$2:$A$950,0)),""))</f>
        <v>2025</v>
      </c>
      <c r="V1090">
        <f t="shared" ref="V1090:V1153" si="197">IF(OR($T1090="",$U1090=""),"",$U1090-$T1090)</f>
        <v>8</v>
      </c>
    </row>
    <row r="1091" spans="20:22" x14ac:dyDescent="0.25">
      <c r="T1091">
        <f>IF(connections!$A1090="","",IFERROR(INDEX(games!$B$2:$B$950,MATCH(connections!$A1090,games!$A$2:$A$950,0)),""))</f>
        <v>2012</v>
      </c>
      <c r="U1091">
        <f>IF(connections!$A1090="","",IFERROR(INDEX(games!$B$2:$B$950,MATCH(connections!$B1090,games!$A$2:$A$950,0)),""))</f>
        <v>2025</v>
      </c>
      <c r="V1091">
        <f t="shared" si="197"/>
        <v>13</v>
      </c>
    </row>
    <row r="1092" spans="20:22" x14ac:dyDescent="0.25">
      <c r="T1092">
        <f>IF(connections!$A1091="","",IFERROR(INDEX(games!$B$2:$B$950,MATCH(connections!$A1091,games!$A$2:$A$950,0)),""))</f>
        <v>2023</v>
      </c>
      <c r="U1092">
        <f>IF(connections!$A1091="","",IFERROR(INDEX(games!$B$2:$B$950,MATCH(connections!$B1091,games!$A$2:$A$950,0)),""))</f>
        <v>2025</v>
      </c>
      <c r="V1092">
        <f t="shared" si="197"/>
        <v>2</v>
      </c>
    </row>
    <row r="1093" spans="20:22" x14ac:dyDescent="0.25">
      <c r="T1093">
        <f>IF(connections!$A1092="","",IFERROR(INDEX(games!$B$2:$B$950,MATCH(connections!$A1092,games!$A$2:$A$950,0)),""))</f>
        <v>2013</v>
      </c>
      <c r="U1093">
        <f>IF(connections!$A1092="","",IFERROR(INDEX(games!$B$2:$B$950,MATCH(connections!$B1092,games!$A$2:$A$950,0)),""))</f>
        <v>2025</v>
      </c>
      <c r="V1093">
        <f t="shared" si="197"/>
        <v>12</v>
      </c>
    </row>
    <row r="1094" spans="20:22" x14ac:dyDescent="0.25">
      <c r="T1094">
        <f>IF(connections!$A1093="","",IFERROR(INDEX(games!$B$2:$B$950,MATCH(connections!$A1093,games!$A$2:$A$950,0)),""))</f>
        <v>2022</v>
      </c>
      <c r="U1094">
        <f>IF(connections!$A1093="","",IFERROR(INDEX(games!$B$2:$B$950,MATCH(connections!$B1093,games!$A$2:$A$950,0)),""))</f>
        <v>2023</v>
      </c>
      <c r="V1094">
        <f t="shared" si="197"/>
        <v>1</v>
      </c>
    </row>
    <row r="1095" spans="20:22" x14ac:dyDescent="0.25">
      <c r="T1095">
        <f>IF(connections!$A1094="","",IFERROR(INDEX(games!$B$2:$B$950,MATCH(connections!$A1094,games!$A$2:$A$950,0)),""))</f>
        <v>2020</v>
      </c>
      <c r="U1095">
        <f>IF(connections!$A1094="","",IFERROR(INDEX(games!$B$2:$B$950,MATCH(connections!$B1094,games!$A$2:$A$950,0)),""))</f>
        <v>2023</v>
      </c>
      <c r="V1095">
        <f t="shared" si="197"/>
        <v>3</v>
      </c>
    </row>
    <row r="1096" spans="20:22" x14ac:dyDescent="0.25">
      <c r="T1096">
        <f>IF(connections!$A1095="","",IFERROR(INDEX(games!$B$2:$B$950,MATCH(connections!$A1095,games!$A$2:$A$950,0)),""))</f>
        <v>2023</v>
      </c>
      <c r="U1096">
        <f>IF(connections!$A1095="","",IFERROR(INDEX(games!$B$2:$B$950,MATCH(connections!$B1095,games!$A$2:$A$950,0)),""))</f>
        <v>2025</v>
      </c>
      <c r="V1096">
        <f t="shared" si="197"/>
        <v>2</v>
      </c>
    </row>
    <row r="1097" spans="20:22" x14ac:dyDescent="0.25">
      <c r="T1097">
        <f>IF(connections!$A1096="","",IFERROR(INDEX(games!$B$2:$B$950,MATCH(connections!$A1096,games!$A$2:$A$950,0)),""))</f>
        <v>2012</v>
      </c>
      <c r="U1097">
        <f>IF(connections!$A1096="","",IFERROR(INDEX(games!$B$2:$B$950,MATCH(connections!$B1096,games!$A$2:$A$950,0)),""))</f>
        <v>2014</v>
      </c>
      <c r="V1097">
        <f t="shared" si="197"/>
        <v>2</v>
      </c>
    </row>
    <row r="1098" spans="20:22" x14ac:dyDescent="0.25">
      <c r="T1098">
        <f>IF(connections!$A1097="","",IFERROR(INDEX(games!$B$2:$B$950,MATCH(connections!$A1097,games!$A$2:$A$950,0)),""))</f>
        <v>2019</v>
      </c>
      <c r="U1098">
        <f>IF(connections!$A1097="","",IFERROR(INDEX(games!$B$2:$B$950,MATCH(connections!$B1097,games!$A$2:$A$950,0)),""))</f>
        <v>2022</v>
      </c>
      <c r="V1098">
        <f t="shared" si="197"/>
        <v>3</v>
      </c>
    </row>
    <row r="1099" spans="20:22" x14ac:dyDescent="0.25">
      <c r="T1099">
        <f>IF(connections!$A1098="","",IFERROR(INDEX(games!$B$2:$B$950,MATCH(connections!$A1098,games!$A$2:$A$950,0)),""))</f>
        <v>2020</v>
      </c>
      <c r="U1099">
        <f>IF(connections!$A1098="","",IFERROR(INDEX(games!$B$2:$B$950,MATCH(connections!$B1098,games!$A$2:$A$950,0)),""))</f>
        <v>2022</v>
      </c>
      <c r="V1099">
        <f t="shared" si="197"/>
        <v>2</v>
      </c>
    </row>
    <row r="1100" spans="20:22" x14ac:dyDescent="0.25">
      <c r="T1100">
        <f>IF(connections!$A1099="","",IFERROR(INDEX(games!$B$2:$B$950,MATCH(connections!$A1099,games!$A$2:$A$950,0)),""))</f>
        <v>2011</v>
      </c>
      <c r="U1100">
        <f>IF(connections!$A1099="","",IFERROR(INDEX(games!$B$2:$B$950,MATCH(connections!$B1099,games!$A$2:$A$950,0)),""))</f>
        <v>2022</v>
      </c>
      <c r="V1100">
        <f t="shared" si="197"/>
        <v>11</v>
      </c>
    </row>
    <row r="1101" spans="20:22" x14ac:dyDescent="0.25">
      <c r="T1101">
        <f>IF(connections!$A1100="","",IFERROR(INDEX(games!$B$2:$B$950,MATCH(connections!$A1100,games!$A$2:$A$950,0)),""))</f>
        <v>2000</v>
      </c>
      <c r="U1101">
        <f>IF(connections!$A1100="","",IFERROR(INDEX(games!$B$2:$B$950,MATCH(connections!$B1100,games!$A$2:$A$950,0)),""))</f>
        <v>2008</v>
      </c>
      <c r="V1101">
        <f t="shared" si="197"/>
        <v>8</v>
      </c>
    </row>
    <row r="1102" spans="20:22" x14ac:dyDescent="0.25">
      <c r="T1102">
        <f>IF(connections!$A1101="","",IFERROR(INDEX(games!$B$2:$B$950,MATCH(connections!$A1101,games!$A$2:$A$950,0)),""))</f>
        <v>1995</v>
      </c>
      <c r="U1102">
        <f>IF(connections!$A1101="","",IFERROR(INDEX(games!$B$2:$B$950,MATCH(connections!$B1101,games!$A$2:$A$950,0)),""))</f>
        <v>2000</v>
      </c>
      <c r="V1102">
        <f t="shared" si="197"/>
        <v>5</v>
      </c>
    </row>
    <row r="1103" spans="20:22" x14ac:dyDescent="0.25">
      <c r="T1103">
        <f>IF(connections!$A1102="","",IFERROR(INDEX(games!$B$2:$B$950,MATCH(connections!$A1102,games!$A$2:$A$950,0)),""))</f>
        <v>2008</v>
      </c>
      <c r="U1103">
        <f>IF(connections!$A1102="","",IFERROR(INDEX(games!$B$2:$B$950,MATCH(connections!$B1102,games!$A$2:$A$950,0)),""))</f>
        <v>2010</v>
      </c>
      <c r="V1103">
        <f t="shared" si="197"/>
        <v>2</v>
      </c>
    </row>
    <row r="1104" spans="20:22" x14ac:dyDescent="0.25">
      <c r="T1104">
        <f>IF(connections!$A1103="","",IFERROR(INDEX(games!$B$2:$B$950,MATCH(connections!$A1103,games!$A$2:$A$950,0)),""))</f>
        <v>2000</v>
      </c>
      <c r="U1104">
        <f>IF(connections!$A1103="","",IFERROR(INDEX(games!$B$2:$B$950,MATCH(connections!$B1103,games!$A$2:$A$950,0)),""))</f>
        <v>2002</v>
      </c>
      <c r="V1104">
        <f t="shared" si="197"/>
        <v>2</v>
      </c>
    </row>
    <row r="1105" spans="20:22" x14ac:dyDescent="0.25">
      <c r="T1105">
        <f>IF(connections!$A1104="","",IFERROR(INDEX(games!$B$2:$B$950,MATCH(connections!$A1104,games!$A$2:$A$950,0)),""))</f>
        <v>1995</v>
      </c>
      <c r="U1105">
        <f>IF(connections!$A1104="","",IFERROR(INDEX(games!$B$2:$B$950,MATCH(connections!$B1104,games!$A$2:$A$950,0)),""))</f>
        <v>1996</v>
      </c>
      <c r="V1105">
        <f t="shared" si="197"/>
        <v>1</v>
      </c>
    </row>
    <row r="1106" spans="20:22" x14ac:dyDescent="0.25">
      <c r="T1106">
        <f>IF(connections!$A1105="","",IFERROR(INDEX(games!$B$2:$B$950,MATCH(connections!$A1105,games!$A$2:$A$950,0)),""))</f>
        <v>1996</v>
      </c>
      <c r="U1106">
        <f>IF(connections!$A1105="","",IFERROR(INDEX(games!$B$2:$B$950,MATCH(connections!$B1105,games!$A$2:$A$950,0)),""))</f>
        <v>2001</v>
      </c>
      <c r="V1106">
        <f t="shared" si="197"/>
        <v>5</v>
      </c>
    </row>
    <row r="1107" spans="20:22" x14ac:dyDescent="0.25">
      <c r="T1107">
        <f>IF(connections!$A1106="","",IFERROR(INDEX(games!$B$2:$B$950,MATCH(connections!$A1106,games!$A$2:$A$950,0)),""))</f>
        <v>2010</v>
      </c>
      <c r="U1107">
        <f>IF(connections!$A1106="","",IFERROR(INDEX(games!$B$2:$B$950,MATCH(connections!$B1106,games!$A$2:$A$950,0)),""))</f>
        <v>2024</v>
      </c>
      <c r="V1107">
        <f t="shared" si="197"/>
        <v>14</v>
      </c>
    </row>
    <row r="1108" spans="20:22" x14ac:dyDescent="0.25">
      <c r="T1108">
        <f>IF(connections!$A1107="","",IFERROR(INDEX(games!$B$2:$B$950,MATCH(connections!$A1107,games!$A$2:$A$950,0)),""))</f>
        <v>2010</v>
      </c>
      <c r="U1108">
        <f>IF(connections!$A1107="","",IFERROR(INDEX(games!$B$2:$B$950,MATCH(connections!$B1107,games!$A$2:$A$950,0)),""))</f>
        <v>2010</v>
      </c>
      <c r="V1108">
        <f t="shared" si="197"/>
        <v>0</v>
      </c>
    </row>
    <row r="1109" spans="20:22" x14ac:dyDescent="0.25">
      <c r="T1109">
        <f>IF(connections!$A1108="","",IFERROR(INDEX(games!$B$2:$B$950,MATCH(connections!$A1108,games!$A$2:$A$950,0)),""))</f>
        <v>2015</v>
      </c>
      <c r="U1109">
        <f>IF(connections!$A1108="","",IFERROR(INDEX(games!$B$2:$B$950,MATCH(connections!$B1108,games!$A$2:$A$950,0)),""))</f>
        <v>2023</v>
      </c>
      <c r="V1109">
        <f t="shared" si="197"/>
        <v>8</v>
      </c>
    </row>
    <row r="1110" spans="20:22" x14ac:dyDescent="0.25">
      <c r="T1110">
        <f>IF(connections!$A1109="","",IFERROR(INDEX(games!$B$2:$B$950,MATCH(connections!$A1109,games!$A$2:$A$950,0)),""))</f>
        <v>2015</v>
      </c>
      <c r="U1110">
        <f>IF(connections!$A1109="","",IFERROR(INDEX(games!$B$2:$B$950,MATCH(connections!$B1109,games!$A$2:$A$950,0)),""))</f>
        <v>2023</v>
      </c>
      <c r="V1110">
        <f t="shared" si="197"/>
        <v>8</v>
      </c>
    </row>
    <row r="1111" spans="20:22" x14ac:dyDescent="0.25">
      <c r="T1111">
        <f>IF(connections!$A1110="","",IFERROR(INDEX(games!$B$2:$B$950,MATCH(connections!$A1110,games!$A$2:$A$950,0)),""))</f>
        <v>2018</v>
      </c>
      <c r="U1111">
        <f>IF(connections!$A1110="","",IFERROR(INDEX(games!$B$2:$B$950,MATCH(connections!$B1110,games!$A$2:$A$950,0)),""))</f>
        <v>2023</v>
      </c>
      <c r="V1111">
        <f t="shared" si="197"/>
        <v>5</v>
      </c>
    </row>
    <row r="1112" spans="20:22" x14ac:dyDescent="0.25">
      <c r="T1112">
        <f>IF(connections!$A1111="","",IFERROR(INDEX(games!$B$2:$B$950,MATCH(connections!$A1111,games!$A$2:$A$950,0)),""))</f>
        <v>2017</v>
      </c>
      <c r="U1112">
        <f>IF(connections!$A1111="","",IFERROR(INDEX(games!$B$2:$B$950,MATCH(connections!$B1111,games!$A$2:$A$950,0)),""))</f>
        <v>2023</v>
      </c>
      <c r="V1112">
        <f t="shared" si="197"/>
        <v>6</v>
      </c>
    </row>
    <row r="1113" spans="20:22" x14ac:dyDescent="0.25">
      <c r="T1113">
        <f>IF(connections!$A1112="","",IFERROR(INDEX(games!$B$2:$B$950,MATCH(connections!$A1112,games!$A$2:$A$950,0)),""))</f>
        <v>2015</v>
      </c>
      <c r="U1113">
        <f>IF(connections!$A1112="","",IFERROR(INDEX(games!$B$2:$B$950,MATCH(connections!$B1112,games!$A$2:$A$950,0)),""))</f>
        <v>2022</v>
      </c>
      <c r="V1113">
        <f t="shared" si="197"/>
        <v>7</v>
      </c>
    </row>
    <row r="1114" spans="20:22" x14ac:dyDescent="0.25">
      <c r="T1114">
        <f>IF(connections!$A1113="","",IFERROR(INDEX(games!$B$2:$B$950,MATCH(connections!$A1113,games!$A$2:$A$950,0)),""))</f>
        <v>2008</v>
      </c>
      <c r="U1114">
        <f>IF(connections!$A1113="","",IFERROR(INDEX(games!$B$2:$B$950,MATCH(connections!$B1113,games!$A$2:$A$950,0)),""))</f>
        <v>2022</v>
      </c>
      <c r="V1114">
        <f t="shared" si="197"/>
        <v>14</v>
      </c>
    </row>
    <row r="1115" spans="20:22" x14ac:dyDescent="0.25">
      <c r="T1115">
        <f>IF(connections!$A1114="","",IFERROR(INDEX(games!$B$2:$B$950,MATCH(connections!$A1114,games!$A$2:$A$950,0)),""))</f>
        <v>2021</v>
      </c>
      <c r="U1115">
        <f>IF(connections!$A1114="","",IFERROR(INDEX(games!$B$2:$B$950,MATCH(connections!$B1114,games!$A$2:$A$950,0)),""))</f>
        <v>2026</v>
      </c>
      <c r="V1115">
        <f t="shared" si="197"/>
        <v>5</v>
      </c>
    </row>
    <row r="1116" spans="20:22" x14ac:dyDescent="0.25">
      <c r="T1116">
        <f>IF(connections!$A1115="","",IFERROR(INDEX(games!$B$2:$B$950,MATCH(connections!$A1115,games!$A$2:$A$950,0)),""))</f>
        <v>2017</v>
      </c>
      <c r="U1116">
        <f>IF(connections!$A1115="","",IFERROR(INDEX(games!$B$2:$B$950,MATCH(connections!$B1115,games!$A$2:$A$950,0)),""))</f>
        <v>2026</v>
      </c>
      <c r="V1116">
        <f t="shared" si="197"/>
        <v>9</v>
      </c>
    </row>
    <row r="1117" spans="20:22" x14ac:dyDescent="0.25">
      <c r="T1117">
        <f>IF(connections!$A1116="","",IFERROR(INDEX(games!$B$2:$B$950,MATCH(connections!$A1116,games!$A$2:$A$950,0)),""))</f>
        <v>1990</v>
      </c>
      <c r="U1117">
        <f>IF(connections!$A1116="","",IFERROR(INDEX(games!$B$2:$B$950,MATCH(connections!$B1116,games!$A$2:$A$950,0)),""))</f>
        <v>2012</v>
      </c>
      <c r="V1117">
        <f t="shared" si="197"/>
        <v>22</v>
      </c>
    </row>
    <row r="1118" spans="20:22" x14ac:dyDescent="0.25">
      <c r="T1118">
        <f>IF(connections!$A1117="","",IFERROR(INDEX(games!$B$2:$B$950,MATCH(connections!$A1117,games!$A$2:$A$950,0)),""))</f>
        <v>2025</v>
      </c>
      <c r="U1118">
        <f>IF(connections!$A1117="","",IFERROR(INDEX(games!$B$2:$B$950,MATCH(connections!$B1117,games!$A$2:$A$950,0)),""))</f>
        <v>2026</v>
      </c>
      <c r="V1118">
        <f t="shared" si="197"/>
        <v>1</v>
      </c>
    </row>
    <row r="1119" spans="20:22" x14ac:dyDescent="0.25">
      <c r="T1119">
        <f>IF(connections!$A1118="","",IFERROR(INDEX(games!$B$2:$B$950,MATCH(connections!$A1118,games!$A$2:$A$950,0)),""))</f>
        <v>2021</v>
      </c>
      <c r="U1119">
        <f>IF(connections!$A1118="","",IFERROR(INDEX(games!$B$2:$B$950,MATCH(connections!$B1118,games!$A$2:$A$950,0)),""))</f>
        <v>2026</v>
      </c>
      <c r="V1119">
        <f t="shared" si="197"/>
        <v>5</v>
      </c>
    </row>
    <row r="1120" spans="20:22" x14ac:dyDescent="0.25">
      <c r="T1120">
        <f>IF(connections!$A1119="","",IFERROR(INDEX(games!$B$2:$B$950,MATCH(connections!$A1119,games!$A$2:$A$950,0)),""))</f>
        <v>2023</v>
      </c>
      <c r="U1120">
        <f>IF(connections!$A1119="","",IFERROR(INDEX(games!$B$2:$B$950,MATCH(connections!$B1119,games!$A$2:$A$950,0)),""))</f>
        <v>2026</v>
      </c>
      <c r="V1120">
        <f t="shared" si="197"/>
        <v>3</v>
      </c>
    </row>
    <row r="1121" spans="20:22" x14ac:dyDescent="0.25">
      <c r="T1121">
        <f>IF(connections!$A1120="","",IFERROR(INDEX(games!$B$2:$B$950,MATCH(connections!$A1120,games!$A$2:$A$950,0)),""))</f>
        <v>2022</v>
      </c>
      <c r="U1121">
        <f>IF(connections!$A1120="","",IFERROR(INDEX(games!$B$2:$B$950,MATCH(connections!$B1120,games!$A$2:$A$950,0)),""))</f>
        <v>2026</v>
      </c>
      <c r="V1121">
        <f t="shared" si="197"/>
        <v>4</v>
      </c>
    </row>
    <row r="1122" spans="20:22" x14ac:dyDescent="0.25">
      <c r="T1122">
        <f>IF(connections!$A1121="","",IFERROR(INDEX(games!$B$2:$B$950,MATCH(connections!$A1121,games!$A$2:$A$950,0)),""))</f>
        <v>2008</v>
      </c>
      <c r="U1122">
        <f>IF(connections!$A1121="","",IFERROR(INDEX(games!$B$2:$B$950,MATCH(connections!$B1121,games!$A$2:$A$950,0)),""))</f>
        <v>2014</v>
      </c>
      <c r="V1122">
        <f t="shared" si="197"/>
        <v>6</v>
      </c>
    </row>
    <row r="1123" spans="20:22" x14ac:dyDescent="0.25">
      <c r="T1123">
        <f>IF(connections!$A1122="","",IFERROR(INDEX(games!$B$2:$B$950,MATCH(connections!$A1122,games!$A$2:$A$950,0)),""))</f>
        <v>2023</v>
      </c>
      <c r="U1123">
        <f>IF(connections!$A1122="","",IFERROR(INDEX(games!$B$2:$B$950,MATCH(connections!$B1122,games!$A$2:$A$950,0)),""))</f>
        <v>2024</v>
      </c>
      <c r="V1123">
        <f t="shared" si="197"/>
        <v>1</v>
      </c>
    </row>
    <row r="1124" spans="20:22" x14ac:dyDescent="0.25">
      <c r="T1124">
        <f>IF(connections!$A1123="","",IFERROR(INDEX(games!$B$2:$B$950,MATCH(connections!$A1123,games!$A$2:$A$950,0)),""))</f>
        <v>1987</v>
      </c>
      <c r="U1124">
        <f>IF(connections!$A1123="","",IFERROR(INDEX(games!$B$2:$B$950,MATCH(connections!$B1123,games!$A$2:$A$950,0)),""))</f>
        <v>2006</v>
      </c>
      <c r="V1124">
        <f t="shared" si="197"/>
        <v>19</v>
      </c>
    </row>
    <row r="1125" spans="20:22" x14ac:dyDescent="0.25">
      <c r="T1125">
        <f>IF(connections!$A1124="","",IFERROR(INDEX(games!$B$2:$B$950,MATCH(connections!$A1124,games!$A$2:$A$950,0)),""))</f>
        <v>2015</v>
      </c>
      <c r="U1125">
        <f>IF(connections!$A1124="","",IFERROR(INDEX(games!$B$2:$B$950,MATCH(connections!$B1124,games!$A$2:$A$950,0)),""))</f>
        <v>2017</v>
      </c>
      <c r="V1125">
        <f t="shared" si="197"/>
        <v>2</v>
      </c>
    </row>
    <row r="1126" spans="20:22" x14ac:dyDescent="0.25">
      <c r="T1126">
        <f>IF(connections!$A1125="","",IFERROR(INDEX(games!$B$2:$B$950,MATCH(connections!$A1125,games!$A$2:$A$950,0)),""))</f>
        <v>2014</v>
      </c>
      <c r="U1126">
        <f>IF(connections!$A1125="","",IFERROR(INDEX(games!$B$2:$B$950,MATCH(connections!$B1125,games!$A$2:$A$950,0)),""))</f>
        <v>2017</v>
      </c>
      <c r="V1126">
        <f t="shared" si="197"/>
        <v>3</v>
      </c>
    </row>
    <row r="1127" spans="20:22" x14ac:dyDescent="0.25">
      <c r="T1127">
        <f>IF(connections!$A1126="","",IFERROR(INDEX(games!$B$2:$B$950,MATCH(connections!$A1126,games!$A$2:$A$950,0)),""))</f>
        <v>2012</v>
      </c>
      <c r="U1127">
        <f>IF(connections!$A1126="","",IFERROR(INDEX(games!$B$2:$B$950,MATCH(connections!$B1126,games!$A$2:$A$950,0)),""))</f>
        <v>2017</v>
      </c>
      <c r="V1127">
        <f t="shared" si="197"/>
        <v>5</v>
      </c>
    </row>
    <row r="1128" spans="20:22" x14ac:dyDescent="0.25">
      <c r="T1128">
        <f>IF(connections!$A1127="","",IFERROR(INDEX(games!$B$2:$B$950,MATCH(connections!$A1127,games!$A$2:$A$950,0)),""))</f>
        <v>2011</v>
      </c>
      <c r="U1128">
        <f>IF(connections!$A1127="","",IFERROR(INDEX(games!$B$2:$B$950,MATCH(connections!$B1127,games!$A$2:$A$950,0)),""))</f>
        <v>2017</v>
      </c>
      <c r="V1128">
        <f t="shared" si="197"/>
        <v>6</v>
      </c>
    </row>
    <row r="1129" spans="20:22" x14ac:dyDescent="0.25">
      <c r="T1129">
        <f>IF(connections!$A1128="","",IFERROR(INDEX(games!$B$2:$B$950,MATCH(connections!$A1128,games!$A$2:$A$950,0)),""))</f>
        <v>2017</v>
      </c>
      <c r="U1129">
        <f>IF(connections!$A1128="","",IFERROR(INDEX(games!$B$2:$B$950,MATCH(connections!$B1128,games!$A$2:$A$950,0)),""))</f>
        <v>2026</v>
      </c>
      <c r="V1129">
        <f t="shared" si="197"/>
        <v>9</v>
      </c>
    </row>
    <row r="1130" spans="20:22" x14ac:dyDescent="0.25">
      <c r="T1130">
        <f>IF(connections!$A1129="","",IFERROR(INDEX(games!$B$2:$B$950,MATCH(connections!$A1129,games!$A$2:$A$950,0)),""))</f>
        <v>2012</v>
      </c>
      <c r="U1130">
        <f>IF(connections!$A1129="","",IFERROR(INDEX(games!$B$2:$B$950,MATCH(connections!$B1129,games!$A$2:$A$950,0)),""))</f>
        <v>2018</v>
      </c>
      <c r="V1130">
        <f t="shared" si="197"/>
        <v>6</v>
      </c>
    </row>
    <row r="1131" spans="20:22" x14ac:dyDescent="0.25">
      <c r="T1131">
        <f>IF(connections!$A1130="","",IFERROR(INDEX(games!$B$2:$B$950,MATCH(connections!$A1130,games!$A$2:$A$950,0)),""))</f>
        <v>2017</v>
      </c>
      <c r="U1131">
        <f>IF(connections!$A1130="","",IFERROR(INDEX(games!$B$2:$B$950,MATCH(connections!$B1130,games!$A$2:$A$950,0)),""))</f>
        <v>2018</v>
      </c>
      <c r="V1131">
        <f t="shared" si="197"/>
        <v>1</v>
      </c>
    </row>
    <row r="1132" spans="20:22" x14ac:dyDescent="0.25">
      <c r="T1132">
        <f>IF(connections!$A1131="","",IFERROR(INDEX(games!$B$2:$B$950,MATCH(connections!$A1131,games!$A$2:$A$950,0)),""))</f>
        <v>2023</v>
      </c>
      <c r="U1132">
        <f>IF(connections!$A1131="","",IFERROR(INDEX(games!$B$2:$B$950,MATCH(connections!$B1131,games!$A$2:$A$950,0)),""))</f>
        <v>2024</v>
      </c>
      <c r="V1132">
        <f t="shared" si="197"/>
        <v>1</v>
      </c>
    </row>
    <row r="1133" spans="20:22" x14ac:dyDescent="0.25">
      <c r="T1133">
        <f>IF(connections!$A1132="","",IFERROR(INDEX(games!$B$2:$B$950,MATCH(connections!$A1132,games!$A$2:$A$950,0)),""))</f>
        <v>2022</v>
      </c>
      <c r="U1133">
        <f>IF(connections!$A1132="","",IFERROR(INDEX(games!$B$2:$B$950,MATCH(connections!$B1132,games!$A$2:$A$950,0)),""))</f>
        <v>2023</v>
      </c>
      <c r="V1133">
        <f t="shared" si="197"/>
        <v>1</v>
      </c>
    </row>
    <row r="1134" spans="20:22" x14ac:dyDescent="0.25">
      <c r="T1134">
        <f>IF(connections!$A1133="","",IFERROR(INDEX(games!$B$2:$B$950,MATCH(connections!$A1133,games!$A$2:$A$950,0)),""))</f>
        <v>2022</v>
      </c>
      <c r="U1134">
        <f>IF(connections!$A1133="","",IFERROR(INDEX(games!$B$2:$B$950,MATCH(connections!$B1133,games!$A$2:$A$950,0)),""))</f>
        <v>2023</v>
      </c>
      <c r="V1134">
        <f t="shared" si="197"/>
        <v>1</v>
      </c>
    </row>
    <row r="1135" spans="20:22" x14ac:dyDescent="0.25">
      <c r="T1135">
        <f>IF(connections!$A1134="","",IFERROR(INDEX(games!$B$2:$B$950,MATCH(connections!$A1134,games!$A$2:$A$950,0)),""))</f>
        <v>2021</v>
      </c>
      <c r="U1135">
        <f>IF(connections!$A1134="","",IFERROR(INDEX(games!$B$2:$B$950,MATCH(connections!$B1134,games!$A$2:$A$950,0)),""))</f>
        <v>2023</v>
      </c>
      <c r="V1135">
        <f t="shared" si="197"/>
        <v>2</v>
      </c>
    </row>
    <row r="1136" spans="20:22" x14ac:dyDescent="0.25">
      <c r="T1136">
        <f>IF(connections!$A1135="","",IFERROR(INDEX(games!$B$2:$B$950,MATCH(connections!$A1135,games!$A$2:$A$950,0)),""))</f>
        <v>2019</v>
      </c>
      <c r="U1136">
        <f>IF(connections!$A1135="","",IFERROR(INDEX(games!$B$2:$B$950,MATCH(connections!$B1135,games!$A$2:$A$950,0)),""))</f>
        <v>2023</v>
      </c>
      <c r="V1136">
        <f t="shared" si="197"/>
        <v>4</v>
      </c>
    </row>
    <row r="1137" spans="20:22" x14ac:dyDescent="0.25">
      <c r="T1137">
        <f>IF(connections!$A1136="","",IFERROR(INDEX(games!$B$2:$B$950,MATCH(connections!$A1136,games!$A$2:$A$950,0)),""))</f>
        <v>2023</v>
      </c>
      <c r="U1137">
        <f>IF(connections!$A1136="","",IFERROR(INDEX(games!$B$2:$B$950,MATCH(connections!$B1136,games!$A$2:$A$950,0)),""))</f>
        <v>2023</v>
      </c>
      <c r="V1137">
        <f t="shared" si="197"/>
        <v>0</v>
      </c>
    </row>
    <row r="1138" spans="20:22" x14ac:dyDescent="0.25">
      <c r="T1138">
        <f>IF(connections!$A1137="","",IFERROR(INDEX(games!$B$2:$B$950,MATCH(connections!$A1137,games!$A$2:$A$950,0)),""))</f>
        <v>2022</v>
      </c>
      <c r="U1138">
        <f>IF(connections!$A1137="","",IFERROR(INDEX(games!$B$2:$B$950,MATCH(connections!$B1137,games!$A$2:$A$950,0)),""))</f>
        <v>2023</v>
      </c>
      <c r="V1138">
        <f t="shared" si="197"/>
        <v>1</v>
      </c>
    </row>
    <row r="1139" spans="20:22" x14ac:dyDescent="0.25">
      <c r="T1139">
        <f>IF(connections!$A1138="","",IFERROR(INDEX(games!$B$2:$B$950,MATCH(connections!$A1138,games!$A$2:$A$950,0)),""))</f>
        <v>2021</v>
      </c>
      <c r="U1139">
        <f>IF(connections!$A1138="","",IFERROR(INDEX(games!$B$2:$B$950,MATCH(connections!$B1138,games!$A$2:$A$950,0)),""))</f>
        <v>2023</v>
      </c>
      <c r="V1139">
        <f t="shared" si="197"/>
        <v>2</v>
      </c>
    </row>
    <row r="1140" spans="20:22" x14ac:dyDescent="0.25">
      <c r="T1140">
        <f>IF(connections!$A1139="","",IFERROR(INDEX(games!$B$2:$B$950,MATCH(connections!$A1139,games!$A$2:$A$950,0)),""))</f>
        <v>2023</v>
      </c>
      <c r="U1140">
        <f>IF(connections!$A1139="","",IFERROR(INDEX(games!$B$2:$B$950,MATCH(connections!$B1139,games!$A$2:$A$950,0)),""))</f>
        <v>2025</v>
      </c>
      <c r="V1140">
        <f t="shared" si="197"/>
        <v>2</v>
      </c>
    </row>
    <row r="1141" spans="20:22" x14ac:dyDescent="0.25">
      <c r="T1141">
        <f>IF(connections!$A1140="","",IFERROR(INDEX(games!$B$2:$B$950,MATCH(connections!$A1140,games!$A$2:$A$950,0)),""))</f>
        <v>2021</v>
      </c>
      <c r="U1141">
        <f>IF(connections!$A1140="","",IFERROR(INDEX(games!$B$2:$B$950,MATCH(connections!$B1140,games!$A$2:$A$950,0)),""))</f>
        <v>2025</v>
      </c>
      <c r="V1141">
        <f t="shared" si="197"/>
        <v>4</v>
      </c>
    </row>
    <row r="1142" spans="20:22" x14ac:dyDescent="0.25">
      <c r="T1142">
        <f>IF(connections!$A1141="","",IFERROR(INDEX(games!$B$2:$B$950,MATCH(connections!$A1141,games!$A$2:$A$950,0)),""))</f>
        <v>1995</v>
      </c>
      <c r="U1142">
        <f>IF(connections!$A1141="","",IFERROR(INDEX(games!$B$2:$B$950,MATCH(connections!$B1141,games!$A$2:$A$950,0)),""))</f>
        <v>2025</v>
      </c>
      <c r="V1142">
        <f t="shared" si="197"/>
        <v>30</v>
      </c>
    </row>
    <row r="1143" spans="20:22" x14ac:dyDescent="0.25">
      <c r="T1143">
        <f>IF(connections!$A1142="","",IFERROR(INDEX(games!$B$2:$B$950,MATCH(connections!$A1142,games!$A$2:$A$950,0)),""))</f>
        <v>2017</v>
      </c>
      <c r="U1143">
        <f>IF(connections!$A1142="","",IFERROR(INDEX(games!$B$2:$B$950,MATCH(connections!$B1142,games!$A$2:$A$950,0)),""))</f>
        <v>2025</v>
      </c>
      <c r="V1143">
        <f t="shared" si="197"/>
        <v>8</v>
      </c>
    </row>
    <row r="1144" spans="20:22" x14ac:dyDescent="0.25">
      <c r="T1144">
        <f>IF(connections!$A1143="","",IFERROR(INDEX(games!$B$2:$B$950,MATCH(connections!$A1143,games!$A$2:$A$950,0)),""))</f>
        <v>2023</v>
      </c>
      <c r="U1144">
        <f>IF(connections!$A1143="","",IFERROR(INDEX(games!$B$2:$B$950,MATCH(connections!$B1143,games!$A$2:$A$950,0)),""))</f>
        <v>2026</v>
      </c>
      <c r="V1144">
        <f t="shared" si="197"/>
        <v>3</v>
      </c>
    </row>
    <row r="1145" spans="20:22" x14ac:dyDescent="0.25">
      <c r="T1145">
        <f>IF(connections!$A1144="","",IFERROR(INDEX(games!$B$2:$B$950,MATCH(connections!$A1144,games!$A$2:$A$950,0)),""))</f>
        <v>2017</v>
      </c>
      <c r="U1145">
        <f>IF(connections!$A1144="","",IFERROR(INDEX(games!$B$2:$B$950,MATCH(connections!$B1144,games!$A$2:$A$950,0)),""))</f>
        <v>2026</v>
      </c>
      <c r="V1145">
        <f t="shared" si="197"/>
        <v>9</v>
      </c>
    </row>
    <row r="1146" spans="20:22" x14ac:dyDescent="0.25">
      <c r="T1146">
        <f>IF(connections!$A1145="","",IFERROR(INDEX(games!$B$2:$B$950,MATCH(connections!$A1145,games!$A$2:$A$950,0)),""))</f>
        <v>2023</v>
      </c>
      <c r="U1146">
        <f>IF(connections!$A1145="","",IFERROR(INDEX(games!$B$2:$B$950,MATCH(connections!$B1145,games!$A$2:$A$950,0)),""))</f>
        <v>2025</v>
      </c>
      <c r="V1146">
        <f t="shared" si="197"/>
        <v>2</v>
      </c>
    </row>
    <row r="1147" spans="20:22" x14ac:dyDescent="0.25">
      <c r="T1147">
        <f>IF(connections!$A1146="","",IFERROR(INDEX(games!$B$2:$B$950,MATCH(connections!$A1146,games!$A$2:$A$950,0)),""))</f>
        <v>2023</v>
      </c>
      <c r="U1147">
        <f>IF(connections!$A1146="","",IFERROR(INDEX(games!$B$2:$B$950,MATCH(connections!$B1146,games!$A$2:$A$950,0)),""))</f>
        <v>2025</v>
      </c>
      <c r="V1147">
        <f t="shared" si="197"/>
        <v>2</v>
      </c>
    </row>
    <row r="1148" spans="20:22" x14ac:dyDescent="0.25">
      <c r="T1148">
        <f>IF(connections!$A1147="","",IFERROR(INDEX(games!$B$2:$B$950,MATCH(connections!$A1147,games!$A$2:$A$950,0)),""))</f>
        <v>2021</v>
      </c>
      <c r="U1148">
        <f>IF(connections!$A1147="","",IFERROR(INDEX(games!$B$2:$B$950,MATCH(connections!$B1147,games!$A$2:$A$950,0)),""))</f>
        <v>2025</v>
      </c>
      <c r="V1148">
        <f t="shared" si="197"/>
        <v>4</v>
      </c>
    </row>
    <row r="1149" spans="20:22" x14ac:dyDescent="0.25">
      <c r="T1149">
        <f>IF(connections!$A1148="","",IFERROR(INDEX(games!$B$2:$B$950,MATCH(connections!$A1148,games!$A$2:$A$950,0)),""))</f>
        <v>2023</v>
      </c>
      <c r="U1149">
        <f>IF(connections!$A1148="","",IFERROR(INDEX(games!$B$2:$B$950,MATCH(connections!$B1148,games!$A$2:$A$950,0)),""))</f>
        <v>2025</v>
      </c>
      <c r="V1149">
        <f t="shared" si="197"/>
        <v>2</v>
      </c>
    </row>
    <row r="1150" spans="20:22" x14ac:dyDescent="0.25">
      <c r="T1150">
        <f>IF(connections!$A1149="","",IFERROR(INDEX(games!$B$2:$B$950,MATCH(connections!$A1149,games!$A$2:$A$950,0)),""))</f>
        <v>2019</v>
      </c>
      <c r="U1150">
        <f>IF(connections!$A1149="","",IFERROR(INDEX(games!$B$2:$B$950,MATCH(connections!$B1149,games!$A$2:$A$950,0)),""))</f>
        <v>2025</v>
      </c>
      <c r="V1150">
        <f t="shared" si="197"/>
        <v>6</v>
      </c>
    </row>
    <row r="1151" spans="20:22" x14ac:dyDescent="0.25">
      <c r="T1151">
        <f>IF(connections!$A1150="","",IFERROR(INDEX(games!$B$2:$B$950,MATCH(connections!$A1150,games!$A$2:$A$950,0)),""))</f>
        <v>2021</v>
      </c>
      <c r="U1151">
        <f>IF(connections!$A1150="","",IFERROR(INDEX(games!$B$2:$B$950,MATCH(connections!$B1150,games!$A$2:$A$950,0)),""))</f>
        <v>2025</v>
      </c>
      <c r="V1151">
        <f t="shared" si="197"/>
        <v>4</v>
      </c>
    </row>
    <row r="1152" spans="20:22" x14ac:dyDescent="0.25">
      <c r="T1152">
        <f>IF(connections!$A1151="","",IFERROR(INDEX(games!$B$2:$B$950,MATCH(connections!$A1151,games!$A$2:$A$950,0)),""))</f>
        <v>2012</v>
      </c>
      <c r="U1152">
        <f>IF(connections!$A1151="","",IFERROR(INDEX(games!$B$2:$B$950,MATCH(connections!$B1151,games!$A$2:$A$950,0)),""))</f>
        <v>2016</v>
      </c>
      <c r="V1152">
        <f t="shared" si="197"/>
        <v>4</v>
      </c>
    </row>
    <row r="1153" spans="20:22" x14ac:dyDescent="0.25">
      <c r="T1153">
        <f>IF(connections!$A1152="","",IFERROR(INDEX(games!$B$2:$B$950,MATCH(connections!$A1152,games!$A$2:$A$950,0)),""))</f>
        <v>1994</v>
      </c>
      <c r="U1153">
        <f>IF(connections!$A1152="","",IFERROR(INDEX(games!$B$2:$B$950,MATCH(connections!$B1152,games!$A$2:$A$950,0)),""))</f>
        <v>2022</v>
      </c>
      <c r="V1153">
        <f t="shared" si="197"/>
        <v>28</v>
      </c>
    </row>
    <row r="1154" spans="20:22" x14ac:dyDescent="0.25">
      <c r="T1154">
        <f>IF(connections!$A1153="","",IFERROR(INDEX(games!$B$2:$B$950,MATCH(connections!$A1153,games!$A$2:$A$950,0)),""))</f>
        <v>1992</v>
      </c>
      <c r="U1154">
        <f>IF(connections!$A1153="","",IFERROR(INDEX(games!$B$2:$B$950,MATCH(connections!$B1153,games!$A$2:$A$950,0)),""))</f>
        <v>2022</v>
      </c>
      <c r="V1154">
        <f t="shared" ref="V1154:V1217" si="198">IF(OR($T1154="",$U1154=""),"",$U1154-$T1154)</f>
        <v>30</v>
      </c>
    </row>
    <row r="1155" spans="20:22" x14ac:dyDescent="0.25">
      <c r="T1155">
        <f>IF(connections!$A1154="","",IFERROR(INDEX(games!$B$2:$B$950,MATCH(connections!$A1154,games!$A$2:$A$950,0)),""))</f>
        <v>2006</v>
      </c>
      <c r="U1155">
        <f>IF(connections!$A1154="","",IFERROR(INDEX(games!$B$2:$B$950,MATCH(connections!$B1154,games!$A$2:$A$950,0)),""))</f>
        <v>2023</v>
      </c>
      <c r="V1155">
        <f t="shared" si="198"/>
        <v>17</v>
      </c>
    </row>
    <row r="1156" spans="20:22" x14ac:dyDescent="0.25">
      <c r="T1156">
        <f>IF(connections!$A1155="","",IFERROR(INDEX(games!$B$2:$B$950,MATCH(connections!$A1155,games!$A$2:$A$950,0)),""))</f>
        <v>2022</v>
      </c>
      <c r="U1156">
        <f>IF(connections!$A1155="","",IFERROR(INDEX(games!$B$2:$B$950,MATCH(connections!$B1155,games!$A$2:$A$950,0)),""))</f>
        <v>2023</v>
      </c>
      <c r="V1156">
        <f t="shared" si="198"/>
        <v>1</v>
      </c>
    </row>
    <row r="1157" spans="20:22" x14ac:dyDescent="0.25">
      <c r="T1157">
        <f>IF(connections!$A1156="","",IFERROR(INDEX(games!$B$2:$B$950,MATCH(connections!$A1156,games!$A$2:$A$950,0)),""))</f>
        <v>2019</v>
      </c>
      <c r="U1157">
        <f>IF(connections!$A1156="","",IFERROR(INDEX(games!$B$2:$B$950,MATCH(connections!$B1156,games!$A$2:$A$950,0)),""))</f>
        <v>2022</v>
      </c>
      <c r="V1157">
        <f t="shared" si="198"/>
        <v>3</v>
      </c>
    </row>
    <row r="1158" spans="20:22" x14ac:dyDescent="0.25">
      <c r="T1158">
        <f>IF(connections!$A1157="","",IFERROR(INDEX(games!$B$2:$B$950,MATCH(connections!$A1157,games!$A$2:$A$950,0)),""))</f>
        <v>2020</v>
      </c>
      <c r="U1158">
        <f>IF(connections!$A1157="","",IFERROR(INDEX(games!$B$2:$B$950,MATCH(connections!$B1157,games!$A$2:$A$950,0)),""))</f>
        <v>2022</v>
      </c>
      <c r="V1158">
        <f t="shared" si="198"/>
        <v>2</v>
      </c>
    </row>
    <row r="1159" spans="20:22" x14ac:dyDescent="0.25">
      <c r="T1159">
        <f>IF(connections!$A1158="","",IFERROR(INDEX(games!$B$2:$B$950,MATCH(connections!$A1158,games!$A$2:$A$950,0)),""))</f>
        <v>2021</v>
      </c>
      <c r="U1159">
        <f>IF(connections!$A1158="","",IFERROR(INDEX(games!$B$2:$B$950,MATCH(connections!$B1158,games!$A$2:$A$950,0)),""))</f>
        <v>2022</v>
      </c>
      <c r="V1159">
        <f t="shared" si="198"/>
        <v>1</v>
      </c>
    </row>
    <row r="1160" spans="20:22" x14ac:dyDescent="0.25">
      <c r="T1160">
        <f>IF(connections!$A1159="","",IFERROR(INDEX(games!$B$2:$B$950,MATCH(connections!$A1159,games!$A$2:$A$950,0)),""))</f>
        <v>2018</v>
      </c>
      <c r="U1160">
        <f>IF(connections!$A1159="","",IFERROR(INDEX(games!$B$2:$B$950,MATCH(connections!$B1159,games!$A$2:$A$950,0)),""))</f>
        <v>2019</v>
      </c>
      <c r="V1160">
        <f t="shared" si="198"/>
        <v>1</v>
      </c>
    </row>
    <row r="1161" spans="20:22" x14ac:dyDescent="0.25">
      <c r="T1161">
        <f>IF(connections!$A1160="","",IFERROR(INDEX(games!$B$2:$B$950,MATCH(connections!$A1160,games!$A$2:$A$950,0)),""))</f>
        <v>2013</v>
      </c>
      <c r="U1161">
        <f>IF(connections!$A1160="","",IFERROR(INDEX(games!$B$2:$B$950,MATCH(connections!$B1160,games!$A$2:$A$950,0)),""))</f>
        <v>2019</v>
      </c>
      <c r="V1161">
        <f t="shared" si="198"/>
        <v>6</v>
      </c>
    </row>
    <row r="1162" spans="20:22" x14ac:dyDescent="0.25">
      <c r="T1162">
        <f>IF(connections!$A1161="","",IFERROR(INDEX(games!$B$2:$B$950,MATCH(connections!$A1161,games!$A$2:$A$950,0)),""))</f>
        <v>2011</v>
      </c>
      <c r="U1162">
        <f>IF(connections!$A1161="","",IFERROR(INDEX(games!$B$2:$B$950,MATCH(connections!$B1161,games!$A$2:$A$950,0)),""))</f>
        <v>2019</v>
      </c>
      <c r="V1162">
        <f t="shared" si="198"/>
        <v>8</v>
      </c>
    </row>
    <row r="1163" spans="20:22" x14ac:dyDescent="0.25">
      <c r="T1163">
        <f>IF(connections!$A1162="","",IFERROR(INDEX(games!$B$2:$B$950,MATCH(connections!$A1162,games!$A$2:$A$950,0)),""))</f>
        <v>2009</v>
      </c>
      <c r="U1163">
        <f>IF(connections!$A1162="","",IFERROR(INDEX(games!$B$2:$B$950,MATCH(connections!$B1162,games!$A$2:$A$950,0)),""))</f>
        <v>2016</v>
      </c>
      <c r="V1163">
        <f t="shared" si="198"/>
        <v>7</v>
      </c>
    </row>
    <row r="1164" spans="20:22" x14ac:dyDescent="0.25">
      <c r="T1164">
        <f>IF(connections!$A1163="","",IFERROR(INDEX(games!$B$2:$B$950,MATCH(connections!$A1163,games!$A$2:$A$950,0)),""))</f>
        <v>2002</v>
      </c>
      <c r="U1164">
        <f>IF(connections!$A1163="","",IFERROR(INDEX(games!$B$2:$B$950,MATCH(connections!$B1163,games!$A$2:$A$950,0)),""))</f>
        <v>2016</v>
      </c>
      <c r="V1164">
        <f t="shared" si="198"/>
        <v>14</v>
      </c>
    </row>
    <row r="1165" spans="20:22" x14ac:dyDescent="0.25">
      <c r="T1165">
        <f>IF(connections!$A1164="","",IFERROR(INDEX(games!$B$2:$B$950,MATCH(connections!$A1164,games!$A$2:$A$950,0)),""))</f>
        <v>2015</v>
      </c>
      <c r="U1165">
        <f>IF(connections!$A1164="","",IFERROR(INDEX(games!$B$2:$B$950,MATCH(connections!$B1164,games!$A$2:$A$950,0)),""))</f>
        <v>2024</v>
      </c>
      <c r="V1165">
        <f t="shared" si="198"/>
        <v>9</v>
      </c>
    </row>
    <row r="1166" spans="20:22" x14ac:dyDescent="0.25">
      <c r="T1166">
        <f>IF(connections!$A1165="","",IFERROR(INDEX(games!$B$2:$B$950,MATCH(connections!$A1165,games!$A$2:$A$950,0)),""))</f>
        <v>2013</v>
      </c>
      <c r="U1166">
        <f>IF(connections!$A1165="","",IFERROR(INDEX(games!$B$2:$B$950,MATCH(connections!$B1165,games!$A$2:$A$950,0)),""))</f>
        <v>2024</v>
      </c>
      <c r="V1166">
        <f t="shared" si="198"/>
        <v>11</v>
      </c>
    </row>
    <row r="1167" spans="20:22" x14ac:dyDescent="0.25">
      <c r="T1167">
        <f>IF(connections!$A1166="","",IFERROR(INDEX(games!$B$2:$B$950,MATCH(connections!$A1166,games!$A$2:$A$950,0)),""))</f>
        <v>2020</v>
      </c>
      <c r="U1167">
        <f>IF(connections!$A1166="","",IFERROR(INDEX(games!$B$2:$B$950,MATCH(connections!$B1166,games!$A$2:$A$950,0)),""))</f>
        <v>2024</v>
      </c>
      <c r="V1167">
        <f t="shared" si="198"/>
        <v>4</v>
      </c>
    </row>
    <row r="1168" spans="20:22" x14ac:dyDescent="0.25">
      <c r="T1168">
        <f>IF(connections!$A1167="","",IFERROR(INDEX(games!$B$2:$B$950,MATCH(connections!$A1167,games!$A$2:$A$950,0)),""))</f>
        <v>2019</v>
      </c>
      <c r="U1168">
        <f>IF(connections!$A1167="","",IFERROR(INDEX(games!$B$2:$B$950,MATCH(connections!$B1167,games!$A$2:$A$950,0)),""))</f>
        <v>2024</v>
      </c>
      <c r="V1168">
        <f t="shared" si="198"/>
        <v>5</v>
      </c>
    </row>
    <row r="1169" spans="20:22" x14ac:dyDescent="0.25">
      <c r="T1169">
        <f>IF(connections!$A1168="","",IFERROR(INDEX(games!$B$2:$B$950,MATCH(connections!$A1168,games!$A$2:$A$950,0)),""))</f>
        <v>2012</v>
      </c>
      <c r="U1169">
        <f>IF(connections!$A1168="","",IFERROR(INDEX(games!$B$2:$B$950,MATCH(connections!$B1168,games!$A$2:$A$950,0)),""))</f>
        <v>2019</v>
      </c>
      <c r="V1169">
        <f t="shared" si="198"/>
        <v>7</v>
      </c>
    </row>
    <row r="1170" spans="20:22" x14ac:dyDescent="0.25">
      <c r="T1170">
        <f>IF(connections!$A1169="","",IFERROR(INDEX(games!$B$2:$B$950,MATCH(connections!$A1169,games!$A$2:$A$950,0)),""))</f>
        <v>2013</v>
      </c>
      <c r="U1170">
        <f>IF(connections!$A1169="","",IFERROR(INDEX(games!$B$2:$B$950,MATCH(connections!$B1169,games!$A$2:$A$950,0)),""))</f>
        <v>2019</v>
      </c>
      <c r="V1170">
        <f t="shared" si="198"/>
        <v>6</v>
      </c>
    </row>
    <row r="1171" spans="20:22" x14ac:dyDescent="0.25">
      <c r="T1171">
        <f>IF(connections!$A1170="","",IFERROR(INDEX(games!$B$2:$B$950,MATCH(connections!$A1170,games!$A$2:$A$950,0)),""))</f>
        <v>2011</v>
      </c>
      <c r="U1171">
        <f>IF(connections!$A1170="","",IFERROR(INDEX(games!$B$2:$B$950,MATCH(connections!$B1170,games!$A$2:$A$950,0)),""))</f>
        <v>2019</v>
      </c>
      <c r="V1171">
        <f t="shared" si="198"/>
        <v>8</v>
      </c>
    </row>
    <row r="1172" spans="20:22" x14ac:dyDescent="0.25">
      <c r="T1172">
        <f>IF(connections!$A1171="","",IFERROR(INDEX(games!$B$2:$B$950,MATCH(connections!$A1171,games!$A$2:$A$950,0)),""))</f>
        <v>2021</v>
      </c>
      <c r="U1172">
        <f>IF(connections!$A1171="","",IFERROR(INDEX(games!$B$2:$B$950,MATCH(connections!$B1171,games!$A$2:$A$950,0)),""))</f>
        <v>2022</v>
      </c>
      <c r="V1172">
        <f t="shared" si="198"/>
        <v>1</v>
      </c>
    </row>
    <row r="1173" spans="20:22" x14ac:dyDescent="0.25">
      <c r="T1173">
        <f>IF(connections!$A1172="","",IFERROR(INDEX(games!$B$2:$B$950,MATCH(connections!$A1172,games!$A$2:$A$950,0)),""))</f>
        <v>2013</v>
      </c>
      <c r="U1173">
        <f>IF(connections!$A1172="","",IFERROR(INDEX(games!$B$2:$B$950,MATCH(connections!$B1172,games!$A$2:$A$950,0)),""))</f>
        <v>2023</v>
      </c>
      <c r="V1173">
        <f t="shared" si="198"/>
        <v>10</v>
      </c>
    </row>
    <row r="1174" spans="20:22" x14ac:dyDescent="0.25">
      <c r="T1174">
        <f>IF(connections!$A1173="","",IFERROR(INDEX(games!$B$2:$B$950,MATCH(connections!$A1173,games!$A$2:$A$950,0)),""))</f>
        <v>2018</v>
      </c>
      <c r="U1174">
        <f>IF(connections!$A1173="","",IFERROR(INDEX(games!$B$2:$B$950,MATCH(connections!$B1173,games!$A$2:$A$950,0)),""))</f>
        <v>2023</v>
      </c>
      <c r="V1174">
        <f t="shared" si="198"/>
        <v>5</v>
      </c>
    </row>
    <row r="1175" spans="20:22" x14ac:dyDescent="0.25">
      <c r="T1175">
        <f>IF(connections!$A1174="","",IFERROR(INDEX(games!$B$2:$B$950,MATCH(connections!$A1174,games!$A$2:$A$950,0)),""))</f>
        <v>2015</v>
      </c>
      <c r="U1175">
        <f>IF(connections!$A1174="","",IFERROR(INDEX(games!$B$2:$B$950,MATCH(connections!$B1174,games!$A$2:$A$950,0)),""))</f>
        <v>2023</v>
      </c>
      <c r="V1175">
        <f t="shared" si="198"/>
        <v>8</v>
      </c>
    </row>
    <row r="1176" spans="20:22" x14ac:dyDescent="0.25">
      <c r="T1176">
        <f>IF(connections!$A1175="","",IFERROR(INDEX(games!$B$2:$B$950,MATCH(connections!$A1175,games!$A$2:$A$950,0)),""))</f>
        <v>2019</v>
      </c>
      <c r="U1176">
        <f>IF(connections!$A1175="","",IFERROR(INDEX(games!$B$2:$B$950,MATCH(connections!$B1175,games!$A$2:$A$950,0)),""))</f>
        <v>2024</v>
      </c>
      <c r="V1176">
        <f t="shared" si="198"/>
        <v>5</v>
      </c>
    </row>
    <row r="1177" spans="20:22" x14ac:dyDescent="0.25">
      <c r="T1177">
        <f>IF(connections!$A1176="","",IFERROR(INDEX(games!$B$2:$B$950,MATCH(connections!$A1176,games!$A$2:$A$950,0)),""))</f>
        <v>2017</v>
      </c>
      <c r="U1177">
        <f>IF(connections!$A1176="","",IFERROR(INDEX(games!$B$2:$B$950,MATCH(connections!$B1176,games!$A$2:$A$950,0)),""))</f>
        <v>2024</v>
      </c>
      <c r="V1177">
        <f t="shared" si="198"/>
        <v>7</v>
      </c>
    </row>
    <row r="1178" spans="20:22" x14ac:dyDescent="0.25">
      <c r="T1178">
        <f>IF(connections!$A1177="","",IFERROR(INDEX(games!$B$2:$B$950,MATCH(connections!$A1177,games!$A$2:$A$950,0)),""))</f>
        <v>2008</v>
      </c>
      <c r="U1178">
        <f>IF(connections!$A1177="","",IFERROR(INDEX(games!$B$2:$B$950,MATCH(connections!$B1177,games!$A$2:$A$950,0)),""))</f>
        <v>2012</v>
      </c>
      <c r="V1178">
        <f t="shared" si="198"/>
        <v>4</v>
      </c>
    </row>
    <row r="1179" spans="20:22" x14ac:dyDescent="0.25">
      <c r="T1179">
        <f>IF(connections!$A1178="","",IFERROR(INDEX(games!$B$2:$B$950,MATCH(connections!$A1178,games!$A$2:$A$950,0)),""))</f>
        <v>2012</v>
      </c>
      <c r="U1179">
        <f>IF(connections!$A1178="","",IFERROR(INDEX(games!$B$2:$B$950,MATCH(connections!$B1178,games!$A$2:$A$950,0)),""))</f>
        <v>2020</v>
      </c>
      <c r="V1179">
        <f t="shared" si="198"/>
        <v>8</v>
      </c>
    </row>
    <row r="1180" spans="20:22" x14ac:dyDescent="0.25">
      <c r="T1180">
        <f>IF(connections!$A1179="","",IFERROR(INDEX(games!$B$2:$B$950,MATCH(connections!$A1179,games!$A$2:$A$950,0)),""))</f>
        <v>1987</v>
      </c>
      <c r="U1180">
        <f>IF(connections!$A1179="","",IFERROR(INDEX(games!$B$2:$B$950,MATCH(connections!$B1179,games!$A$2:$A$950,0)),""))</f>
        <v>2008</v>
      </c>
      <c r="V1180">
        <f t="shared" si="198"/>
        <v>21</v>
      </c>
    </row>
    <row r="1181" spans="20:22" x14ac:dyDescent="0.25">
      <c r="T1181">
        <f>IF(connections!$A1180="","",IFERROR(INDEX(games!$B$2:$B$950,MATCH(connections!$A1180,games!$A$2:$A$950,0)),""))</f>
        <v>2022</v>
      </c>
      <c r="U1181">
        <f>IF(connections!$A1180="","",IFERROR(INDEX(games!$B$2:$B$950,MATCH(connections!$B1180,games!$A$2:$A$950,0)),""))</f>
        <v>2024</v>
      </c>
      <c r="V1181">
        <f t="shared" si="198"/>
        <v>2</v>
      </c>
    </row>
    <row r="1182" spans="20:22" x14ac:dyDescent="0.25">
      <c r="T1182">
        <f>IF(connections!$A1181="","",IFERROR(INDEX(games!$B$2:$B$950,MATCH(connections!$A1181,games!$A$2:$A$950,0)),""))</f>
        <v>2021</v>
      </c>
      <c r="U1182">
        <f>IF(connections!$A1181="","",IFERROR(INDEX(games!$B$2:$B$950,MATCH(connections!$B1181,games!$A$2:$A$950,0)),""))</f>
        <v>2024</v>
      </c>
      <c r="V1182">
        <f t="shared" si="198"/>
        <v>3</v>
      </c>
    </row>
    <row r="1183" spans="20:22" x14ac:dyDescent="0.25">
      <c r="T1183">
        <f>IF(connections!$A1182="","",IFERROR(INDEX(games!$B$2:$B$950,MATCH(connections!$A1182,games!$A$2:$A$950,0)),""))</f>
        <v>2017</v>
      </c>
      <c r="U1183">
        <f>IF(connections!$A1182="","",IFERROR(INDEX(games!$B$2:$B$950,MATCH(connections!$B1182,games!$A$2:$A$950,0)),""))</f>
        <v>2024</v>
      </c>
      <c r="V1183">
        <f t="shared" si="198"/>
        <v>7</v>
      </c>
    </row>
    <row r="1184" spans="20:22" x14ac:dyDescent="0.25">
      <c r="T1184">
        <f>IF(connections!$A1183="","",IFERROR(INDEX(games!$B$2:$B$950,MATCH(connections!$A1183,games!$A$2:$A$950,0)),""))</f>
        <v>2019</v>
      </c>
      <c r="U1184">
        <f>IF(connections!$A1183="","",IFERROR(INDEX(games!$B$2:$B$950,MATCH(connections!$B1183,games!$A$2:$A$950,0)),""))</f>
        <v>2022</v>
      </c>
      <c r="V1184">
        <f t="shared" si="198"/>
        <v>3</v>
      </c>
    </row>
    <row r="1185" spans="20:22" x14ac:dyDescent="0.25">
      <c r="T1185">
        <f>IF(connections!$A1184="","",IFERROR(INDEX(games!$B$2:$B$950,MATCH(connections!$A1184,games!$A$2:$A$950,0)),""))</f>
        <v>2021</v>
      </c>
      <c r="U1185">
        <f>IF(connections!$A1184="","",IFERROR(INDEX(games!$B$2:$B$950,MATCH(connections!$B1184,games!$A$2:$A$950,0)),""))</f>
        <v>2022</v>
      </c>
      <c r="V1185">
        <f t="shared" si="198"/>
        <v>1</v>
      </c>
    </row>
    <row r="1186" spans="20:22" x14ac:dyDescent="0.25">
      <c r="T1186">
        <f>IF(connections!$A1185="","",IFERROR(INDEX(games!$B$2:$B$950,MATCH(connections!$A1185,games!$A$2:$A$950,0)),""))</f>
        <v>2019</v>
      </c>
      <c r="U1186">
        <f>IF(connections!$A1185="","",IFERROR(INDEX(games!$B$2:$B$950,MATCH(connections!$B1185,games!$A$2:$A$950,0)),""))</f>
        <v>2023</v>
      </c>
      <c r="V1186">
        <f t="shared" si="198"/>
        <v>4</v>
      </c>
    </row>
    <row r="1187" spans="20:22" x14ac:dyDescent="0.25">
      <c r="T1187">
        <f>IF(connections!$A1186="","",IFERROR(INDEX(games!$B$2:$B$950,MATCH(connections!$A1186,games!$A$2:$A$950,0)),""))</f>
        <v>2017</v>
      </c>
      <c r="U1187">
        <f>IF(connections!$A1186="","",IFERROR(INDEX(games!$B$2:$B$950,MATCH(connections!$B1186,games!$A$2:$A$950,0)),""))</f>
        <v>2023</v>
      </c>
      <c r="V1187">
        <f t="shared" si="198"/>
        <v>6</v>
      </c>
    </row>
    <row r="1188" spans="20:22" x14ac:dyDescent="0.25">
      <c r="T1188">
        <f>IF(connections!$A1187="","",IFERROR(INDEX(games!$B$2:$B$950,MATCH(connections!$A1187,games!$A$2:$A$950,0)),""))</f>
        <v>2008</v>
      </c>
      <c r="U1188">
        <f>IF(connections!$A1187="","",IFERROR(INDEX(games!$B$2:$B$950,MATCH(connections!$B1187,games!$A$2:$A$950,0)),""))</f>
        <v>2019</v>
      </c>
      <c r="V1188">
        <f t="shared" si="198"/>
        <v>11</v>
      </c>
    </row>
    <row r="1189" spans="20:22" x14ac:dyDescent="0.25">
      <c r="T1189">
        <f>IF(connections!$A1188="","",IFERROR(INDEX(games!$B$2:$B$950,MATCH(connections!$A1188,games!$A$2:$A$950,0)),""))</f>
        <v>1994</v>
      </c>
      <c r="U1189">
        <f>IF(connections!$A1188="","",IFERROR(INDEX(games!$B$2:$B$950,MATCH(connections!$B1188,games!$A$2:$A$950,0)),""))</f>
        <v>2014</v>
      </c>
      <c r="V1189">
        <f t="shared" si="198"/>
        <v>20</v>
      </c>
    </row>
    <row r="1190" spans="20:22" x14ac:dyDescent="0.25">
      <c r="T1190">
        <f>IF(connections!$A1189="","",IFERROR(INDEX(games!$B$2:$B$950,MATCH(connections!$A1189,games!$A$2:$A$950,0)),""))</f>
        <v>2010</v>
      </c>
      <c r="U1190">
        <f>IF(connections!$A1189="","",IFERROR(INDEX(games!$B$2:$B$950,MATCH(connections!$B1189,games!$A$2:$A$950,0)),""))</f>
        <v>2014</v>
      </c>
      <c r="V1190">
        <f t="shared" si="198"/>
        <v>4</v>
      </c>
    </row>
    <row r="1191" spans="20:22" x14ac:dyDescent="0.25">
      <c r="T1191">
        <f>IF(connections!$A1190="","",IFERROR(INDEX(games!$B$2:$B$950,MATCH(connections!$A1190,games!$A$2:$A$950,0)),""))</f>
        <v>2023</v>
      </c>
      <c r="U1191">
        <f>IF(connections!$A1190="","",IFERROR(INDEX(games!$B$2:$B$950,MATCH(connections!$B1190,games!$A$2:$A$950,0)),""))</f>
        <v>2025</v>
      </c>
      <c r="V1191">
        <f t="shared" si="198"/>
        <v>2</v>
      </c>
    </row>
    <row r="1192" spans="20:22" x14ac:dyDescent="0.25">
      <c r="T1192">
        <f>IF(connections!$A1191="","",IFERROR(INDEX(games!$B$2:$B$950,MATCH(connections!$A1191,games!$A$2:$A$950,0)),""))</f>
        <v>2021</v>
      </c>
      <c r="U1192">
        <f>IF(connections!$A1191="","",IFERROR(INDEX(games!$B$2:$B$950,MATCH(connections!$B1191,games!$A$2:$A$950,0)),""))</f>
        <v>2025</v>
      </c>
      <c r="V1192">
        <f t="shared" si="198"/>
        <v>4</v>
      </c>
    </row>
    <row r="1193" spans="20:22" x14ac:dyDescent="0.25">
      <c r="T1193">
        <f>IF(connections!$A1192="","",IFERROR(INDEX(games!$B$2:$B$950,MATCH(connections!$A1192,games!$A$2:$A$950,0)),""))</f>
        <v>2011</v>
      </c>
      <c r="U1193">
        <f>IF(connections!$A1192="","",IFERROR(INDEX(games!$B$2:$B$950,MATCH(connections!$B1192,games!$A$2:$A$950,0)),""))</f>
        <v>2017</v>
      </c>
      <c r="V1193">
        <f t="shared" si="198"/>
        <v>6</v>
      </c>
    </row>
    <row r="1194" spans="20:22" x14ac:dyDescent="0.25">
      <c r="T1194">
        <f>IF(connections!$A1193="","",IFERROR(INDEX(games!$B$2:$B$950,MATCH(connections!$A1193,games!$A$2:$A$950,0)),""))</f>
        <v>2018</v>
      </c>
      <c r="U1194">
        <f>IF(connections!$A1193="","",IFERROR(INDEX(games!$B$2:$B$950,MATCH(connections!$B1193,games!$A$2:$A$950,0)),""))</f>
        <v>2020</v>
      </c>
      <c r="V1194">
        <f t="shared" si="198"/>
        <v>2</v>
      </c>
    </row>
    <row r="1195" spans="20:22" x14ac:dyDescent="0.25">
      <c r="T1195">
        <f>IF(connections!$A1194="","",IFERROR(INDEX(games!$B$2:$B$950,MATCH(connections!$A1194,games!$A$2:$A$950,0)),""))</f>
        <v>2018</v>
      </c>
      <c r="U1195">
        <f>IF(connections!$A1194="","",IFERROR(INDEX(games!$B$2:$B$950,MATCH(connections!$B1194,games!$A$2:$A$950,0)),""))</f>
        <v>2020</v>
      </c>
      <c r="V1195">
        <f t="shared" si="198"/>
        <v>2</v>
      </c>
    </row>
    <row r="1196" spans="20:22" x14ac:dyDescent="0.25">
      <c r="T1196">
        <f>IF(connections!$A1195="","",IFERROR(INDEX(games!$B$2:$B$950,MATCH(connections!$A1195,games!$A$2:$A$950,0)),""))</f>
        <v>2017</v>
      </c>
      <c r="U1196">
        <f>IF(connections!$A1195="","",IFERROR(INDEX(games!$B$2:$B$950,MATCH(connections!$B1195,games!$A$2:$A$950,0)),""))</f>
        <v>2020</v>
      </c>
      <c r="V1196">
        <f t="shared" si="198"/>
        <v>3</v>
      </c>
    </row>
    <row r="1197" spans="20:22" x14ac:dyDescent="0.25">
      <c r="T1197">
        <f>IF(connections!$A1196="","",IFERROR(INDEX(games!$B$2:$B$950,MATCH(connections!$A1196,games!$A$2:$A$950,0)),""))</f>
        <v>2022</v>
      </c>
      <c r="U1197">
        <f>IF(connections!$A1196="","",IFERROR(INDEX(games!$B$2:$B$950,MATCH(connections!$B1196,games!$A$2:$A$950,0)),""))</f>
        <v>2023</v>
      </c>
      <c r="V1197">
        <f t="shared" si="198"/>
        <v>1</v>
      </c>
    </row>
    <row r="1198" spans="20:22" x14ac:dyDescent="0.25">
      <c r="T1198">
        <f>IF(connections!$A1197="","",IFERROR(INDEX(games!$B$2:$B$950,MATCH(connections!$A1197,games!$A$2:$A$950,0)),""))</f>
        <v>2022</v>
      </c>
      <c r="U1198">
        <f>IF(connections!$A1197="","",IFERROR(INDEX(games!$B$2:$B$950,MATCH(connections!$B1197,games!$A$2:$A$950,0)),""))</f>
        <v>2023</v>
      </c>
      <c r="V1198">
        <f t="shared" si="198"/>
        <v>1</v>
      </c>
    </row>
    <row r="1199" spans="20:22" x14ac:dyDescent="0.25">
      <c r="T1199">
        <f>IF(connections!$A1198="","",IFERROR(INDEX(games!$B$2:$B$950,MATCH(connections!$A1198,games!$A$2:$A$950,0)),""))</f>
        <v>2022</v>
      </c>
      <c r="U1199">
        <f>IF(connections!$A1198="","",IFERROR(INDEX(games!$B$2:$B$950,MATCH(connections!$B1198,games!$A$2:$A$950,0)),""))</f>
        <v>2023</v>
      </c>
      <c r="V1199">
        <f t="shared" si="198"/>
        <v>1</v>
      </c>
    </row>
    <row r="1200" spans="20:22" x14ac:dyDescent="0.25">
      <c r="T1200">
        <f>IF(connections!$A1199="","",IFERROR(INDEX(games!$B$2:$B$950,MATCH(connections!$A1199,games!$A$2:$A$950,0)),""))</f>
        <v>2019</v>
      </c>
      <c r="U1200">
        <f>IF(connections!$A1199="","",IFERROR(INDEX(games!$B$2:$B$950,MATCH(connections!$B1199,games!$A$2:$A$950,0)),""))</f>
        <v>2023</v>
      </c>
      <c r="V1200">
        <f t="shared" si="198"/>
        <v>4</v>
      </c>
    </row>
    <row r="1201" spans="20:22" x14ac:dyDescent="0.25">
      <c r="T1201">
        <f>IF(connections!$A1200="","",IFERROR(INDEX(games!$B$2:$B$950,MATCH(connections!$A1200,games!$A$2:$A$950,0)),""))</f>
        <v>2022</v>
      </c>
      <c r="U1201">
        <f>IF(connections!$A1200="","",IFERROR(INDEX(games!$B$2:$B$950,MATCH(connections!$B1200,games!$A$2:$A$950,0)),""))</f>
        <v>2023</v>
      </c>
      <c r="V1201">
        <f t="shared" si="198"/>
        <v>1</v>
      </c>
    </row>
    <row r="1202" spans="20:22" x14ac:dyDescent="0.25">
      <c r="T1202">
        <f>IF(connections!$A1201="","",IFERROR(INDEX(games!$B$2:$B$950,MATCH(connections!$A1201,games!$A$2:$A$950,0)),""))</f>
        <v>2022</v>
      </c>
      <c r="U1202">
        <f>IF(connections!$A1201="","",IFERROR(INDEX(games!$B$2:$B$950,MATCH(connections!$B1201,games!$A$2:$A$950,0)),""))</f>
        <v>2023</v>
      </c>
      <c r="V1202">
        <f t="shared" si="198"/>
        <v>1</v>
      </c>
    </row>
    <row r="1203" spans="20:22" x14ac:dyDescent="0.25">
      <c r="T1203">
        <f>IF(connections!$A1202="","",IFERROR(INDEX(games!$B$2:$B$950,MATCH(connections!$A1202,games!$A$2:$A$950,0)),""))</f>
        <v>2022</v>
      </c>
      <c r="U1203">
        <f>IF(connections!$A1202="","",IFERROR(INDEX(games!$B$2:$B$950,MATCH(connections!$B1202,games!$A$2:$A$950,0)),""))</f>
        <v>2023</v>
      </c>
      <c r="V1203">
        <f t="shared" si="198"/>
        <v>1</v>
      </c>
    </row>
    <row r="1204" spans="20:22" x14ac:dyDescent="0.25">
      <c r="T1204">
        <f>IF(connections!$A1203="","",IFERROR(INDEX(games!$B$2:$B$950,MATCH(connections!$A1203,games!$A$2:$A$950,0)),""))</f>
        <v>2022</v>
      </c>
      <c r="U1204">
        <f>IF(connections!$A1203="","",IFERROR(INDEX(games!$B$2:$B$950,MATCH(connections!$B1203,games!$A$2:$A$950,0)),""))</f>
        <v>2023</v>
      </c>
      <c r="V1204">
        <f t="shared" si="198"/>
        <v>1</v>
      </c>
    </row>
    <row r="1205" spans="20:22" x14ac:dyDescent="0.25">
      <c r="T1205">
        <f>IF(connections!$A1204="","",IFERROR(INDEX(games!$B$2:$B$950,MATCH(connections!$A1204,games!$A$2:$A$950,0)),""))</f>
        <v>2021</v>
      </c>
      <c r="U1205">
        <f>IF(connections!$A1204="","",IFERROR(INDEX(games!$B$2:$B$950,MATCH(connections!$B1204,games!$A$2:$A$950,0)),""))</f>
        <v>2023</v>
      </c>
      <c r="V1205">
        <f t="shared" si="198"/>
        <v>2</v>
      </c>
    </row>
    <row r="1206" spans="20:22" x14ac:dyDescent="0.25">
      <c r="T1206">
        <f>IF(connections!$A1205="","",IFERROR(INDEX(games!$B$2:$B$950,MATCH(connections!$A1205,games!$A$2:$A$950,0)),""))</f>
        <v>2022</v>
      </c>
      <c r="U1206">
        <f>IF(connections!$A1205="","",IFERROR(INDEX(games!$B$2:$B$950,MATCH(connections!$B1205,games!$A$2:$A$950,0)),""))</f>
        <v>2023</v>
      </c>
      <c r="V1206">
        <f t="shared" si="198"/>
        <v>1</v>
      </c>
    </row>
    <row r="1207" spans="20:22" x14ac:dyDescent="0.25">
      <c r="T1207">
        <f>IF(connections!$A1206="","",IFERROR(INDEX(games!$B$2:$B$950,MATCH(connections!$A1206,games!$A$2:$A$950,0)),""))</f>
        <v>2019</v>
      </c>
      <c r="U1207">
        <f>IF(connections!$A1206="","",IFERROR(INDEX(games!$B$2:$B$950,MATCH(connections!$B1206,games!$A$2:$A$950,0)),""))</f>
        <v>2025</v>
      </c>
      <c r="V1207">
        <f t="shared" si="198"/>
        <v>6</v>
      </c>
    </row>
    <row r="1208" spans="20:22" x14ac:dyDescent="0.25">
      <c r="T1208">
        <f>IF(connections!$A1207="","",IFERROR(INDEX(games!$B$2:$B$950,MATCH(connections!$A1207,games!$A$2:$A$950,0)),""))</f>
        <v>2017</v>
      </c>
      <c r="U1208">
        <f>IF(connections!$A1207="","",IFERROR(INDEX(games!$B$2:$B$950,MATCH(connections!$B1207,games!$A$2:$A$950,0)),""))</f>
        <v>2025</v>
      </c>
      <c r="V1208">
        <f t="shared" si="198"/>
        <v>8</v>
      </c>
    </row>
    <row r="1209" spans="20:22" x14ac:dyDescent="0.25">
      <c r="T1209">
        <f>IF(connections!$A1208="","",IFERROR(INDEX(games!$B$2:$B$950,MATCH(connections!$A1208,games!$A$2:$A$950,0)),""))</f>
        <v>2023</v>
      </c>
      <c r="U1209">
        <f>IF(connections!$A1208="","",IFERROR(INDEX(games!$B$2:$B$950,MATCH(connections!$B1208,games!$A$2:$A$950,0)),""))</f>
        <v>2025</v>
      </c>
      <c r="V1209">
        <f t="shared" si="198"/>
        <v>2</v>
      </c>
    </row>
    <row r="1210" spans="20:22" x14ac:dyDescent="0.25">
      <c r="T1210">
        <f>IF(connections!$A1209="","",IFERROR(INDEX(games!$B$2:$B$950,MATCH(connections!$A1209,games!$A$2:$A$950,0)),""))</f>
        <v>2021</v>
      </c>
      <c r="U1210">
        <f>IF(connections!$A1209="","",IFERROR(INDEX(games!$B$2:$B$950,MATCH(connections!$B1209,games!$A$2:$A$950,0)),""))</f>
        <v>2025</v>
      </c>
      <c r="V1210">
        <f t="shared" si="198"/>
        <v>4</v>
      </c>
    </row>
    <row r="1211" spans="20:22" x14ac:dyDescent="0.25">
      <c r="T1211">
        <f>IF(connections!$A1210="","",IFERROR(INDEX(games!$B$2:$B$950,MATCH(connections!$A1210,games!$A$2:$A$950,0)),""))</f>
        <v>2022</v>
      </c>
      <c r="U1211">
        <f>IF(connections!$A1210="","",IFERROR(INDEX(games!$B$2:$B$950,MATCH(connections!$B1210,games!$A$2:$A$950,0)),""))</f>
        <v>2025</v>
      </c>
      <c r="V1211">
        <f t="shared" si="198"/>
        <v>3</v>
      </c>
    </row>
    <row r="1212" spans="20:22" x14ac:dyDescent="0.25">
      <c r="T1212">
        <f>IF(connections!$A1211="","",IFERROR(INDEX(games!$B$2:$B$950,MATCH(connections!$A1211,games!$A$2:$A$950,0)),""))</f>
        <v>2022</v>
      </c>
      <c r="U1212">
        <f>IF(connections!$A1211="","",IFERROR(INDEX(games!$B$2:$B$950,MATCH(connections!$B1211,games!$A$2:$A$950,0)),""))</f>
        <v>2026</v>
      </c>
      <c r="V1212">
        <f t="shared" si="198"/>
        <v>4</v>
      </c>
    </row>
    <row r="1213" spans="20:22" x14ac:dyDescent="0.25">
      <c r="T1213">
        <f>IF(connections!$A1212="","",IFERROR(INDEX(games!$B$2:$B$950,MATCH(connections!$A1212,games!$A$2:$A$950,0)),""))</f>
        <v>1996</v>
      </c>
      <c r="U1213">
        <f>IF(connections!$A1212="","",IFERROR(INDEX(games!$B$2:$B$950,MATCH(connections!$B1212,games!$A$2:$A$950,0)),""))</f>
        <v>2026</v>
      </c>
      <c r="V1213">
        <f t="shared" si="198"/>
        <v>30</v>
      </c>
    </row>
    <row r="1214" spans="20:22" x14ac:dyDescent="0.25">
      <c r="T1214">
        <f>IF(connections!$A1213="","",IFERROR(INDEX(games!$B$2:$B$950,MATCH(connections!$A1213,games!$A$2:$A$950,0)),""))</f>
        <v>2021</v>
      </c>
      <c r="U1214">
        <f>IF(connections!$A1213="","",IFERROR(INDEX(games!$B$2:$B$950,MATCH(connections!$B1213,games!$A$2:$A$950,0)),""))</f>
        <v>2026</v>
      </c>
      <c r="V1214">
        <f t="shared" si="198"/>
        <v>5</v>
      </c>
    </row>
    <row r="1215" spans="20:22" x14ac:dyDescent="0.25">
      <c r="T1215">
        <f>IF(connections!$A1214="","",IFERROR(INDEX(games!$B$2:$B$950,MATCH(connections!$A1214,games!$A$2:$A$950,0)),""))</f>
        <v>1994</v>
      </c>
      <c r="U1215">
        <f>IF(connections!$A1214="","",IFERROR(INDEX(games!$B$2:$B$950,MATCH(connections!$B1214,games!$A$2:$A$950,0)),""))</f>
        <v>2020</v>
      </c>
      <c r="V1215">
        <f t="shared" si="198"/>
        <v>26</v>
      </c>
    </row>
    <row r="1216" spans="20:22" x14ac:dyDescent="0.25">
      <c r="T1216">
        <f>IF(connections!$A1215="","",IFERROR(INDEX(games!$B$2:$B$950,MATCH(connections!$A1215,games!$A$2:$A$950,0)),""))</f>
        <v>2015</v>
      </c>
      <c r="U1216">
        <f>IF(connections!$A1215="","",IFERROR(INDEX(games!$B$2:$B$950,MATCH(connections!$B1215,games!$A$2:$A$950,0)),""))</f>
        <v>2020</v>
      </c>
      <c r="V1216">
        <f t="shared" si="198"/>
        <v>5</v>
      </c>
    </row>
    <row r="1217" spans="20:22" x14ac:dyDescent="0.25">
      <c r="T1217">
        <f>IF(connections!$A1216="","",IFERROR(INDEX(games!$B$2:$B$950,MATCH(connections!$A1216,games!$A$2:$A$950,0)),""))</f>
        <v>2008</v>
      </c>
      <c r="U1217">
        <f>IF(connections!$A1216="","",IFERROR(INDEX(games!$B$2:$B$950,MATCH(connections!$B1216,games!$A$2:$A$950,0)),""))</f>
        <v>2017</v>
      </c>
      <c r="V1217">
        <f t="shared" si="198"/>
        <v>9</v>
      </c>
    </row>
    <row r="1218" spans="20:22" x14ac:dyDescent="0.25">
      <c r="T1218">
        <f>IF(connections!$A1217="","",IFERROR(INDEX(games!$B$2:$B$950,MATCH(connections!$A1217,games!$A$2:$A$950,0)),""))</f>
        <v>1995</v>
      </c>
      <c r="U1218">
        <f>IF(connections!$A1217="","",IFERROR(INDEX(games!$B$2:$B$950,MATCH(connections!$B1217,games!$A$2:$A$950,0)),""))</f>
        <v>2002</v>
      </c>
      <c r="V1218">
        <f t="shared" ref="V1218:V1281" si="199">IF(OR($T1218="",$U1218=""),"",$U1218-$T1218)</f>
        <v>7</v>
      </c>
    </row>
    <row r="1219" spans="20:22" x14ac:dyDescent="0.25">
      <c r="T1219">
        <f>IF(connections!$A1218="","",IFERROR(INDEX(games!$B$2:$B$950,MATCH(connections!$A1218,games!$A$2:$A$950,0)),""))</f>
        <v>1987</v>
      </c>
      <c r="U1219">
        <f>IF(connections!$A1218="","",IFERROR(INDEX(games!$B$2:$B$950,MATCH(connections!$B1218,games!$A$2:$A$950,0)),""))</f>
        <v>2002</v>
      </c>
      <c r="V1219">
        <f t="shared" si="199"/>
        <v>15</v>
      </c>
    </row>
    <row r="1220" spans="20:22" x14ac:dyDescent="0.25">
      <c r="T1220">
        <f>IF(connections!$A1219="","",IFERROR(INDEX(games!$B$2:$B$950,MATCH(connections!$A1219,games!$A$2:$A$950,0)),""))</f>
        <v>2015</v>
      </c>
      <c r="U1220">
        <f>IF(connections!$A1219="","",IFERROR(INDEX(games!$B$2:$B$950,MATCH(connections!$B1219,games!$A$2:$A$950,0)),""))</f>
        <v>2019</v>
      </c>
      <c r="V1220">
        <f t="shared" si="199"/>
        <v>4</v>
      </c>
    </row>
    <row r="1221" spans="20:22" x14ac:dyDescent="0.25">
      <c r="T1221">
        <f>IF(connections!$A1220="","",IFERROR(INDEX(games!$B$2:$B$950,MATCH(connections!$A1220,games!$A$2:$A$950,0)),""))</f>
        <v>2008</v>
      </c>
      <c r="U1221">
        <f>IF(connections!$A1220="","",IFERROR(INDEX(games!$B$2:$B$950,MATCH(connections!$B1220,games!$A$2:$A$950,0)),""))</f>
        <v>2019</v>
      </c>
      <c r="V1221">
        <f t="shared" si="199"/>
        <v>11</v>
      </c>
    </row>
    <row r="1222" spans="20:22" x14ac:dyDescent="0.25">
      <c r="T1222">
        <f>IF(connections!$A1221="","",IFERROR(INDEX(games!$B$2:$B$950,MATCH(connections!$A1221,games!$A$2:$A$950,0)),""))</f>
        <v>2011</v>
      </c>
      <c r="U1222">
        <f>IF(connections!$A1221="","",IFERROR(INDEX(games!$B$2:$B$950,MATCH(connections!$B1221,games!$A$2:$A$950,0)),""))</f>
        <v>2019</v>
      </c>
      <c r="V1222">
        <f t="shared" si="199"/>
        <v>8</v>
      </c>
    </row>
    <row r="1223" spans="20:22" x14ac:dyDescent="0.25">
      <c r="T1223">
        <f>IF(connections!$A1222="","",IFERROR(INDEX(games!$B$2:$B$950,MATCH(connections!$A1222,games!$A$2:$A$950,0)),""))</f>
        <v>2001</v>
      </c>
      <c r="U1223">
        <f>IF(connections!$A1222="","",IFERROR(INDEX(games!$B$2:$B$950,MATCH(connections!$B1222,games!$A$2:$A$950,0)),""))</f>
        <v>2024</v>
      </c>
      <c r="V1223">
        <f t="shared" si="199"/>
        <v>23</v>
      </c>
    </row>
    <row r="1224" spans="20:22" x14ac:dyDescent="0.25">
      <c r="T1224">
        <f>IF(connections!$A1223="","",IFERROR(INDEX(games!$B$2:$B$950,MATCH(connections!$A1223,games!$A$2:$A$950,0)),""))</f>
        <v>2019</v>
      </c>
      <c r="U1224">
        <f>IF(connections!$A1223="","",IFERROR(INDEX(games!$B$2:$B$950,MATCH(connections!$B1223,games!$A$2:$A$950,0)),""))</f>
        <v>2024</v>
      </c>
      <c r="V1224">
        <f t="shared" si="199"/>
        <v>5</v>
      </c>
    </row>
    <row r="1225" spans="20:22" x14ac:dyDescent="0.25">
      <c r="T1225">
        <f>IF(connections!$A1224="","",IFERROR(INDEX(games!$B$2:$B$950,MATCH(connections!$A1224,games!$A$2:$A$950,0)),""))</f>
        <v>2023</v>
      </c>
      <c r="U1225">
        <f>IF(connections!$A1224="","",IFERROR(INDEX(games!$B$2:$B$950,MATCH(connections!$B1224,games!$A$2:$A$950,0)),""))</f>
        <v>2024</v>
      </c>
      <c r="V1225">
        <f t="shared" si="199"/>
        <v>1</v>
      </c>
    </row>
    <row r="1226" spans="20:22" x14ac:dyDescent="0.25">
      <c r="T1226">
        <f>IF(connections!$A1225="","",IFERROR(INDEX(games!$B$2:$B$950,MATCH(connections!$A1225,games!$A$2:$A$950,0)),""))</f>
        <v>2013</v>
      </c>
      <c r="U1226">
        <f>IF(connections!$A1225="","",IFERROR(INDEX(games!$B$2:$B$950,MATCH(connections!$B1225,games!$A$2:$A$950,0)),""))</f>
        <v>2017</v>
      </c>
      <c r="V1226">
        <f t="shared" si="199"/>
        <v>4</v>
      </c>
    </row>
    <row r="1227" spans="20:22" x14ac:dyDescent="0.25">
      <c r="T1227">
        <f>IF(connections!$A1226="","",IFERROR(INDEX(games!$B$2:$B$950,MATCH(connections!$A1226,games!$A$2:$A$950,0)),""))</f>
        <v>2013</v>
      </c>
      <c r="U1227">
        <f>IF(connections!$A1226="","",IFERROR(INDEX(games!$B$2:$B$950,MATCH(connections!$B1226,games!$A$2:$A$950,0)),""))</f>
        <v>2015</v>
      </c>
      <c r="V1227">
        <f t="shared" si="199"/>
        <v>2</v>
      </c>
    </row>
    <row r="1228" spans="20:22" x14ac:dyDescent="0.25">
      <c r="T1228">
        <f>IF(connections!$A1227="","",IFERROR(INDEX(games!$B$2:$B$950,MATCH(connections!$A1227,games!$A$2:$A$950,0)),""))</f>
        <v>2012</v>
      </c>
      <c r="U1228">
        <f>IF(connections!$A1227="","",IFERROR(INDEX(games!$B$2:$B$950,MATCH(connections!$B1227,games!$A$2:$A$950,0)),""))</f>
        <v>2015</v>
      </c>
      <c r="V1228">
        <f t="shared" si="199"/>
        <v>3</v>
      </c>
    </row>
    <row r="1229" spans="20:22" x14ac:dyDescent="0.25">
      <c r="T1229">
        <f>IF(connections!$A1228="","",IFERROR(INDEX(games!$B$2:$B$950,MATCH(connections!$A1228,games!$A$2:$A$950,0)),""))</f>
        <v>2019</v>
      </c>
      <c r="U1229">
        <f>IF(connections!$A1228="","",IFERROR(INDEX(games!$B$2:$B$950,MATCH(connections!$B1228,games!$A$2:$A$950,0)),""))</f>
        <v>2021</v>
      </c>
      <c r="V1229">
        <f t="shared" si="199"/>
        <v>2</v>
      </c>
    </row>
    <row r="1230" spans="20:22" x14ac:dyDescent="0.25">
      <c r="T1230">
        <f>IF(connections!$A1229="","",IFERROR(INDEX(games!$B$2:$B$950,MATCH(connections!$A1229,games!$A$2:$A$950,0)),""))</f>
        <v>2017</v>
      </c>
      <c r="U1230">
        <f>IF(connections!$A1229="","",IFERROR(INDEX(games!$B$2:$B$950,MATCH(connections!$B1229,games!$A$2:$A$950,0)),""))</f>
        <v>2022</v>
      </c>
      <c r="V1230">
        <f t="shared" si="199"/>
        <v>5</v>
      </c>
    </row>
    <row r="1231" spans="20:22" x14ac:dyDescent="0.25">
      <c r="T1231">
        <f>IF(connections!$A1230="","",IFERROR(INDEX(games!$B$2:$B$950,MATCH(connections!$A1230,games!$A$2:$A$950,0)),""))</f>
        <v>2006</v>
      </c>
      <c r="U1231">
        <f>IF(connections!$A1230="","",IFERROR(INDEX(games!$B$2:$B$950,MATCH(connections!$B1230,games!$A$2:$A$950,0)),""))</f>
        <v>2025</v>
      </c>
      <c r="V1231">
        <f t="shared" si="199"/>
        <v>19</v>
      </c>
    </row>
    <row r="1232" spans="20:22" x14ac:dyDescent="0.25">
      <c r="T1232">
        <f>IF(connections!$A1231="","",IFERROR(INDEX(games!$B$2:$B$950,MATCH(connections!$A1231,games!$A$2:$A$950,0)),""))</f>
        <v>2019</v>
      </c>
      <c r="U1232">
        <f>IF(connections!$A1231="","",IFERROR(INDEX(games!$B$2:$B$950,MATCH(connections!$B1231,games!$A$2:$A$950,0)),""))</f>
        <v>2025</v>
      </c>
      <c r="V1232">
        <f t="shared" si="199"/>
        <v>6</v>
      </c>
    </row>
    <row r="1233" spans="20:22" x14ac:dyDescent="0.25">
      <c r="T1233">
        <f>IF(connections!$A1232="","",IFERROR(INDEX(games!$B$2:$B$950,MATCH(connections!$A1232,games!$A$2:$A$950,0)),""))</f>
        <v>2021</v>
      </c>
      <c r="U1233">
        <f>IF(connections!$A1232="","",IFERROR(INDEX(games!$B$2:$B$950,MATCH(connections!$B1232,games!$A$2:$A$950,0)),""))</f>
        <v>2025</v>
      </c>
      <c r="V1233">
        <f t="shared" si="199"/>
        <v>4</v>
      </c>
    </row>
    <row r="1234" spans="20:22" x14ac:dyDescent="0.25">
      <c r="T1234">
        <f>IF(connections!$A1233="","",IFERROR(INDEX(games!$B$2:$B$950,MATCH(connections!$A1233,games!$A$2:$A$950,0)),""))</f>
        <v>2021</v>
      </c>
      <c r="U1234">
        <f>IF(connections!$A1233="","",IFERROR(INDEX(games!$B$2:$B$950,MATCH(connections!$B1233,games!$A$2:$A$950,0)),""))</f>
        <v>2025</v>
      </c>
      <c r="V1234">
        <f t="shared" si="199"/>
        <v>4</v>
      </c>
    </row>
    <row r="1235" spans="20:22" x14ac:dyDescent="0.25">
      <c r="T1235">
        <f>IF(connections!$A1234="","",IFERROR(INDEX(games!$B$2:$B$950,MATCH(connections!$A1234,games!$A$2:$A$950,0)),""))</f>
        <v>2023</v>
      </c>
      <c r="U1235">
        <f>IF(connections!$A1234="","",IFERROR(INDEX(games!$B$2:$B$950,MATCH(connections!$B1234,games!$A$2:$A$950,0)),""))</f>
        <v>2025</v>
      </c>
      <c r="V1235">
        <f t="shared" si="199"/>
        <v>2</v>
      </c>
    </row>
    <row r="1236" spans="20:22" x14ac:dyDescent="0.25">
      <c r="T1236">
        <f>IF(connections!$A1235="","",IFERROR(INDEX(games!$B$2:$B$950,MATCH(connections!$A1235,games!$A$2:$A$950,0)),""))</f>
        <v>2020</v>
      </c>
      <c r="U1236">
        <f>IF(connections!$A1235="","",IFERROR(INDEX(games!$B$2:$B$950,MATCH(connections!$B1235,games!$A$2:$A$950,0)),""))</f>
        <v>2025</v>
      </c>
      <c r="V1236">
        <f t="shared" si="199"/>
        <v>5</v>
      </c>
    </row>
    <row r="1237" spans="20:22" x14ac:dyDescent="0.25">
      <c r="T1237">
        <f>IF(connections!$A1236="","",IFERROR(INDEX(games!$B$2:$B$950,MATCH(connections!$A1236,games!$A$2:$A$950,0)),""))</f>
        <v>2020</v>
      </c>
      <c r="U1237">
        <f>IF(connections!$A1236="","",IFERROR(INDEX(games!$B$2:$B$950,MATCH(connections!$B1236,games!$A$2:$A$950,0)),""))</f>
        <v>2025</v>
      </c>
      <c r="V1237">
        <f t="shared" si="199"/>
        <v>5</v>
      </c>
    </row>
    <row r="1238" spans="20:22" x14ac:dyDescent="0.25">
      <c r="T1238">
        <f>IF(connections!$A1237="","",IFERROR(INDEX(games!$B$2:$B$950,MATCH(connections!$A1237,games!$A$2:$A$950,0)),""))</f>
        <v>2021</v>
      </c>
      <c r="U1238">
        <f>IF(connections!$A1237="","",IFERROR(INDEX(games!$B$2:$B$950,MATCH(connections!$B1237,games!$A$2:$A$950,0)),""))</f>
        <v>2023</v>
      </c>
      <c r="V1238">
        <f t="shared" si="199"/>
        <v>2</v>
      </c>
    </row>
    <row r="1239" spans="20:22" x14ac:dyDescent="0.25">
      <c r="T1239">
        <f>IF(connections!$A1238="","",IFERROR(INDEX(games!$B$2:$B$950,MATCH(connections!$A1238,games!$A$2:$A$950,0)),""))</f>
        <v>2012</v>
      </c>
      <c r="U1239">
        <f>IF(connections!$A1238="","",IFERROR(INDEX(games!$B$2:$B$950,MATCH(connections!$B1238,games!$A$2:$A$950,0)),""))</f>
        <v>2016</v>
      </c>
      <c r="V1239">
        <f t="shared" si="199"/>
        <v>4</v>
      </c>
    </row>
    <row r="1240" spans="20:22" x14ac:dyDescent="0.25">
      <c r="T1240">
        <f>IF(connections!$A1239="","",IFERROR(INDEX(games!$B$2:$B$950,MATCH(connections!$A1239,games!$A$2:$A$950,0)),""))</f>
        <v>2008</v>
      </c>
      <c r="U1240">
        <f>IF(connections!$A1239="","",IFERROR(INDEX(games!$B$2:$B$950,MATCH(connections!$B1239,games!$A$2:$A$950,0)),""))</f>
        <v>2016</v>
      </c>
      <c r="V1240">
        <f t="shared" si="199"/>
        <v>8</v>
      </c>
    </row>
    <row r="1241" spans="20:22" x14ac:dyDescent="0.25">
      <c r="T1241">
        <f>IF(connections!$A1240="","",IFERROR(INDEX(games!$B$2:$B$950,MATCH(connections!$A1240,games!$A$2:$A$950,0)),""))</f>
        <v>2011</v>
      </c>
      <c r="U1241">
        <f>IF(connections!$A1240="","",IFERROR(INDEX(games!$B$2:$B$950,MATCH(connections!$B1240,games!$A$2:$A$950,0)),""))</f>
        <v>2016</v>
      </c>
      <c r="V1241">
        <f t="shared" si="199"/>
        <v>5</v>
      </c>
    </row>
    <row r="1242" spans="20:22" x14ac:dyDescent="0.25">
      <c r="T1242">
        <f>IF(connections!$A1241="","",IFERROR(INDEX(games!$B$2:$B$950,MATCH(connections!$A1241,games!$A$2:$A$950,0)),""))</f>
        <v>1997</v>
      </c>
      <c r="U1242">
        <f>IF(connections!$A1241="","",IFERROR(INDEX(games!$B$2:$B$950,MATCH(connections!$B1241,games!$A$2:$A$950,0)),""))</f>
        <v>2021</v>
      </c>
      <c r="V1242">
        <f t="shared" si="199"/>
        <v>24</v>
      </c>
    </row>
    <row r="1243" spans="20:22" x14ac:dyDescent="0.25">
      <c r="T1243">
        <f>IF(connections!$A1242="","",IFERROR(INDEX(games!$B$2:$B$950,MATCH(connections!$A1242,games!$A$2:$A$950,0)),""))</f>
        <v>2016</v>
      </c>
      <c r="U1243">
        <f>IF(connections!$A1242="","",IFERROR(INDEX(games!$B$2:$B$950,MATCH(connections!$B1242,games!$A$2:$A$950,0)),""))</f>
        <v>2021</v>
      </c>
      <c r="V1243">
        <f t="shared" si="199"/>
        <v>5</v>
      </c>
    </row>
    <row r="1244" spans="20:22" x14ac:dyDescent="0.25">
      <c r="T1244">
        <f>IF(connections!$A1243="","",IFERROR(INDEX(games!$B$2:$B$950,MATCH(connections!$A1243,games!$A$2:$A$950,0)),""))</f>
        <v>2021</v>
      </c>
      <c r="U1244">
        <f>IF(connections!$A1243="","",IFERROR(INDEX(games!$B$2:$B$950,MATCH(connections!$B1243,games!$A$2:$A$950,0)),""))</f>
        <v>2025</v>
      </c>
      <c r="V1244">
        <f t="shared" si="199"/>
        <v>4</v>
      </c>
    </row>
    <row r="1245" spans="20:22" x14ac:dyDescent="0.25">
      <c r="T1245">
        <f>IF(connections!$A1244="","",IFERROR(INDEX(games!$B$2:$B$950,MATCH(connections!$A1244,games!$A$2:$A$950,0)),""))</f>
        <v>1996</v>
      </c>
      <c r="U1245">
        <f>IF(connections!$A1244="","",IFERROR(INDEX(games!$B$2:$B$950,MATCH(connections!$B1244,games!$A$2:$A$950,0)),""))</f>
        <v>2013</v>
      </c>
      <c r="V1245">
        <f t="shared" si="199"/>
        <v>17</v>
      </c>
    </row>
    <row r="1246" spans="20:22" x14ac:dyDescent="0.25">
      <c r="T1246">
        <f>IF(connections!$A1245="","",IFERROR(INDEX(games!$B$2:$B$950,MATCH(connections!$A1245,games!$A$2:$A$950,0)),""))</f>
        <v>1987</v>
      </c>
      <c r="U1246">
        <f>IF(connections!$A1245="","",IFERROR(INDEX(games!$B$2:$B$950,MATCH(connections!$B1245,games!$A$2:$A$950,0)),""))</f>
        <v>2013</v>
      </c>
      <c r="V1246">
        <f t="shared" si="199"/>
        <v>26</v>
      </c>
    </row>
    <row r="1247" spans="20:22" x14ac:dyDescent="0.25">
      <c r="T1247">
        <f>IF(connections!$A1246="","",IFERROR(INDEX(games!$B$2:$B$950,MATCH(connections!$A1246,games!$A$2:$A$950,0)),""))</f>
        <v>1980</v>
      </c>
      <c r="U1247">
        <f>IF(connections!$A1246="","",IFERROR(INDEX(games!$B$2:$B$950,MATCH(connections!$B1246,games!$A$2:$A$950,0)),""))</f>
        <v>2013</v>
      </c>
      <c r="V1247">
        <f t="shared" si="199"/>
        <v>33</v>
      </c>
    </row>
    <row r="1248" spans="20:22" x14ac:dyDescent="0.25">
      <c r="T1248">
        <f>IF(connections!$A1247="","",IFERROR(INDEX(games!$B$2:$B$950,MATCH(connections!$A1247,games!$A$2:$A$950,0)),""))</f>
        <v>2018</v>
      </c>
      <c r="U1248">
        <f>IF(connections!$A1247="","",IFERROR(INDEX(games!$B$2:$B$950,MATCH(connections!$B1247,games!$A$2:$A$950,0)),""))</f>
        <v>2022</v>
      </c>
      <c r="V1248">
        <f t="shared" si="199"/>
        <v>4</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2018</v>
      </c>
      <c r="U1250">
        <f>IF(connections!$A1249="","",IFERROR(INDEX(games!$B$2:$B$950,MATCH(connections!$B1249,games!$A$2:$A$950,0)),""))</f>
        <v>2021</v>
      </c>
      <c r="V1250">
        <f t="shared" si="199"/>
        <v>3</v>
      </c>
    </row>
    <row r="1251" spans="20:22" x14ac:dyDescent="0.25">
      <c r="T1251">
        <f>IF(connections!$A1250="","",IFERROR(INDEX(games!$B$2:$B$950,MATCH(connections!$A1250,games!$A$2:$A$950,0)),""))</f>
        <v>2013</v>
      </c>
      <c r="U1251">
        <f>IF(connections!$A1250="","",IFERROR(INDEX(games!$B$2:$B$950,MATCH(connections!$B1250,games!$A$2:$A$950,0)),""))</f>
        <v>2018</v>
      </c>
      <c r="V1251">
        <f t="shared" si="199"/>
        <v>5</v>
      </c>
    </row>
    <row r="1252" spans="20:22" x14ac:dyDescent="0.25">
      <c r="T1252">
        <f>IF(connections!$A1251="","",IFERROR(INDEX(games!$B$2:$B$950,MATCH(connections!$A1251,games!$A$2:$A$950,0)),""))</f>
        <v>2018</v>
      </c>
      <c r="U1252">
        <f>IF(connections!$A1251="","",IFERROR(INDEX(games!$B$2:$B$950,MATCH(connections!$B1251,games!$A$2:$A$950,0)),""))</f>
        <v>2026</v>
      </c>
      <c r="V1252">
        <f t="shared" si="199"/>
        <v>8</v>
      </c>
    </row>
    <row r="1253" spans="20:22" x14ac:dyDescent="0.25">
      <c r="T1253">
        <f>IF(connections!$A1252="","",IFERROR(INDEX(games!$B$2:$B$950,MATCH(connections!$A1252,games!$A$2:$A$950,0)),""))</f>
        <v>2017</v>
      </c>
      <c r="U1253">
        <f>IF(connections!$A1252="","",IFERROR(INDEX(games!$B$2:$B$950,MATCH(connections!$B1252,games!$A$2:$A$950,0)),""))</f>
        <v>2026</v>
      </c>
      <c r="V1253">
        <f t="shared" si="199"/>
        <v>9</v>
      </c>
    </row>
    <row r="1254" spans="20:22" x14ac:dyDescent="0.25">
      <c r="T1254">
        <f>IF(connections!$A1253="","",IFERROR(INDEX(games!$B$2:$B$950,MATCH(connections!$A1253,games!$A$2:$A$950,0)),""))</f>
        <v>2017</v>
      </c>
      <c r="U1254">
        <f>IF(connections!$A1253="","",IFERROR(INDEX(games!$B$2:$B$950,MATCH(connections!$B1253,games!$A$2:$A$950,0)),""))</f>
        <v>2020</v>
      </c>
      <c r="V1254">
        <f t="shared" si="199"/>
        <v>3</v>
      </c>
    </row>
    <row r="1255" spans="20:22" x14ac:dyDescent="0.25">
      <c r="T1255">
        <f>IF(connections!$A1254="","",IFERROR(INDEX(games!$B$2:$B$950,MATCH(connections!$A1254,games!$A$2:$A$950,0)),""))</f>
        <v>2010</v>
      </c>
      <c r="U1255">
        <f>IF(connections!$A1254="","",IFERROR(INDEX(games!$B$2:$B$950,MATCH(connections!$B1254,games!$A$2:$A$950,0)),""))</f>
        <v>2023</v>
      </c>
      <c r="V1255">
        <f t="shared" si="199"/>
        <v>13</v>
      </c>
    </row>
    <row r="1256" spans="20:22" x14ac:dyDescent="0.25">
      <c r="T1256">
        <f>IF(connections!$A1255="","",IFERROR(INDEX(games!$B$2:$B$950,MATCH(connections!$A1255,games!$A$2:$A$950,0)),""))</f>
        <v>2011</v>
      </c>
      <c r="U1256">
        <f>IF(connections!$A1255="","",IFERROR(INDEX(games!$B$2:$B$950,MATCH(connections!$B1255,games!$A$2:$A$950,0)),""))</f>
        <v>2023</v>
      </c>
      <c r="V1256">
        <f t="shared" si="199"/>
        <v>12</v>
      </c>
    </row>
    <row r="1257" spans="20:22" x14ac:dyDescent="0.25">
      <c r="T1257">
        <f>IF(connections!$A1256="","",IFERROR(INDEX(games!$B$2:$B$950,MATCH(connections!$A1256,games!$A$2:$A$950,0)),""))</f>
        <v>2021</v>
      </c>
      <c r="U1257">
        <f>IF(connections!$A1256="","",IFERROR(INDEX(games!$B$2:$B$950,MATCH(connections!$B1256,games!$A$2:$A$950,0)),""))</f>
        <v>2023</v>
      </c>
      <c r="V1257">
        <f t="shared" si="199"/>
        <v>2</v>
      </c>
    </row>
    <row r="1258" spans="20:22" x14ac:dyDescent="0.25">
      <c r="T1258">
        <f>IF(connections!$A1257="","",IFERROR(INDEX(games!$B$2:$B$950,MATCH(connections!$A1257,games!$A$2:$A$950,0)),""))</f>
        <v>1994</v>
      </c>
      <c r="U1258">
        <f>IF(connections!$A1257="","",IFERROR(INDEX(games!$B$2:$B$950,MATCH(connections!$B1257,games!$A$2:$A$950,0)),""))</f>
        <v>1998</v>
      </c>
      <c r="V1258">
        <f t="shared" si="199"/>
        <v>4</v>
      </c>
    </row>
    <row r="1259" spans="20:22" x14ac:dyDescent="0.25">
      <c r="T1259">
        <f>IF(connections!$A1258="","",IFERROR(INDEX(games!$B$2:$B$950,MATCH(connections!$A1258,games!$A$2:$A$950,0)),""))</f>
        <v>2017</v>
      </c>
      <c r="U1259">
        <f>IF(connections!$A1258="","",IFERROR(INDEX(games!$B$2:$B$950,MATCH(connections!$B1258,games!$A$2:$A$950,0)),""))</f>
        <v>2026</v>
      </c>
      <c r="V1259">
        <f t="shared" si="199"/>
        <v>9</v>
      </c>
    </row>
    <row r="1260" spans="20:22" x14ac:dyDescent="0.25">
      <c r="T1260">
        <f>IF(connections!$A1259="","",IFERROR(INDEX(games!$B$2:$B$950,MATCH(connections!$A1259,games!$A$2:$A$950,0)),""))</f>
        <v>2010</v>
      </c>
      <c r="U1260">
        <f>IF(connections!$A1259="","",IFERROR(INDEX(games!$B$2:$B$950,MATCH(connections!$B1259,games!$A$2:$A$950,0)),""))</f>
        <v>2017</v>
      </c>
      <c r="V1260">
        <f t="shared" si="199"/>
        <v>7</v>
      </c>
    </row>
    <row r="1261" spans="20:22" x14ac:dyDescent="0.25">
      <c r="T1261">
        <f>IF(connections!$A1260="","",IFERROR(INDEX(games!$B$2:$B$950,MATCH(connections!$A1260,games!$A$2:$A$950,0)),""))</f>
        <v>1995</v>
      </c>
      <c r="U1261">
        <f>IF(connections!$A1260="","",IFERROR(INDEX(games!$B$2:$B$950,MATCH(connections!$B1260,games!$A$2:$A$950,0)),""))</f>
        <v>2017</v>
      </c>
      <c r="V1261">
        <f t="shared" si="199"/>
        <v>22</v>
      </c>
    </row>
    <row r="1262" spans="20:22" x14ac:dyDescent="0.25">
      <c r="T1262">
        <f>IF(connections!$A1261="","",IFERROR(INDEX(games!$B$2:$B$950,MATCH(connections!$A1261,games!$A$2:$A$950,0)),""))</f>
        <v>1998</v>
      </c>
      <c r="U1262">
        <f>IF(connections!$A1261="","",IFERROR(INDEX(games!$B$2:$B$950,MATCH(connections!$B1261,games!$A$2:$A$950,0)),""))</f>
        <v>2017</v>
      </c>
      <c r="V1262">
        <f t="shared" si="199"/>
        <v>19</v>
      </c>
    </row>
    <row r="1263" spans="20:22" x14ac:dyDescent="0.25">
      <c r="T1263">
        <f>IF(connections!$A1262="","",IFERROR(INDEX(games!$B$2:$B$950,MATCH(connections!$A1262,games!$A$2:$A$950,0)),""))</f>
        <v>1997</v>
      </c>
      <c r="U1263">
        <f>IF(connections!$A1262="","",IFERROR(INDEX(games!$B$2:$B$950,MATCH(connections!$B1262,games!$A$2:$A$950,0)),""))</f>
        <v>2006</v>
      </c>
      <c r="V1263">
        <f t="shared" si="199"/>
        <v>9</v>
      </c>
    </row>
    <row r="1264" spans="20:22" x14ac:dyDescent="0.25">
      <c r="T1264">
        <f>IF(connections!$A1263="","",IFERROR(INDEX(games!$B$2:$B$950,MATCH(connections!$A1263,games!$A$2:$A$950,0)),""))</f>
        <v>2019</v>
      </c>
      <c r="U1264">
        <f>IF(connections!$A1263="","",IFERROR(INDEX(games!$B$2:$B$950,MATCH(connections!$B1263,games!$A$2:$A$950,0)),""))</f>
        <v>2023</v>
      </c>
      <c r="V1264">
        <f t="shared" si="199"/>
        <v>4</v>
      </c>
    </row>
    <row r="1265" spans="20:22" x14ac:dyDescent="0.25">
      <c r="T1265">
        <f>IF(connections!$A1264="","",IFERROR(INDEX(games!$B$2:$B$950,MATCH(connections!$A1264,games!$A$2:$A$950,0)),""))</f>
        <v>2017</v>
      </c>
      <c r="U1265">
        <f>IF(connections!$A1264="","",IFERROR(INDEX(games!$B$2:$B$950,MATCH(connections!$B1264,games!$A$2:$A$950,0)),""))</f>
        <v>2023</v>
      </c>
      <c r="V1265">
        <f t="shared" si="199"/>
        <v>6</v>
      </c>
    </row>
    <row r="1266" spans="20:22" x14ac:dyDescent="0.25">
      <c r="T1266">
        <f>IF(connections!$A1266="","",IFERROR(INDEX(games!$B$2:$B$950,MATCH(connections!$A1266,games!$A$2:$A$950,0)),""))</f>
        <v>2019</v>
      </c>
      <c r="U1266">
        <f>IF(connections!$A1266="","",IFERROR(INDEX(games!$B$2:$B$950,MATCH(connections!$B1266,games!$A$2:$A$950,0)),""))</f>
        <v>2019</v>
      </c>
      <c r="V1266">
        <f t="shared" si="199"/>
        <v>0</v>
      </c>
    </row>
    <row r="1267" spans="20:22" x14ac:dyDescent="0.25">
      <c r="T1267">
        <f>IF(connections!$A1267="","",IFERROR(INDEX(games!$B$2:$B$950,MATCH(connections!$A1267,games!$A$2:$A$950,0)),""))</f>
        <v>2020</v>
      </c>
      <c r="U1267">
        <f>IF(connections!$A1267="","",IFERROR(INDEX(games!$B$2:$B$950,MATCH(connections!$B1267,games!$A$2:$A$950,0)),""))</f>
        <v>2026</v>
      </c>
      <c r="V1267">
        <f t="shared" si="199"/>
        <v>6</v>
      </c>
    </row>
    <row r="1268" spans="20:22" x14ac:dyDescent="0.25">
      <c r="T1268">
        <f>IF(connections!$A1268="","",IFERROR(INDEX(games!$B$2:$B$950,MATCH(connections!$A1268,games!$A$2:$A$950,0)),""))</f>
        <v>2019</v>
      </c>
      <c r="U1268">
        <f>IF(connections!$A1268="","",IFERROR(INDEX(games!$B$2:$B$950,MATCH(connections!$B1268,games!$A$2:$A$950,0)),""))</f>
        <v>2024</v>
      </c>
      <c r="V1268">
        <f t="shared" si="199"/>
        <v>5</v>
      </c>
    </row>
    <row r="1269" spans="20:22" x14ac:dyDescent="0.25">
      <c r="T1269">
        <f>IF(connections!$A1269="","",IFERROR(INDEX(games!$B$2:$B$950,MATCH(connections!$A1269,games!$A$2:$A$950,0)),""))</f>
        <v>2018</v>
      </c>
      <c r="U1269">
        <f>IF(connections!$A1269="","",IFERROR(INDEX(games!$B$2:$B$950,MATCH(connections!$B1269,games!$A$2:$A$950,0)),""))</f>
        <v>2024</v>
      </c>
      <c r="V1269">
        <f t="shared" si="199"/>
        <v>6</v>
      </c>
    </row>
    <row r="1270" spans="20:22" x14ac:dyDescent="0.25">
      <c r="T1270">
        <f>IF(connections!$A1270="","",IFERROR(INDEX(games!$B$2:$B$950,MATCH(connections!$A1270,games!$A$2:$A$950,0)),""))</f>
        <v>2019</v>
      </c>
      <c r="U1270">
        <f>IF(connections!$A1270="","",IFERROR(INDEX(games!$B$2:$B$950,MATCH(connections!$B1270,games!$A$2:$A$950,0)),""))</f>
        <v>2024</v>
      </c>
      <c r="V1270">
        <f t="shared" si="199"/>
        <v>5</v>
      </c>
    </row>
    <row r="1271" spans="20:22" x14ac:dyDescent="0.25">
      <c r="T1271">
        <f>IF(connections!$A1271="","",IFERROR(INDEX(games!$B$2:$B$950,MATCH(connections!$A1271,games!$A$2:$A$950,0)),""))</f>
        <v>2021</v>
      </c>
      <c r="U1271">
        <f>IF(connections!$A1271="","",IFERROR(INDEX(games!$B$2:$B$950,MATCH(connections!$B1271,games!$A$2:$A$950,0)),""))</f>
        <v>2024</v>
      </c>
      <c r="V1271">
        <f t="shared" si="199"/>
        <v>3</v>
      </c>
    </row>
    <row r="1272" spans="20:22" x14ac:dyDescent="0.25">
      <c r="T1272">
        <f>IF(connections!$A1272="","",IFERROR(INDEX(games!$B$2:$B$950,MATCH(connections!$A1272,games!$A$2:$A$950,0)),""))</f>
        <v>2012</v>
      </c>
      <c r="U1272">
        <f>IF(connections!$A1272="","",IFERROR(INDEX(games!$B$2:$B$950,MATCH(connections!$B1272,games!$A$2:$A$950,0)),""))</f>
        <v>2022</v>
      </c>
      <c r="V1272">
        <f t="shared" si="199"/>
        <v>10</v>
      </c>
    </row>
    <row r="1273" spans="20:22" x14ac:dyDescent="0.25">
      <c r="T1273">
        <f>IF(connections!$A1273="","",IFERROR(INDEX(games!$B$2:$B$950,MATCH(connections!$A1273,games!$A$2:$A$950,0)),""))</f>
        <v>2021</v>
      </c>
      <c r="U1273">
        <f>IF(connections!$A1273="","",IFERROR(INDEX(games!$B$2:$B$950,MATCH(connections!$B1273,games!$A$2:$A$950,0)),""))</f>
        <v>2026</v>
      </c>
      <c r="V1273">
        <f t="shared" si="199"/>
        <v>5</v>
      </c>
    </row>
    <row r="1274" spans="20:22" x14ac:dyDescent="0.25">
      <c r="T1274">
        <f>IF(connections!$A1274="","",IFERROR(INDEX(games!$B$2:$B$950,MATCH(connections!$A1274,games!$A$2:$A$950,0)),""))</f>
        <v>2020</v>
      </c>
      <c r="U1274">
        <f>IF(connections!$A1274="","",IFERROR(INDEX(games!$B$2:$B$950,MATCH(connections!$B1274,games!$A$2:$A$950,0)),""))</f>
        <v>2024</v>
      </c>
      <c r="V1274">
        <f t="shared" si="199"/>
        <v>4</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2019</v>
      </c>
      <c r="U1276">
        <f>IF(connections!$A1276="","",IFERROR(INDEX(games!$B$2:$B$950,MATCH(connections!$B1276,games!$A$2:$A$950,0)),""))</f>
        <v>2025</v>
      </c>
      <c r="V1276">
        <f t="shared" si="199"/>
        <v>6</v>
      </c>
    </row>
    <row r="1277" spans="20:22" x14ac:dyDescent="0.25">
      <c r="T1277">
        <f>IF(connections!$A1277="","",IFERROR(INDEX(games!$B$2:$B$950,MATCH(connections!$A1277,games!$A$2:$A$950,0)),""))</f>
        <v>2010</v>
      </c>
      <c r="U1277">
        <f>IF(connections!$A1277="","",IFERROR(INDEX(games!$B$2:$B$950,MATCH(connections!$B1277,games!$A$2:$A$950,0)),""))</f>
        <v>2011</v>
      </c>
      <c r="V1277">
        <f t="shared" si="199"/>
        <v>1</v>
      </c>
    </row>
    <row r="1278" spans="20:22" x14ac:dyDescent="0.25">
      <c r="T1278">
        <f>IF(connections!$A1278="","",IFERROR(INDEX(games!$B$2:$B$950,MATCH(connections!$A1278,games!$A$2:$A$950,0)),""))</f>
        <v>2008</v>
      </c>
      <c r="U1278">
        <f>IF(connections!$A1278="","",IFERROR(INDEX(games!$B$2:$B$950,MATCH(connections!$B1278,games!$A$2:$A$950,0)),""))</f>
        <v>2011</v>
      </c>
      <c r="V1278">
        <f t="shared" si="199"/>
        <v>3</v>
      </c>
    </row>
    <row r="1279" spans="20:22" x14ac:dyDescent="0.25">
      <c r="T1279">
        <f>IF(connections!$A1279="","",IFERROR(INDEX(games!$B$2:$B$950,MATCH(connections!$A1279,games!$A$2:$A$950,0)),""))</f>
        <v>2011</v>
      </c>
      <c r="U1279">
        <f>IF(connections!$A1279="","",IFERROR(INDEX(games!$B$2:$B$950,MATCH(connections!$B1279,games!$A$2:$A$950,0)),""))</f>
        <v>2014</v>
      </c>
      <c r="V1279">
        <f t="shared" si="199"/>
        <v>3</v>
      </c>
    </row>
    <row r="1280" spans="20:22" x14ac:dyDescent="0.25">
      <c r="T1280">
        <f>IF(connections!$A1280="","",IFERROR(INDEX(games!$B$2:$B$950,MATCH(connections!$A1280,games!$A$2:$A$950,0)),""))</f>
        <v>2017</v>
      </c>
      <c r="U1280">
        <f>IF(connections!$A1280="","",IFERROR(INDEX(games!$B$2:$B$950,MATCH(connections!$B1280,games!$A$2:$A$950,0)),""))</f>
        <v>2021</v>
      </c>
      <c r="V1280">
        <f t="shared" si="199"/>
        <v>4</v>
      </c>
    </row>
    <row r="1281" spans="20:22" x14ac:dyDescent="0.25">
      <c r="T1281">
        <f>IF(connections!$A1281="","",IFERROR(INDEX(games!$B$2:$B$950,MATCH(connections!$A1281,games!$A$2:$A$950,0)),""))</f>
        <v>2011</v>
      </c>
      <c r="U1281">
        <f>IF(connections!$A1281="","",IFERROR(INDEX(games!$B$2:$B$950,MATCH(connections!$B1281,games!$A$2:$A$950,0)),""))</f>
        <v>2021</v>
      </c>
      <c r="V1281">
        <f t="shared" si="199"/>
        <v>10</v>
      </c>
    </row>
    <row r="1282" spans="20:22" x14ac:dyDescent="0.25">
      <c r="T1282">
        <f>IF(connections!$A1282="","",IFERROR(INDEX(games!$B$2:$B$950,MATCH(connections!$A1282,games!$A$2:$A$950,0)),""))</f>
        <v>2006</v>
      </c>
      <c r="U1282">
        <f>IF(connections!$A1282="","",IFERROR(INDEX(games!$B$2:$B$950,MATCH(connections!$B1282,games!$A$2:$A$950,0)),""))</f>
        <v>2021</v>
      </c>
      <c r="V1282">
        <f t="shared" ref="V1282:V1345" si="200">IF(OR($T1282="",$U1282=""),"",$U1282-$T1282)</f>
        <v>15</v>
      </c>
    </row>
    <row r="1283" spans="20:22" x14ac:dyDescent="0.25">
      <c r="T1283">
        <f>IF(connections!$A1283="","",IFERROR(INDEX(games!$B$2:$B$950,MATCH(connections!$A1283,games!$A$2:$A$950,0)),""))</f>
        <v>1980</v>
      </c>
      <c r="U1283">
        <f>IF(connections!$A1283="","",IFERROR(INDEX(games!$B$2:$B$950,MATCH(connections!$B1283,games!$A$2:$A$950,0)),""))</f>
        <v>2000</v>
      </c>
      <c r="V1283">
        <f t="shared" si="200"/>
        <v>20</v>
      </c>
    </row>
    <row r="1284" spans="20:22" x14ac:dyDescent="0.25">
      <c r="T1284">
        <f>IF(connections!$A1284="","",IFERROR(INDEX(games!$B$2:$B$950,MATCH(connections!$A1284,games!$A$2:$A$950,0)),""))</f>
        <v>1993</v>
      </c>
      <c r="U1284">
        <f>IF(connections!$A1284="","",IFERROR(INDEX(games!$B$2:$B$950,MATCH(connections!$B1284,games!$A$2:$A$950,0)),""))</f>
        <v>2000</v>
      </c>
      <c r="V1284">
        <f t="shared" si="200"/>
        <v>7</v>
      </c>
    </row>
    <row r="1285" spans="20:22" x14ac:dyDescent="0.25">
      <c r="T1285">
        <f>IF(connections!$A1285="","",IFERROR(INDEX(games!$B$2:$B$950,MATCH(connections!$A1285,games!$A$2:$A$950,0)),""))</f>
        <v>2013</v>
      </c>
      <c r="U1285">
        <f>IF(connections!$A1285="","",IFERROR(INDEX(games!$B$2:$B$950,MATCH(connections!$B1285,games!$A$2:$A$950,0)),""))</f>
        <v>2016</v>
      </c>
      <c r="V1285">
        <f t="shared" si="200"/>
        <v>3</v>
      </c>
    </row>
    <row r="1286" spans="20:22" x14ac:dyDescent="0.25">
      <c r="T1286">
        <f>IF(connections!$A1286="","",IFERROR(INDEX(games!$B$2:$B$950,MATCH(connections!$A1286,games!$A$2:$A$950,0)),""))</f>
        <v>1990</v>
      </c>
      <c r="U1286">
        <f>IF(connections!$A1286="","",IFERROR(INDEX(games!$B$2:$B$950,MATCH(connections!$B1286,games!$A$2:$A$950,0)),""))</f>
        <v>2014</v>
      </c>
      <c r="V1286">
        <f t="shared" si="200"/>
        <v>24</v>
      </c>
    </row>
    <row r="1287" spans="20:22" x14ac:dyDescent="0.25">
      <c r="T1287">
        <f>IF(connections!$A1287="","",IFERROR(INDEX(games!$B$2:$B$950,MATCH(connections!$A1287,games!$A$2:$A$950,0)),""))</f>
        <v>2007</v>
      </c>
      <c r="U1287">
        <f>IF(connections!$A1287="","",IFERROR(INDEX(games!$B$2:$B$950,MATCH(connections!$B1287,games!$A$2:$A$950,0)),""))</f>
        <v>2014</v>
      </c>
      <c r="V1287">
        <f t="shared" si="200"/>
        <v>7</v>
      </c>
    </row>
    <row r="1288" spans="20:22" x14ac:dyDescent="0.25">
      <c r="T1288">
        <f>IF(connections!$A1288="","",IFERROR(INDEX(games!$B$2:$B$950,MATCH(connections!$A1288,games!$A$2:$A$950,0)),""))</f>
        <v>2003</v>
      </c>
      <c r="U1288">
        <f>IF(connections!$A1288="","",IFERROR(INDEX(games!$B$2:$B$950,MATCH(connections!$B1288,games!$A$2:$A$950,0)),""))</f>
        <v>2014</v>
      </c>
      <c r="V1288">
        <f t="shared" si="200"/>
        <v>11</v>
      </c>
    </row>
    <row r="1289" spans="20:22" x14ac:dyDescent="0.25">
      <c r="T1289">
        <f>IF(connections!$A1289="","",IFERROR(INDEX(games!$B$2:$B$950,MATCH(connections!$A1289,games!$A$2:$A$950,0)),""))</f>
        <v>2010</v>
      </c>
      <c r="U1289">
        <f>IF(connections!$A1289="","",IFERROR(INDEX(games!$B$2:$B$950,MATCH(connections!$B1289,games!$A$2:$A$950,0)),""))</f>
        <v>2013</v>
      </c>
      <c r="V1289">
        <f t="shared" si="200"/>
        <v>3</v>
      </c>
    </row>
    <row r="1290" spans="20:22" x14ac:dyDescent="0.25">
      <c r="T1290">
        <f>IF(connections!$A1290="","",IFERROR(INDEX(games!$B$2:$B$950,MATCH(connections!$A1290,games!$A$2:$A$950,0)),""))</f>
        <v>2020</v>
      </c>
      <c r="U1290">
        <f>IF(connections!$A1290="","",IFERROR(INDEX(games!$B$2:$B$950,MATCH(connections!$B1290,games!$A$2:$A$950,0)),""))</f>
        <v>2024</v>
      </c>
      <c r="V1290">
        <f t="shared" si="200"/>
        <v>4</v>
      </c>
    </row>
    <row r="1291" spans="20:22" x14ac:dyDescent="0.25">
      <c r="T1291">
        <f>IF(connections!$A1291="","",IFERROR(INDEX(games!$B$2:$B$950,MATCH(connections!$A1291,games!$A$2:$A$950,0)),""))</f>
        <v>2017</v>
      </c>
      <c r="U1291">
        <f>IF(connections!$A1291="","",IFERROR(INDEX(games!$B$2:$B$950,MATCH(connections!$B1291,games!$A$2:$A$950,0)),""))</f>
        <v>2024</v>
      </c>
      <c r="V1291">
        <f t="shared" si="200"/>
        <v>7</v>
      </c>
    </row>
    <row r="1292" spans="20:22" x14ac:dyDescent="0.25">
      <c r="T1292">
        <f>IF(connections!$A1292="","",IFERROR(INDEX(games!$B$2:$B$950,MATCH(connections!$A1292,games!$A$2:$A$950,0)),""))</f>
        <v>2011</v>
      </c>
      <c r="U1292">
        <f>IF(connections!$A1292="","",IFERROR(INDEX(games!$B$2:$B$950,MATCH(connections!$B1292,games!$A$2:$A$950,0)),""))</f>
        <v>2023</v>
      </c>
      <c r="V1292">
        <f t="shared" si="200"/>
        <v>12</v>
      </c>
    </row>
    <row r="1293" spans="20:22" x14ac:dyDescent="0.25">
      <c r="T1293">
        <f>IF(connections!$A1293="","",IFERROR(INDEX(games!$B$2:$B$950,MATCH(connections!$A1293,games!$A$2:$A$950,0)),""))</f>
        <v>2022</v>
      </c>
      <c r="U1293">
        <f>IF(connections!$A1293="","",IFERROR(INDEX(games!$B$2:$B$950,MATCH(connections!$B1293,games!$A$2:$A$950,0)),""))</f>
        <v>2023</v>
      </c>
      <c r="V1293">
        <f t="shared" si="200"/>
        <v>1</v>
      </c>
    </row>
    <row r="1294" spans="20:22" x14ac:dyDescent="0.25">
      <c r="T1294">
        <f>IF(connections!$A1294="","",IFERROR(INDEX(games!$B$2:$B$950,MATCH(connections!$A1294,games!$A$2:$A$950,0)),""))</f>
        <v>2017</v>
      </c>
      <c r="U1294">
        <f>IF(connections!$A1294="","",IFERROR(INDEX(games!$B$2:$B$950,MATCH(connections!$B1294,games!$A$2:$A$950,0)),""))</f>
        <v>2021</v>
      </c>
      <c r="V1294">
        <f t="shared" si="200"/>
        <v>4</v>
      </c>
    </row>
    <row r="1295" spans="20:22" x14ac:dyDescent="0.25">
      <c r="T1295">
        <f>IF(connections!$A1295="","",IFERROR(INDEX(games!$B$2:$B$950,MATCH(connections!$A1295,games!$A$2:$A$950,0)),""))</f>
        <v>2018</v>
      </c>
      <c r="U1295">
        <f>IF(connections!$A1295="","",IFERROR(INDEX(games!$B$2:$B$950,MATCH(connections!$B1295,games!$A$2:$A$950,0)),""))</f>
        <v>2021</v>
      </c>
      <c r="V1295">
        <f t="shared" si="200"/>
        <v>3</v>
      </c>
    </row>
    <row r="1296" spans="20:22" x14ac:dyDescent="0.25">
      <c r="T1296">
        <f>IF(connections!$A1296="","",IFERROR(INDEX(games!$B$2:$B$950,MATCH(connections!$A1296,games!$A$2:$A$950,0)),""))</f>
        <v>2017</v>
      </c>
      <c r="U1296">
        <f>IF(connections!$A1296="","",IFERROR(INDEX(games!$B$2:$B$950,MATCH(connections!$B1296,games!$A$2:$A$950,0)),""))</f>
        <v>2021</v>
      </c>
      <c r="V1296">
        <f t="shared" si="200"/>
        <v>4</v>
      </c>
    </row>
    <row r="1297" spans="20:22" x14ac:dyDescent="0.25">
      <c r="T1297">
        <f>IF(connections!$A1297="","",IFERROR(INDEX(games!$B$2:$B$950,MATCH(connections!$A1297,games!$A$2:$A$950,0)),""))</f>
        <v>2020</v>
      </c>
      <c r="U1297">
        <f>IF(connections!$A1297="","",IFERROR(INDEX(games!$B$2:$B$950,MATCH(connections!$B1297,games!$A$2:$A$950,0)),""))</f>
        <v>2021</v>
      </c>
      <c r="V1297">
        <f t="shared" si="200"/>
        <v>1</v>
      </c>
    </row>
    <row r="1298" spans="20:22" x14ac:dyDescent="0.25">
      <c r="T1298">
        <f>IF(connections!$A1298="","",IFERROR(INDEX(games!$B$2:$B$950,MATCH(connections!$A1298,games!$A$2:$A$950,0)),""))</f>
        <v>2011</v>
      </c>
      <c r="U1298">
        <f>IF(connections!$A1298="","",IFERROR(INDEX(games!$B$2:$B$950,MATCH(connections!$B1298,games!$A$2:$A$950,0)),""))</f>
        <v>2019</v>
      </c>
      <c r="V1298">
        <f t="shared" si="200"/>
        <v>8</v>
      </c>
    </row>
    <row r="1299" spans="20:22" x14ac:dyDescent="0.25">
      <c r="T1299">
        <f>IF(connections!$A1299="","",IFERROR(INDEX(games!$B$2:$B$950,MATCH(connections!$A1299,games!$A$2:$A$950,0)),""))</f>
        <v>2023</v>
      </c>
      <c r="U1299">
        <f>IF(connections!$A1299="","",IFERROR(INDEX(games!$B$2:$B$950,MATCH(connections!$B1299,games!$A$2:$A$950,0)),""))</f>
        <v>2026</v>
      </c>
      <c r="V1299">
        <f t="shared" si="200"/>
        <v>3</v>
      </c>
    </row>
    <row r="1300" spans="20:22" x14ac:dyDescent="0.25">
      <c r="T1300">
        <f>IF(connections!$A1300="","",IFERROR(INDEX(games!$B$2:$B$950,MATCH(connections!$A1300,games!$A$2:$A$950,0)),""))</f>
        <v>2021</v>
      </c>
      <c r="U1300">
        <f>IF(connections!$A1300="","",IFERROR(INDEX(games!$B$2:$B$950,MATCH(connections!$B1300,games!$A$2:$A$950,0)),""))</f>
        <v>2026</v>
      </c>
      <c r="V1300">
        <f t="shared" si="200"/>
        <v>5</v>
      </c>
    </row>
    <row r="1301" spans="20:22" x14ac:dyDescent="0.25">
      <c r="T1301">
        <f>IF(connections!$A1301="","",IFERROR(INDEX(games!$B$2:$B$950,MATCH(connections!$A1301,games!$A$2:$A$950,0)),""))</f>
        <v>1993</v>
      </c>
      <c r="U1301">
        <f>IF(connections!$A1301="","",IFERROR(INDEX(games!$B$2:$B$950,MATCH(connections!$B1301,games!$A$2:$A$950,0)),""))</f>
        <v>2004</v>
      </c>
      <c r="V1301">
        <f t="shared" si="200"/>
        <v>11</v>
      </c>
    </row>
    <row r="1302" spans="20:22" x14ac:dyDescent="0.25">
      <c r="T1302">
        <f>IF(connections!$A1302="","",IFERROR(INDEX(games!$B$2:$B$950,MATCH(connections!$A1302,games!$A$2:$A$950,0)),""))</f>
        <v>2018</v>
      </c>
      <c r="U1302">
        <f>IF(connections!$A1302="","",IFERROR(INDEX(games!$B$2:$B$950,MATCH(connections!$B1302,games!$A$2:$A$950,0)),""))</f>
        <v>2023</v>
      </c>
      <c r="V1302">
        <f t="shared" si="200"/>
        <v>5</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2022</v>
      </c>
      <c r="U1304">
        <f>IF(connections!$A1304="","",IFERROR(INDEX(games!$B$2:$B$950,MATCH(connections!$B1304,games!$A$2:$A$950,0)),""))</f>
        <v>2023</v>
      </c>
      <c r="V1304">
        <f t="shared" si="200"/>
        <v>1</v>
      </c>
    </row>
    <row r="1305" spans="20:22" x14ac:dyDescent="0.25">
      <c r="T1305">
        <f>IF(connections!$A1305="","",IFERROR(INDEX(games!$B$2:$B$950,MATCH(connections!$A1305,games!$A$2:$A$950,0)),""))</f>
        <v>2017</v>
      </c>
      <c r="U1305">
        <f>IF(connections!$A1305="","",IFERROR(INDEX(games!$B$2:$B$950,MATCH(connections!$B1305,games!$A$2:$A$950,0)),""))</f>
        <v>2023</v>
      </c>
      <c r="V1305">
        <f t="shared" si="200"/>
        <v>6</v>
      </c>
    </row>
    <row r="1306" spans="20:22" x14ac:dyDescent="0.25">
      <c r="T1306">
        <f>IF(connections!$A1306="","",IFERROR(INDEX(games!$B$2:$B$950,MATCH(connections!$A1306,games!$A$2:$A$950,0)),""))</f>
        <v>2018</v>
      </c>
      <c r="U1306">
        <f>IF(connections!$A1306="","",IFERROR(INDEX(games!$B$2:$B$950,MATCH(connections!$B1306,games!$A$2:$A$950,0)),""))</f>
        <v>2024</v>
      </c>
      <c r="V1306">
        <f t="shared" si="200"/>
        <v>6</v>
      </c>
    </row>
    <row r="1307" spans="20:22" x14ac:dyDescent="0.25">
      <c r="T1307">
        <f>IF(connections!$A1307="","",IFERROR(INDEX(games!$B$2:$B$950,MATCH(connections!$A1307,games!$A$2:$A$950,0)),""))</f>
        <v>2021</v>
      </c>
      <c r="U1307">
        <f>IF(connections!$A1307="","",IFERROR(INDEX(games!$B$2:$B$950,MATCH(connections!$B1307,games!$A$2:$A$950,0)),""))</f>
        <v>2025</v>
      </c>
      <c r="V1307">
        <f t="shared" si="200"/>
        <v>4</v>
      </c>
    </row>
    <row r="1308" spans="20:22" x14ac:dyDescent="0.25">
      <c r="T1308">
        <f>IF(connections!$A1308="","",IFERROR(INDEX(games!$B$2:$B$950,MATCH(connections!$A1308,games!$A$2:$A$950,0)),""))</f>
        <v>2023</v>
      </c>
      <c r="U1308">
        <f>IF(connections!$A1308="","",IFERROR(INDEX(games!$B$2:$B$950,MATCH(connections!$B1308,games!$A$2:$A$950,0)),""))</f>
        <v>2025</v>
      </c>
      <c r="V1308">
        <f t="shared" si="200"/>
        <v>2</v>
      </c>
    </row>
    <row r="1309" spans="20:22" x14ac:dyDescent="0.25">
      <c r="T1309">
        <f>IF(connections!$A1309="","",IFERROR(INDEX(games!$B$2:$B$950,MATCH(connections!$A1309,games!$A$2:$A$950,0)),""))</f>
        <v>2021</v>
      </c>
      <c r="U1309">
        <f>IF(connections!$A1309="","",IFERROR(INDEX(games!$B$2:$B$950,MATCH(connections!$B1309,games!$A$2:$A$950,0)),""))</f>
        <v>2025</v>
      </c>
      <c r="V1309">
        <f t="shared" si="200"/>
        <v>4</v>
      </c>
    </row>
    <row r="1310" spans="20:22" x14ac:dyDescent="0.25">
      <c r="T1310">
        <f>IF(connections!$A1310="","",IFERROR(INDEX(games!$B$2:$B$950,MATCH(connections!$A1310,games!$A$2:$A$950,0)),""))</f>
        <v>2020</v>
      </c>
      <c r="U1310">
        <f>IF(connections!$A1310="","",IFERROR(INDEX(games!$B$2:$B$950,MATCH(connections!$B1310,games!$A$2:$A$950,0)),""))</f>
        <v>2025</v>
      </c>
      <c r="V1310">
        <f t="shared" si="200"/>
        <v>5</v>
      </c>
    </row>
    <row r="1311" spans="20:22" x14ac:dyDescent="0.25">
      <c r="T1311">
        <f>IF(connections!$A1311="","",IFERROR(INDEX(games!$B$2:$B$950,MATCH(connections!$A1311,games!$A$2:$A$950,0)),""))</f>
        <v>2017</v>
      </c>
      <c r="U1311">
        <f>IF(connections!$A1311="","",IFERROR(INDEX(games!$B$2:$B$950,MATCH(connections!$B1311,games!$A$2:$A$950,0)),""))</f>
        <v>2025</v>
      </c>
      <c r="V1311">
        <f t="shared" si="200"/>
        <v>8</v>
      </c>
    </row>
    <row r="1312" spans="20:22" x14ac:dyDescent="0.25">
      <c r="T1312">
        <f>IF(connections!$A1312="","",IFERROR(INDEX(games!$B$2:$B$950,MATCH(connections!$A1312,games!$A$2:$A$950,0)),""))</f>
        <v>2023</v>
      </c>
      <c r="U1312">
        <f>IF(connections!$A1312="","",IFERROR(INDEX(games!$B$2:$B$950,MATCH(connections!$B1312,games!$A$2:$A$950,0)),""))</f>
        <v>2024</v>
      </c>
      <c r="V1312">
        <f t="shared" si="200"/>
        <v>1</v>
      </c>
    </row>
    <row r="1313" spans="20:22" x14ac:dyDescent="0.25">
      <c r="T1313">
        <f>IF(connections!$A1313="","",IFERROR(INDEX(games!$B$2:$B$950,MATCH(connections!$A1313,games!$A$2:$A$950,0)),""))</f>
        <v>2024</v>
      </c>
      <c r="U1313">
        <f>IF(connections!$A1313="","",IFERROR(INDEX(games!$B$2:$B$950,MATCH(connections!$B1313,games!$A$2:$A$950,0)),""))</f>
        <v>2024</v>
      </c>
      <c r="V1313">
        <f t="shared" si="200"/>
        <v>0</v>
      </c>
    </row>
    <row r="1314" spans="20:22" x14ac:dyDescent="0.25">
      <c r="T1314">
        <f>IF(connections!$A1314="","",IFERROR(INDEX(games!$B$2:$B$950,MATCH(connections!$A1314,games!$A$2:$A$950,0)),""))</f>
        <v>2021</v>
      </c>
      <c r="U1314">
        <f>IF(connections!$A1314="","",IFERROR(INDEX(games!$B$2:$B$950,MATCH(connections!$B1314,games!$A$2:$A$950,0)),""))</f>
        <v>2024</v>
      </c>
      <c r="V1314">
        <f t="shared" si="200"/>
        <v>3</v>
      </c>
    </row>
    <row r="1315" spans="20:22" x14ac:dyDescent="0.25">
      <c r="T1315">
        <f>IF(connections!$A1315="","",IFERROR(INDEX(games!$B$2:$B$950,MATCH(connections!$A1315,games!$A$2:$A$950,0)),""))</f>
        <v>2021</v>
      </c>
      <c r="U1315">
        <f>IF(connections!$A1315="","",IFERROR(INDEX(games!$B$2:$B$950,MATCH(connections!$B1315,games!$A$2:$A$950,0)),""))</f>
        <v>2026</v>
      </c>
      <c r="V1315">
        <f t="shared" si="200"/>
        <v>5</v>
      </c>
    </row>
    <row r="1316" spans="20:22" x14ac:dyDescent="0.25">
      <c r="T1316">
        <f>IF(connections!$A1316="","",IFERROR(INDEX(games!$B$2:$B$950,MATCH(connections!$A1316,games!$A$2:$A$950,0)),""))</f>
        <v>2017</v>
      </c>
      <c r="U1316">
        <f>IF(connections!$A1316="","",IFERROR(INDEX(games!$B$2:$B$950,MATCH(connections!$B1316,games!$A$2:$A$950,0)),""))</f>
        <v>2026</v>
      </c>
      <c r="V1316">
        <f t="shared" si="200"/>
        <v>9</v>
      </c>
    </row>
    <row r="1317" spans="20:22" x14ac:dyDescent="0.25">
      <c r="T1317">
        <f>IF(connections!$A1317="","",IFERROR(INDEX(games!$B$2:$B$950,MATCH(connections!$A1317,games!$A$2:$A$950,0)),""))</f>
        <v>2016</v>
      </c>
      <c r="U1317">
        <f>IF(connections!$A1317="","",IFERROR(INDEX(games!$B$2:$B$950,MATCH(connections!$B1317,games!$A$2:$A$950,0)),""))</f>
        <v>2022</v>
      </c>
      <c r="V1317">
        <f t="shared" si="200"/>
        <v>6</v>
      </c>
    </row>
    <row r="1318" spans="20:22" x14ac:dyDescent="0.25">
      <c r="T1318">
        <f>IF(connections!$A1318="","",IFERROR(INDEX(games!$B$2:$B$950,MATCH(connections!$A1318,games!$A$2:$A$950,0)),""))</f>
        <v>2019</v>
      </c>
      <c r="U1318">
        <f>IF(connections!$A1318="","",IFERROR(INDEX(games!$B$2:$B$950,MATCH(connections!$B1318,games!$A$2:$A$950,0)),""))</f>
        <v>2022</v>
      </c>
      <c r="V1318">
        <f t="shared" si="200"/>
        <v>3</v>
      </c>
    </row>
    <row r="1319" spans="20:22" x14ac:dyDescent="0.25">
      <c r="T1319">
        <f>IF(connections!$A1319="","",IFERROR(INDEX(games!$B$2:$B$950,MATCH(connections!$A1319,games!$A$2:$A$950,0)),""))</f>
        <v>2011</v>
      </c>
      <c r="U1319">
        <f>IF(connections!$A1319="","",IFERROR(INDEX(games!$B$2:$B$950,MATCH(connections!$B1319,games!$A$2:$A$950,0)),""))</f>
        <v>2018</v>
      </c>
      <c r="V1319">
        <f t="shared" si="200"/>
        <v>7</v>
      </c>
    </row>
    <row r="1320" spans="20:22" x14ac:dyDescent="0.25">
      <c r="T1320">
        <f>IF(connections!$A1321="","",IFERROR(INDEX(games!$B$2:$B$950,MATCH(connections!$A1321,games!$A$2:$A$950,0)),""))</f>
        <v>2023</v>
      </c>
      <c r="U1320">
        <f>IF(connections!$A1321="","",IFERROR(INDEX(games!$B$2:$B$950,MATCH(connections!$B1321,games!$A$2:$A$950,0)),""))</f>
        <v>2025</v>
      </c>
      <c r="V1320">
        <f t="shared" si="200"/>
        <v>2</v>
      </c>
    </row>
    <row r="1321" spans="20:22" x14ac:dyDescent="0.25">
      <c r="T1321">
        <f>IF(connections!$A1322="","",IFERROR(INDEX(games!$B$2:$B$950,MATCH(connections!$A1322,games!$A$2:$A$950,0)),""))</f>
        <v>2023</v>
      </c>
      <c r="U1321">
        <f>IF(connections!$A1322="","",IFERROR(INDEX(games!$B$2:$B$950,MATCH(connections!$B1322,games!$A$2:$A$950,0)),""))</f>
        <v>2025</v>
      </c>
      <c r="V1321">
        <f t="shared" si="200"/>
        <v>2</v>
      </c>
    </row>
    <row r="1322" spans="20:22" x14ac:dyDescent="0.25">
      <c r="T1322">
        <f>IF(connections!$A1323="","",IFERROR(INDEX(games!$B$2:$B$950,MATCH(connections!$A1323,games!$A$2:$A$950,0)),""))</f>
        <v>2017</v>
      </c>
      <c r="U1322">
        <f>IF(connections!$A1323="","",IFERROR(INDEX(games!$B$2:$B$950,MATCH(connections!$B1323,games!$A$2:$A$950,0)),""))</f>
        <v>2025</v>
      </c>
      <c r="V1322">
        <f t="shared" si="200"/>
        <v>8</v>
      </c>
    </row>
    <row r="1323" spans="20:22" x14ac:dyDescent="0.25">
      <c r="T1323">
        <f>IF(connections!$A1324="","",IFERROR(INDEX(games!$B$2:$B$950,MATCH(connections!$A1324,games!$A$2:$A$950,0)),""))</f>
        <v>2021</v>
      </c>
      <c r="U1323">
        <f>IF(connections!$A1324="","",IFERROR(INDEX(games!$B$2:$B$950,MATCH(connections!$B1324,games!$A$2:$A$950,0)),""))</f>
        <v>2023</v>
      </c>
      <c r="V1323">
        <f t="shared" si="200"/>
        <v>2</v>
      </c>
    </row>
    <row r="1324" spans="20:22" x14ac:dyDescent="0.25">
      <c r="T1324">
        <f>IF(connections!$A1325="","",IFERROR(INDEX(games!$B$2:$B$950,MATCH(connections!$A1325,games!$A$2:$A$950,0)),""))</f>
        <v>2021</v>
      </c>
      <c r="U1324">
        <f>IF(connections!$A1325="","",IFERROR(INDEX(games!$B$2:$B$950,MATCH(connections!$B1325,games!$A$2:$A$950,0)),""))</f>
        <v>2023</v>
      </c>
      <c r="V1324">
        <f t="shared" si="200"/>
        <v>2</v>
      </c>
    </row>
    <row r="1325" spans="20:22" x14ac:dyDescent="0.25">
      <c r="T1325">
        <f>IF(connections!$A1326="","",IFERROR(INDEX(games!$B$2:$B$950,MATCH(connections!$A1326,games!$A$2:$A$950,0)),""))</f>
        <v>2019</v>
      </c>
      <c r="U1325">
        <f>IF(connections!$A1326="","",IFERROR(INDEX(games!$B$2:$B$950,MATCH(connections!$B1326,games!$A$2:$A$950,0)),""))</f>
        <v>2026</v>
      </c>
      <c r="V1325">
        <f t="shared" si="200"/>
        <v>7</v>
      </c>
    </row>
    <row r="1326" spans="20:22" x14ac:dyDescent="0.25">
      <c r="T1326">
        <f>IF(connections!$A1327="","",IFERROR(INDEX(games!$B$2:$B$950,MATCH(connections!$A1327,games!$A$2:$A$950,0)),""))</f>
        <v>2017</v>
      </c>
      <c r="U1326">
        <f>IF(connections!$A1327="","",IFERROR(INDEX(games!$B$2:$B$950,MATCH(connections!$B1327,games!$A$2:$A$950,0)),""))</f>
        <v>2026</v>
      </c>
      <c r="V1326">
        <f t="shared" si="200"/>
        <v>9</v>
      </c>
    </row>
    <row r="1327" spans="20:22" x14ac:dyDescent="0.25">
      <c r="T1327">
        <f>IF(connections!$A1328="","",IFERROR(INDEX(games!$B$2:$B$950,MATCH(connections!$A1328,games!$A$2:$A$950,0)),""))</f>
        <v>2024</v>
      </c>
      <c r="U1327">
        <f>IF(connections!$A1328="","",IFERROR(INDEX(games!$B$2:$B$950,MATCH(connections!$B1328,games!$A$2:$A$950,0)),""))</f>
        <v>2025</v>
      </c>
      <c r="V1327">
        <f t="shared" si="200"/>
        <v>1</v>
      </c>
    </row>
    <row r="1328" spans="20:22" x14ac:dyDescent="0.25">
      <c r="T1328">
        <f>IF(connections!$A1329="","",IFERROR(INDEX(games!$B$2:$B$950,MATCH(connections!$A1329,games!$A$2:$A$950,0)),""))</f>
        <v>2023</v>
      </c>
      <c r="U1328">
        <f>IF(connections!$A1329="","",IFERROR(INDEX(games!$B$2:$B$950,MATCH(connections!$B1329,games!$A$2:$A$950,0)),""))</f>
        <v>2025</v>
      </c>
      <c r="V1328">
        <f t="shared" si="200"/>
        <v>2</v>
      </c>
    </row>
    <row r="1329" spans="20:22" x14ac:dyDescent="0.25">
      <c r="T1329">
        <f>IF(connections!$A1330="","",IFERROR(INDEX(games!$B$2:$B$950,MATCH(connections!$A1330,games!$A$2:$A$950,0)),""))</f>
        <v>2021</v>
      </c>
      <c r="U1329">
        <f>IF(connections!$A1330="","",IFERROR(INDEX(games!$B$2:$B$950,MATCH(connections!$B1330,games!$A$2:$A$950,0)),""))</f>
        <v>2025</v>
      </c>
      <c r="V1329">
        <f t="shared" si="200"/>
        <v>4</v>
      </c>
    </row>
    <row r="1330" spans="20:22" x14ac:dyDescent="0.25">
      <c r="T1330">
        <f>IF(connections!$A1331="","",IFERROR(INDEX(games!$B$2:$B$950,MATCH(connections!$A1331,games!$A$2:$A$950,0)),""))</f>
        <v>2019</v>
      </c>
      <c r="U1330">
        <f>IF(connections!$A1331="","",IFERROR(INDEX(games!$B$2:$B$950,MATCH(connections!$B1331,games!$A$2:$A$950,0)),""))</f>
        <v>2025</v>
      </c>
      <c r="V1330">
        <f t="shared" si="200"/>
        <v>6</v>
      </c>
    </row>
    <row r="1331" spans="20:22" x14ac:dyDescent="0.25">
      <c r="T1331">
        <f>IF(connections!$A1332="","",IFERROR(INDEX(games!$B$2:$B$950,MATCH(connections!$A1332,games!$A$2:$A$950,0)),""))</f>
        <v>1996</v>
      </c>
      <c r="U1331">
        <f>IF(connections!$A1332="","",IFERROR(INDEX(games!$B$2:$B$950,MATCH(connections!$B1332,games!$A$2:$A$950,0)),""))</f>
        <v>2022</v>
      </c>
      <c r="V1331">
        <f t="shared" si="200"/>
        <v>26</v>
      </c>
    </row>
    <row r="1332" spans="20:22" x14ac:dyDescent="0.25">
      <c r="T1332">
        <f>IF(connections!$A1333="","",IFERROR(INDEX(games!$B$2:$B$950,MATCH(connections!$A1333,games!$A$2:$A$950,0)),""))</f>
        <v>2016</v>
      </c>
      <c r="U1332">
        <f>IF(connections!$A1333="","",IFERROR(INDEX(games!$B$2:$B$950,MATCH(connections!$B1333,games!$A$2:$A$950,0)),""))</f>
        <v>2022</v>
      </c>
      <c r="V1332">
        <f t="shared" si="200"/>
        <v>6</v>
      </c>
    </row>
    <row r="1333" spans="20:22" x14ac:dyDescent="0.25">
      <c r="T1333">
        <f>IF(connections!$A1334="","",IFERROR(INDEX(games!$B$2:$B$950,MATCH(connections!$A1334,games!$A$2:$A$950,0)),""))</f>
        <v>2019</v>
      </c>
      <c r="U1333">
        <f>IF(connections!$A1334="","",IFERROR(INDEX(games!$B$2:$B$950,MATCH(connections!$B1334,games!$A$2:$A$950,0)),""))</f>
        <v>2022</v>
      </c>
      <c r="V1333">
        <f t="shared" si="200"/>
        <v>3</v>
      </c>
    </row>
    <row r="1334" spans="20:22" x14ac:dyDescent="0.25">
      <c r="T1334">
        <f>IF(connections!$A1335="","",IFERROR(INDEX(games!$B$2:$B$950,MATCH(connections!$A1335,games!$A$2:$A$950,0)),""))</f>
        <v>2015</v>
      </c>
      <c r="U1334">
        <f>IF(connections!$A1335="","",IFERROR(INDEX(games!$B$2:$B$950,MATCH(connections!$B1335,games!$A$2:$A$950,0)),""))</f>
        <v>2022</v>
      </c>
      <c r="V1334">
        <f t="shared" si="200"/>
        <v>7</v>
      </c>
    </row>
    <row r="1335" spans="20:22" x14ac:dyDescent="0.25">
      <c r="T1335">
        <f>IF(connections!$A1336="","",IFERROR(INDEX(games!$B$2:$B$950,MATCH(connections!$A1336,games!$A$2:$A$950,0)),""))</f>
        <v>2021</v>
      </c>
      <c r="U1335">
        <f>IF(connections!$A1336="","",IFERROR(INDEX(games!$B$2:$B$950,MATCH(connections!$B1336,games!$A$2:$A$950,0)),""))</f>
        <v>2022</v>
      </c>
      <c r="V1335">
        <f t="shared" si="200"/>
        <v>1</v>
      </c>
    </row>
    <row r="1336" spans="20:22" x14ac:dyDescent="0.25">
      <c r="T1336">
        <f>IF(connections!$A1337="","",IFERROR(INDEX(games!$B$2:$B$950,MATCH(connections!$A1337,games!$A$2:$A$950,0)),""))</f>
        <v>2011</v>
      </c>
      <c r="U1336">
        <f>IF(connections!$A1337="","",IFERROR(INDEX(games!$B$2:$B$950,MATCH(connections!$B1337,games!$A$2:$A$950,0)),""))</f>
        <v>2022</v>
      </c>
      <c r="V1336">
        <f t="shared" si="200"/>
        <v>11</v>
      </c>
    </row>
    <row r="1337" spans="20:22" x14ac:dyDescent="0.25">
      <c r="T1337">
        <f>IF(connections!$A1338="","",IFERROR(INDEX(games!$B$2:$B$950,MATCH(connections!$A1338,games!$A$2:$A$950,0)),""))</f>
        <v>2021</v>
      </c>
      <c r="U1337">
        <f>IF(connections!$A1338="","",IFERROR(INDEX(games!$B$2:$B$950,MATCH(connections!$B1338,games!$A$2:$A$950,0)),""))</f>
        <v>2022</v>
      </c>
      <c r="V1337">
        <f t="shared" si="200"/>
        <v>1</v>
      </c>
    </row>
    <row r="1338" spans="20:22" x14ac:dyDescent="0.25">
      <c r="T1338">
        <f>IF(connections!$A1339="","",IFERROR(INDEX(games!$B$2:$B$950,MATCH(connections!$A1339,games!$A$2:$A$950,0)),""))</f>
        <v>2015</v>
      </c>
      <c r="U1338">
        <f>IF(connections!$A1339="","",IFERROR(INDEX(games!$B$2:$B$950,MATCH(connections!$B1339,games!$A$2:$A$950,0)),""))</f>
        <v>2022</v>
      </c>
      <c r="V1338">
        <f t="shared" si="200"/>
        <v>7</v>
      </c>
    </row>
    <row r="1339" spans="20:22" x14ac:dyDescent="0.25">
      <c r="T1339">
        <f>IF(connections!$A1340="","",IFERROR(INDEX(games!$B$2:$B$950,MATCH(connections!$A1340,games!$A$2:$A$950,0)),""))</f>
        <v>1980</v>
      </c>
      <c r="U1339">
        <f>IF(connections!$A1340="","",IFERROR(INDEX(games!$B$2:$B$950,MATCH(connections!$B1340,games!$A$2:$A$950,0)),""))</f>
        <v>1991</v>
      </c>
      <c r="V1339">
        <f t="shared" si="200"/>
        <v>11</v>
      </c>
    </row>
    <row r="1340" spans="20:22" x14ac:dyDescent="0.25">
      <c r="T1340">
        <f>IF(connections!$A1341="","",IFERROR(INDEX(games!$B$2:$B$950,MATCH(connections!$A1341,games!$A$2:$A$950,0)),""))</f>
        <v>1991</v>
      </c>
      <c r="U1340">
        <f>IF(connections!$A1341="","",IFERROR(INDEX(games!$B$2:$B$950,MATCH(connections!$B1341,games!$A$2:$A$950,0)),""))</f>
        <v>2019</v>
      </c>
      <c r="V1340">
        <f t="shared" si="200"/>
        <v>28</v>
      </c>
    </row>
    <row r="1341" spans="20:22" x14ac:dyDescent="0.25">
      <c r="T1341">
        <f>IF(connections!$A1342="","",IFERROR(INDEX(games!$B$2:$B$950,MATCH(connections!$A1342,games!$A$2:$A$950,0)),""))</f>
        <v>2016</v>
      </c>
      <c r="U1341">
        <f>IF(connections!$A1342="","",IFERROR(INDEX(games!$B$2:$B$950,MATCH(connections!$B1342,games!$A$2:$A$950,0)),""))</f>
        <v>2022</v>
      </c>
      <c r="V1341">
        <f t="shared" si="200"/>
        <v>6</v>
      </c>
    </row>
    <row r="1342" spans="20:22" x14ac:dyDescent="0.25">
      <c r="T1342">
        <f>IF(connections!$A1345="","",IFERROR(INDEX(games!$B$2:$B$950,MATCH(connections!$A1345,games!$A$2:$A$950,0)),""))</f>
        <v>1999</v>
      </c>
      <c r="U1342">
        <f>IF(connections!$A1345="","",IFERROR(INDEX(games!$B$2:$B$950,MATCH(connections!$B1345,games!$A$2:$A$950,0)),""))</f>
        <v>2002</v>
      </c>
      <c r="V1342">
        <f t="shared" si="200"/>
        <v>3</v>
      </c>
    </row>
    <row r="1343" spans="20:22" x14ac:dyDescent="0.25">
      <c r="T1343">
        <f>IF(connections!$A1346="","",IFERROR(INDEX(games!$B$2:$B$950,MATCH(connections!$A1346,games!$A$2:$A$950,0)),""))</f>
        <v>1980</v>
      </c>
      <c r="U1343">
        <f>IF(connections!$A1346="","",IFERROR(INDEX(games!$B$2:$B$950,MATCH(connections!$B1346,games!$A$2:$A$950,0)),""))</f>
        <v>1993</v>
      </c>
      <c r="V1343">
        <f t="shared" si="200"/>
        <v>13</v>
      </c>
    </row>
    <row r="1344" spans="20:22" x14ac:dyDescent="0.25">
      <c r="T1344">
        <f>IF(connections!$A1347="","",IFERROR(INDEX(games!$B$2:$B$950,MATCH(connections!$A1347,games!$A$2:$A$950,0)),""))</f>
        <v>2006</v>
      </c>
      <c r="U1344">
        <f>IF(connections!$A1347="","",IFERROR(INDEX(games!$B$2:$B$950,MATCH(connections!$B1347,games!$A$2:$A$950,0)),""))</f>
        <v>2025</v>
      </c>
      <c r="V1344">
        <f t="shared" si="200"/>
        <v>19</v>
      </c>
    </row>
    <row r="1345" spans="20:22" x14ac:dyDescent="0.25">
      <c r="T1345">
        <f>IF(connections!$A1348="","",IFERROR(INDEX(games!$B$2:$B$950,MATCH(connections!$A1348,games!$A$2:$A$950,0)),""))</f>
        <v>2014</v>
      </c>
      <c r="U1345">
        <f>IF(connections!$A1348="","",IFERROR(INDEX(games!$B$2:$B$950,MATCH(connections!$B1348,games!$A$2:$A$950,0)),""))</f>
        <v>2024</v>
      </c>
      <c r="V1345">
        <f t="shared" si="200"/>
        <v>10</v>
      </c>
    </row>
    <row r="1346" spans="20:22" x14ac:dyDescent="0.25">
      <c r="T1346">
        <f>IF(connections!$A1349="","",IFERROR(INDEX(games!$B$2:$B$950,MATCH(connections!$A1349,games!$A$2:$A$950,0)),""))</f>
        <v>2012</v>
      </c>
      <c r="U1346">
        <f>IF(connections!$A1349="","",IFERROR(INDEX(games!$B$2:$B$950,MATCH(connections!$B1349,games!$A$2:$A$950,0)),""))</f>
        <v>2021</v>
      </c>
      <c r="V1346">
        <f t="shared" ref="V1346:V1400" si="201">IF(OR($T1346="",$U1346=""),"",$U1346-$T1346)</f>
        <v>9</v>
      </c>
    </row>
    <row r="1347" spans="20:22" x14ac:dyDescent="0.25">
      <c r="T1347">
        <f>IF(connections!$A1350="","",IFERROR(INDEX(games!$B$2:$B$950,MATCH(connections!$A1350,games!$A$2:$A$950,0)),""))</f>
        <v>2017</v>
      </c>
      <c r="U1347">
        <f>IF(connections!$A1350="","",IFERROR(INDEX(games!$B$2:$B$950,MATCH(connections!$B1350,games!$A$2:$A$950,0)),""))</f>
        <v>2022</v>
      </c>
      <c r="V1347">
        <f t="shared" si="201"/>
        <v>5</v>
      </c>
    </row>
    <row r="1348" spans="20:22" x14ac:dyDescent="0.25">
      <c r="T1348">
        <f>IF(connections!$A1351="","",IFERROR(INDEX(games!$B$2:$B$950,MATCH(connections!$A1351,games!$A$2:$A$950,0)),""))</f>
        <v>2022</v>
      </c>
      <c r="U1348">
        <f>IF(connections!$A1351="","",IFERROR(INDEX(games!$B$2:$B$950,MATCH(connections!$B1351,games!$A$2:$A$950,0)),""))</f>
        <v>2025</v>
      </c>
      <c r="V1348">
        <f t="shared" si="201"/>
        <v>3</v>
      </c>
    </row>
    <row r="1349" spans="20:22" x14ac:dyDescent="0.25">
      <c r="T1349">
        <f>IF(connections!$A1352="","",IFERROR(INDEX(games!$B$2:$B$950,MATCH(connections!$A1352,games!$A$2:$A$950,0)),""))</f>
        <v>2020</v>
      </c>
      <c r="U1349">
        <f>IF(connections!$A1352="","",IFERROR(INDEX(games!$B$2:$B$950,MATCH(connections!$B1352,games!$A$2:$A$950,0)),""))</f>
        <v>2023</v>
      </c>
      <c r="V1349">
        <f t="shared" si="201"/>
        <v>3</v>
      </c>
    </row>
    <row r="1350" spans="20:22" x14ac:dyDescent="0.25">
      <c r="T1350">
        <f>IF(connections!$A1353="","",IFERROR(INDEX(games!$B$2:$B$950,MATCH(connections!$A1353,games!$A$2:$A$950,0)),""))</f>
        <v>2017</v>
      </c>
      <c r="U1350">
        <f>IF(connections!$A1353="","",IFERROR(INDEX(games!$B$2:$B$950,MATCH(connections!$B1353,games!$A$2:$A$950,0)),""))</f>
        <v>2023</v>
      </c>
      <c r="V1350">
        <f t="shared" si="201"/>
        <v>6</v>
      </c>
    </row>
    <row r="1351" spans="20:22" x14ac:dyDescent="0.25">
      <c r="T1351">
        <f>IF(connections!$A1354="","",IFERROR(INDEX(games!$B$2:$B$950,MATCH(connections!$A1354,games!$A$2:$A$950,0)),""))</f>
        <v>2018</v>
      </c>
      <c r="U1351">
        <f>IF(connections!$A1354="","",IFERROR(INDEX(games!$B$2:$B$950,MATCH(connections!$B1354,games!$A$2:$A$950,0)),""))</f>
        <v>2024</v>
      </c>
      <c r="V1351">
        <f t="shared" si="201"/>
        <v>6</v>
      </c>
    </row>
    <row r="1352" spans="20:22" x14ac:dyDescent="0.25">
      <c r="T1352">
        <f>IF(connections!$A1355="","",IFERROR(INDEX(games!$B$2:$B$950,MATCH(connections!$A1355,games!$A$2:$A$950,0)),""))</f>
        <v>2021</v>
      </c>
      <c r="U1352">
        <f>IF(connections!$A1355="","",IFERROR(INDEX(games!$B$2:$B$950,MATCH(connections!$B1355,games!$A$2:$A$950,0)),""))</f>
        <v>2024</v>
      </c>
      <c r="V1352">
        <f t="shared" si="201"/>
        <v>3</v>
      </c>
    </row>
    <row r="1353" spans="20:22" x14ac:dyDescent="0.25">
      <c r="T1353">
        <f>IF(connections!$A1356="","",IFERROR(INDEX(games!$B$2:$B$950,MATCH(connections!$A1356,games!$A$2:$A$950,0)),""))</f>
        <v>2015</v>
      </c>
      <c r="U1353">
        <f>IF(connections!$A1356="","",IFERROR(INDEX(games!$B$2:$B$950,MATCH(connections!$B1356,games!$A$2:$A$950,0)),""))</f>
        <v>2017</v>
      </c>
      <c r="V1353">
        <f t="shared" si="201"/>
        <v>2</v>
      </c>
    </row>
    <row r="1354" spans="20:22" x14ac:dyDescent="0.25">
      <c r="T1354">
        <f>IF(connections!$A1357="","",IFERROR(INDEX(games!$B$2:$B$950,MATCH(connections!$A1357,games!$A$2:$A$950,0)),""))</f>
        <v>2011</v>
      </c>
      <c r="U1354">
        <f>IF(connections!$A1357="","",IFERROR(INDEX(games!$B$2:$B$950,MATCH(connections!$B1357,games!$A$2:$A$950,0)),""))</f>
        <v>2014</v>
      </c>
      <c r="V1354">
        <f t="shared" si="201"/>
        <v>3</v>
      </c>
    </row>
    <row r="1355" spans="20:22" x14ac:dyDescent="0.25">
      <c r="T1355">
        <f>IF(connections!$A1358="","",IFERROR(INDEX(games!$B$2:$B$950,MATCH(connections!$A1358,games!$A$2:$A$950,0)),""))</f>
        <v>2012</v>
      </c>
      <c r="U1355">
        <f>IF(connections!$A1358="","",IFERROR(INDEX(games!$B$2:$B$950,MATCH(connections!$B1358,games!$A$2:$A$950,0)),""))</f>
        <v>2021</v>
      </c>
      <c r="V1355">
        <f t="shared" si="201"/>
        <v>9</v>
      </c>
    </row>
    <row r="1356" spans="20:22" x14ac:dyDescent="0.25">
      <c r="T1356">
        <f>IF(connections!$A1359="","",IFERROR(INDEX(games!$B$2:$B$950,MATCH(connections!$A1359,games!$A$2:$A$950,0)),""))</f>
        <v>2017</v>
      </c>
      <c r="U1356">
        <f>IF(connections!$A1359="","",IFERROR(INDEX(games!$B$2:$B$950,MATCH(connections!$B1359,games!$A$2:$A$950,0)),""))</f>
        <v>2021</v>
      </c>
      <c r="V1356">
        <f t="shared" si="201"/>
        <v>4</v>
      </c>
    </row>
    <row r="1357" spans="20:22" x14ac:dyDescent="0.25">
      <c r="T1357">
        <f>IF(connections!$A1360="","",IFERROR(INDEX(games!$B$2:$B$950,MATCH(connections!$A1360,games!$A$2:$A$950,0)),""))</f>
        <v>2023</v>
      </c>
      <c r="U1357">
        <f>IF(connections!$A1360="","",IFERROR(INDEX(games!$B$2:$B$950,MATCH(connections!$B1360,games!$A$2:$A$950,0)),""))</f>
        <v>2025</v>
      </c>
      <c r="V1357">
        <f t="shared" si="201"/>
        <v>2</v>
      </c>
    </row>
    <row r="1358" spans="20:22" x14ac:dyDescent="0.25">
      <c r="T1358">
        <f>IF(connections!$A1361="","",IFERROR(INDEX(games!$B$2:$B$950,MATCH(connections!$A1361,games!$A$2:$A$950,0)),""))</f>
        <v>2018</v>
      </c>
      <c r="U1358">
        <f>IF(connections!$A1361="","",IFERROR(INDEX(games!$B$2:$B$950,MATCH(connections!$B1361,games!$A$2:$A$950,0)),""))</f>
        <v>2024</v>
      </c>
      <c r="V1358">
        <f t="shared" si="201"/>
        <v>6</v>
      </c>
    </row>
    <row r="1359" spans="20:22" x14ac:dyDescent="0.25">
      <c r="T1359">
        <f>IF(connections!$A1363="","",IFERROR(INDEX(games!$B$2:$B$950,MATCH(connections!$A1363,games!$A$2:$A$950,0)),""))</f>
        <v>2015</v>
      </c>
      <c r="U1359">
        <f>IF(connections!$A1363="","",IFERROR(INDEX(games!$B$2:$B$950,MATCH(connections!$B1363,games!$A$2:$A$950,0)),""))</f>
        <v>2017</v>
      </c>
      <c r="V1359">
        <f t="shared" si="201"/>
        <v>2</v>
      </c>
    </row>
    <row r="1360" spans="20:22" x14ac:dyDescent="0.25">
      <c r="T1360">
        <f>IF(connections!$A1364="","",IFERROR(INDEX(games!$B$2:$B$950,MATCH(connections!$A1364,games!$A$2:$A$950,0)),""))</f>
        <v>2008</v>
      </c>
      <c r="U1360">
        <f>IF(connections!$A1364="","",IFERROR(INDEX(games!$B$2:$B$950,MATCH(connections!$B1364,games!$A$2:$A$950,0)),""))</f>
        <v>2017</v>
      </c>
      <c r="V1360">
        <f t="shared" si="201"/>
        <v>9</v>
      </c>
    </row>
    <row r="1361" spans="20:22" x14ac:dyDescent="0.25">
      <c r="T1361">
        <f>IF(connections!$A1365="","",IFERROR(INDEX(games!$B$2:$B$950,MATCH(connections!$A1365,games!$A$2:$A$950,0)),""))</f>
        <v>2011</v>
      </c>
      <c r="U1361">
        <f>IF(connections!$A1365="","",IFERROR(INDEX(games!$B$2:$B$950,MATCH(connections!$B1365,games!$A$2:$A$950,0)),""))</f>
        <v>2017</v>
      </c>
      <c r="V1361">
        <f t="shared" si="201"/>
        <v>6</v>
      </c>
    </row>
    <row r="1362" spans="20:22" x14ac:dyDescent="0.25">
      <c r="T1362">
        <f>IF(connections!$A1366="","",IFERROR(INDEX(games!$B$2:$B$950,MATCH(connections!$A1366,games!$A$2:$A$950,0)),""))</f>
        <v>2023</v>
      </c>
      <c r="U1362">
        <f>IF(connections!$A1366="","",IFERROR(INDEX(games!$B$2:$B$950,MATCH(connections!$B1366,games!$A$2:$A$950,0)),""))</f>
        <v>2026</v>
      </c>
      <c r="V1362">
        <f t="shared" si="201"/>
        <v>3</v>
      </c>
    </row>
    <row r="1363" spans="20:22" x14ac:dyDescent="0.25">
      <c r="T1363">
        <f>IF(connections!$A1367="","",IFERROR(INDEX(games!$B$2:$B$950,MATCH(connections!$A1367,games!$A$2:$A$950,0)),""))</f>
        <v>2025</v>
      </c>
      <c r="U1363">
        <f>IF(connections!$A1367="","",IFERROR(INDEX(games!$B$2:$B$950,MATCH(connections!$B1367,games!$A$2:$A$950,0)),""))</f>
        <v>2026</v>
      </c>
      <c r="V1363">
        <f t="shared" si="201"/>
        <v>1</v>
      </c>
    </row>
    <row r="1364" spans="20:22" x14ac:dyDescent="0.25">
      <c r="T1364">
        <f>IF(connections!$A1368="","",IFERROR(INDEX(games!$B$2:$B$950,MATCH(connections!$A1368,games!$A$2:$A$950,0)),""))</f>
        <v>2018</v>
      </c>
      <c r="U1364">
        <f>IF(connections!$A1368="","",IFERROR(INDEX(games!$B$2:$B$950,MATCH(connections!$B1368,games!$A$2:$A$950,0)),""))</f>
        <v>2025</v>
      </c>
      <c r="V1364">
        <f t="shared" si="201"/>
        <v>7</v>
      </c>
    </row>
    <row r="1365" spans="20:22" x14ac:dyDescent="0.25">
      <c r="T1365">
        <f>IF(connections!$A1377="","",IFERROR(INDEX(games!$B$2:$B$950,MATCH(connections!$A1377,games!$A$2:$A$950,0)),""))</f>
        <v>2017</v>
      </c>
      <c r="U1365">
        <f>IF(connections!$A1377="","",IFERROR(INDEX(games!$B$2:$B$950,MATCH(connections!$B1377,games!$A$2:$A$950,0)),""))</f>
        <v>2019</v>
      </c>
      <c r="V1365">
        <f t="shared" si="201"/>
        <v>2</v>
      </c>
    </row>
    <row r="1366" spans="20:22" x14ac:dyDescent="0.25">
      <c r="T1366">
        <f>IF(connections!$A1378="","",IFERROR(INDEX(games!$B$2:$B$950,MATCH(connections!$A1378,games!$A$2:$A$950,0)),""))</f>
        <v>2011</v>
      </c>
      <c r="U1366">
        <f>IF(connections!$A1378="","",IFERROR(INDEX(games!$B$2:$B$950,MATCH(connections!$B1378,games!$A$2:$A$950,0)),""))</f>
        <v>2019</v>
      </c>
      <c r="V1366">
        <f t="shared" si="201"/>
        <v>8</v>
      </c>
    </row>
    <row r="1367" spans="20:22" x14ac:dyDescent="0.25">
      <c r="T1367">
        <f>IF(connections!$A1379="","",IFERROR(INDEX(games!$B$2:$B$950,MATCH(connections!$A1379,games!$A$2:$A$950,0)),""))</f>
        <v>2019</v>
      </c>
      <c r="U1367">
        <f>IF(connections!$A1379="","",IFERROR(INDEX(games!$B$2:$B$950,MATCH(connections!$B1379,games!$A$2:$A$950,0)),""))</f>
        <v>2025</v>
      </c>
      <c r="V1367">
        <f t="shared" si="201"/>
        <v>6</v>
      </c>
    </row>
    <row r="1368" spans="20:22" x14ac:dyDescent="0.25">
      <c r="T1368">
        <f>IF(connections!$A1380="","",IFERROR(INDEX(games!$B$2:$B$950,MATCH(connections!$A1380,games!$A$2:$A$950,0)),""))</f>
        <v>2019</v>
      </c>
      <c r="U1368">
        <f>IF(connections!$A1380="","",IFERROR(INDEX(games!$B$2:$B$950,MATCH(connections!$B1380,games!$A$2:$A$950,0)),""))</f>
        <v>2025</v>
      </c>
      <c r="V1368">
        <f t="shared" si="201"/>
        <v>6</v>
      </c>
    </row>
    <row r="1369" spans="20:22" x14ac:dyDescent="0.25">
      <c r="T1369">
        <f>IF(connections!$A1381="","",IFERROR(INDEX(games!$B$2:$B$950,MATCH(connections!$A1381,games!$A$2:$A$950,0)),""))</f>
        <v>2009</v>
      </c>
      <c r="U1369">
        <f>IF(connections!$A1381="","",IFERROR(INDEX(games!$B$2:$B$950,MATCH(connections!$B1381,games!$A$2:$A$950,0)),""))</f>
        <v>2017</v>
      </c>
      <c r="V1369">
        <f t="shared" si="201"/>
        <v>8</v>
      </c>
    </row>
    <row r="1370" spans="20:22" x14ac:dyDescent="0.25">
      <c r="T1370">
        <f>IF(connections!$A1382="","",IFERROR(INDEX(games!$B$2:$B$950,MATCH(connections!$A1382,games!$A$2:$A$950,0)),""))</f>
        <v>1987</v>
      </c>
      <c r="U1370">
        <f>IF(connections!$A1382="","",IFERROR(INDEX(games!$B$2:$B$950,MATCH(connections!$B1382,games!$A$2:$A$950,0)),""))</f>
        <v>2017</v>
      </c>
      <c r="V1370">
        <f t="shared" si="201"/>
        <v>30</v>
      </c>
    </row>
    <row r="1371" spans="20:22" x14ac:dyDescent="0.25">
      <c r="T1371">
        <f>IF(connections!$A1383="","",IFERROR(INDEX(games!$B$2:$B$950,MATCH(connections!$A1383,games!$A$2:$A$950,0)),""))</f>
        <v>1980</v>
      </c>
      <c r="U1371">
        <f>IF(connections!$A1383="","",IFERROR(INDEX(games!$B$2:$B$950,MATCH(connections!$B1383,games!$A$2:$A$950,0)),""))</f>
        <v>2017</v>
      </c>
      <c r="V1371">
        <f t="shared" si="201"/>
        <v>37</v>
      </c>
    </row>
    <row r="1372" spans="20:22" x14ac:dyDescent="0.25">
      <c r="T1372">
        <f>IF(connections!$A1384="","",IFERROR(INDEX(games!$B$2:$B$950,MATCH(connections!$A1384,games!$A$2:$A$950,0)),""))</f>
        <v>2017</v>
      </c>
      <c r="U1372">
        <f>IF(connections!$A1384="","",IFERROR(INDEX(games!$B$2:$B$950,MATCH(connections!$B1384,games!$A$2:$A$950,0)),""))</f>
        <v>2022</v>
      </c>
      <c r="V1372">
        <f t="shared" si="201"/>
        <v>5</v>
      </c>
    </row>
    <row r="1373" spans="20:22" x14ac:dyDescent="0.25">
      <c r="T1373">
        <f>IF(connections!$A1385="","",IFERROR(INDEX(games!$B$2:$B$950,MATCH(connections!$A1385,games!$A$2:$A$950,0)),""))</f>
        <v>1987</v>
      </c>
      <c r="U1373">
        <f>IF(connections!$A1385="","",IFERROR(INDEX(games!$B$2:$B$950,MATCH(connections!$B1385,games!$A$2:$A$950,0)),""))</f>
        <v>1992</v>
      </c>
      <c r="V1373">
        <f t="shared" si="201"/>
        <v>5</v>
      </c>
    </row>
    <row r="1374" spans="20:22" x14ac:dyDescent="0.25">
      <c r="T1374">
        <f>IF(connections!$A1386="","",IFERROR(INDEX(games!$B$2:$B$950,MATCH(connections!$A1386,games!$A$2:$A$950,0)),""))</f>
        <v>1987</v>
      </c>
      <c r="U1374">
        <f>IF(connections!$A1386="","",IFERROR(INDEX(games!$B$2:$B$950,MATCH(connections!$B1386,games!$A$2:$A$950,0)),""))</f>
        <v>1992</v>
      </c>
      <c r="V1374">
        <f t="shared" si="201"/>
        <v>5</v>
      </c>
    </row>
    <row r="1375" spans="20:22" x14ac:dyDescent="0.25">
      <c r="T1375">
        <f>IF(connections!$A1387="","",IFERROR(INDEX(games!$B$2:$B$950,MATCH(connections!$A1387,games!$A$2:$A$950,0)),""))</f>
        <v>1996</v>
      </c>
      <c r="U1375">
        <f>IF(connections!$A1387="","",IFERROR(INDEX(games!$B$2:$B$950,MATCH(connections!$B1387,games!$A$2:$A$950,0)),""))</f>
        <v>2018</v>
      </c>
      <c r="V1375">
        <f t="shared" si="201"/>
        <v>22</v>
      </c>
    </row>
    <row r="1376" spans="20:22" x14ac:dyDescent="0.25">
      <c r="T1376">
        <f>IF(connections!$A1388="","",IFERROR(INDEX(games!$B$2:$B$950,MATCH(connections!$A1388,games!$A$2:$A$950,0)),""))</f>
        <v>2006</v>
      </c>
      <c r="U1376">
        <f>IF(connections!$A1388="","",IFERROR(INDEX(games!$B$2:$B$950,MATCH(connections!$B1388,games!$A$2:$A$950,0)),""))</f>
        <v>2018</v>
      </c>
      <c r="V1376">
        <f t="shared" si="201"/>
        <v>12</v>
      </c>
    </row>
    <row r="1377" spans="20:22" x14ac:dyDescent="0.25">
      <c r="T1377">
        <f>IF(connections!$A1389="","",IFERROR(INDEX(games!$B$2:$B$950,MATCH(connections!$A1389,games!$A$2:$A$950,0)),""))</f>
        <v>2008</v>
      </c>
      <c r="U1377">
        <f>IF(connections!$A1389="","",IFERROR(INDEX(games!$B$2:$B$950,MATCH(connections!$B1389,games!$A$2:$A$950,0)),""))</f>
        <v>2018</v>
      </c>
      <c r="V1377">
        <f t="shared" si="201"/>
        <v>10</v>
      </c>
    </row>
    <row r="1378" spans="20:22" x14ac:dyDescent="0.25">
      <c r="T1378">
        <f>IF(connections!$A1390="","",IFERROR(INDEX(games!$B$2:$B$950,MATCH(connections!$A1390,games!$A$2:$A$950,0)),""))</f>
        <v>2021</v>
      </c>
      <c r="U1378">
        <f>IF(connections!$A1390="","",IFERROR(INDEX(games!$B$2:$B$950,MATCH(connections!$B1390,games!$A$2:$A$950,0)),""))</f>
        <v>2026</v>
      </c>
      <c r="V1378">
        <f t="shared" si="201"/>
        <v>5</v>
      </c>
    </row>
    <row r="1379" spans="20:22" x14ac:dyDescent="0.25">
      <c r="T1379">
        <f>IF(connections!$A1391="","",IFERROR(INDEX(games!$B$2:$B$950,MATCH(connections!$A1391,games!$A$2:$A$950,0)),""))</f>
        <v>2022</v>
      </c>
      <c r="U1379">
        <f>IF(connections!$A1391="","",IFERROR(INDEX(games!$B$2:$B$950,MATCH(connections!$B1391,games!$A$2:$A$950,0)),""))</f>
        <v>2023</v>
      </c>
      <c r="V1379">
        <f t="shared" si="201"/>
        <v>1</v>
      </c>
    </row>
    <row r="1380" spans="20:22" x14ac:dyDescent="0.25">
      <c r="T1380">
        <f>IF(connections!$A1392="","",IFERROR(INDEX(games!$B$2:$B$950,MATCH(connections!$A1392,games!$A$2:$A$950,0)),""))</f>
        <v>2022</v>
      </c>
      <c r="U1380">
        <f>IF(connections!$A1392="","",IFERROR(INDEX(games!$B$2:$B$950,MATCH(connections!$B1392,games!$A$2:$A$950,0)),""))</f>
        <v>2023</v>
      </c>
      <c r="V1380">
        <f t="shared" si="201"/>
        <v>1</v>
      </c>
    </row>
    <row r="1381" spans="20:22" x14ac:dyDescent="0.25">
      <c r="T1381">
        <f>IF(connections!$A1393="","",IFERROR(INDEX(games!$B$2:$B$950,MATCH(connections!$A1393,games!$A$2:$A$950,0)),""))</f>
        <v>2021</v>
      </c>
      <c r="U1381">
        <f>IF(connections!$A1393="","",IFERROR(INDEX(games!$B$2:$B$950,MATCH(connections!$B1393,games!$A$2:$A$950,0)),""))</f>
        <v>2023</v>
      </c>
      <c r="V1381">
        <f t="shared" si="201"/>
        <v>2</v>
      </c>
    </row>
    <row r="1382" spans="20:22" x14ac:dyDescent="0.25">
      <c r="T1382">
        <f>IF(connections!$A1394="","",IFERROR(INDEX(games!$B$2:$B$950,MATCH(connections!$A1394,games!$A$2:$A$950,0)),""))</f>
        <v>2019</v>
      </c>
      <c r="U1382">
        <f>IF(connections!$A1394="","",IFERROR(INDEX(games!$B$2:$B$950,MATCH(connections!$B1394,games!$A$2:$A$950,0)),""))</f>
        <v>2021</v>
      </c>
      <c r="V1382">
        <f t="shared" si="201"/>
        <v>2</v>
      </c>
    </row>
    <row r="1383" spans="20:22" x14ac:dyDescent="0.25">
      <c r="T1383">
        <f>IF(connections!$A1395="","",IFERROR(INDEX(games!$B$2:$B$950,MATCH(connections!$A1395,games!$A$2:$A$950,0)),""))</f>
        <v>2017</v>
      </c>
      <c r="U1383">
        <f>IF(connections!$A1395="","",IFERROR(INDEX(games!$B$2:$B$950,MATCH(connections!$B1395,games!$A$2:$A$950,0)),""))</f>
        <v>2020</v>
      </c>
      <c r="V1383">
        <f t="shared" si="201"/>
        <v>3</v>
      </c>
    </row>
    <row r="1384" spans="20:22" x14ac:dyDescent="0.25">
      <c r="T1384">
        <f>IF(connections!$A1396="","",IFERROR(INDEX(games!$B$2:$B$950,MATCH(connections!$A1396,games!$A$2:$A$950,0)),""))</f>
        <v>2023</v>
      </c>
      <c r="U1384">
        <f>IF(connections!$A1396="","",IFERROR(INDEX(games!$B$2:$B$950,MATCH(connections!$B1396,games!$A$2:$A$950,0)),""))</f>
        <v>2024</v>
      </c>
      <c r="V1384">
        <f t="shared" si="201"/>
        <v>1</v>
      </c>
    </row>
    <row r="1385" spans="20:22" x14ac:dyDescent="0.25">
      <c r="T1385">
        <f>IF(connections!$A1397="","",IFERROR(INDEX(games!$B$2:$B$950,MATCH(connections!$A1397,games!$A$2:$A$950,0)),""))</f>
        <v>2022</v>
      </c>
      <c r="U1385">
        <f>IF(connections!$A1397="","",IFERROR(INDEX(games!$B$2:$B$950,MATCH(connections!$B1397,games!$A$2:$A$950,0)),""))</f>
        <v>2024</v>
      </c>
      <c r="V1385">
        <f t="shared" si="201"/>
        <v>2</v>
      </c>
    </row>
    <row r="1386" spans="20:22" x14ac:dyDescent="0.25">
      <c r="T1386">
        <f>IF(connections!$A1398="","",IFERROR(INDEX(games!$B$2:$B$950,MATCH(connections!$A1398,games!$A$2:$A$950,0)),""))</f>
        <v>2020</v>
      </c>
      <c r="U1386">
        <f>IF(connections!$A1398="","",IFERROR(INDEX(games!$B$2:$B$950,MATCH(connections!$B1398,games!$A$2:$A$950,0)),""))</f>
        <v>2024</v>
      </c>
      <c r="V1386">
        <f t="shared" si="201"/>
        <v>4</v>
      </c>
    </row>
    <row r="1387" spans="20:22" x14ac:dyDescent="0.25">
      <c r="T1387">
        <f>IF(connections!$A1399="","",IFERROR(INDEX(games!$B$2:$B$950,MATCH(connections!$A1399,games!$A$2:$A$950,0)),""))</f>
        <v>2019</v>
      </c>
      <c r="U1387">
        <f>IF(connections!$A1399="","",IFERROR(INDEX(games!$B$2:$B$950,MATCH(connections!$B1399,games!$A$2:$A$950,0)),""))</f>
        <v>2024</v>
      </c>
      <c r="V1387">
        <f t="shared" si="201"/>
        <v>5</v>
      </c>
    </row>
    <row r="1388" spans="20:22" x14ac:dyDescent="0.25">
      <c r="T1388">
        <f>IF(connections!$A1400="","",IFERROR(INDEX(games!$B$2:$B$950,MATCH(connections!$A1400,games!$A$2:$A$950,0)),""))</f>
        <v>2020</v>
      </c>
      <c r="U1388">
        <f>IF(connections!$A1400="","",IFERROR(INDEX(games!$B$2:$B$950,MATCH(connections!$B1400,games!$A$2:$A$950,0)),""))</f>
        <v>2024</v>
      </c>
      <c r="V1388">
        <f t="shared" si="201"/>
        <v>4</v>
      </c>
    </row>
    <row r="1389" spans="20:22" x14ac:dyDescent="0.25">
      <c r="T1389">
        <f>IF(connections!$A1401="","",IFERROR(INDEX(games!$B$2:$B$950,MATCH(connections!$A1401,games!$A$2:$A$950,0)),""))</f>
        <v>2014</v>
      </c>
      <c r="U1389">
        <f>IF(connections!$A1401="","",IFERROR(INDEX(games!$B$2:$B$950,MATCH(connections!$B1401,games!$A$2:$A$950,0)),""))</f>
        <v>2024</v>
      </c>
      <c r="V1389">
        <f t="shared" si="201"/>
        <v>10</v>
      </c>
    </row>
    <row r="1390" spans="20:22" x14ac:dyDescent="0.25">
      <c r="T1390">
        <f>IF(connections!$A1402="","",IFERROR(INDEX(games!$B$2:$B$950,MATCH(connections!$A1402,games!$A$2:$A$950,0)),""))</f>
        <v>2021</v>
      </c>
      <c r="U1390">
        <f>IF(connections!$A1402="","",IFERROR(INDEX(games!$B$2:$B$950,MATCH(connections!$B1402,games!$A$2:$A$950,0)),""))</f>
        <v>2026</v>
      </c>
      <c r="V1390">
        <f t="shared" si="201"/>
        <v>5</v>
      </c>
    </row>
    <row r="1391" spans="20:22" x14ac:dyDescent="0.25">
      <c r="T1391">
        <f>IF(connections!$A1403="","",IFERROR(INDEX(games!$B$2:$B$950,MATCH(connections!$A1403,games!$A$2:$A$950,0)),""))</f>
        <v>2019</v>
      </c>
      <c r="U1391">
        <f>IF(connections!$A1403="","",IFERROR(INDEX(games!$B$2:$B$950,MATCH(connections!$B1403,games!$A$2:$A$950,0)),""))</f>
        <v>2021</v>
      </c>
      <c r="V1391">
        <f t="shared" si="201"/>
        <v>2</v>
      </c>
    </row>
    <row r="1392" spans="20:22" x14ac:dyDescent="0.25">
      <c r="T1392">
        <f>IF(connections!$A1404="","",IFERROR(INDEX(games!$B$2:$B$950,MATCH(connections!$A1404,games!$A$2:$A$950,0)),""))</f>
        <v>2017</v>
      </c>
      <c r="U1392">
        <f>IF(connections!$A1404="","",IFERROR(INDEX(games!$B$2:$B$950,MATCH(connections!$B1404,games!$A$2:$A$950,0)),""))</f>
        <v>2021</v>
      </c>
      <c r="V1392">
        <f t="shared" si="201"/>
        <v>4</v>
      </c>
    </row>
    <row r="1393" spans="20:22" x14ac:dyDescent="0.25">
      <c r="T1393">
        <f>IF(connections!$A1405="","",IFERROR(INDEX(games!$B$2:$B$950,MATCH(connections!$A1405,games!$A$2:$A$950,0)),""))</f>
        <v>1993</v>
      </c>
      <c r="U1393">
        <f>IF(connections!$A1405="","",IFERROR(INDEX(games!$B$2:$B$950,MATCH(connections!$B1405,games!$A$2:$A$950,0)),""))</f>
        <v>2021</v>
      </c>
      <c r="V1393">
        <f t="shared" si="201"/>
        <v>28</v>
      </c>
    </row>
    <row r="1394" spans="20:22" x14ac:dyDescent="0.25">
      <c r="T1394">
        <f>IF(connections!$A1406="","",IFERROR(INDEX(games!$B$2:$B$950,MATCH(connections!$A1406,games!$A$2:$A$950,0)),""))</f>
        <v>2021</v>
      </c>
      <c r="U1394">
        <f>IF(connections!$A1406="","",IFERROR(INDEX(games!$B$2:$B$950,MATCH(connections!$B1406,games!$A$2:$A$950,0)),""))</f>
        <v>2025</v>
      </c>
      <c r="V1394">
        <f t="shared" si="201"/>
        <v>4</v>
      </c>
    </row>
    <row r="1395" spans="20:22" x14ac:dyDescent="0.25">
      <c r="T1395">
        <f>IF(connections!$A1407="","",IFERROR(INDEX(games!$B$2:$B$950,MATCH(connections!$A1407,games!$A$2:$A$950,0)),""))</f>
        <v>2015</v>
      </c>
      <c r="U1395">
        <f>IF(connections!$A1407="","",IFERROR(INDEX(games!$B$2:$B$950,MATCH(connections!$B1407,games!$A$2:$A$950,0)),""))</f>
        <v>2026</v>
      </c>
      <c r="V1395">
        <f t="shared" si="201"/>
        <v>11</v>
      </c>
    </row>
    <row r="1396" spans="20:22" x14ac:dyDescent="0.25">
      <c r="T1396">
        <f>IF(connections!$A1408="","",IFERROR(INDEX(games!$B$2:$B$950,MATCH(connections!$A1408,games!$A$2:$A$950,0)),""))</f>
        <v>2017</v>
      </c>
      <c r="U1396">
        <f>IF(connections!$A1408="","",IFERROR(INDEX(games!$B$2:$B$950,MATCH(connections!$B1408,games!$A$2:$A$950,0)),""))</f>
        <v>2026</v>
      </c>
      <c r="V1396">
        <f t="shared" si="201"/>
        <v>9</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2021</v>
      </c>
      <c r="U1398">
        <f>IF(connections!$A1410="","",IFERROR(INDEX(games!$B$2:$B$950,MATCH(connections!$B1410,games!$A$2:$A$950,0)),""))</f>
        <v>2022</v>
      </c>
      <c r="V1398">
        <f t="shared" si="201"/>
        <v>1</v>
      </c>
    </row>
    <row r="1399" spans="20:22" x14ac:dyDescent="0.25">
      <c r="T1399">
        <f>IF(connections!$A1411="","",IFERROR(INDEX(games!$B$2:$B$950,MATCH(connections!$A1411,games!$A$2:$A$950,0)),""))</f>
        <v>2006</v>
      </c>
      <c r="U1399">
        <f>IF(connections!$A1411="","",IFERROR(INDEX(games!$B$2:$B$950,MATCH(connections!$B1411,games!$A$2:$A$950,0)),""))</f>
        <v>2024</v>
      </c>
      <c r="V1399">
        <f t="shared" si="201"/>
        <v>18</v>
      </c>
    </row>
    <row r="1400" spans="20:22" x14ac:dyDescent="0.25">
      <c r="T1400">
        <f>IF(connections!$A1412="","",IFERROR(INDEX(games!$B$2:$B$950,MATCH(connections!$A1412,games!$A$2:$A$950,0)),""))</f>
        <v>2012</v>
      </c>
      <c r="U1400">
        <f>IF(connections!$A1412="","",IFERROR(INDEX(games!$B$2:$B$950,MATCH(connections!$B1412,games!$A$2:$A$950,0)),""))</f>
        <v>2024</v>
      </c>
      <c r="V1400">
        <f t="shared" si="201"/>
        <v>12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2026-10-07T08:44:16Z</dcterms:modified>
  <dc:language>en-US</dc:language>
</cp:coreProperties>
</file>