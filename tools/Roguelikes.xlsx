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769FFCE-4C2D-4545-A6EA-45F5A1A3F4D7}"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8" i="1" l="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N858" i="47"/>
  <c r="L858" i="47"/>
  <c r="K858" i="47"/>
  <c r="J858" i="47"/>
  <c r="I858" i="47"/>
  <c r="H858" i="47"/>
  <c r="G858" i="47"/>
  <c r="F858" i="47"/>
  <c r="E858" i="47"/>
  <c r="D858" i="47"/>
  <c r="B858" i="47"/>
  <c r="A858" i="47"/>
  <c r="M858" i="47" s="1"/>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P850" i="47"/>
  <c r="F850" i="47"/>
  <c r="D850" i="47"/>
  <c r="A850" i="47"/>
  <c r="C850" i="47" s="1"/>
  <c r="E850" i="47" s="1"/>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J845" i="47"/>
  <c r="F845" i="47"/>
  <c r="E845" i="47"/>
  <c r="C845" i="47"/>
  <c r="M845" i="47" s="1"/>
  <c r="A845" i="47"/>
  <c r="B845" i="47" s="1"/>
  <c r="U844" i="47"/>
  <c r="T844" i="47"/>
  <c r="P844" i="47"/>
  <c r="D844" i="47"/>
  <c r="O844" i="47" s="1"/>
  <c r="C844" i="47"/>
  <c r="A844" i="47"/>
  <c r="U843" i="47"/>
  <c r="T843" i="47"/>
  <c r="A843" i="47"/>
  <c r="P843" i="47" s="1"/>
  <c r="U842" i="47"/>
  <c r="T842" i="47"/>
  <c r="P842" i="47"/>
  <c r="C842" i="47"/>
  <c r="A842" i="47"/>
  <c r="U841" i="47"/>
  <c r="T841" i="47"/>
  <c r="P841" i="47"/>
  <c r="M841" i="47"/>
  <c r="H841" i="47"/>
  <c r="G841" i="47"/>
  <c r="F841" i="47"/>
  <c r="D841" i="47"/>
  <c r="O841" i="47" s="1"/>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P834" i="47"/>
  <c r="Q834" i="47" s="1"/>
  <c r="F834" i="47"/>
  <c r="E834" i="47"/>
  <c r="C834" i="47"/>
  <c r="L834" i="47" s="1"/>
  <c r="A834" i="47"/>
  <c r="I834" i="47" s="1"/>
  <c r="U833" i="47"/>
  <c r="T833" i="47"/>
  <c r="A833" i="47"/>
  <c r="U832" i="47"/>
  <c r="T832" i="47"/>
  <c r="A832" i="47"/>
  <c r="U831" i="47"/>
  <c r="T831" i="47"/>
  <c r="A831" i="47"/>
  <c r="U830" i="47"/>
  <c r="T830" i="47"/>
  <c r="A830" i="47"/>
  <c r="U829" i="47"/>
  <c r="T829" i="47"/>
  <c r="F829" i="47"/>
  <c r="A829" i="47"/>
  <c r="U828" i="47"/>
  <c r="T828" i="47"/>
  <c r="Q828" i="47"/>
  <c r="P828" i="47"/>
  <c r="N828" i="47"/>
  <c r="C828" i="47"/>
  <c r="I828" i="47" s="1"/>
  <c r="B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L820" i="47"/>
  <c r="H820" i="47"/>
  <c r="C820" i="47"/>
  <c r="I820" i="47" s="1"/>
  <c r="B820" i="47"/>
  <c r="A820" i="47"/>
  <c r="P820" i="47" s="1"/>
  <c r="U819" i="47"/>
  <c r="T819" i="47"/>
  <c r="P819" i="47"/>
  <c r="A819" i="47"/>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B814" i="47"/>
  <c r="A814" i="47"/>
  <c r="C814" i="47" s="1"/>
  <c r="L814" i="47" s="1"/>
  <c r="U813" i="47"/>
  <c r="T813" i="47"/>
  <c r="P813" i="47"/>
  <c r="A813" i="47"/>
  <c r="U812" i="47"/>
  <c r="T812" i="47"/>
  <c r="P812" i="47"/>
  <c r="Q812" i="47" s="1"/>
  <c r="A812" i="47"/>
  <c r="U811" i="47"/>
  <c r="T811" i="47"/>
  <c r="K811" i="47"/>
  <c r="F811" i="47"/>
  <c r="B811" i="47"/>
  <c r="A811" i="47"/>
  <c r="C811" i="47" s="1"/>
  <c r="E811" i="47" s="1"/>
  <c r="U810" i="47"/>
  <c r="T810" i="47"/>
  <c r="D810" i="47"/>
  <c r="C810" i="47"/>
  <c r="E810" i="47" s="1"/>
  <c r="A810" i="47"/>
  <c r="U809" i="47"/>
  <c r="T809" i="47"/>
  <c r="P809" i="47"/>
  <c r="N809" i="47"/>
  <c r="K809" i="47"/>
  <c r="J809" i="47"/>
  <c r="F809" i="47"/>
  <c r="H809" i="47" s="1"/>
  <c r="D809" i="47"/>
  <c r="O809" i="47" s="1"/>
  <c r="C809" i="47"/>
  <c r="B809" i="47"/>
  <c r="G809" i="47" s="1"/>
  <c r="A809" i="47"/>
  <c r="M809" i="47" s="1"/>
  <c r="U808" i="47"/>
  <c r="T808" i="47"/>
  <c r="A808" i="47"/>
  <c r="U807" i="47"/>
  <c r="T807" i="47"/>
  <c r="A807" i="47"/>
  <c r="U806" i="47"/>
  <c r="T806" i="47"/>
  <c r="P806" i="47"/>
  <c r="D806" i="47"/>
  <c r="O806" i="47" s="1"/>
  <c r="B806" i="47"/>
  <c r="A806" i="47"/>
  <c r="U805" i="47"/>
  <c r="T805" i="47"/>
  <c r="P805" i="47"/>
  <c r="F805" i="47"/>
  <c r="D805" i="47"/>
  <c r="A805" i="47"/>
  <c r="C805" i="47" s="1"/>
  <c r="L805" i="47" s="1"/>
  <c r="U804" i="47"/>
  <c r="T804" i="47"/>
  <c r="A804" i="47"/>
  <c r="F804" i="47" s="1"/>
  <c r="U803" i="47"/>
  <c r="T803" i="47"/>
  <c r="A803" i="47"/>
  <c r="U802" i="47"/>
  <c r="T802" i="47"/>
  <c r="P802" i="47"/>
  <c r="A802" i="47"/>
  <c r="U801" i="47"/>
  <c r="T801" i="47"/>
  <c r="C801" i="47"/>
  <c r="N801" i="47" s="1"/>
  <c r="A801" i="47"/>
  <c r="U800" i="47"/>
  <c r="T800" i="47"/>
  <c r="A800" i="47"/>
  <c r="U799" i="47"/>
  <c r="T799" i="47"/>
  <c r="P799" i="47"/>
  <c r="D799" i="47"/>
  <c r="C799" i="47"/>
  <c r="A799" i="47"/>
  <c r="U798" i="47"/>
  <c r="T798" i="47"/>
  <c r="P798" i="47"/>
  <c r="Q798" i="47" s="1"/>
  <c r="D798" i="47"/>
  <c r="B798" i="47"/>
  <c r="A798" i="47"/>
  <c r="U797" i="47"/>
  <c r="T797" i="47"/>
  <c r="A797" i="47"/>
  <c r="U796" i="47"/>
  <c r="T796" i="47"/>
  <c r="F796" i="47"/>
  <c r="A796" i="47"/>
  <c r="U795" i="47"/>
  <c r="T795" i="47"/>
  <c r="A795" i="47"/>
  <c r="U794" i="47"/>
  <c r="T794" i="47"/>
  <c r="A794" i="47"/>
  <c r="D794" i="47" s="1"/>
  <c r="U793" i="47"/>
  <c r="T793" i="47"/>
  <c r="P793" i="47"/>
  <c r="H793" i="47"/>
  <c r="F793" i="47"/>
  <c r="D793" i="47"/>
  <c r="O793" i="47" s="1"/>
  <c r="C793" i="47"/>
  <c r="B793" i="47"/>
  <c r="A793" i="47"/>
  <c r="U792" i="47"/>
  <c r="T792" i="47"/>
  <c r="A792" i="47"/>
  <c r="U791" i="47"/>
  <c r="T791" i="47"/>
  <c r="A791" i="47"/>
  <c r="P791" i="47" s="1"/>
  <c r="U790" i="47"/>
  <c r="T790" i="47"/>
  <c r="A790" i="47"/>
  <c r="D790" i="47" s="1"/>
  <c r="O790" i="47" s="1"/>
  <c r="U789" i="47"/>
  <c r="T789" i="47"/>
  <c r="B789" i="47"/>
  <c r="A789" i="47"/>
  <c r="U788" i="47"/>
  <c r="T788" i="47"/>
  <c r="D788" i="47"/>
  <c r="A788" i="47"/>
  <c r="U787" i="47"/>
  <c r="T787" i="47"/>
  <c r="P787" i="47"/>
  <c r="A787" i="47"/>
  <c r="U786" i="47"/>
  <c r="T786" i="47"/>
  <c r="P786" i="47"/>
  <c r="Q786" i="47" s="1"/>
  <c r="A786" i="47"/>
  <c r="U785" i="47"/>
  <c r="T785" i="47"/>
  <c r="A785" i="47"/>
  <c r="U784" i="47"/>
  <c r="T784" i="47"/>
  <c r="A784" i="47"/>
  <c r="P784" i="47" s="1"/>
  <c r="U783" i="47"/>
  <c r="T783" i="47"/>
  <c r="A783" i="47"/>
  <c r="U782" i="47"/>
  <c r="T782" i="47"/>
  <c r="P782" i="47"/>
  <c r="B782" i="47"/>
  <c r="A782" i="47"/>
  <c r="U781" i="47"/>
  <c r="T781" i="47"/>
  <c r="F781" i="47"/>
  <c r="A781" i="47"/>
  <c r="U780" i="47"/>
  <c r="T780" i="47"/>
  <c r="A780" i="47"/>
  <c r="U779" i="47"/>
  <c r="T779" i="47"/>
  <c r="A779" i="47"/>
  <c r="P779" i="47" s="1"/>
  <c r="U778" i="47"/>
  <c r="T778" i="47"/>
  <c r="A778" i="47"/>
  <c r="U777" i="47"/>
  <c r="T777" i="47"/>
  <c r="P777" i="47"/>
  <c r="F777" i="47"/>
  <c r="D777" i="47"/>
  <c r="O777" i="47" s="1"/>
  <c r="C777" i="47"/>
  <c r="N777" i="47" s="1"/>
  <c r="B777" i="47"/>
  <c r="A777" i="47"/>
  <c r="U776" i="47"/>
  <c r="T776" i="47"/>
  <c r="A776" i="47"/>
  <c r="U775" i="47"/>
  <c r="T775" i="47"/>
  <c r="C775" i="47"/>
  <c r="L775" i="47" s="1"/>
  <c r="A775" i="47"/>
  <c r="U774" i="47"/>
  <c r="T774" i="47"/>
  <c r="D774" i="47"/>
  <c r="B774" i="47"/>
  <c r="A774" i="47"/>
  <c r="U773" i="47"/>
  <c r="T773" i="47"/>
  <c r="P773" i="47"/>
  <c r="F773" i="47"/>
  <c r="D773" i="47"/>
  <c r="O773" i="47" s="1"/>
  <c r="C773" i="47"/>
  <c r="A773" i="47"/>
  <c r="B773" i="47" s="1"/>
  <c r="U772" i="47"/>
  <c r="T772" i="47"/>
  <c r="C772" i="47"/>
  <c r="I772" i="47" s="1"/>
  <c r="A772" i="47"/>
  <c r="U771" i="47"/>
  <c r="T771" i="47"/>
  <c r="P771" i="47"/>
  <c r="D771" i="47"/>
  <c r="C771" i="47"/>
  <c r="A771" i="47"/>
  <c r="F771" i="47" s="1"/>
  <c r="U770" i="47"/>
  <c r="T770" i="47"/>
  <c r="P770" i="47"/>
  <c r="A770" i="47"/>
  <c r="D770" i="47" s="1"/>
  <c r="O770" i="47" s="1"/>
  <c r="U769" i="47"/>
  <c r="T769" i="47"/>
  <c r="P769" i="47"/>
  <c r="F769" i="47"/>
  <c r="D769" i="47"/>
  <c r="O769" i="47" s="1"/>
  <c r="C769" i="47"/>
  <c r="B769" i="47"/>
  <c r="A769" i="47"/>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Q763" i="47"/>
  <c r="P763" i="47"/>
  <c r="A763" i="47"/>
  <c r="U762" i="47"/>
  <c r="T762" i="47"/>
  <c r="A762" i="47"/>
  <c r="B762" i="47" s="1"/>
  <c r="U761" i="47"/>
  <c r="T761" i="47"/>
  <c r="P761" i="47"/>
  <c r="F761" i="47"/>
  <c r="D761" i="47"/>
  <c r="O761" i="47" s="1"/>
  <c r="A761" i="47"/>
  <c r="C761" i="47" s="1"/>
  <c r="U760" i="47"/>
  <c r="T760" i="47"/>
  <c r="A760" i="47"/>
  <c r="U759" i="47"/>
  <c r="T759" i="47"/>
  <c r="A759" i="47"/>
  <c r="U758" i="47"/>
  <c r="T758" i="47"/>
  <c r="A758" i="47"/>
  <c r="U757" i="47"/>
  <c r="T757" i="47"/>
  <c r="P757" i="47"/>
  <c r="F757" i="47"/>
  <c r="D757" i="47"/>
  <c r="O757" i="47" s="1"/>
  <c r="B757" i="47"/>
  <c r="A757" i="47"/>
  <c r="C757" i="47" s="1"/>
  <c r="U756" i="47"/>
  <c r="T756" i="47"/>
  <c r="P756" i="47"/>
  <c r="F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C748" i="47"/>
  <c r="A748" i="47"/>
  <c r="U747" i="47"/>
  <c r="T747" i="47"/>
  <c r="A747" i="47"/>
  <c r="U746" i="47"/>
  <c r="T746" i="47"/>
  <c r="P746" i="47"/>
  <c r="B746" i="47"/>
  <c r="A746" i="47"/>
  <c r="U745" i="47"/>
  <c r="T745" i="47"/>
  <c r="A745" i="47"/>
  <c r="P745" i="47" s="1"/>
  <c r="U744" i="47"/>
  <c r="T744" i="47"/>
  <c r="A744" i="47"/>
  <c r="U743" i="47"/>
  <c r="T743" i="47"/>
  <c r="A743" i="47"/>
  <c r="U742" i="47"/>
  <c r="T742" i="47"/>
  <c r="P742" i="47"/>
  <c r="L742" i="47"/>
  <c r="F742" i="47"/>
  <c r="E742" i="47"/>
  <c r="C742" i="47"/>
  <c r="N742" i="47" s="1"/>
  <c r="A742" i="47"/>
  <c r="B742" i="47" s="1"/>
  <c r="M742" i="47" s="1"/>
  <c r="U741" i="47"/>
  <c r="T741" i="47"/>
  <c r="A741" i="47"/>
  <c r="U740" i="47"/>
  <c r="T740" i="47"/>
  <c r="F740" i="47"/>
  <c r="D740" i="47"/>
  <c r="O740" i="47" s="1"/>
  <c r="C740" i="47"/>
  <c r="A740" i="47"/>
  <c r="B740" i="47" s="1"/>
  <c r="U739" i="47"/>
  <c r="T739" i="47"/>
  <c r="M739" i="47"/>
  <c r="C739" i="47"/>
  <c r="N739" i="47" s="1"/>
  <c r="A739" i="47"/>
  <c r="U738" i="47"/>
  <c r="T738" i="47"/>
  <c r="Q738" i="47"/>
  <c r="F738" i="47"/>
  <c r="D738" i="47"/>
  <c r="B738" i="47"/>
  <c r="A738" i="47"/>
  <c r="P738" i="47" s="1"/>
  <c r="U737" i="47"/>
  <c r="T737" i="47"/>
  <c r="A737" i="47"/>
  <c r="U736" i="47"/>
  <c r="T736" i="47"/>
  <c r="F736" i="47"/>
  <c r="A736" i="47"/>
  <c r="C736" i="47" s="1"/>
  <c r="U735" i="47"/>
  <c r="T735" i="47"/>
  <c r="A735" i="47"/>
  <c r="U734" i="47"/>
  <c r="T734" i="47"/>
  <c r="F734" i="47"/>
  <c r="D734" i="47"/>
  <c r="O734" i="47" s="1"/>
  <c r="C734" i="47"/>
  <c r="E734" i="47" s="1"/>
  <c r="A734" i="47"/>
  <c r="U733" i="47"/>
  <c r="T733" i="47"/>
  <c r="A733" i="47"/>
  <c r="C733" i="47" s="1"/>
  <c r="U732" i="47"/>
  <c r="T732" i="47"/>
  <c r="A732" i="47"/>
  <c r="U731" i="47"/>
  <c r="T731" i="47"/>
  <c r="A731" i="47"/>
  <c r="U730" i="47"/>
  <c r="T730" i="47"/>
  <c r="D730" i="47"/>
  <c r="Q730" i="47" s="1"/>
  <c r="A730" i="47"/>
  <c r="P730" i="47" s="1"/>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P719" i="47"/>
  <c r="F719" i="47"/>
  <c r="D719" i="47"/>
  <c r="O719" i="47" s="1"/>
  <c r="B719" i="47"/>
  <c r="A719" i="47"/>
  <c r="U718" i="47"/>
  <c r="T718" i="47"/>
  <c r="A718" i="47"/>
  <c r="D718" i="47" s="1"/>
  <c r="O718" i="47" s="1"/>
  <c r="U717" i="47"/>
  <c r="T717" i="47"/>
  <c r="A717" i="47"/>
  <c r="U716" i="47"/>
  <c r="T716" i="47"/>
  <c r="A716" i="47"/>
  <c r="D716" i="47" s="1"/>
  <c r="O716" i="47" s="1"/>
  <c r="U715" i="47"/>
  <c r="T715" i="47"/>
  <c r="B715" i="47"/>
  <c r="A715" i="47"/>
  <c r="P715" i="47" s="1"/>
  <c r="U714" i="47"/>
  <c r="T714" i="47"/>
  <c r="F714" i="47"/>
  <c r="D714" i="47"/>
  <c r="O714" i="47" s="1"/>
  <c r="C714" i="47"/>
  <c r="M714" i="47" s="1"/>
  <c r="B714" i="47"/>
  <c r="A714" i="47"/>
  <c r="P714" i="47" s="1"/>
  <c r="U713" i="47"/>
  <c r="T713" i="47"/>
  <c r="A713" i="47"/>
  <c r="P713" i="47" s="1"/>
  <c r="U712" i="47"/>
  <c r="T712" i="47"/>
  <c r="P712" i="47"/>
  <c r="A712" i="47"/>
  <c r="D712" i="47" s="1"/>
  <c r="U711" i="47"/>
  <c r="T711" i="47"/>
  <c r="F711" i="47"/>
  <c r="D711" i="47"/>
  <c r="O711" i="47" s="1"/>
  <c r="C711" i="47"/>
  <c r="I711" i="47" s="1"/>
  <c r="B711" i="47"/>
  <c r="A711" i="47"/>
  <c r="U710" i="47"/>
  <c r="T710" i="47"/>
  <c r="E710" i="47"/>
  <c r="C710" i="47"/>
  <c r="N710" i="47" s="1"/>
  <c r="A710" i="47"/>
  <c r="U709" i="47"/>
  <c r="T709" i="47"/>
  <c r="B709" i="47"/>
  <c r="A709" i="47"/>
  <c r="U708" i="47"/>
  <c r="T708" i="47"/>
  <c r="F708" i="47"/>
  <c r="A708" i="47"/>
  <c r="U707" i="47"/>
  <c r="T707" i="47"/>
  <c r="P707" i="47"/>
  <c r="N707" i="47"/>
  <c r="G707" i="47"/>
  <c r="F707" i="47"/>
  <c r="E707" i="47"/>
  <c r="C707" i="47"/>
  <c r="B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F699" i="47"/>
  <c r="D699" i="47"/>
  <c r="O699" i="47" s="1"/>
  <c r="C699" i="47"/>
  <c r="L699" i="47" s="1"/>
  <c r="A699" i="47"/>
  <c r="P699" i="47" s="1"/>
  <c r="U698" i="47"/>
  <c r="T698" i="47"/>
  <c r="P698" i="47"/>
  <c r="D698" i="47"/>
  <c r="O698" i="47" s="1"/>
  <c r="C698" i="47"/>
  <c r="G698" i="47" s="1"/>
  <c r="B698" i="47"/>
  <c r="A698" i="47"/>
  <c r="U697" i="47"/>
  <c r="T697" i="47"/>
  <c r="A697" i="47"/>
  <c r="D697" i="47" s="1"/>
  <c r="U696" i="47"/>
  <c r="T696" i="47"/>
  <c r="A696" i="47"/>
  <c r="P696" i="47" s="1"/>
  <c r="U695" i="47"/>
  <c r="T695" i="47"/>
  <c r="A695" i="47"/>
  <c r="U694" i="47"/>
  <c r="T694" i="47"/>
  <c r="P694" i="47"/>
  <c r="K694" i="47"/>
  <c r="D694" i="47"/>
  <c r="O694" i="47" s="1"/>
  <c r="C694" i="47"/>
  <c r="M694" i="47" s="1"/>
  <c r="B694" i="47"/>
  <c r="A694" i="47"/>
  <c r="U693" i="47"/>
  <c r="T693" i="47"/>
  <c r="D693" i="47"/>
  <c r="O693" i="47" s="1"/>
  <c r="A693" i="47"/>
  <c r="U692" i="47"/>
  <c r="T692" i="47"/>
  <c r="P692" i="47"/>
  <c r="L692" i="47"/>
  <c r="K692" i="47"/>
  <c r="C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D678" i="47"/>
  <c r="A678" i="47"/>
  <c r="P678" i="47" s="1"/>
  <c r="U677" i="47"/>
  <c r="T677" i="47"/>
  <c r="D677" i="47"/>
  <c r="O677" i="47" s="1"/>
  <c r="C677" i="47"/>
  <c r="A677" i="47"/>
  <c r="U676" i="47"/>
  <c r="T676" i="47"/>
  <c r="A676" i="47"/>
  <c r="U675" i="47"/>
  <c r="T675" i="47"/>
  <c r="A675" i="47"/>
  <c r="U674" i="47"/>
  <c r="T674" i="47"/>
  <c r="F674" i="47"/>
  <c r="D674" i="47"/>
  <c r="A674" i="47"/>
  <c r="P674" i="47" s="1"/>
  <c r="U673" i="47"/>
  <c r="T673" i="47"/>
  <c r="A673" i="47"/>
  <c r="U672" i="47"/>
  <c r="T672" i="47"/>
  <c r="A672" i="47"/>
  <c r="D672" i="47" s="1"/>
  <c r="O672" i="47" s="1"/>
  <c r="U671" i="47"/>
  <c r="T671" i="47"/>
  <c r="A671" i="47"/>
  <c r="U670" i="47"/>
  <c r="T670" i="47"/>
  <c r="A670" i="47"/>
  <c r="U669" i="47"/>
  <c r="T669" i="47"/>
  <c r="P669" i="47"/>
  <c r="F669" i="47"/>
  <c r="A669" i="47"/>
  <c r="U668" i="47"/>
  <c r="T668" i="47"/>
  <c r="I668" i="47"/>
  <c r="F668" i="47"/>
  <c r="E668" i="47"/>
  <c r="D668" i="47"/>
  <c r="O668" i="47" s="1"/>
  <c r="C668" i="47"/>
  <c r="B668" i="47"/>
  <c r="A668" i="47"/>
  <c r="N668" i="47" s="1"/>
  <c r="U667" i="47"/>
  <c r="T667" i="47"/>
  <c r="A667" i="47"/>
  <c r="U666" i="47"/>
  <c r="T666" i="47"/>
  <c r="A666" i="47"/>
  <c r="U665" i="47"/>
  <c r="T665" i="47"/>
  <c r="A665" i="47"/>
  <c r="U664" i="47"/>
  <c r="T664" i="47"/>
  <c r="P664" i="47"/>
  <c r="F664" i="47"/>
  <c r="C664" i="47"/>
  <c r="E664" i="47" s="1"/>
  <c r="A664" i="47"/>
  <c r="U663" i="47"/>
  <c r="T663" i="47"/>
  <c r="B663" i="47"/>
  <c r="A663" i="47"/>
  <c r="U662" i="47"/>
  <c r="T662" i="47"/>
  <c r="A662" i="47"/>
  <c r="U661" i="47"/>
  <c r="T661" i="47"/>
  <c r="P661" i="47"/>
  <c r="F661" i="47"/>
  <c r="D661" i="47"/>
  <c r="A661" i="47"/>
  <c r="U660" i="47"/>
  <c r="T660" i="47"/>
  <c r="P660" i="47"/>
  <c r="N660" i="47"/>
  <c r="L660" i="47"/>
  <c r="K660" i="47"/>
  <c r="J660" i="47"/>
  <c r="G660" i="47"/>
  <c r="F660" i="47"/>
  <c r="E660" i="47"/>
  <c r="D660" i="47"/>
  <c r="O660" i="47" s="1"/>
  <c r="C660" i="47"/>
  <c r="B660" i="47"/>
  <c r="A660" i="47"/>
  <c r="U659" i="47"/>
  <c r="T659" i="47"/>
  <c r="C659" i="47"/>
  <c r="A659" i="47"/>
  <c r="B659" i="47" s="1"/>
  <c r="U658" i="47"/>
  <c r="T658" i="47"/>
  <c r="N658" i="47"/>
  <c r="F658" i="47"/>
  <c r="D658" i="47"/>
  <c r="O658" i="47" s="1"/>
  <c r="C658" i="47"/>
  <c r="M658" i="47" s="1"/>
  <c r="A658" i="47"/>
  <c r="P658" i="47" s="1"/>
  <c r="U657" i="47"/>
  <c r="T657" i="47"/>
  <c r="A657" i="47"/>
  <c r="U656" i="47"/>
  <c r="T656" i="47"/>
  <c r="P656" i="47"/>
  <c r="F656" i="47"/>
  <c r="D656" i="47"/>
  <c r="O656" i="47" s="1"/>
  <c r="C656" i="47"/>
  <c r="B656" i="47"/>
  <c r="A656" i="47"/>
  <c r="U655" i="47"/>
  <c r="T655" i="47"/>
  <c r="F655" i="47"/>
  <c r="A655" i="47"/>
  <c r="U654" i="47"/>
  <c r="T654" i="47"/>
  <c r="A654" i="47"/>
  <c r="B654" i="47" s="1"/>
  <c r="U653" i="47"/>
  <c r="T653" i="47"/>
  <c r="Q653" i="47"/>
  <c r="P653" i="47"/>
  <c r="F653" i="47"/>
  <c r="A653" i="47"/>
  <c r="U652" i="47"/>
  <c r="T652" i="47"/>
  <c r="F652" i="47"/>
  <c r="A652" i="47"/>
  <c r="U651" i="47"/>
  <c r="T651" i="47"/>
  <c r="P651" i="47"/>
  <c r="D651" i="47"/>
  <c r="C651" i="47"/>
  <c r="A651" i="47"/>
  <c r="U650" i="47"/>
  <c r="T650" i="47"/>
  <c r="P650" i="47"/>
  <c r="F650" i="47"/>
  <c r="D650" i="47"/>
  <c r="O650" i="47" s="1"/>
  <c r="B650" i="47"/>
  <c r="A650" i="47"/>
  <c r="U649" i="47"/>
  <c r="T649" i="47"/>
  <c r="A649" i="47"/>
  <c r="U648" i="47"/>
  <c r="T648" i="47"/>
  <c r="P648" i="47"/>
  <c r="A648" i="47"/>
  <c r="F648" i="47" s="1"/>
  <c r="U647" i="47"/>
  <c r="T647" i="47"/>
  <c r="A647" i="47"/>
  <c r="U646" i="47"/>
  <c r="T646" i="47"/>
  <c r="A646" i="47"/>
  <c r="U645" i="47"/>
  <c r="T645" i="47"/>
  <c r="A645" i="47"/>
  <c r="U644" i="47"/>
  <c r="T644" i="47"/>
  <c r="D644" i="47"/>
  <c r="O644" i="47" s="1"/>
  <c r="C644" i="47"/>
  <c r="L644" i="47" s="1"/>
  <c r="A644" i="47"/>
  <c r="U643" i="47"/>
  <c r="T643" i="47"/>
  <c r="A643" i="47"/>
  <c r="U642" i="47"/>
  <c r="T642" i="47"/>
  <c r="P642" i="47"/>
  <c r="N642" i="47"/>
  <c r="F642" i="47"/>
  <c r="D642" i="47"/>
  <c r="O642" i="47" s="1"/>
  <c r="C642" i="47"/>
  <c r="E642" i="47" s="1"/>
  <c r="A642" i="47"/>
  <c r="U641" i="47"/>
  <c r="T641" i="47"/>
  <c r="P641" i="47"/>
  <c r="A641" i="47"/>
  <c r="U640" i="47"/>
  <c r="T640" i="47"/>
  <c r="A640" i="47"/>
  <c r="U639" i="47"/>
  <c r="T639" i="47"/>
  <c r="Q639" i="47"/>
  <c r="P639" i="47"/>
  <c r="A639" i="47"/>
  <c r="U638" i="47"/>
  <c r="T638" i="47"/>
  <c r="D638" i="47"/>
  <c r="O638" i="47" s="1"/>
  <c r="C638" i="47"/>
  <c r="A638" i="47"/>
  <c r="U637" i="47"/>
  <c r="T637" i="47"/>
  <c r="A637" i="47"/>
  <c r="U636" i="47"/>
  <c r="T636" i="47"/>
  <c r="B636" i="47"/>
  <c r="A636" i="47"/>
  <c r="P636" i="47" s="1"/>
  <c r="U635" i="47"/>
  <c r="T635" i="47"/>
  <c r="B635" i="47"/>
  <c r="A635" i="47"/>
  <c r="C635" i="47" s="1"/>
  <c r="J635" i="47" s="1"/>
  <c r="U634" i="47"/>
  <c r="T634" i="47"/>
  <c r="C634" i="47"/>
  <c r="A634" i="47"/>
  <c r="U633" i="47"/>
  <c r="T633" i="47"/>
  <c r="P633" i="47"/>
  <c r="B633" i="47"/>
  <c r="A633" i="47"/>
  <c r="U632" i="47"/>
  <c r="T632" i="47"/>
  <c r="P632" i="47"/>
  <c r="F632" i="47"/>
  <c r="D632" i="47"/>
  <c r="O632" i="47" s="1"/>
  <c r="B632" i="47"/>
  <c r="A632" i="47"/>
  <c r="U631" i="47"/>
  <c r="T631" i="47"/>
  <c r="P631" i="47"/>
  <c r="J631" i="47"/>
  <c r="C631" i="47"/>
  <c r="K631" i="47" s="1"/>
  <c r="A631" i="47"/>
  <c r="F631" i="47" s="1"/>
  <c r="H631" i="47" s="1"/>
  <c r="U630" i="47"/>
  <c r="T630" i="47"/>
  <c r="D630" i="47"/>
  <c r="O630" i="47" s="1"/>
  <c r="C630" i="47"/>
  <c r="A630" i="47"/>
  <c r="U629" i="47"/>
  <c r="T629" i="47"/>
  <c r="B629" i="47"/>
  <c r="A629" i="47"/>
  <c r="U628" i="47"/>
  <c r="T628" i="47"/>
  <c r="C628" i="47"/>
  <c r="A628" i="47"/>
  <c r="U627" i="47"/>
  <c r="T627" i="47"/>
  <c r="A627" i="47"/>
  <c r="B627" i="47" s="1"/>
  <c r="U626" i="47"/>
  <c r="T626" i="47"/>
  <c r="A626" i="47"/>
  <c r="U625" i="47"/>
  <c r="T625" i="47"/>
  <c r="A625" i="47"/>
  <c r="U624" i="47"/>
  <c r="T624" i="47"/>
  <c r="P624" i="47"/>
  <c r="B624" i="47"/>
  <c r="A624" i="47"/>
  <c r="U623" i="47"/>
  <c r="T623" i="47"/>
  <c r="A623" i="47"/>
  <c r="U622" i="47"/>
  <c r="T622" i="47"/>
  <c r="E622" i="47"/>
  <c r="D622" i="47"/>
  <c r="O622" i="47" s="1"/>
  <c r="C622" i="47"/>
  <c r="N622" i="47" s="1"/>
  <c r="B622" i="47"/>
  <c r="A622" i="47"/>
  <c r="U621" i="47"/>
  <c r="T621" i="47"/>
  <c r="A621" i="47"/>
  <c r="U620" i="47"/>
  <c r="T620" i="47"/>
  <c r="B620" i="47"/>
  <c r="A620" i="47"/>
  <c r="U619" i="47"/>
  <c r="T619" i="47"/>
  <c r="A619" i="47"/>
  <c r="F619" i="47" s="1"/>
  <c r="U618" i="47"/>
  <c r="T618" i="47"/>
  <c r="F618" i="47"/>
  <c r="D618" i="47"/>
  <c r="O618" i="47" s="1"/>
  <c r="C618" i="47"/>
  <c r="A618" i="47"/>
  <c r="B618" i="47" s="1"/>
  <c r="U617" i="47"/>
  <c r="T617" i="47"/>
  <c r="P617" i="47"/>
  <c r="A617" i="47"/>
  <c r="U616" i="47"/>
  <c r="T616" i="47"/>
  <c r="F616" i="47"/>
  <c r="B616" i="47"/>
  <c r="A616" i="47"/>
  <c r="U615" i="47"/>
  <c r="T615" i="47"/>
  <c r="P615" i="47"/>
  <c r="A615" i="47"/>
  <c r="U614" i="47"/>
  <c r="T614" i="47"/>
  <c r="A614" i="47"/>
  <c r="U613" i="47"/>
  <c r="T613" i="47"/>
  <c r="A613" i="47"/>
  <c r="U612" i="47"/>
  <c r="T612" i="47"/>
  <c r="P612" i="47"/>
  <c r="N612" i="47"/>
  <c r="F612" i="47"/>
  <c r="D612" i="47"/>
  <c r="O612" i="47" s="1"/>
  <c r="C612" i="47"/>
  <c r="J612" i="47" s="1"/>
  <c r="B612" i="47"/>
  <c r="A612" i="47"/>
  <c r="U611" i="47"/>
  <c r="T611" i="47"/>
  <c r="A611" i="47"/>
  <c r="U610" i="47"/>
  <c r="T610" i="47"/>
  <c r="L610" i="47"/>
  <c r="F610" i="47"/>
  <c r="D610" i="47"/>
  <c r="O610" i="47" s="1"/>
  <c r="C610" i="47"/>
  <c r="B610" i="47"/>
  <c r="A610" i="47"/>
  <c r="U609" i="47"/>
  <c r="T609" i="47"/>
  <c r="A609" i="47"/>
  <c r="U608" i="47"/>
  <c r="T608" i="47"/>
  <c r="P608" i="47"/>
  <c r="F608" i="47"/>
  <c r="D608" i="47"/>
  <c r="O608" i="47" s="1"/>
  <c r="C608" i="47"/>
  <c r="B608" i="47"/>
  <c r="A608" i="47"/>
  <c r="U607" i="47"/>
  <c r="T607" i="47"/>
  <c r="A607" i="47"/>
  <c r="U606" i="47"/>
  <c r="T606" i="47"/>
  <c r="A606" i="47"/>
  <c r="U605" i="47"/>
  <c r="T605" i="47"/>
  <c r="A605" i="47"/>
  <c r="U604" i="47"/>
  <c r="T604" i="47"/>
  <c r="P604" i="47"/>
  <c r="F604" i="47"/>
  <c r="D604" i="47"/>
  <c r="O604" i="47" s="1"/>
  <c r="C604" i="47"/>
  <c r="N604" i="47" s="1"/>
  <c r="B604" i="47"/>
  <c r="A604" i="47"/>
  <c r="U603" i="47"/>
  <c r="T603" i="47"/>
  <c r="B603" i="47"/>
  <c r="A603" i="47"/>
  <c r="U602" i="47"/>
  <c r="T602" i="47"/>
  <c r="F602" i="47"/>
  <c r="C602" i="47"/>
  <c r="B602" i="47"/>
  <c r="A602" i="47"/>
  <c r="D602" i="47" s="1"/>
  <c r="O602" i="47" s="1"/>
  <c r="U601" i="47"/>
  <c r="T601" i="47"/>
  <c r="P601" i="47"/>
  <c r="Q601" i="47" s="1"/>
  <c r="J601" i="47"/>
  <c r="I601" i="47"/>
  <c r="F601" i="47"/>
  <c r="C601" i="47"/>
  <c r="H601" i="47" s="1"/>
  <c r="A601" i="47"/>
  <c r="U600" i="47"/>
  <c r="T600" i="47"/>
  <c r="P600" i="47"/>
  <c r="F600" i="47"/>
  <c r="B600" i="47"/>
  <c r="A600" i="47"/>
  <c r="Q600" i="47" s="1"/>
  <c r="U599" i="47"/>
  <c r="T599" i="47"/>
  <c r="A599" i="47"/>
  <c r="U598" i="47"/>
  <c r="T598" i="47"/>
  <c r="J598" i="47"/>
  <c r="F598" i="47"/>
  <c r="D598" i="47"/>
  <c r="O598" i="47" s="1"/>
  <c r="C598" i="47"/>
  <c r="A598" i="47"/>
  <c r="B598" i="47" s="1"/>
  <c r="U597" i="47"/>
  <c r="T597" i="47"/>
  <c r="A597" i="47"/>
  <c r="U596" i="47"/>
  <c r="T596" i="47"/>
  <c r="D596" i="47"/>
  <c r="O596" i="47" s="1"/>
  <c r="C596" i="47"/>
  <c r="L596" i="47" s="1"/>
  <c r="A596" i="47"/>
  <c r="U595" i="47"/>
  <c r="T595" i="47"/>
  <c r="F595" i="47"/>
  <c r="C595" i="47"/>
  <c r="K595" i="47" s="1"/>
  <c r="B595" i="47"/>
  <c r="A595" i="47"/>
  <c r="U594" i="47"/>
  <c r="T594" i="47"/>
  <c r="D594" i="47"/>
  <c r="O594" i="47" s="1"/>
  <c r="A594" i="47"/>
  <c r="P594" i="47" s="1"/>
  <c r="U593" i="47"/>
  <c r="T593" i="47"/>
  <c r="A593" i="47"/>
  <c r="U592" i="47"/>
  <c r="T592" i="47"/>
  <c r="P592" i="47"/>
  <c r="D592" i="47"/>
  <c r="C592" i="47"/>
  <c r="B592" i="47"/>
  <c r="A592" i="47"/>
  <c r="U591" i="47"/>
  <c r="T591" i="47"/>
  <c r="C591" i="47"/>
  <c r="A591" i="47"/>
  <c r="U590" i="47"/>
  <c r="T590" i="47"/>
  <c r="A590" i="47"/>
  <c r="U589" i="47"/>
  <c r="T589" i="47"/>
  <c r="A589" i="47"/>
  <c r="U588" i="47"/>
  <c r="T588" i="47"/>
  <c r="P588" i="47"/>
  <c r="F588" i="47"/>
  <c r="D588" i="47"/>
  <c r="O588" i="47" s="1"/>
  <c r="A588" i="47"/>
  <c r="U587" i="47"/>
  <c r="T587" i="47"/>
  <c r="A587" i="47"/>
  <c r="U586" i="47"/>
  <c r="T586" i="47"/>
  <c r="A586" i="47"/>
  <c r="U585" i="47"/>
  <c r="T585" i="47"/>
  <c r="A585" i="47"/>
  <c r="U584" i="47"/>
  <c r="T584" i="47"/>
  <c r="I584" i="47"/>
  <c r="C584" i="47"/>
  <c r="K584" i="47" s="1"/>
  <c r="A584" i="47"/>
  <c r="U583" i="47"/>
  <c r="T583" i="47"/>
  <c r="B583" i="47"/>
  <c r="A583" i="47"/>
  <c r="U582" i="47"/>
  <c r="T582" i="47"/>
  <c r="F582" i="47"/>
  <c r="A582" i="47"/>
  <c r="P582" i="47" s="1"/>
  <c r="U581" i="47"/>
  <c r="T581" i="47"/>
  <c r="A581" i="47"/>
  <c r="U580" i="47"/>
  <c r="T580" i="47"/>
  <c r="P580" i="47"/>
  <c r="A580" i="47"/>
  <c r="C580" i="47" s="1"/>
  <c r="K580" i="47" s="1"/>
  <c r="U579" i="47"/>
  <c r="T579" i="47"/>
  <c r="P579" i="47"/>
  <c r="F579" i="47"/>
  <c r="B579" i="47"/>
  <c r="A579" i="47"/>
  <c r="U578" i="47"/>
  <c r="T578" i="47"/>
  <c r="A578" i="47"/>
  <c r="U577" i="47"/>
  <c r="T577" i="47"/>
  <c r="P577" i="47"/>
  <c r="F577" i="47"/>
  <c r="A577" i="47"/>
  <c r="U576" i="47"/>
  <c r="T576" i="47"/>
  <c r="D576" i="47"/>
  <c r="O576" i="47" s="1"/>
  <c r="B576" i="47"/>
  <c r="A576" i="47"/>
  <c r="U575" i="47"/>
  <c r="T575" i="47"/>
  <c r="B575" i="47"/>
  <c r="A575" i="47"/>
  <c r="U574" i="47"/>
  <c r="T574" i="47"/>
  <c r="F574" i="47"/>
  <c r="B574" i="47"/>
  <c r="A574" i="47"/>
  <c r="U573" i="47"/>
  <c r="T573" i="47"/>
  <c r="A573" i="47"/>
  <c r="P573" i="47" s="1"/>
  <c r="U572" i="47"/>
  <c r="T572" i="47"/>
  <c r="A572" i="47"/>
  <c r="U571" i="47"/>
  <c r="T571" i="47"/>
  <c r="P571" i="47"/>
  <c r="I571" i="47"/>
  <c r="G571" i="47"/>
  <c r="F571" i="47"/>
  <c r="E571" i="47"/>
  <c r="D571" i="47"/>
  <c r="Q571" i="47" s="1"/>
  <c r="C571" i="47"/>
  <c r="K571" i="47" s="1"/>
  <c r="B571" i="47"/>
  <c r="A571" i="47"/>
  <c r="M571" i="47" s="1"/>
  <c r="U570" i="47"/>
  <c r="T570" i="47"/>
  <c r="A570" i="47"/>
  <c r="U569" i="47"/>
  <c r="T569" i="47"/>
  <c r="A569" i="47"/>
  <c r="P569" i="47" s="1"/>
  <c r="U568" i="47"/>
  <c r="T568" i="47"/>
  <c r="F568" i="47"/>
  <c r="B568" i="47"/>
  <c r="A568" i="47"/>
  <c r="P568" i="47" s="1"/>
  <c r="U567" i="47"/>
  <c r="T567" i="47"/>
  <c r="F567" i="47"/>
  <c r="E567" i="47"/>
  <c r="D567" i="47"/>
  <c r="C567" i="47"/>
  <c r="A567" i="47"/>
  <c r="U566" i="47"/>
  <c r="T566" i="47"/>
  <c r="A566" i="47"/>
  <c r="U565" i="47"/>
  <c r="T565" i="47"/>
  <c r="K565" i="47"/>
  <c r="I565" i="47"/>
  <c r="F565" i="47"/>
  <c r="C565" i="47"/>
  <c r="N565" i="47" s="1"/>
  <c r="B565" i="47"/>
  <c r="A565" i="47"/>
  <c r="D565" i="47" s="1"/>
  <c r="O565" i="47" s="1"/>
  <c r="U564" i="47"/>
  <c r="T564" i="47"/>
  <c r="A564" i="47"/>
  <c r="U563" i="47"/>
  <c r="T563" i="47"/>
  <c r="P563" i="47"/>
  <c r="F563" i="47"/>
  <c r="D563" i="47"/>
  <c r="O563" i="47" s="1"/>
  <c r="C563" i="47"/>
  <c r="B563" i="47"/>
  <c r="I563" i="47" s="1"/>
  <c r="A563" i="47"/>
  <c r="U562" i="47"/>
  <c r="T562" i="47"/>
  <c r="A562" i="47"/>
  <c r="U561" i="47"/>
  <c r="T561" i="47"/>
  <c r="P561" i="47"/>
  <c r="B561" i="47"/>
  <c r="A561" i="47"/>
  <c r="U560" i="47"/>
  <c r="T560" i="47"/>
  <c r="L560" i="47"/>
  <c r="F560" i="47"/>
  <c r="D560" i="47"/>
  <c r="O560" i="47" s="1"/>
  <c r="C560" i="47"/>
  <c r="B560" i="47"/>
  <c r="A560" i="47"/>
  <c r="U559" i="47"/>
  <c r="T559" i="47"/>
  <c r="P559" i="47"/>
  <c r="C559" i="47"/>
  <c r="A559" i="47"/>
  <c r="F559" i="47" s="1"/>
  <c r="U558" i="47"/>
  <c r="T558" i="47"/>
  <c r="C558" i="47"/>
  <c r="N558" i="47" s="1"/>
  <c r="B558" i="47"/>
  <c r="A558" i="47"/>
  <c r="U557" i="47"/>
  <c r="T557" i="47"/>
  <c r="P557" i="47"/>
  <c r="B557" i="47"/>
  <c r="A557" i="47"/>
  <c r="U556" i="47"/>
  <c r="T556" i="47"/>
  <c r="F556" i="47"/>
  <c r="C556" i="47"/>
  <c r="E556" i="47" s="1"/>
  <c r="B556" i="47"/>
  <c r="A556" i="47"/>
  <c r="D556" i="47" s="1"/>
  <c r="O556" i="47" s="1"/>
  <c r="U555" i="47"/>
  <c r="T555" i="47"/>
  <c r="A555" i="47"/>
  <c r="U554" i="47"/>
  <c r="T554" i="47"/>
  <c r="A554" i="47"/>
  <c r="U553" i="47"/>
  <c r="T553" i="47"/>
  <c r="A553" i="47"/>
  <c r="U552" i="47"/>
  <c r="T552" i="47"/>
  <c r="F552" i="47"/>
  <c r="D552" i="47"/>
  <c r="O552" i="47" s="1"/>
  <c r="C552" i="47"/>
  <c r="E552" i="47" s="1"/>
  <c r="B552" i="47"/>
  <c r="A552" i="47"/>
  <c r="U551" i="47"/>
  <c r="T551" i="47"/>
  <c r="F551" i="47"/>
  <c r="C551" i="47"/>
  <c r="A551" i="47"/>
  <c r="U550" i="47"/>
  <c r="T550" i="47"/>
  <c r="A550" i="47"/>
  <c r="C550" i="47" s="1"/>
  <c r="U549" i="47"/>
  <c r="T549" i="47"/>
  <c r="P549" i="47"/>
  <c r="F549" i="47"/>
  <c r="D549" i="47"/>
  <c r="O549" i="47" s="1"/>
  <c r="C549" i="47"/>
  <c r="A549" i="47"/>
  <c r="B549" i="47" s="1"/>
  <c r="U548" i="47"/>
  <c r="T548" i="47"/>
  <c r="F548" i="47"/>
  <c r="D548" i="47"/>
  <c r="O548" i="47" s="1"/>
  <c r="B548" i="47"/>
  <c r="A548" i="47"/>
  <c r="C548" i="47" s="1"/>
  <c r="U547" i="47"/>
  <c r="T547" i="47"/>
  <c r="F547" i="47"/>
  <c r="C547" i="47"/>
  <c r="A547" i="47"/>
  <c r="U546" i="47"/>
  <c r="T546" i="47"/>
  <c r="A546" i="47"/>
  <c r="U545" i="47"/>
  <c r="T545" i="47"/>
  <c r="C545" i="47"/>
  <c r="A545" i="47"/>
  <c r="B545" i="47" s="1"/>
  <c r="U544" i="47"/>
  <c r="T544" i="47"/>
  <c r="D544" i="47"/>
  <c r="O544" i="47" s="1"/>
  <c r="A544" i="47"/>
  <c r="F544" i="47" s="1"/>
  <c r="U543" i="47"/>
  <c r="T543" i="47"/>
  <c r="A543" i="47"/>
  <c r="U542" i="47"/>
  <c r="T542" i="47"/>
  <c r="A542" i="47"/>
  <c r="U541" i="47"/>
  <c r="T541" i="47"/>
  <c r="F541" i="47"/>
  <c r="B541" i="47"/>
  <c r="A541" i="47"/>
  <c r="D541" i="47" s="1"/>
  <c r="U540" i="47"/>
  <c r="T540" i="47"/>
  <c r="D540" i="47"/>
  <c r="O540" i="47" s="1"/>
  <c r="A540" i="47"/>
  <c r="U539" i="47"/>
  <c r="T539" i="47"/>
  <c r="P539" i="47"/>
  <c r="J539" i="47"/>
  <c r="F539" i="47"/>
  <c r="C539" i="47"/>
  <c r="I539" i="47" s="1"/>
  <c r="A539" i="47"/>
  <c r="U538" i="47"/>
  <c r="T538" i="47"/>
  <c r="A538" i="47"/>
  <c r="U537" i="47"/>
  <c r="T537" i="47"/>
  <c r="P537" i="47"/>
  <c r="D537" i="47"/>
  <c r="A537" i="47"/>
  <c r="U536" i="47"/>
  <c r="T536" i="47"/>
  <c r="D536" i="47"/>
  <c r="O536" i="47" s="1"/>
  <c r="C536" i="47"/>
  <c r="M536" i="47" s="1"/>
  <c r="A536" i="47"/>
  <c r="U535" i="47"/>
  <c r="T535" i="47"/>
  <c r="N535" i="47"/>
  <c r="F535" i="47"/>
  <c r="C535" i="47"/>
  <c r="A535" i="47"/>
  <c r="U534" i="47"/>
  <c r="T534" i="47"/>
  <c r="A534" i="47"/>
  <c r="D534" i="47" s="1"/>
  <c r="U533" i="47"/>
  <c r="T533" i="47"/>
  <c r="P533" i="47"/>
  <c r="F533" i="47"/>
  <c r="D533" i="47"/>
  <c r="A533" i="47"/>
  <c r="B533" i="47" s="1"/>
  <c r="U532" i="47"/>
  <c r="T532" i="47"/>
  <c r="K532" i="47"/>
  <c r="J532" i="47"/>
  <c r="D532" i="47"/>
  <c r="O532" i="47" s="1"/>
  <c r="C532" i="47"/>
  <c r="G532" i="47" s="1"/>
  <c r="B532" i="47"/>
  <c r="A532" i="47"/>
  <c r="U531" i="47"/>
  <c r="T531" i="47"/>
  <c r="A531" i="47"/>
  <c r="P531" i="47" s="1"/>
  <c r="U530" i="47"/>
  <c r="T530" i="47"/>
  <c r="P530" i="47"/>
  <c r="N530" i="47"/>
  <c r="D530" i="47"/>
  <c r="O530" i="47" s="1"/>
  <c r="C530" i="47"/>
  <c r="B530" i="47"/>
  <c r="A530" i="47"/>
  <c r="U529" i="47"/>
  <c r="T529" i="47"/>
  <c r="P529" i="47"/>
  <c r="N529" i="47"/>
  <c r="K529" i="47"/>
  <c r="F529" i="47"/>
  <c r="H529" i="47" s="1"/>
  <c r="C529" i="47"/>
  <c r="A529" i="47"/>
  <c r="U528" i="47"/>
  <c r="T528" i="47"/>
  <c r="L528" i="47"/>
  <c r="K528" i="47"/>
  <c r="E528" i="47"/>
  <c r="C528" i="47"/>
  <c r="M528" i="47" s="1"/>
  <c r="B528" i="47"/>
  <c r="A528" i="47"/>
  <c r="U527" i="47"/>
  <c r="T527" i="47"/>
  <c r="A527" i="47"/>
  <c r="U526" i="47"/>
  <c r="T526" i="47"/>
  <c r="A526" i="47"/>
  <c r="U525" i="47"/>
  <c r="T525" i="47"/>
  <c r="B525" i="47"/>
  <c r="A525" i="47"/>
  <c r="F525" i="47" s="1"/>
  <c r="U524" i="47"/>
  <c r="T524" i="47"/>
  <c r="F524" i="47"/>
  <c r="D524" i="47"/>
  <c r="O524" i="47" s="1"/>
  <c r="C524" i="47"/>
  <c r="A524" i="47"/>
  <c r="B524" i="47" s="1"/>
  <c r="U523" i="47"/>
  <c r="T523" i="47"/>
  <c r="F523" i="47"/>
  <c r="A523" i="47"/>
  <c r="U522" i="47"/>
  <c r="T522" i="47"/>
  <c r="A522" i="47"/>
  <c r="U521" i="47"/>
  <c r="T521" i="47"/>
  <c r="A521" i="47"/>
  <c r="U520" i="47"/>
  <c r="T520" i="47"/>
  <c r="D520" i="47"/>
  <c r="O520" i="47" s="1"/>
  <c r="A520" i="47"/>
  <c r="U519" i="47"/>
  <c r="T519" i="47"/>
  <c r="F519" i="47"/>
  <c r="C519" i="47"/>
  <c r="J519" i="47" s="1"/>
  <c r="A519" i="47"/>
  <c r="U518" i="47"/>
  <c r="T518" i="47"/>
  <c r="D518" i="47"/>
  <c r="O518" i="47" s="1"/>
  <c r="B518" i="47"/>
  <c r="A518" i="47"/>
  <c r="P518" i="47" s="1"/>
  <c r="Q518" i="47" s="1"/>
  <c r="U517" i="47"/>
  <c r="T517" i="47"/>
  <c r="F517" i="47"/>
  <c r="D517" i="47"/>
  <c r="A517" i="47"/>
  <c r="P517" i="47" s="1"/>
  <c r="U516" i="47"/>
  <c r="T516" i="47"/>
  <c r="F516" i="47"/>
  <c r="A516" i="47"/>
  <c r="U515" i="47"/>
  <c r="T515" i="47"/>
  <c r="P515" i="47"/>
  <c r="F515" i="47"/>
  <c r="C515" i="47"/>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F511" i="47"/>
  <c r="B511" i="47"/>
  <c r="A511" i="47"/>
  <c r="D511" i="47" s="1"/>
  <c r="U510" i="47"/>
  <c r="T510" i="47"/>
  <c r="F510" i="47"/>
  <c r="A510" i="47"/>
  <c r="U509" i="47"/>
  <c r="T509" i="47"/>
  <c r="P509" i="47"/>
  <c r="F509" i="47"/>
  <c r="A509" i="47"/>
  <c r="C509" i="47" s="1"/>
  <c r="I509" i="47" s="1"/>
  <c r="U508" i="47"/>
  <c r="T508" i="47"/>
  <c r="A508" i="47"/>
  <c r="F508" i="47" s="1"/>
  <c r="U507" i="47"/>
  <c r="T507" i="47"/>
  <c r="N507" i="47"/>
  <c r="M507" i="47"/>
  <c r="K507" i="47"/>
  <c r="E507" i="47"/>
  <c r="C507" i="47"/>
  <c r="B507" i="47"/>
  <c r="A507" i="47"/>
  <c r="P507" i="47" s="1"/>
  <c r="U506" i="47"/>
  <c r="T506" i="47"/>
  <c r="D506" i="47"/>
  <c r="A506" i="47"/>
  <c r="U505" i="47"/>
  <c r="T505" i="47"/>
  <c r="F505" i="47"/>
  <c r="D505" i="47"/>
  <c r="O505" i="47" s="1"/>
  <c r="C505" i="47"/>
  <c r="K505" i="47" s="1"/>
  <c r="A505" i="47"/>
  <c r="U504" i="47"/>
  <c r="T504" i="47"/>
  <c r="A504" i="47"/>
  <c r="U503" i="47"/>
  <c r="T503" i="47"/>
  <c r="P503" i="47"/>
  <c r="A503" i="47"/>
  <c r="U502" i="47"/>
  <c r="T502" i="47"/>
  <c r="A502" i="47"/>
  <c r="P502" i="47" s="1"/>
  <c r="U501" i="47"/>
  <c r="T501" i="47"/>
  <c r="B501" i="47"/>
  <c r="A501" i="47"/>
  <c r="D501" i="47" s="1"/>
  <c r="O501" i="47" s="1"/>
  <c r="U500" i="47"/>
  <c r="T500" i="47"/>
  <c r="F500" i="47"/>
  <c r="A500" i="47"/>
  <c r="U499" i="47"/>
  <c r="T499" i="47"/>
  <c r="F499" i="47"/>
  <c r="C499" i="47"/>
  <c r="B499" i="47"/>
  <c r="A499" i="47"/>
  <c r="D499" i="47" s="1"/>
  <c r="O499" i="47" s="1"/>
  <c r="U498" i="47"/>
  <c r="T498" i="47"/>
  <c r="A498" i="47"/>
  <c r="U497" i="47"/>
  <c r="T497" i="47"/>
  <c r="F497" i="47"/>
  <c r="D497" i="47"/>
  <c r="O497" i="47" s="1"/>
  <c r="B497" i="47"/>
  <c r="A497" i="47"/>
  <c r="P497" i="47" s="1"/>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C487" i="47"/>
  <c r="N487" i="47" s="1"/>
  <c r="B487" i="47"/>
  <c r="A487" i="47"/>
  <c r="U486" i="47"/>
  <c r="T486" i="47"/>
  <c r="F486" i="47"/>
  <c r="D486" i="47"/>
  <c r="O486" i="47" s="1"/>
  <c r="C486" i="47"/>
  <c r="E486" i="47" s="1"/>
  <c r="A486" i="47"/>
  <c r="U485" i="47"/>
  <c r="T485" i="47"/>
  <c r="E485" i="47"/>
  <c r="D485" i="47"/>
  <c r="O485" i="47" s="1"/>
  <c r="C485" i="47"/>
  <c r="M485" i="47" s="1"/>
  <c r="A485" i="47"/>
  <c r="F485" i="47" s="1"/>
  <c r="U484" i="47"/>
  <c r="T484" i="47"/>
  <c r="P484" i="47"/>
  <c r="J484" i="47"/>
  <c r="I484" i="47"/>
  <c r="C484" i="47"/>
  <c r="E484" i="47" s="1"/>
  <c r="A484" i="47"/>
  <c r="U483" i="47"/>
  <c r="T483" i="47"/>
  <c r="F483" i="47"/>
  <c r="C483" i="47"/>
  <c r="A483" i="47"/>
  <c r="U482" i="47"/>
  <c r="T482" i="47"/>
  <c r="P482" i="47"/>
  <c r="B482" i="47"/>
  <c r="A482" i="47"/>
  <c r="U481" i="47"/>
  <c r="T481" i="47"/>
  <c r="D481" i="47"/>
  <c r="O481" i="47" s="1"/>
  <c r="A481" i="47"/>
  <c r="U480" i="47"/>
  <c r="T480" i="47"/>
  <c r="P480" i="47"/>
  <c r="A480" i="47"/>
  <c r="U479" i="47"/>
  <c r="T479" i="47"/>
  <c r="P479" i="47"/>
  <c r="A479" i="47"/>
  <c r="U478" i="47"/>
  <c r="T478" i="47"/>
  <c r="A478" i="47"/>
  <c r="U477" i="47"/>
  <c r="T477" i="47"/>
  <c r="F477" i="47"/>
  <c r="D477" i="47"/>
  <c r="A477" i="47"/>
  <c r="C477" i="47" s="1"/>
  <c r="U476" i="47"/>
  <c r="T476" i="47"/>
  <c r="C476" i="47"/>
  <c r="A476" i="47"/>
  <c r="U475" i="47"/>
  <c r="T475" i="47"/>
  <c r="E475" i="47"/>
  <c r="C475" i="47"/>
  <c r="L475" i="47" s="1"/>
  <c r="A475" i="47"/>
  <c r="F475" i="47" s="1"/>
  <c r="U474" i="47"/>
  <c r="T474" i="47"/>
  <c r="K474" i="47"/>
  <c r="J474" i="47"/>
  <c r="I474" i="47"/>
  <c r="H474" i="47"/>
  <c r="F474" i="47"/>
  <c r="E474" i="47"/>
  <c r="C474" i="47"/>
  <c r="A474" i="47"/>
  <c r="P474" i="47" s="1"/>
  <c r="U473" i="47"/>
  <c r="T473" i="47"/>
  <c r="K473" i="47"/>
  <c r="J473" i="47"/>
  <c r="I473" i="47"/>
  <c r="C473" i="47"/>
  <c r="A473" i="47"/>
  <c r="L473" i="47" s="1"/>
  <c r="U472" i="47"/>
  <c r="T472" i="47"/>
  <c r="A472" i="47"/>
  <c r="U471" i="47"/>
  <c r="T471" i="47"/>
  <c r="D471" i="47"/>
  <c r="O471" i="47" s="1"/>
  <c r="A471" i="47"/>
  <c r="P471" i="47" s="1"/>
  <c r="U470" i="47"/>
  <c r="T470" i="47"/>
  <c r="F470" i="47"/>
  <c r="A470" i="47"/>
  <c r="P470" i="47" s="1"/>
  <c r="U469" i="47"/>
  <c r="T469" i="47"/>
  <c r="A469" i="47"/>
  <c r="U468" i="47"/>
  <c r="T468" i="47"/>
  <c r="A468" i="47"/>
  <c r="U467" i="47"/>
  <c r="T467" i="47"/>
  <c r="E467" i="47"/>
  <c r="D467" i="47"/>
  <c r="C467" i="47"/>
  <c r="N467" i="47" s="1"/>
  <c r="A467" i="47"/>
  <c r="B467" i="47" s="1"/>
  <c r="U466" i="47"/>
  <c r="T466" i="47"/>
  <c r="P466" i="47"/>
  <c r="A466" i="47"/>
  <c r="U465" i="47"/>
  <c r="T465" i="47"/>
  <c r="A465" i="47"/>
  <c r="D465" i="47" s="1"/>
  <c r="U464" i="47"/>
  <c r="T464" i="47"/>
  <c r="A464" i="47"/>
  <c r="U463" i="47"/>
  <c r="T463" i="47"/>
  <c r="N463" i="47"/>
  <c r="K463" i="47"/>
  <c r="C463" i="47"/>
  <c r="I463" i="47" s="1"/>
  <c r="A463" i="47"/>
  <c r="U462" i="47"/>
  <c r="T462" i="47"/>
  <c r="P462" i="47"/>
  <c r="A462" i="47"/>
  <c r="D462" i="47" s="1"/>
  <c r="O462" i="47" s="1"/>
  <c r="U461" i="47"/>
  <c r="T461" i="47"/>
  <c r="A461" i="47"/>
  <c r="U460" i="47"/>
  <c r="T460" i="47"/>
  <c r="P460" i="47"/>
  <c r="A460" i="47"/>
  <c r="U459" i="47"/>
  <c r="T459" i="47"/>
  <c r="A459" i="47"/>
  <c r="U458" i="47"/>
  <c r="T458" i="47"/>
  <c r="K458" i="47"/>
  <c r="F458" i="47"/>
  <c r="E458" i="47"/>
  <c r="D458" i="47"/>
  <c r="C458" i="47"/>
  <c r="M458" i="47" s="1"/>
  <c r="B458" i="47"/>
  <c r="A458" i="47"/>
  <c r="U457" i="47"/>
  <c r="T457" i="47"/>
  <c r="A457" i="47"/>
  <c r="F457" i="47" s="1"/>
  <c r="U456" i="47"/>
  <c r="T456" i="47"/>
  <c r="P456" i="47"/>
  <c r="A456" i="47"/>
  <c r="U455" i="47"/>
  <c r="T455" i="47"/>
  <c r="A455" i="47"/>
  <c r="U454" i="47"/>
  <c r="T454" i="47"/>
  <c r="P454" i="47"/>
  <c r="Q454" i="47" s="1"/>
  <c r="F454" i="47"/>
  <c r="B454" i="47"/>
  <c r="A454" i="47"/>
  <c r="U453" i="47"/>
  <c r="T453" i="47"/>
  <c r="F453" i="47"/>
  <c r="A453" i="47"/>
  <c r="U452" i="47"/>
  <c r="T452" i="47"/>
  <c r="A452" i="47"/>
  <c r="U451" i="47"/>
  <c r="T451" i="47"/>
  <c r="D451" i="47"/>
  <c r="C451" i="47"/>
  <c r="J451" i="47" s="1"/>
  <c r="A451" i="47"/>
  <c r="B451" i="47" s="1"/>
  <c r="U450" i="47"/>
  <c r="T450" i="47"/>
  <c r="F450" i="47"/>
  <c r="B450" i="47"/>
  <c r="A450" i="47"/>
  <c r="P450" i="47" s="1"/>
  <c r="U449" i="47"/>
  <c r="T449" i="47"/>
  <c r="A449" i="47"/>
  <c r="F449" i="47" s="1"/>
  <c r="U448" i="47"/>
  <c r="T448" i="47"/>
  <c r="K448" i="47"/>
  <c r="C448" i="47"/>
  <c r="I448" i="47" s="1"/>
  <c r="A448" i="47"/>
  <c r="U447" i="47"/>
  <c r="T447" i="47"/>
  <c r="P447" i="47"/>
  <c r="A447" i="47"/>
  <c r="F447" i="47" s="1"/>
  <c r="U446" i="47"/>
  <c r="T446" i="47"/>
  <c r="A446" i="47"/>
  <c r="U445" i="47"/>
  <c r="T445" i="47"/>
  <c r="A445" i="47"/>
  <c r="B445" i="47" s="1"/>
  <c r="U444" i="47"/>
  <c r="T444" i="47"/>
  <c r="F444" i="47"/>
  <c r="A444" i="47"/>
  <c r="D444" i="47" s="1"/>
  <c r="O444" i="47" s="1"/>
  <c r="U443" i="47"/>
  <c r="T443" i="47"/>
  <c r="P443" i="47"/>
  <c r="A443" i="47"/>
  <c r="U442" i="47"/>
  <c r="T442" i="47"/>
  <c r="P442" i="47"/>
  <c r="D442" i="47"/>
  <c r="O442" i="47" s="1"/>
  <c r="C442" i="47"/>
  <c r="B442" i="47"/>
  <c r="A442" i="47"/>
  <c r="F442" i="47" s="1"/>
  <c r="U441" i="47"/>
  <c r="T441" i="47"/>
  <c r="F441" i="47"/>
  <c r="B441" i="47"/>
  <c r="A441" i="47"/>
  <c r="P441" i="47" s="1"/>
  <c r="U440" i="47"/>
  <c r="T440" i="47"/>
  <c r="P440" i="47"/>
  <c r="B440" i="47"/>
  <c r="A440" i="47"/>
  <c r="U439" i="47"/>
  <c r="T439" i="47"/>
  <c r="A439" i="47"/>
  <c r="U438" i="47"/>
  <c r="T438" i="47"/>
  <c r="F438" i="47"/>
  <c r="A438" i="47"/>
  <c r="P438" i="47" s="1"/>
  <c r="U437" i="47"/>
  <c r="T437" i="47"/>
  <c r="B437" i="47"/>
  <c r="A437" i="47"/>
  <c r="U436" i="47"/>
  <c r="T436" i="47"/>
  <c r="B436" i="47"/>
  <c r="A436" i="47"/>
  <c r="D436" i="47" s="1"/>
  <c r="O436" i="47" s="1"/>
  <c r="U435" i="47"/>
  <c r="T435" i="47"/>
  <c r="F435" i="47"/>
  <c r="A435" i="47"/>
  <c r="P435" i="47" s="1"/>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K430" i="47"/>
  <c r="D430" i="47"/>
  <c r="O430" i="47" s="1"/>
  <c r="C430" i="47"/>
  <c r="N430" i="47" s="1"/>
  <c r="B430" i="47"/>
  <c r="A430" i="47"/>
  <c r="U429" i="47"/>
  <c r="T429" i="47"/>
  <c r="F429" i="47"/>
  <c r="C429" i="47"/>
  <c r="B429" i="47"/>
  <c r="A429" i="47"/>
  <c r="U428" i="47"/>
  <c r="T428" i="47"/>
  <c r="P428" i="47"/>
  <c r="I428" i="47"/>
  <c r="F428" i="47"/>
  <c r="C428" i="47"/>
  <c r="M428" i="47" s="1"/>
  <c r="B428" i="47"/>
  <c r="A428" i="47"/>
  <c r="E428" i="47" s="1"/>
  <c r="U427" i="47"/>
  <c r="T427" i="47"/>
  <c r="F427" i="47"/>
  <c r="D427" i="47"/>
  <c r="A427" i="47"/>
  <c r="P427" i="47" s="1"/>
  <c r="Q427" i="47" s="1"/>
  <c r="U426" i="47"/>
  <c r="T426" i="47"/>
  <c r="P426" i="47"/>
  <c r="Q426" i="47" s="1"/>
  <c r="J426" i="47"/>
  <c r="I426" i="47"/>
  <c r="G426" i="47"/>
  <c r="E426" i="47"/>
  <c r="D426" i="47"/>
  <c r="O426" i="47" s="1"/>
  <c r="C426" i="47"/>
  <c r="M426" i="47" s="1"/>
  <c r="B426" i="47"/>
  <c r="A426" i="47"/>
  <c r="F426" i="47" s="1"/>
  <c r="H426" i="47" s="1"/>
  <c r="U425" i="47"/>
  <c r="T425" i="47"/>
  <c r="H425" i="47"/>
  <c r="F425" i="47"/>
  <c r="C425" i="47"/>
  <c r="B425" i="47"/>
  <c r="G425" i="47" s="1"/>
  <c r="A425" i="47"/>
  <c r="U424" i="47"/>
  <c r="T424" i="47"/>
  <c r="P424" i="47"/>
  <c r="Q424" i="47" s="1"/>
  <c r="N424" i="47"/>
  <c r="M424" i="47"/>
  <c r="F424" i="47"/>
  <c r="C424" i="47"/>
  <c r="K424" i="47" s="1"/>
  <c r="A424" i="47"/>
  <c r="D424" i="47" s="1"/>
  <c r="O424" i="47" s="1"/>
  <c r="U423" i="47"/>
  <c r="T423" i="47"/>
  <c r="A423" i="47"/>
  <c r="U422" i="47"/>
  <c r="T422" i="47"/>
  <c r="P422" i="47"/>
  <c r="F422" i="47"/>
  <c r="A422" i="47"/>
  <c r="C422" i="47" s="1"/>
  <c r="N422" i="47" s="1"/>
  <c r="U421" i="47"/>
  <c r="T421" i="47"/>
  <c r="A421" i="47"/>
  <c r="U420" i="47"/>
  <c r="T420" i="47"/>
  <c r="P420" i="47"/>
  <c r="D420" i="47"/>
  <c r="A420" i="47"/>
  <c r="C420" i="47" s="1"/>
  <c r="U419" i="47"/>
  <c r="T419" i="47"/>
  <c r="P419" i="47"/>
  <c r="H419" i="47"/>
  <c r="D419" i="47"/>
  <c r="O419" i="47" s="1"/>
  <c r="C419" i="47"/>
  <c r="E419" i="47" s="1"/>
  <c r="B419" i="47"/>
  <c r="A419" i="47"/>
  <c r="U418" i="47"/>
  <c r="T418" i="47"/>
  <c r="A418" i="47"/>
  <c r="U417" i="47"/>
  <c r="T417" i="47"/>
  <c r="D417" i="47"/>
  <c r="A417" i="47"/>
  <c r="U416" i="47"/>
  <c r="T416" i="47"/>
  <c r="P416" i="47"/>
  <c r="Q416" i="47" s="1"/>
  <c r="N416" i="47"/>
  <c r="M416" i="47"/>
  <c r="I416" i="47"/>
  <c r="H416" i="47"/>
  <c r="G416" i="47"/>
  <c r="E416" i="47"/>
  <c r="A416" i="47"/>
  <c r="C416" i="47" s="1"/>
  <c r="U415" i="47"/>
  <c r="T415" i="47"/>
  <c r="A415" i="47"/>
  <c r="U414" i="47"/>
  <c r="T414" i="47"/>
  <c r="A414" i="47"/>
  <c r="F414" i="47" s="1"/>
  <c r="U413" i="47"/>
  <c r="T413" i="47"/>
  <c r="A413" i="47"/>
  <c r="U412" i="47"/>
  <c r="T412" i="47"/>
  <c r="F412" i="47"/>
  <c r="A412" i="47"/>
  <c r="U411" i="47"/>
  <c r="T411" i="47"/>
  <c r="P411" i="47"/>
  <c r="C411" i="47"/>
  <c r="L411" i="47" s="1"/>
  <c r="A411" i="47"/>
  <c r="U410" i="47"/>
  <c r="T410" i="47"/>
  <c r="A410" i="47"/>
  <c r="P410" i="47" s="1"/>
  <c r="U409" i="47"/>
  <c r="T409" i="47"/>
  <c r="B409" i="47"/>
  <c r="A409" i="47"/>
  <c r="U408" i="47"/>
  <c r="T408" i="47"/>
  <c r="P408" i="47"/>
  <c r="F408" i="47"/>
  <c r="D408" i="47"/>
  <c r="A408" i="47"/>
  <c r="C408" i="47" s="1"/>
  <c r="U407" i="47"/>
  <c r="T407" i="47"/>
  <c r="A407" i="47"/>
  <c r="D407" i="47" s="1"/>
  <c r="U406" i="47"/>
  <c r="T406" i="47"/>
  <c r="A406" i="47"/>
  <c r="U405" i="47"/>
  <c r="T405" i="47"/>
  <c r="P405" i="47"/>
  <c r="D405" i="47"/>
  <c r="A405" i="47"/>
  <c r="U404" i="47"/>
  <c r="T404" i="47"/>
  <c r="A404" i="47"/>
  <c r="U403" i="47"/>
  <c r="T403" i="47"/>
  <c r="A403" i="47"/>
  <c r="D403" i="47" s="1"/>
  <c r="U402" i="47"/>
  <c r="T402" i="47"/>
  <c r="A402" i="47"/>
  <c r="P402" i="47" s="1"/>
  <c r="U401" i="47"/>
  <c r="T401" i="47"/>
  <c r="P401" i="47"/>
  <c r="B401" i="47"/>
  <c r="A401" i="47"/>
  <c r="U400" i="47"/>
  <c r="T400" i="47"/>
  <c r="P400" i="47"/>
  <c r="D400" i="47"/>
  <c r="A400" i="47"/>
  <c r="U399" i="47"/>
  <c r="T399" i="47"/>
  <c r="A399" i="47"/>
  <c r="U398" i="47"/>
  <c r="T398" i="47"/>
  <c r="P398" i="47"/>
  <c r="A398" i="47"/>
  <c r="U397" i="47"/>
  <c r="T397" i="47"/>
  <c r="D397" i="47"/>
  <c r="C397" i="47"/>
  <c r="A397" i="47"/>
  <c r="U396" i="47"/>
  <c r="T396" i="47"/>
  <c r="P396" i="47"/>
  <c r="H396" i="47"/>
  <c r="F396" i="47"/>
  <c r="E396" i="47"/>
  <c r="D396" i="47"/>
  <c r="A396" i="47"/>
  <c r="C396" i="47" s="1"/>
  <c r="M396" i="47" s="1"/>
  <c r="U395" i="47"/>
  <c r="T395" i="47"/>
  <c r="D395" i="47"/>
  <c r="A395" i="47"/>
  <c r="U394" i="47"/>
  <c r="T394" i="47"/>
  <c r="A394" i="47"/>
  <c r="U393" i="47"/>
  <c r="T393" i="47"/>
  <c r="P393" i="47"/>
  <c r="C393" i="47"/>
  <c r="L393" i="47" s="1"/>
  <c r="B393" i="47"/>
  <c r="A393" i="47"/>
  <c r="D393" i="47" s="1"/>
  <c r="Q393" i="47" s="1"/>
  <c r="U392" i="47"/>
  <c r="T392" i="47"/>
  <c r="P392" i="47"/>
  <c r="F392" i="47"/>
  <c r="D392" i="47"/>
  <c r="A392" i="47"/>
  <c r="C392" i="47" s="1"/>
  <c r="M392" i="47" s="1"/>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D367" i="47"/>
  <c r="A367" i="47"/>
  <c r="U366" i="47"/>
  <c r="T366" i="47"/>
  <c r="A366" i="47"/>
  <c r="U365" i="47"/>
  <c r="T365" i="47"/>
  <c r="A365" i="47"/>
  <c r="U364" i="47"/>
  <c r="T364" i="47"/>
  <c r="A364" i="47"/>
  <c r="U363" i="47"/>
  <c r="T363" i="47"/>
  <c r="A363" i="47"/>
  <c r="F363" i="47" s="1"/>
  <c r="U362" i="47"/>
  <c r="T362" i="47"/>
  <c r="A362" i="47"/>
  <c r="U361" i="47"/>
  <c r="T361" i="47"/>
  <c r="C361" i="47"/>
  <c r="A361" i="47"/>
  <c r="U360" i="47"/>
  <c r="T360" i="47"/>
  <c r="P360" i="47"/>
  <c r="D360" i="47"/>
  <c r="A360" i="47"/>
  <c r="U359" i="47"/>
  <c r="T359" i="47"/>
  <c r="B359" i="47"/>
  <c r="A359" i="47"/>
  <c r="D359" i="47" s="1"/>
  <c r="U358" i="47"/>
  <c r="T358" i="47"/>
  <c r="A358" i="47"/>
  <c r="D358" i="47" s="1"/>
  <c r="O358" i="47" s="1"/>
  <c r="U357" i="47"/>
  <c r="T357" i="47"/>
  <c r="A357" i="47"/>
  <c r="D357" i="47" s="1"/>
  <c r="U356" i="47"/>
  <c r="T356" i="47"/>
  <c r="F356" i="47"/>
  <c r="D356" i="47"/>
  <c r="O356" i="47" s="1"/>
  <c r="C356" i="47"/>
  <c r="A356" i="47"/>
  <c r="U355" i="47"/>
  <c r="T355" i="47"/>
  <c r="A355" i="47"/>
  <c r="U354" i="47"/>
  <c r="T354" i="47"/>
  <c r="P354" i="47"/>
  <c r="C354" i="47"/>
  <c r="M354" i="47" s="1"/>
  <c r="A354" i="47"/>
  <c r="D354" i="47" s="1"/>
  <c r="U353" i="47"/>
  <c r="T353" i="47"/>
  <c r="P353" i="47"/>
  <c r="M353" i="47"/>
  <c r="L353" i="47"/>
  <c r="F353" i="47"/>
  <c r="D353" i="47"/>
  <c r="O353" i="47" s="1"/>
  <c r="B353" i="47"/>
  <c r="A353" i="47"/>
  <c r="C353" i="47" s="1"/>
  <c r="J353" i="47" s="1"/>
  <c r="U352" i="47"/>
  <c r="T352" i="47"/>
  <c r="F352" i="47"/>
  <c r="A352" i="47"/>
  <c r="U351" i="47"/>
  <c r="T351" i="47"/>
  <c r="B351" i="47"/>
  <c r="A351" i="47"/>
  <c r="U350" i="47"/>
  <c r="T350" i="47"/>
  <c r="E350" i="47"/>
  <c r="C350" i="47"/>
  <c r="A350" i="47"/>
  <c r="U349" i="47"/>
  <c r="T349" i="47"/>
  <c r="A349" i="47"/>
  <c r="P349" i="47" s="1"/>
  <c r="U348" i="47"/>
  <c r="T348" i="47"/>
  <c r="A348" i="47"/>
  <c r="U347" i="47"/>
  <c r="T347" i="47"/>
  <c r="D347" i="47"/>
  <c r="O347" i="47" s="1"/>
  <c r="C347" i="47"/>
  <c r="M347" i="47" s="1"/>
  <c r="B347" i="47"/>
  <c r="A347" i="47"/>
  <c r="U346" i="47"/>
  <c r="T346" i="47"/>
  <c r="A346" i="47"/>
  <c r="U345" i="47"/>
  <c r="T345" i="47"/>
  <c r="A345" i="47"/>
  <c r="U344" i="47"/>
  <c r="T344" i="47"/>
  <c r="F344" i="47"/>
  <c r="D344" i="47"/>
  <c r="O344" i="47" s="1"/>
  <c r="B344" i="47"/>
  <c r="A344" i="47"/>
  <c r="P344" i="47" s="1"/>
  <c r="U343" i="47"/>
  <c r="T343" i="47"/>
  <c r="B343" i="47"/>
  <c r="A343" i="47"/>
  <c r="P343" i="47" s="1"/>
  <c r="U342" i="47"/>
  <c r="T342" i="47"/>
  <c r="B342" i="47"/>
  <c r="A342" i="47"/>
  <c r="U341" i="47"/>
  <c r="T341" i="47"/>
  <c r="D341" i="47"/>
  <c r="O341" i="47" s="1"/>
  <c r="C341" i="47"/>
  <c r="K341" i="47" s="1"/>
  <c r="B341" i="47"/>
  <c r="A341" i="47"/>
  <c r="U340" i="47"/>
  <c r="T340" i="47"/>
  <c r="P340" i="47"/>
  <c r="Q340" i="47" s="1"/>
  <c r="B340" i="47"/>
  <c r="A340" i="47"/>
  <c r="U339" i="47"/>
  <c r="T339" i="47"/>
  <c r="A339" i="47"/>
  <c r="U338" i="47"/>
  <c r="T338" i="47"/>
  <c r="A338" i="47"/>
  <c r="U337" i="47"/>
  <c r="T337" i="47"/>
  <c r="P337" i="47"/>
  <c r="D337" i="47"/>
  <c r="O337" i="47" s="1"/>
  <c r="B337" i="47"/>
  <c r="A337" i="47"/>
  <c r="Q337" i="47" s="1"/>
  <c r="U336" i="47"/>
  <c r="T336" i="47"/>
  <c r="J336" i="47"/>
  <c r="B336" i="47"/>
  <c r="A336" i="47"/>
  <c r="C336" i="47" s="1"/>
  <c r="U335" i="47"/>
  <c r="T335" i="47"/>
  <c r="D335" i="47"/>
  <c r="A335" i="47"/>
  <c r="U334" i="47"/>
  <c r="T334" i="47"/>
  <c r="A334" i="47"/>
  <c r="U333" i="47"/>
  <c r="T333" i="47"/>
  <c r="P333" i="47"/>
  <c r="F333" i="47"/>
  <c r="D333" i="47"/>
  <c r="C333" i="47"/>
  <c r="J333" i="47" s="1"/>
  <c r="B333" i="47"/>
  <c r="A333" i="47"/>
  <c r="U332" i="47"/>
  <c r="T332" i="47"/>
  <c r="P332" i="47"/>
  <c r="C332" i="47"/>
  <c r="A332" i="47"/>
  <c r="U331" i="47"/>
  <c r="T331" i="47"/>
  <c r="A331" i="47"/>
  <c r="U330" i="47"/>
  <c r="T330" i="47"/>
  <c r="A330" i="47"/>
  <c r="U329" i="47"/>
  <c r="T329" i="47"/>
  <c r="A329" i="47"/>
  <c r="U328" i="47"/>
  <c r="T328" i="47"/>
  <c r="D328" i="47"/>
  <c r="C328" i="47"/>
  <c r="K328" i="47" s="1"/>
  <c r="B328" i="47"/>
  <c r="A328" i="47"/>
  <c r="U327" i="47"/>
  <c r="T327" i="47"/>
  <c r="F327" i="47"/>
  <c r="E327" i="47"/>
  <c r="D327" i="47"/>
  <c r="C327" i="47"/>
  <c r="K327" i="47" s="1"/>
  <c r="A327" i="47"/>
  <c r="P327" i="47" s="1"/>
  <c r="U326" i="47"/>
  <c r="T326" i="47"/>
  <c r="C326" i="47"/>
  <c r="A326" i="47"/>
  <c r="P326" i="47" s="1"/>
  <c r="U325" i="47"/>
  <c r="T325" i="47"/>
  <c r="P325" i="47"/>
  <c r="A325" i="47"/>
  <c r="U324" i="47"/>
  <c r="T324" i="47"/>
  <c r="P324" i="47"/>
  <c r="F324" i="47"/>
  <c r="D324" i="47"/>
  <c r="O324" i="47" s="1"/>
  <c r="C324" i="47"/>
  <c r="N324" i="47" s="1"/>
  <c r="B324" i="47"/>
  <c r="A324" i="47"/>
  <c r="U323" i="47"/>
  <c r="T323" i="47"/>
  <c r="A323" i="47"/>
  <c r="F323" i="47" s="1"/>
  <c r="U322" i="47"/>
  <c r="T322" i="47"/>
  <c r="C322" i="47"/>
  <c r="A322" i="47"/>
  <c r="U321" i="47"/>
  <c r="T321" i="47"/>
  <c r="P321" i="47"/>
  <c r="D321" i="47"/>
  <c r="O321" i="47" s="1"/>
  <c r="C321" i="47"/>
  <c r="N321" i="47" s="1"/>
  <c r="B321" i="47"/>
  <c r="A321" i="47"/>
  <c r="U320" i="47"/>
  <c r="T320" i="47"/>
  <c r="F320" i="47"/>
  <c r="A320" i="47"/>
  <c r="U319" i="47"/>
  <c r="T319" i="47"/>
  <c r="A319" i="47"/>
  <c r="P319" i="47" s="1"/>
  <c r="U318" i="47"/>
  <c r="T318" i="47"/>
  <c r="L318" i="47"/>
  <c r="F318" i="47"/>
  <c r="C318" i="47"/>
  <c r="K318" i="47" s="1"/>
  <c r="A318" i="47"/>
  <c r="B318" i="47" s="1"/>
  <c r="U317" i="47"/>
  <c r="T317" i="47"/>
  <c r="A317" i="47"/>
  <c r="U316" i="47"/>
  <c r="T316" i="47"/>
  <c r="F316" i="47"/>
  <c r="A316" i="47"/>
  <c r="U315" i="47"/>
  <c r="T315" i="47"/>
  <c r="A315" i="47"/>
  <c r="F315" i="47" s="1"/>
  <c r="U314" i="47"/>
  <c r="T314" i="47"/>
  <c r="P314" i="47"/>
  <c r="D314" i="47"/>
  <c r="C314" i="47"/>
  <c r="N314" i="47" s="1"/>
  <c r="A314" i="47"/>
  <c r="B314" i="47" s="1"/>
  <c r="U313" i="47"/>
  <c r="T313" i="47"/>
  <c r="P313" i="47"/>
  <c r="K313" i="47"/>
  <c r="J313" i="47"/>
  <c r="E313" i="47"/>
  <c r="D313" i="47"/>
  <c r="O313" i="47" s="1"/>
  <c r="C313" i="47"/>
  <c r="B313" i="47"/>
  <c r="A313" i="47"/>
  <c r="F313" i="47" s="1"/>
  <c r="U312" i="47"/>
  <c r="T312" i="47"/>
  <c r="F312" i="47"/>
  <c r="C312" i="47"/>
  <c r="B312" i="47"/>
  <c r="A312" i="47"/>
  <c r="U311" i="47"/>
  <c r="T311" i="47"/>
  <c r="A311" i="47"/>
  <c r="U310" i="47"/>
  <c r="T310" i="47"/>
  <c r="P310" i="47"/>
  <c r="N310" i="47"/>
  <c r="D310" i="47"/>
  <c r="C310" i="47"/>
  <c r="J310" i="47" s="1"/>
  <c r="A310" i="47"/>
  <c r="U309" i="47"/>
  <c r="T309" i="47"/>
  <c r="P309" i="47"/>
  <c r="J309" i="47"/>
  <c r="H309" i="47"/>
  <c r="D309" i="47"/>
  <c r="O309" i="47" s="1"/>
  <c r="C309" i="47"/>
  <c r="G309" i="47" s="1"/>
  <c r="A309" i="47"/>
  <c r="U308" i="47"/>
  <c r="T308" i="47"/>
  <c r="F308" i="47"/>
  <c r="D308" i="47"/>
  <c r="O308" i="47" s="1"/>
  <c r="A308" i="47"/>
  <c r="U307" i="47"/>
  <c r="T307" i="47"/>
  <c r="A307" i="47"/>
  <c r="U306" i="47"/>
  <c r="T306" i="47"/>
  <c r="F306" i="47"/>
  <c r="A306" i="47"/>
  <c r="P306" i="47" s="1"/>
  <c r="U305" i="47"/>
  <c r="T305" i="47"/>
  <c r="D305" i="47"/>
  <c r="O305" i="47" s="1"/>
  <c r="A305" i="47"/>
  <c r="U304" i="47"/>
  <c r="T304" i="47"/>
  <c r="F304" i="47"/>
  <c r="D304" i="47"/>
  <c r="O304" i="47" s="1"/>
  <c r="C304" i="47"/>
  <c r="B304" i="47"/>
  <c r="A304" i="47"/>
  <c r="U303" i="47"/>
  <c r="T303" i="47"/>
  <c r="A303" i="47"/>
  <c r="B303" i="47" s="1"/>
  <c r="U302" i="47"/>
  <c r="T302" i="47"/>
  <c r="A302" i="47"/>
  <c r="U301" i="47"/>
  <c r="T301" i="47"/>
  <c r="B301" i="47"/>
  <c r="A301" i="47"/>
  <c r="U300" i="47"/>
  <c r="T300" i="47"/>
  <c r="F300" i="47"/>
  <c r="A300" i="47"/>
  <c r="C300" i="47" s="1"/>
  <c r="U299" i="47"/>
  <c r="T299" i="47"/>
  <c r="A299" i="47"/>
  <c r="U298" i="47"/>
  <c r="T298" i="47"/>
  <c r="F298" i="47"/>
  <c r="A298" i="47"/>
  <c r="P298" i="47" s="1"/>
  <c r="U297" i="47"/>
  <c r="T297" i="47"/>
  <c r="A297" i="47"/>
  <c r="U296" i="47"/>
  <c r="T296" i="47"/>
  <c r="A296" i="47"/>
  <c r="U295" i="47"/>
  <c r="T295" i="47"/>
  <c r="P295" i="47"/>
  <c r="Q295" i="47" s="1"/>
  <c r="J295" i="47"/>
  <c r="F295" i="47"/>
  <c r="C295" i="47"/>
  <c r="A295" i="47"/>
  <c r="U294" i="47"/>
  <c r="T294" i="47"/>
  <c r="F294" i="47"/>
  <c r="D294" i="47"/>
  <c r="O294" i="47" s="1"/>
  <c r="A294" i="47"/>
  <c r="P294" i="47" s="1"/>
  <c r="U293" i="47"/>
  <c r="T293" i="47"/>
  <c r="A293" i="47"/>
  <c r="U292" i="47"/>
  <c r="T292" i="47"/>
  <c r="N292" i="47"/>
  <c r="F292" i="47"/>
  <c r="D292" i="47"/>
  <c r="O292" i="47" s="1"/>
  <c r="C292" i="47"/>
  <c r="L292" i="47" s="1"/>
  <c r="B292" i="47"/>
  <c r="M292" i="47" s="1"/>
  <c r="A292" i="47"/>
  <c r="U291" i="47"/>
  <c r="T291" i="47"/>
  <c r="A291" i="47"/>
  <c r="U290" i="47"/>
  <c r="T290" i="47"/>
  <c r="A290" i="47"/>
  <c r="F290" i="47" s="1"/>
  <c r="U289" i="47"/>
  <c r="T289" i="47"/>
  <c r="P289" i="47"/>
  <c r="B289" i="47"/>
  <c r="A289" i="47"/>
  <c r="U288" i="47"/>
  <c r="T288" i="47"/>
  <c r="D288" i="47"/>
  <c r="O288" i="47" s="1"/>
  <c r="C288" i="47"/>
  <c r="A288" i="47"/>
  <c r="U287" i="47"/>
  <c r="T287" i="47"/>
  <c r="B287" i="47"/>
  <c r="A287" i="47"/>
  <c r="U286" i="47"/>
  <c r="T286" i="47"/>
  <c r="D286" i="47"/>
  <c r="A286" i="47"/>
  <c r="P286" i="47" s="1"/>
  <c r="U285" i="47"/>
  <c r="T285" i="47"/>
  <c r="B285" i="47"/>
  <c r="A285" i="47"/>
  <c r="U284" i="47"/>
  <c r="T284" i="47"/>
  <c r="F284" i="47"/>
  <c r="D284" i="47"/>
  <c r="O284" i="47" s="1"/>
  <c r="A284" i="47"/>
  <c r="U283" i="47"/>
  <c r="T283" i="47"/>
  <c r="A283" i="47"/>
  <c r="U282" i="47"/>
  <c r="T282" i="47"/>
  <c r="A282" i="47"/>
  <c r="U281" i="47"/>
  <c r="T281" i="47"/>
  <c r="P281" i="47"/>
  <c r="F281" i="47"/>
  <c r="C281" i="47"/>
  <c r="B281" i="47"/>
  <c r="A281" i="47"/>
  <c r="D281" i="47" s="1"/>
  <c r="O281" i="47" s="1"/>
  <c r="U280" i="47"/>
  <c r="T280" i="47"/>
  <c r="A280" i="47"/>
  <c r="B280" i="47" s="1"/>
  <c r="U279" i="47"/>
  <c r="T279" i="47"/>
  <c r="A279" i="47"/>
  <c r="U278" i="47"/>
  <c r="T278" i="47"/>
  <c r="A278" i="47"/>
  <c r="D278" i="47" s="1"/>
  <c r="U277" i="47"/>
  <c r="T277" i="47"/>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F273" i="47"/>
  <c r="D273" i="47"/>
  <c r="O273" i="47" s="1"/>
  <c r="B273" i="47"/>
  <c r="A273" i="47"/>
  <c r="U272" i="47"/>
  <c r="T272" i="47"/>
  <c r="D272" i="47"/>
  <c r="O272" i="47" s="1"/>
  <c r="A272" i="47"/>
  <c r="U271" i="47"/>
  <c r="T271" i="47"/>
  <c r="C271" i="47"/>
  <c r="A271" i="47"/>
  <c r="U270" i="47"/>
  <c r="T270" i="47"/>
  <c r="A270" i="47"/>
  <c r="D270" i="47" s="1"/>
  <c r="U269" i="47"/>
  <c r="T269" i="47"/>
  <c r="P269" i="47"/>
  <c r="C269" i="47"/>
  <c r="A269" i="47"/>
  <c r="U268" i="47"/>
  <c r="T268" i="47"/>
  <c r="B268" i="47"/>
  <c r="A268" i="47"/>
  <c r="C268" i="47" s="1"/>
  <c r="U267" i="47"/>
  <c r="T267" i="47"/>
  <c r="P267" i="47"/>
  <c r="C267" i="47"/>
  <c r="A267" i="47"/>
  <c r="U266" i="47"/>
  <c r="T266" i="47"/>
  <c r="D266" i="47"/>
  <c r="O266" i="47" s="1"/>
  <c r="A266" i="47"/>
  <c r="U265" i="47"/>
  <c r="T265" i="47"/>
  <c r="D265" i="47"/>
  <c r="O265" i="47" s="1"/>
  <c r="C265" i="47"/>
  <c r="N265" i="47" s="1"/>
  <c r="A265" i="47"/>
  <c r="I265" i="47" s="1"/>
  <c r="U264" i="47"/>
  <c r="T264" i="47"/>
  <c r="I264" i="47"/>
  <c r="H264" i="47"/>
  <c r="D264" i="47"/>
  <c r="O264" i="47" s="1"/>
  <c r="C264" i="47"/>
  <c r="E264" i="47" s="1"/>
  <c r="A264" i="47"/>
  <c r="F264" i="47" s="1"/>
  <c r="U263" i="47"/>
  <c r="T263" i="47"/>
  <c r="A263" i="47"/>
  <c r="U262" i="47"/>
  <c r="T262" i="47"/>
  <c r="A262" i="47"/>
  <c r="U261" i="47"/>
  <c r="T261" i="47"/>
  <c r="K261" i="47"/>
  <c r="H261" i="47"/>
  <c r="G261" i="47"/>
  <c r="F261" i="47"/>
  <c r="N261" i="47" s="1"/>
  <c r="D261" i="47"/>
  <c r="O261" i="47" s="1"/>
  <c r="C261" i="47"/>
  <c r="J261" i="47" s="1"/>
  <c r="A261" i="47"/>
  <c r="E261" i="47" s="1"/>
  <c r="U260" i="47"/>
  <c r="T260" i="47"/>
  <c r="D260" i="47"/>
  <c r="O260" i="47" s="1"/>
  <c r="A260" i="47"/>
  <c r="U259" i="47"/>
  <c r="T259" i="47"/>
  <c r="B259" i="47"/>
  <c r="A259" i="47"/>
  <c r="U258" i="47"/>
  <c r="T258" i="47"/>
  <c r="L258" i="47"/>
  <c r="F258" i="47"/>
  <c r="A258" i="47"/>
  <c r="C258" i="47" s="1"/>
  <c r="U257" i="47"/>
  <c r="T257" i="47"/>
  <c r="F257" i="47"/>
  <c r="D257" i="47"/>
  <c r="O257" i="47" s="1"/>
  <c r="C257" i="47"/>
  <c r="J257" i="47" s="1"/>
  <c r="B257" i="47"/>
  <c r="A257" i="47"/>
  <c r="P257" i="47" s="1"/>
  <c r="U256" i="47"/>
  <c r="T256" i="47"/>
  <c r="A256" i="47"/>
  <c r="U255" i="47"/>
  <c r="T255" i="47"/>
  <c r="A255" i="47"/>
  <c r="P255" i="47" s="1"/>
  <c r="U254" i="47"/>
  <c r="T254" i="47"/>
  <c r="A254" i="47"/>
  <c r="C254" i="47" s="1"/>
  <c r="K254" i="47" s="1"/>
  <c r="U253" i="47"/>
  <c r="T253" i="47"/>
  <c r="P253" i="47"/>
  <c r="F253" i="47"/>
  <c r="E253" i="47"/>
  <c r="D253" i="47"/>
  <c r="O253" i="47" s="1"/>
  <c r="C253" i="47"/>
  <c r="K253" i="47" s="1"/>
  <c r="B253" i="47"/>
  <c r="A253" i="47"/>
  <c r="U252" i="47"/>
  <c r="T252" i="47"/>
  <c r="A252" i="47"/>
  <c r="U251" i="47"/>
  <c r="T251" i="47"/>
  <c r="A251" i="47"/>
  <c r="P251" i="47" s="1"/>
  <c r="U250" i="47"/>
  <c r="T250" i="47"/>
  <c r="A250" i="47"/>
  <c r="U249" i="47"/>
  <c r="T249" i="47"/>
  <c r="C249" i="47"/>
  <c r="B249" i="47"/>
  <c r="A249" i="47"/>
  <c r="U248" i="47"/>
  <c r="T248" i="47"/>
  <c r="F248" i="47"/>
  <c r="E248" i="47"/>
  <c r="D248" i="47"/>
  <c r="O248" i="47" s="1"/>
  <c r="C248" i="47"/>
  <c r="J248" i="47" s="1"/>
  <c r="B248" i="47"/>
  <c r="A248" i="47"/>
  <c r="U247" i="47"/>
  <c r="T247" i="47"/>
  <c r="M247" i="47"/>
  <c r="L247" i="47"/>
  <c r="J247" i="47"/>
  <c r="F247" i="47"/>
  <c r="C247" i="47"/>
  <c r="A247" i="47"/>
  <c r="U246" i="47"/>
  <c r="T246" i="47"/>
  <c r="A246" i="47"/>
  <c r="P246" i="47" s="1"/>
  <c r="U245" i="47"/>
  <c r="T245" i="47"/>
  <c r="A245" i="47"/>
  <c r="U244" i="47"/>
  <c r="T244" i="47"/>
  <c r="N244" i="47"/>
  <c r="L244" i="47"/>
  <c r="E244" i="47"/>
  <c r="C244" i="47"/>
  <c r="B244" i="47"/>
  <c r="A244" i="47"/>
  <c r="U243" i="47"/>
  <c r="T243" i="47"/>
  <c r="A243" i="47"/>
  <c r="U242" i="47"/>
  <c r="T242" i="47"/>
  <c r="A242" i="47"/>
  <c r="F242" i="47" s="1"/>
  <c r="U241" i="47"/>
  <c r="T241" i="47"/>
  <c r="D241" i="47"/>
  <c r="A241" i="47"/>
  <c r="B241" i="47" s="1"/>
  <c r="U240" i="47"/>
  <c r="T240" i="47"/>
  <c r="L240" i="47"/>
  <c r="K240" i="47"/>
  <c r="E240" i="47"/>
  <c r="C240" i="47"/>
  <c r="J240" i="47" s="1"/>
  <c r="A240" i="47"/>
  <c r="U239" i="47"/>
  <c r="T239" i="47"/>
  <c r="A239" i="47"/>
  <c r="P239" i="47" s="1"/>
  <c r="U238" i="47"/>
  <c r="T238" i="47"/>
  <c r="F238" i="47"/>
  <c r="A238" i="47"/>
  <c r="P238" i="47" s="1"/>
  <c r="U237" i="47"/>
  <c r="T237" i="47"/>
  <c r="A237" i="47"/>
  <c r="D237" i="47" s="1"/>
  <c r="O237" i="47" s="1"/>
  <c r="U236" i="47"/>
  <c r="T236" i="47"/>
  <c r="F236" i="47"/>
  <c r="D236" i="47"/>
  <c r="B236" i="47"/>
  <c r="M236" i="47" s="1"/>
  <c r="A236" i="47"/>
  <c r="C236" i="47" s="1"/>
  <c r="U235" i="47"/>
  <c r="T235" i="47"/>
  <c r="P235" i="47"/>
  <c r="A235" i="47"/>
  <c r="U234" i="47"/>
  <c r="T234" i="47"/>
  <c r="A234" i="47"/>
  <c r="U233" i="47"/>
  <c r="T233" i="47"/>
  <c r="D233" i="47"/>
  <c r="O233" i="47" s="1"/>
  <c r="A233" i="47"/>
  <c r="B233" i="47" s="1"/>
  <c r="U232" i="47"/>
  <c r="T232" i="47"/>
  <c r="H232" i="47"/>
  <c r="F232" i="47"/>
  <c r="D232" i="47"/>
  <c r="C232" i="47"/>
  <c r="M232" i="47" s="1"/>
  <c r="B232" i="47"/>
  <c r="A232" i="47"/>
  <c r="U231" i="47"/>
  <c r="T231" i="47"/>
  <c r="P231" i="47"/>
  <c r="F231" i="47"/>
  <c r="A231" i="47"/>
  <c r="U230" i="47"/>
  <c r="T230" i="47"/>
  <c r="P230" i="47"/>
  <c r="A230" i="47"/>
  <c r="U229" i="47"/>
  <c r="T229" i="47"/>
  <c r="P229" i="47"/>
  <c r="F229" i="47"/>
  <c r="A229" i="47"/>
  <c r="D229" i="47" s="1"/>
  <c r="O229" i="47" s="1"/>
  <c r="U228" i="47"/>
  <c r="T228" i="47"/>
  <c r="L228" i="47"/>
  <c r="K228" i="47"/>
  <c r="F228" i="47"/>
  <c r="C228" i="47"/>
  <c r="B228" i="47"/>
  <c r="A228" i="47"/>
  <c r="U227" i="47"/>
  <c r="T227" i="47"/>
  <c r="F227" i="47"/>
  <c r="A227" i="47"/>
  <c r="U226" i="47"/>
  <c r="T226" i="47"/>
  <c r="P226" i="47"/>
  <c r="D226" i="47"/>
  <c r="O226" i="47" s="1"/>
  <c r="A226" i="47"/>
  <c r="F226" i="47" s="1"/>
  <c r="U225" i="47"/>
  <c r="T225" i="47"/>
  <c r="P225" i="47"/>
  <c r="F225" i="47"/>
  <c r="A225" i="47"/>
  <c r="D225" i="47" s="1"/>
  <c r="O225" i="47" s="1"/>
  <c r="U224" i="47"/>
  <c r="T224" i="47"/>
  <c r="A224" i="47"/>
  <c r="F224" i="47" s="1"/>
  <c r="U223" i="47"/>
  <c r="T223" i="47"/>
  <c r="A223" i="47"/>
  <c r="U222" i="47"/>
  <c r="T222" i="47"/>
  <c r="K222" i="47"/>
  <c r="C222" i="47"/>
  <c r="A222" i="47"/>
  <c r="U221" i="47"/>
  <c r="T221" i="47"/>
  <c r="P221" i="47"/>
  <c r="D221" i="47"/>
  <c r="O221" i="47" s="1"/>
  <c r="A221" i="47"/>
  <c r="B221" i="47" s="1"/>
  <c r="U220" i="47"/>
  <c r="T220" i="47"/>
  <c r="L220" i="47"/>
  <c r="K220" i="47"/>
  <c r="D220" i="47"/>
  <c r="C220" i="47"/>
  <c r="J220" i="47" s="1"/>
  <c r="B220" i="47"/>
  <c r="A220" i="47"/>
  <c r="F220" i="47" s="1"/>
  <c r="U219" i="47"/>
  <c r="T219" i="47"/>
  <c r="A219" i="47"/>
  <c r="U218" i="47"/>
  <c r="T218" i="47"/>
  <c r="F218" i="47"/>
  <c r="A218" i="47"/>
  <c r="D218" i="47" s="1"/>
  <c r="O218" i="47" s="1"/>
  <c r="U217" i="47"/>
  <c r="T217" i="47"/>
  <c r="P217" i="47"/>
  <c r="F217" i="47"/>
  <c r="D217" i="47"/>
  <c r="O217" i="47" s="1"/>
  <c r="B217" i="47"/>
  <c r="A217" i="47"/>
  <c r="U216" i="47"/>
  <c r="T216" i="47"/>
  <c r="D216" i="47"/>
  <c r="A216" i="47"/>
  <c r="F216" i="47" s="1"/>
  <c r="U215" i="47"/>
  <c r="T215" i="47"/>
  <c r="P215" i="47"/>
  <c r="F215" i="47"/>
  <c r="B215" i="47"/>
  <c r="A215" i="47"/>
  <c r="U214" i="47"/>
  <c r="T214" i="47"/>
  <c r="D214" i="47"/>
  <c r="O214" i="47" s="1"/>
  <c r="A214" i="47"/>
  <c r="F214" i="47" s="1"/>
  <c r="U213" i="47"/>
  <c r="T213" i="47"/>
  <c r="P213" i="47"/>
  <c r="F213" i="47"/>
  <c r="B213" i="47"/>
  <c r="A213" i="47"/>
  <c r="D213" i="47" s="1"/>
  <c r="O213" i="47" s="1"/>
  <c r="U212" i="47"/>
  <c r="T212" i="47"/>
  <c r="F212" i="47"/>
  <c r="A212" i="47"/>
  <c r="U211" i="47"/>
  <c r="T211" i="47"/>
  <c r="A211" i="47"/>
  <c r="U210" i="47"/>
  <c r="T210" i="47"/>
  <c r="A210" i="47"/>
  <c r="U209" i="47"/>
  <c r="T209" i="47"/>
  <c r="P209" i="47"/>
  <c r="F209" i="47"/>
  <c r="B209" i="47"/>
  <c r="A209" i="47"/>
  <c r="U208" i="47"/>
  <c r="T208" i="47"/>
  <c r="F208" i="47"/>
  <c r="D208" i="47"/>
  <c r="B208" i="47"/>
  <c r="A208" i="47"/>
  <c r="U207" i="47"/>
  <c r="T207" i="47"/>
  <c r="F207" i="47"/>
  <c r="A207" i="47"/>
  <c r="U206" i="47"/>
  <c r="T206" i="47"/>
  <c r="F206" i="47"/>
  <c r="A206" i="47"/>
  <c r="B206" i="47" s="1"/>
  <c r="U205" i="47"/>
  <c r="T205" i="47"/>
  <c r="P205" i="47"/>
  <c r="N205" i="47"/>
  <c r="I205" i="47"/>
  <c r="H205" i="47"/>
  <c r="F205" i="47"/>
  <c r="C205" i="47"/>
  <c r="J205" i="47" s="1"/>
  <c r="B205" i="47"/>
  <c r="A205" i="47"/>
  <c r="U204" i="47"/>
  <c r="T204" i="47"/>
  <c r="F204" i="47"/>
  <c r="L204" i="47" s="1"/>
  <c r="D204" i="47"/>
  <c r="C204" i="47"/>
  <c r="J204" i="47" s="1"/>
  <c r="B204" i="47"/>
  <c r="A204" i="47"/>
  <c r="U203" i="47"/>
  <c r="T203" i="47"/>
  <c r="A203" i="47"/>
  <c r="U202" i="47"/>
  <c r="T202" i="47"/>
  <c r="B202" i="47"/>
  <c r="A202" i="47"/>
  <c r="U201" i="47"/>
  <c r="T201" i="47"/>
  <c r="P201" i="47"/>
  <c r="F201" i="47"/>
  <c r="B201" i="47"/>
  <c r="A201" i="47"/>
  <c r="U200" i="47"/>
  <c r="T200" i="47"/>
  <c r="F200" i="47"/>
  <c r="D200" i="47"/>
  <c r="O200" i="47" s="1"/>
  <c r="A200" i="47"/>
  <c r="U199" i="47"/>
  <c r="T199" i="47"/>
  <c r="A199" i="47"/>
  <c r="U198" i="47"/>
  <c r="T198" i="47"/>
  <c r="P198" i="47"/>
  <c r="F198" i="47"/>
  <c r="D198" i="47"/>
  <c r="O198" i="47" s="1"/>
  <c r="C198" i="47"/>
  <c r="N198" i="47" s="1"/>
  <c r="B198" i="47"/>
  <c r="A198" i="47"/>
  <c r="U197" i="47"/>
  <c r="T197" i="47"/>
  <c r="P197" i="47"/>
  <c r="F197" i="47"/>
  <c r="D197" i="47"/>
  <c r="O197" i="47" s="1"/>
  <c r="C197" i="47"/>
  <c r="N197" i="47" s="1"/>
  <c r="B197" i="47"/>
  <c r="A197" i="47"/>
  <c r="U196" i="47"/>
  <c r="T196" i="47"/>
  <c r="J196" i="47"/>
  <c r="D196" i="47"/>
  <c r="O196" i="47" s="1"/>
  <c r="C196" i="47"/>
  <c r="E196" i="47" s="1"/>
  <c r="A196" i="47"/>
  <c r="U195" i="47"/>
  <c r="T195" i="47"/>
  <c r="A195" i="47"/>
  <c r="P195" i="47" s="1"/>
  <c r="U194" i="47"/>
  <c r="T194" i="47"/>
  <c r="F194" i="47"/>
  <c r="A194" i="47"/>
  <c r="U193" i="47"/>
  <c r="T193" i="47"/>
  <c r="A193" i="47"/>
  <c r="U192" i="47"/>
  <c r="T192" i="47"/>
  <c r="F192" i="47"/>
  <c r="A192" i="47"/>
  <c r="D192" i="47" s="1"/>
  <c r="O192" i="47" s="1"/>
  <c r="U191" i="47"/>
  <c r="T191" i="47"/>
  <c r="A191" i="47"/>
  <c r="U190" i="47"/>
  <c r="T190" i="47"/>
  <c r="P190" i="47"/>
  <c r="B190" i="47"/>
  <c r="A190" i="47"/>
  <c r="U189" i="47"/>
  <c r="T189" i="47"/>
  <c r="P189" i="47"/>
  <c r="F189" i="47"/>
  <c r="D189" i="47"/>
  <c r="O189" i="47" s="1"/>
  <c r="B189" i="47"/>
  <c r="A189" i="47"/>
  <c r="U188" i="47"/>
  <c r="T188" i="47"/>
  <c r="F188" i="47"/>
  <c r="A188" i="47"/>
  <c r="D188" i="47" s="1"/>
  <c r="O188" i="47" s="1"/>
  <c r="U187" i="47"/>
  <c r="T187" i="47"/>
  <c r="A187" i="47"/>
  <c r="U186" i="47"/>
  <c r="T186" i="47"/>
  <c r="P186" i="47"/>
  <c r="C186" i="47"/>
  <c r="N186" i="47" s="1"/>
  <c r="B186" i="47"/>
  <c r="A186" i="47"/>
  <c r="U185" i="47"/>
  <c r="T185" i="47"/>
  <c r="F185" i="47"/>
  <c r="A185" i="47"/>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L180" i="47" s="1"/>
  <c r="U179" i="47"/>
  <c r="T179" i="47"/>
  <c r="F179" i="47"/>
  <c r="B179" i="47"/>
  <c r="A179" i="47"/>
  <c r="P179" i="47" s="1"/>
  <c r="U178" i="47"/>
  <c r="T178" i="47"/>
  <c r="P178" i="47"/>
  <c r="F178" i="47"/>
  <c r="C178" i="47"/>
  <c r="B178" i="47"/>
  <c r="A178" i="47"/>
  <c r="D178" i="47" s="1"/>
  <c r="O178" i="47" s="1"/>
  <c r="U177" i="47"/>
  <c r="T177" i="47"/>
  <c r="A177" i="47"/>
  <c r="U176" i="47"/>
  <c r="T176" i="47"/>
  <c r="F176" i="47"/>
  <c r="D176" i="47"/>
  <c r="O176" i="47" s="1"/>
  <c r="C176" i="47"/>
  <c r="B176" i="47"/>
  <c r="A176" i="47"/>
  <c r="U175" i="47"/>
  <c r="T175" i="47"/>
  <c r="F175" i="47"/>
  <c r="A175" i="47"/>
  <c r="U174" i="47"/>
  <c r="T174" i="47"/>
  <c r="P174" i="47"/>
  <c r="F174" i="47"/>
  <c r="B174" i="47"/>
  <c r="A174" i="47"/>
  <c r="D174" i="47" s="1"/>
  <c r="O174" i="47" s="1"/>
  <c r="U173" i="47"/>
  <c r="T173" i="47"/>
  <c r="A173" i="47"/>
  <c r="U172" i="47"/>
  <c r="T172" i="47"/>
  <c r="C172" i="47"/>
  <c r="B172" i="47"/>
  <c r="A172" i="47"/>
  <c r="F172" i="47" s="1"/>
  <c r="U171" i="47"/>
  <c r="T171" i="47"/>
  <c r="A171" i="47"/>
  <c r="P171" i="47" s="1"/>
  <c r="U170" i="47"/>
  <c r="T170" i="47"/>
  <c r="B170" i="47"/>
  <c r="A170" i="47"/>
  <c r="U169" i="47"/>
  <c r="T169" i="47"/>
  <c r="F169" i="47"/>
  <c r="D169" i="47"/>
  <c r="A169" i="47"/>
  <c r="P169" i="47" s="1"/>
  <c r="U168" i="47"/>
  <c r="T168" i="47"/>
  <c r="A168" i="47"/>
  <c r="U167" i="47"/>
  <c r="T167" i="47"/>
  <c r="A167" i="47"/>
  <c r="U166" i="47"/>
  <c r="T166" i="47"/>
  <c r="L166" i="47"/>
  <c r="J166" i="47"/>
  <c r="E166" i="47"/>
  <c r="D166" i="47"/>
  <c r="O166" i="47" s="1"/>
  <c r="C166" i="47"/>
  <c r="I166" i="47" s="1"/>
  <c r="B166" i="47"/>
  <c r="A166" i="47"/>
  <c r="P166" i="47" s="1"/>
  <c r="U165" i="47"/>
  <c r="T165" i="47"/>
  <c r="A165" i="47"/>
  <c r="U164" i="47"/>
  <c r="T164" i="47"/>
  <c r="M164" i="47"/>
  <c r="K164" i="47"/>
  <c r="G164" i="47"/>
  <c r="E164" i="47"/>
  <c r="D164" i="47"/>
  <c r="O164" i="47" s="1"/>
  <c r="C164" i="47"/>
  <c r="L164" i="47" s="1"/>
  <c r="B164" i="47"/>
  <c r="A164" i="47"/>
  <c r="J164" i="47" s="1"/>
  <c r="U163" i="47"/>
  <c r="T163" i="47"/>
  <c r="A163" i="47"/>
  <c r="U162" i="47"/>
  <c r="T162" i="47"/>
  <c r="C162" i="47"/>
  <c r="B162" i="47"/>
  <c r="A162" i="47"/>
  <c r="P162" i="47" s="1"/>
  <c r="U161" i="47"/>
  <c r="T161" i="47"/>
  <c r="F161" i="47"/>
  <c r="D161" i="47"/>
  <c r="O161" i="47" s="1"/>
  <c r="A161" i="47"/>
  <c r="U160" i="47"/>
  <c r="T160" i="47"/>
  <c r="M160" i="47"/>
  <c r="G160" i="47"/>
  <c r="F160" i="47"/>
  <c r="C160" i="47"/>
  <c r="B160" i="47"/>
  <c r="A160" i="47"/>
  <c r="E160" i="47" s="1"/>
  <c r="U159" i="47"/>
  <c r="T159" i="47"/>
  <c r="P159" i="47"/>
  <c r="A159" i="47"/>
  <c r="U158" i="47"/>
  <c r="T158" i="47"/>
  <c r="A158" i="47"/>
  <c r="U157" i="47"/>
  <c r="T157" i="47"/>
  <c r="A157" i="47"/>
  <c r="P157" i="47" s="1"/>
  <c r="Q157" i="47" s="1"/>
  <c r="U156" i="47"/>
  <c r="T156" i="47"/>
  <c r="L156" i="47"/>
  <c r="J156" i="47"/>
  <c r="F156" i="47"/>
  <c r="D156" i="47"/>
  <c r="O156" i="47" s="1"/>
  <c r="C156" i="47"/>
  <c r="B156" i="47"/>
  <c r="A156" i="47"/>
  <c r="N156" i="47" s="1"/>
  <c r="U155" i="47"/>
  <c r="T155" i="47"/>
  <c r="A155" i="47"/>
  <c r="U154" i="47"/>
  <c r="T154" i="47"/>
  <c r="P154" i="47"/>
  <c r="M154" i="47"/>
  <c r="K154" i="47"/>
  <c r="F154" i="47"/>
  <c r="C154" i="47"/>
  <c r="L154" i="47" s="1"/>
  <c r="B154" i="47"/>
  <c r="A154" i="47"/>
  <c r="D154" i="47" s="1"/>
  <c r="O154" i="47" s="1"/>
  <c r="U153" i="47"/>
  <c r="T153" i="47"/>
  <c r="C153" i="47"/>
  <c r="B153" i="47"/>
  <c r="A153" i="47"/>
  <c r="U152" i="47"/>
  <c r="T152" i="47"/>
  <c r="G152" i="47"/>
  <c r="F152" i="47"/>
  <c r="C152" i="47"/>
  <c r="B152" i="47"/>
  <c r="M152" i="47" s="1"/>
  <c r="A152" i="47"/>
  <c r="D152" i="47" s="1"/>
  <c r="O152" i="47" s="1"/>
  <c r="U151" i="47"/>
  <c r="T151" i="47"/>
  <c r="A151" i="47"/>
  <c r="U150" i="47"/>
  <c r="T150" i="47"/>
  <c r="A150" i="47"/>
  <c r="B150" i="47" s="1"/>
  <c r="U149" i="47"/>
  <c r="T149" i="47"/>
  <c r="F149" i="47"/>
  <c r="A149" i="47"/>
  <c r="U148" i="47"/>
  <c r="T148" i="47"/>
  <c r="F148" i="47"/>
  <c r="D148" i="47"/>
  <c r="O148" i="47" s="1"/>
  <c r="B148" i="47"/>
  <c r="A148" i="47"/>
  <c r="U147" i="47"/>
  <c r="T147" i="47"/>
  <c r="A147" i="47"/>
  <c r="U146" i="47"/>
  <c r="T146" i="47"/>
  <c r="D146" i="47"/>
  <c r="A146" i="47"/>
  <c r="P146" i="47" s="1"/>
  <c r="U145" i="47"/>
  <c r="T145" i="47"/>
  <c r="P145" i="47"/>
  <c r="A145" i="47"/>
  <c r="U144" i="47"/>
  <c r="T144" i="47"/>
  <c r="F144" i="47"/>
  <c r="C144" i="47"/>
  <c r="A144" i="47"/>
  <c r="U143" i="47"/>
  <c r="T143" i="47"/>
  <c r="P143" i="47"/>
  <c r="F143" i="47"/>
  <c r="B143" i="47"/>
  <c r="A143" i="47"/>
  <c r="U142" i="47"/>
  <c r="T142" i="47"/>
  <c r="A142" i="47"/>
  <c r="U141" i="47"/>
  <c r="T141" i="47"/>
  <c r="A141" i="47"/>
  <c r="U140" i="47"/>
  <c r="T140" i="47"/>
  <c r="H140" i="47"/>
  <c r="F140" i="47"/>
  <c r="C140" i="47"/>
  <c r="G140" i="47" s="1"/>
  <c r="B140" i="47"/>
  <c r="A140" i="47"/>
  <c r="L140" i="47" s="1"/>
  <c r="U139" i="47"/>
  <c r="T139" i="47"/>
  <c r="A139" i="47"/>
  <c r="U138" i="47"/>
  <c r="T138" i="47"/>
  <c r="A138" i="47"/>
  <c r="P138" i="47" s="1"/>
  <c r="U137" i="47"/>
  <c r="T137" i="47"/>
  <c r="A137" i="47"/>
  <c r="U136" i="47"/>
  <c r="T136" i="47"/>
  <c r="D136" i="47"/>
  <c r="O136" i="47" s="1"/>
  <c r="A136" i="47"/>
  <c r="U135" i="47"/>
  <c r="T135" i="47"/>
  <c r="A135" i="47"/>
  <c r="U134" i="47"/>
  <c r="T134" i="47"/>
  <c r="A134" i="47"/>
  <c r="U133" i="47"/>
  <c r="T133" i="47"/>
  <c r="I133" i="47"/>
  <c r="H133" i="47"/>
  <c r="E133" i="47"/>
  <c r="D133" i="47"/>
  <c r="C133" i="47"/>
  <c r="G133" i="47" s="1"/>
  <c r="A133" i="47"/>
  <c r="F133" i="47" s="1"/>
  <c r="U132" i="47"/>
  <c r="T132" i="47"/>
  <c r="Q132" i="47"/>
  <c r="H132" i="47"/>
  <c r="E132" i="47"/>
  <c r="D132" i="47"/>
  <c r="O132" i="47" s="1"/>
  <c r="C132" i="47"/>
  <c r="G132" i="47" s="1"/>
  <c r="A132" i="47"/>
  <c r="P132" i="47" s="1"/>
  <c r="U131" i="47"/>
  <c r="T131" i="47"/>
  <c r="A131" i="47"/>
  <c r="U130" i="47"/>
  <c r="T130" i="47"/>
  <c r="P130" i="47"/>
  <c r="D130" i="47"/>
  <c r="C130" i="47"/>
  <c r="B130" i="47"/>
  <c r="A130" i="47"/>
  <c r="U129" i="47"/>
  <c r="T129" i="47"/>
  <c r="A129" i="47"/>
  <c r="U128" i="47"/>
  <c r="T128" i="47"/>
  <c r="Q128" i="47"/>
  <c r="D128" i="47"/>
  <c r="O128" i="47" s="1"/>
  <c r="A128" i="47"/>
  <c r="P128" i="47" s="1"/>
  <c r="U127" i="47"/>
  <c r="T127" i="47"/>
  <c r="P127" i="47"/>
  <c r="B127" i="47"/>
  <c r="A127" i="47"/>
  <c r="U126" i="47"/>
  <c r="T126" i="47"/>
  <c r="P126" i="47"/>
  <c r="C126" i="47"/>
  <c r="B126" i="47"/>
  <c r="K126" i="47" s="1"/>
  <c r="A126" i="47"/>
  <c r="N126" i="47" s="1"/>
  <c r="U125" i="47"/>
  <c r="T125" i="47"/>
  <c r="A125" i="47"/>
  <c r="U124" i="47"/>
  <c r="T124" i="47"/>
  <c r="C124" i="47"/>
  <c r="B124" i="47"/>
  <c r="A124" i="47"/>
  <c r="N124" i="47" s="1"/>
  <c r="U123" i="47"/>
  <c r="T123" i="47"/>
  <c r="C123" i="47"/>
  <c r="A123" i="47"/>
  <c r="U122" i="47"/>
  <c r="T122" i="47"/>
  <c r="P122" i="47"/>
  <c r="A122" i="47"/>
  <c r="U121" i="47"/>
  <c r="T121" i="47"/>
  <c r="G121" i="47"/>
  <c r="F121" i="47"/>
  <c r="N121" i="47" s="1"/>
  <c r="E121" i="47"/>
  <c r="C121" i="47"/>
  <c r="I121" i="47" s="1"/>
  <c r="B121" i="47"/>
  <c r="A121" i="47"/>
  <c r="J121" i="47" s="1"/>
  <c r="U120" i="47"/>
  <c r="T120" i="47"/>
  <c r="A120" i="47"/>
  <c r="U119" i="47"/>
  <c r="T119" i="47"/>
  <c r="H119" i="47"/>
  <c r="F119" i="47"/>
  <c r="C119" i="47"/>
  <c r="N119" i="47" s="1"/>
  <c r="A119" i="47"/>
  <c r="P119" i="47" s="1"/>
  <c r="U118" i="47"/>
  <c r="T118" i="47"/>
  <c r="K118" i="47"/>
  <c r="D118" i="47"/>
  <c r="O118" i="47" s="1"/>
  <c r="C118" i="47"/>
  <c r="L118" i="47" s="1"/>
  <c r="A118" i="47"/>
  <c r="F118" i="47" s="1"/>
  <c r="U117" i="47"/>
  <c r="T117" i="47"/>
  <c r="P117" i="47"/>
  <c r="I117" i="47"/>
  <c r="H117" i="47"/>
  <c r="E117" i="47"/>
  <c r="C117" i="47"/>
  <c r="A117" i="47"/>
  <c r="N117" i="47" s="1"/>
  <c r="U116" i="47"/>
  <c r="T116" i="47"/>
  <c r="F116" i="47"/>
  <c r="A116" i="47"/>
  <c r="U115" i="47"/>
  <c r="T115" i="47"/>
  <c r="N115" i="47"/>
  <c r="M115" i="47"/>
  <c r="L115" i="47"/>
  <c r="H115" i="47"/>
  <c r="F115" i="47"/>
  <c r="C115" i="47"/>
  <c r="J115" i="47" s="1"/>
  <c r="B115" i="47"/>
  <c r="A115" i="47"/>
  <c r="D115" i="47" s="1"/>
  <c r="O115" i="47" s="1"/>
  <c r="U114" i="47"/>
  <c r="T114" i="47"/>
  <c r="P114" i="47"/>
  <c r="A114" i="47"/>
  <c r="U113" i="47"/>
  <c r="T113" i="47"/>
  <c r="P113" i="47"/>
  <c r="C113" i="47"/>
  <c r="G113" i="47" s="1"/>
  <c r="A113" i="47"/>
  <c r="U112" i="47"/>
  <c r="T112" i="47"/>
  <c r="A112" i="47"/>
  <c r="U111" i="47"/>
  <c r="T111" i="47"/>
  <c r="P111" i="47"/>
  <c r="C111" i="47"/>
  <c r="G111" i="47" s="1"/>
  <c r="B111" i="47"/>
  <c r="A111" i="47"/>
  <c r="U110" i="47"/>
  <c r="T110" i="47"/>
  <c r="A110" i="47"/>
  <c r="U109" i="47"/>
  <c r="T109" i="47"/>
  <c r="F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P103" i="47"/>
  <c r="F103" i="47"/>
  <c r="A103" i="47"/>
  <c r="U102" i="47"/>
  <c r="T102" i="47"/>
  <c r="A102" i="47"/>
  <c r="D102" i="47" s="1"/>
  <c r="U101" i="47"/>
  <c r="T101" i="47"/>
  <c r="I101" i="47"/>
  <c r="C101" i="47"/>
  <c r="K101" i="47" s="1"/>
  <c r="A101" i="47"/>
  <c r="U100" i="47"/>
  <c r="T100" i="47"/>
  <c r="D100" i="47"/>
  <c r="O100" i="47" s="1"/>
  <c r="B100" i="47"/>
  <c r="A100" i="47"/>
  <c r="P100" i="47" s="1"/>
  <c r="Q100" i="47" s="1"/>
  <c r="U99" i="47"/>
  <c r="T99" i="47"/>
  <c r="A99" i="47"/>
  <c r="P99" i="47" s="1"/>
  <c r="U98" i="47"/>
  <c r="T98" i="47"/>
  <c r="M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D92" i="47"/>
  <c r="O92" i="47" s="1"/>
  <c r="B92" i="47"/>
  <c r="A92" i="47"/>
  <c r="U91" i="47"/>
  <c r="T91" i="47"/>
  <c r="A91" i="47"/>
  <c r="P91" i="47" s="1"/>
  <c r="U90" i="47"/>
  <c r="T90" i="47"/>
  <c r="P90" i="47"/>
  <c r="B90" i="47"/>
  <c r="A90" i="47"/>
  <c r="D90" i="47" s="1"/>
  <c r="U89" i="47"/>
  <c r="T89" i="47"/>
  <c r="A89" i="47"/>
  <c r="U88" i="47"/>
  <c r="T88" i="47"/>
  <c r="F88" i="47"/>
  <c r="A88" i="47"/>
  <c r="U87" i="47"/>
  <c r="T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A83" i="47"/>
  <c r="U82" i="47"/>
  <c r="T82" i="47"/>
  <c r="P82" i="47"/>
  <c r="E82" i="47"/>
  <c r="C82" i="47"/>
  <c r="M82" i="47" s="1"/>
  <c r="A82" i="47"/>
  <c r="D82" i="47" s="1"/>
  <c r="U81" i="47"/>
  <c r="T81" i="47"/>
  <c r="A81" i="47"/>
  <c r="U80" i="47"/>
  <c r="T80" i="47"/>
  <c r="P80" i="47"/>
  <c r="Q80" i="47" s="1"/>
  <c r="N80" i="47"/>
  <c r="J80" i="47"/>
  <c r="I80" i="47"/>
  <c r="E80" i="47"/>
  <c r="D80" i="47"/>
  <c r="O80" i="47" s="1"/>
  <c r="C80" i="47"/>
  <c r="K80" i="47" s="1"/>
  <c r="B80" i="47"/>
  <c r="G80" i="47" s="1"/>
  <c r="A80" i="47"/>
  <c r="F80" i="47" s="1"/>
  <c r="U79" i="47"/>
  <c r="T79" i="47"/>
  <c r="A79" i="47"/>
  <c r="P79" i="47" s="1"/>
  <c r="U78" i="47"/>
  <c r="T78" i="47"/>
  <c r="P78" i="47"/>
  <c r="A78" i="47"/>
  <c r="U77" i="47"/>
  <c r="T77" i="47"/>
  <c r="A77" i="47"/>
  <c r="U76" i="47"/>
  <c r="T76" i="47"/>
  <c r="P76" i="47"/>
  <c r="J76" i="47"/>
  <c r="F76" i="47"/>
  <c r="D76" i="47"/>
  <c r="Q76" i="47" s="1"/>
  <c r="C76" i="47"/>
  <c r="B76" i="47"/>
  <c r="A76" i="47"/>
  <c r="U75" i="47"/>
  <c r="T75" i="47"/>
  <c r="A75" i="47"/>
  <c r="U74" i="47"/>
  <c r="T74" i="47"/>
  <c r="A74" i="47"/>
  <c r="U73" i="47"/>
  <c r="T73" i="47"/>
  <c r="A73" i="47"/>
  <c r="U72" i="47"/>
  <c r="T72" i="47"/>
  <c r="P72" i="47"/>
  <c r="Q72" i="47" s="1"/>
  <c r="N72" i="47"/>
  <c r="E72" i="47"/>
  <c r="D72" i="47"/>
  <c r="C72" i="47"/>
  <c r="J72" i="47" s="1"/>
  <c r="B72" i="47"/>
  <c r="K72" i="47" s="1"/>
  <c r="A72" i="47"/>
  <c r="H72" i="47" s="1"/>
  <c r="U71" i="47"/>
  <c r="T71" i="47"/>
  <c r="F71" i="47"/>
  <c r="D71" i="47"/>
  <c r="A71" i="47"/>
  <c r="U70" i="47"/>
  <c r="T70" i="47"/>
  <c r="B70" i="47"/>
  <c r="A70" i="47"/>
  <c r="U69" i="47"/>
  <c r="T69" i="47"/>
  <c r="C69" i="47"/>
  <c r="A69" i="47"/>
  <c r="U68" i="47"/>
  <c r="T68" i="47"/>
  <c r="P68" i="47"/>
  <c r="K68" i="47"/>
  <c r="D68" i="47"/>
  <c r="O68" i="47" s="1"/>
  <c r="C68" i="47"/>
  <c r="M68" i="47" s="1"/>
  <c r="A68" i="47"/>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Q61" i="47"/>
  <c r="F61" i="47"/>
  <c r="B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G55" i="47"/>
  <c r="F55" i="47"/>
  <c r="D55" i="47"/>
  <c r="C55" i="47"/>
  <c r="K55" i="47" s="1"/>
  <c r="B55" i="47"/>
  <c r="A55" i="47"/>
  <c r="U54" i="47"/>
  <c r="T54" i="47"/>
  <c r="P54" i="47"/>
  <c r="D54" i="47"/>
  <c r="O54" i="47" s="1"/>
  <c r="B54" i="47"/>
  <c r="A54" i="47"/>
  <c r="F54" i="47" s="1"/>
  <c r="U53" i="47"/>
  <c r="T53" i="47"/>
  <c r="A53" i="47"/>
  <c r="U52" i="47"/>
  <c r="T52" i="47"/>
  <c r="P52" i="47"/>
  <c r="A52" i="47"/>
  <c r="C52" i="47" s="1"/>
  <c r="U51" i="47"/>
  <c r="T51" i="47"/>
  <c r="P51" i="47"/>
  <c r="F51" i="47"/>
  <c r="D51" i="47"/>
  <c r="C51" i="47"/>
  <c r="B51" i="47"/>
  <c r="A51" i="47"/>
  <c r="U50" i="47"/>
  <c r="T50" i="47"/>
  <c r="P50" i="47"/>
  <c r="D50" i="47"/>
  <c r="O50" i="47" s="1"/>
  <c r="B50" i="47"/>
  <c r="A50" i="47"/>
  <c r="F50" i="47" s="1"/>
  <c r="U49" i="47"/>
  <c r="T49" i="47"/>
  <c r="P49" i="47"/>
  <c r="H49" i="47"/>
  <c r="D49" i="47"/>
  <c r="O49" i="47" s="1"/>
  <c r="C49" i="47"/>
  <c r="N49" i="47" s="1"/>
  <c r="A49" i="47"/>
  <c r="U48" i="47"/>
  <c r="T48" i="47"/>
  <c r="A48" i="47"/>
  <c r="C48" i="47" s="1"/>
  <c r="U47" i="47"/>
  <c r="T47" i="47"/>
  <c r="P47" i="47"/>
  <c r="F47" i="47"/>
  <c r="D47" i="47"/>
  <c r="C47" i="47"/>
  <c r="B47" i="47"/>
  <c r="A47" i="47"/>
  <c r="U46" i="47"/>
  <c r="T46" i="47"/>
  <c r="P46" i="47"/>
  <c r="D46" i="47"/>
  <c r="O46" i="47" s="1"/>
  <c r="B46" i="47"/>
  <c r="A46" i="47"/>
  <c r="F46" i="47" s="1"/>
  <c r="U45" i="47"/>
  <c r="T45" i="47"/>
  <c r="P45" i="47"/>
  <c r="J45" i="47"/>
  <c r="H45" i="47"/>
  <c r="F45" i="47"/>
  <c r="C45" i="47"/>
  <c r="A45" i="47"/>
  <c r="U44" i="47"/>
  <c r="T44" i="47"/>
  <c r="P44" i="47"/>
  <c r="C44" i="47"/>
  <c r="A44" i="47"/>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P39" i="47"/>
  <c r="A39" i="47"/>
  <c r="U38" i="47"/>
  <c r="T38" i="47"/>
  <c r="D38" i="47"/>
  <c r="O38" i="47" s="1"/>
  <c r="A38" i="47"/>
  <c r="U37" i="47"/>
  <c r="T37" i="47"/>
  <c r="A37" i="47"/>
  <c r="B37" i="47" s="1"/>
  <c r="U36" i="47"/>
  <c r="T36" i="47"/>
  <c r="A36" i="47"/>
  <c r="C36" i="47" s="1"/>
  <c r="N36" i="47" s="1"/>
  <c r="U35" i="47"/>
  <c r="T35" i="47"/>
  <c r="P35" i="47"/>
  <c r="F35" i="47"/>
  <c r="D35" i="47"/>
  <c r="C35" i="47"/>
  <c r="G35" i="47" s="1"/>
  <c r="B35" i="47"/>
  <c r="A35" i="47"/>
  <c r="U34" i="47"/>
  <c r="T34" i="47"/>
  <c r="A34" i="47"/>
  <c r="U33" i="47"/>
  <c r="T33" i="47"/>
  <c r="P33" i="47"/>
  <c r="F33" i="47"/>
  <c r="D33" i="47"/>
  <c r="O33" i="47" s="1"/>
  <c r="C33" i="47"/>
  <c r="N33" i="47" s="1"/>
  <c r="A33" i="47"/>
  <c r="B33" i="47" s="1"/>
  <c r="U32" i="47"/>
  <c r="T32" i="47"/>
  <c r="P32" i="47"/>
  <c r="C32" i="47"/>
  <c r="N32" i="47" s="1"/>
  <c r="A32" i="47"/>
  <c r="U31" i="47"/>
  <c r="T31" i="47"/>
  <c r="C31" i="47"/>
  <c r="B31" i="47"/>
  <c r="A31" i="47"/>
  <c r="P31" i="47" s="1"/>
  <c r="U30" i="47"/>
  <c r="T30" i="47"/>
  <c r="A30" i="47"/>
  <c r="U29" i="47"/>
  <c r="T29" i="47"/>
  <c r="P29" i="47"/>
  <c r="D29" i="47"/>
  <c r="O29" i="47" s="1"/>
  <c r="A29" i="47"/>
  <c r="U28" i="47"/>
  <c r="T28" i="47"/>
  <c r="A28" i="47"/>
  <c r="U27" i="47"/>
  <c r="T27" i="47"/>
  <c r="P27" i="47"/>
  <c r="F27" i="47"/>
  <c r="A27" i="47"/>
  <c r="U26" i="47"/>
  <c r="T26" i="47"/>
  <c r="A26" i="47"/>
  <c r="F26" i="47" s="1"/>
  <c r="U25" i="47"/>
  <c r="T25" i="47"/>
  <c r="P25" i="47"/>
  <c r="A25" i="47"/>
  <c r="U24" i="47"/>
  <c r="T24" i="47"/>
  <c r="A24" i="47"/>
  <c r="F24" i="47" s="1"/>
  <c r="U23" i="47"/>
  <c r="T23" i="47"/>
  <c r="P23" i="47"/>
  <c r="F23" i="47"/>
  <c r="D23" i="47"/>
  <c r="C23" i="47"/>
  <c r="B23" i="47"/>
  <c r="A23" i="47"/>
  <c r="L23" i="47" s="1"/>
  <c r="U22" i="47"/>
  <c r="T22" i="47"/>
  <c r="A22" i="47"/>
  <c r="P22" i="47" s="1"/>
  <c r="U21" i="47"/>
  <c r="T21" i="47"/>
  <c r="P21" i="47"/>
  <c r="A21" i="47"/>
  <c r="B21" i="47" s="1"/>
  <c r="U20" i="47"/>
  <c r="T20" i="47"/>
  <c r="A20" i="47"/>
  <c r="F20" i="47" s="1"/>
  <c r="U19" i="47"/>
  <c r="T19" i="47"/>
  <c r="A19" i="47"/>
  <c r="P19" i="47" s="1"/>
  <c r="U18" i="47"/>
  <c r="T18" i="47"/>
  <c r="D18" i="47"/>
  <c r="O18" i="47" s="1"/>
  <c r="A18" i="47"/>
  <c r="P18" i="47" s="1"/>
  <c r="U17" i="47"/>
  <c r="T17" i="47"/>
  <c r="P17" i="47"/>
  <c r="D17" i="47"/>
  <c r="O17" i="47" s="1"/>
  <c r="C17" i="47"/>
  <c r="N17" i="47" s="1"/>
  <c r="A17" i="47"/>
  <c r="B17" i="47" s="1"/>
  <c r="U16" i="47"/>
  <c r="T16" i="47"/>
  <c r="P16" i="47"/>
  <c r="C16" i="47"/>
  <c r="N16" i="47" s="1"/>
  <c r="A16" i="47"/>
  <c r="F16" i="47" s="1"/>
  <c r="U15" i="47"/>
  <c r="T15" i="47"/>
  <c r="C15" i="47"/>
  <c r="B15" i="47"/>
  <c r="A15" i="47"/>
  <c r="P15" i="47" s="1"/>
  <c r="U14" i="47"/>
  <c r="T14" i="47"/>
  <c r="P14" i="47"/>
  <c r="F14" i="47"/>
  <c r="D14" i="47"/>
  <c r="O14" i="47" s="1"/>
  <c r="B14" i="47"/>
  <c r="A14" i="47"/>
  <c r="U13" i="47"/>
  <c r="T13" i="47"/>
  <c r="A13" i="47"/>
  <c r="U12" i="47"/>
  <c r="T12" i="47"/>
  <c r="P12" i="47"/>
  <c r="A12" i="47"/>
  <c r="F12" i="47" s="1"/>
  <c r="U11" i="47"/>
  <c r="T11" i="47"/>
  <c r="C11" i="47"/>
  <c r="B11" i="47"/>
  <c r="A11" i="47"/>
  <c r="U10" i="47"/>
  <c r="T10" i="47"/>
  <c r="P10" i="47"/>
  <c r="F10" i="47"/>
  <c r="D10" i="47"/>
  <c r="O10" i="47" s="1"/>
  <c r="B10" i="47"/>
  <c r="A10" i="47"/>
  <c r="U9" i="47"/>
  <c r="T9" i="47"/>
  <c r="A9" i="47"/>
  <c r="U8" i="47"/>
  <c r="T8" i="47"/>
  <c r="P8" i="47"/>
  <c r="H8" i="47"/>
  <c r="C8" i="47"/>
  <c r="A8" i="47"/>
  <c r="F8" i="47" s="1"/>
  <c r="U7" i="47"/>
  <c r="T7" i="47"/>
  <c r="A7" i="47"/>
  <c r="U6" i="47"/>
  <c r="T6" i="47"/>
  <c r="P6" i="47"/>
  <c r="D6" i="47"/>
  <c r="O6" i="47" s="1"/>
  <c r="B6" i="47"/>
  <c r="A6" i="47"/>
  <c r="F6" i="47" s="1"/>
  <c r="U5" i="47"/>
  <c r="T5" i="47"/>
  <c r="D5" i="47"/>
  <c r="O5" i="47" s="1"/>
  <c r="A5" i="47"/>
  <c r="P5" i="47" s="1"/>
  <c r="U4" i="47"/>
  <c r="T4" i="47"/>
  <c r="P4" i="47"/>
  <c r="A4" i="47"/>
  <c r="F4" i="47" s="1"/>
  <c r="U3" i="47"/>
  <c r="T3" i="47"/>
  <c r="D3" i="47"/>
  <c r="O3" i="47" s="1"/>
  <c r="A3" i="47"/>
  <c r="P3" i="47" s="1"/>
  <c r="U2" i="47"/>
  <c r="T2" i="47"/>
  <c r="P2" i="47"/>
  <c r="F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B5" i="18"/>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806" i="47" l="1"/>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G28" i="47"/>
  <c r="F30" i="47"/>
  <c r="B30" i="47"/>
  <c r="D34" i="47"/>
  <c r="O34" i="47" s="1"/>
  <c r="F43" i="47"/>
  <c r="B53" i="47"/>
  <c r="F53" i="47"/>
  <c r="D66" i="47"/>
  <c r="Q66" i="47" s="1"/>
  <c r="P66" i="47"/>
  <c r="B75" i="47"/>
  <c r="L101" i="47"/>
  <c r="F134" i="47"/>
  <c r="F142" i="47"/>
  <c r="H142" i="47" s="1"/>
  <c r="D142" i="47"/>
  <c r="O142" i="47" s="1"/>
  <c r="C142" i="47"/>
  <c r="D256" i="47"/>
  <c r="O256" i="47" s="1"/>
  <c r="I256" i="47"/>
  <c r="H256" i="47"/>
  <c r="F256" i="47"/>
  <c r="C256" i="47"/>
  <c r="G256" i="47" s="1"/>
  <c r="B256" i="47"/>
  <c r="C3" i="47"/>
  <c r="C5" i="47"/>
  <c r="N5" i="47" s="1"/>
  <c r="B18" i="47"/>
  <c r="C28" i="47"/>
  <c r="N28" i="47" s="1"/>
  <c r="D30" i="47"/>
  <c r="O30" i="47" s="1"/>
  <c r="F34" i="47"/>
  <c r="B39" i="47"/>
  <c r="H41" i="47"/>
  <c r="P48" i="47"/>
  <c r="C53" i="47"/>
  <c r="N53" i="47" s="1"/>
  <c r="B66" i="47"/>
  <c r="E75" i="47"/>
  <c r="P134" i="47"/>
  <c r="Q134" i="47" s="1"/>
  <c r="J210" i="47"/>
  <c r="P210" i="47"/>
  <c r="F210" i="47"/>
  <c r="D210" i="47"/>
  <c r="O210" i="47" s="1"/>
  <c r="C210" i="47"/>
  <c r="M210" i="47" s="1"/>
  <c r="H28" i="47"/>
  <c r="P30" i="47"/>
  <c r="C37" i="47"/>
  <c r="C39" i="47"/>
  <c r="L39" i="47" s="1"/>
  <c r="J41" i="47"/>
  <c r="D53" i="47"/>
  <c r="O53" i="47" s="1"/>
  <c r="G75" i="47"/>
  <c r="F77" i="47"/>
  <c r="B77" i="47"/>
  <c r="Q90" i="47"/>
  <c r="F99" i="47"/>
  <c r="F120" i="47"/>
  <c r="C120" i="47"/>
  <c r="I120" i="47" s="1"/>
  <c r="I126" i="47"/>
  <c r="F168" i="47"/>
  <c r="E168" i="47"/>
  <c r="D168" i="47"/>
  <c r="O168" i="47" s="1"/>
  <c r="C168" i="47"/>
  <c r="I168" i="47" s="1"/>
  <c r="B210" i="47"/>
  <c r="K210" i="47" s="1"/>
  <c r="J306" i="47"/>
  <c r="F3" i="47"/>
  <c r="F5" i="47"/>
  <c r="B7" i="47"/>
  <c r="B9" i="47"/>
  <c r="B13" i="47"/>
  <c r="F18" i="47"/>
  <c r="B22" i="47"/>
  <c r="C24" i="47"/>
  <c r="G24" i="47" s="1"/>
  <c r="B26" i="47"/>
  <c r="P28" i="47"/>
  <c r="D37" i="47"/>
  <c r="O37" i="47" s="1"/>
  <c r="D39" i="47"/>
  <c r="L41" i="47"/>
  <c r="P71" i="47"/>
  <c r="B71" i="47"/>
  <c r="G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L202" i="47"/>
  <c r="F202" i="47"/>
  <c r="P202" i="47"/>
  <c r="D202" i="47"/>
  <c r="O202" i="47" s="1"/>
  <c r="C202" i="47"/>
  <c r="K202" i="47" s="1"/>
  <c r="D7" i="47"/>
  <c r="D9" i="47"/>
  <c r="O9" i="47" s="1"/>
  <c r="J11" i="47"/>
  <c r="D13" i="47"/>
  <c r="O13" i="47" s="1"/>
  <c r="F22" i="47"/>
  <c r="P24" i="47"/>
  <c r="P26" i="47"/>
  <c r="K53" i="47"/>
  <c r="Q71" i="47"/>
  <c r="D78" i="47"/>
  <c r="O78" i="47" s="1"/>
  <c r="C78" i="47"/>
  <c r="P149" i="47"/>
  <c r="J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M147" i="47"/>
  <c r="F147" i="47"/>
  <c r="B147" i="47"/>
  <c r="K147" i="47" s="1"/>
  <c r="P158" i="47"/>
  <c r="F158" i="47"/>
  <c r="D158" i="47"/>
  <c r="O158" i="47" s="1"/>
  <c r="C158" i="47"/>
  <c r="I158" i="47" s="1"/>
  <c r="B158" i="47"/>
  <c r="P193" i="47"/>
  <c r="J193" i="47"/>
  <c r="F193" i="47"/>
  <c r="D193" i="47"/>
  <c r="O193" i="47" s="1"/>
  <c r="C193" i="47"/>
  <c r="I193" i="47" s="1"/>
  <c r="B193" i="47"/>
  <c r="L5" i="47"/>
  <c r="H9" i="47"/>
  <c r="H13" i="47"/>
  <c r="P53" i="47"/>
  <c r="D58" i="47"/>
  <c r="O58" i="47" s="1"/>
  <c r="F64" i="47"/>
  <c r="H64" i="47" s="1"/>
  <c r="K67" i="47"/>
  <c r="K69" i="47"/>
  <c r="B74" i="47"/>
  <c r="C105" i="47"/>
  <c r="J105" i="47" s="1"/>
  <c r="I140" i="47"/>
  <c r="C147" i="47"/>
  <c r="N147" i="47" s="1"/>
  <c r="H149" i="47"/>
  <c r="P7" i="47"/>
  <c r="J9" i="47"/>
  <c r="D11" i="47"/>
  <c r="J13" i="47"/>
  <c r="D15" i="47"/>
  <c r="F17" i="47"/>
  <c r="B19" i="47"/>
  <c r="C21" i="47"/>
  <c r="B25" i="47"/>
  <c r="F25" i="47"/>
  <c r="B27" i="47"/>
  <c r="F29" i="47"/>
  <c r="D31" i="47"/>
  <c r="H33" i="47"/>
  <c r="B42" i="47"/>
  <c r="J49" i="47"/>
  <c r="J64" i="47"/>
  <c r="E74" i="47"/>
  <c r="K76" i="47"/>
  <c r="E76" i="47"/>
  <c r="I76" i="47"/>
  <c r="P81" i="47"/>
  <c r="D81" i="47"/>
  <c r="P110" i="47"/>
  <c r="Q110" i="47" s="1"/>
  <c r="D110" i="47"/>
  <c r="O110" i="47" s="1"/>
  <c r="B110" i="47"/>
  <c r="I147" i="47"/>
  <c r="P173" i="47"/>
  <c r="C173" i="47"/>
  <c r="J173" i="47" s="1"/>
  <c r="B173" i="47"/>
  <c r="G173" i="47" s="1"/>
  <c r="B2" i="47"/>
  <c r="C4" i="47"/>
  <c r="K9" i="47"/>
  <c r="F11" i="47"/>
  <c r="L11" i="47" s="1"/>
  <c r="K13" i="47"/>
  <c r="F15" i="47"/>
  <c r="H17" i="47"/>
  <c r="C19" i="47"/>
  <c r="D21" i="47"/>
  <c r="O21" i="47" s="1"/>
  <c r="C25" i="47"/>
  <c r="C27" i="47"/>
  <c r="H29" i="47"/>
  <c r="F31" i="47"/>
  <c r="J33" i="47"/>
  <c r="P37" i="47"/>
  <c r="F42" i="47"/>
  <c r="B45" i="47"/>
  <c r="M45" i="47" s="1"/>
  <c r="D45" i="47"/>
  <c r="O45" i="47" s="1"/>
  <c r="K45" i="47"/>
  <c r="K49" i="47"/>
  <c r="H74" i="47"/>
  <c r="B81" i="47"/>
  <c r="D88" i="47"/>
  <c r="C88" i="47"/>
  <c r="C110" i="47"/>
  <c r="I110" i="47" s="1"/>
  <c r="J147" i="47"/>
  <c r="L190" i="47"/>
  <c r="F190" i="47"/>
  <c r="D190" i="47"/>
  <c r="O190" i="47" s="1"/>
  <c r="C190" i="47"/>
  <c r="N194" i="47"/>
  <c r="P194" i="47"/>
  <c r="D194" i="47"/>
  <c r="O194" i="47" s="1"/>
  <c r="C194" i="47"/>
  <c r="L194" i="47" s="1"/>
  <c r="B194" i="47"/>
  <c r="H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H21"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L234" i="47"/>
  <c r="F234" i="47"/>
  <c r="D234" i="47"/>
  <c r="O234" i="47" s="1"/>
  <c r="C234" i="47"/>
  <c r="N234" i="47" s="1"/>
  <c r="F293" i="47"/>
  <c r="N293" i="47"/>
  <c r="D293" i="47"/>
  <c r="O293" i="47" s="1"/>
  <c r="P293" i="47"/>
  <c r="C293" i="47"/>
  <c r="K293" i="47" s="1"/>
  <c r="B293" i="47"/>
  <c r="P348" i="47"/>
  <c r="D348" i="47"/>
  <c r="B348" i="47"/>
  <c r="L17" i="47"/>
  <c r="J25"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M57" i="47"/>
  <c r="M96" i="47"/>
  <c r="N96" i="47"/>
  <c r="F96" i="47"/>
  <c r="C96" i="47"/>
  <c r="K96" i="47" s="1"/>
  <c r="B96" i="47"/>
  <c r="Q122" i="47"/>
  <c r="D122" i="47"/>
  <c r="C122" i="47"/>
  <c r="L122" i="47" s="1"/>
  <c r="B122" i="47"/>
  <c r="P151" i="47"/>
  <c r="F151" i="47"/>
  <c r="C151" i="47"/>
  <c r="G151" i="47" s="1"/>
  <c r="N412" i="47"/>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L218" i="47"/>
  <c r="M220" i="47"/>
  <c r="I228" i="47"/>
  <c r="H228" i="47"/>
  <c r="L236" i="47"/>
  <c r="K244" i="47"/>
  <c r="P247" i="47"/>
  <c r="H247" i="47"/>
  <c r="D268" i="47"/>
  <c r="O268" i="47" s="1"/>
  <c r="F288" i="47"/>
  <c r="B288" i="47"/>
  <c r="F301" i="47"/>
  <c r="H301" i="47" s="1"/>
  <c r="C301" i="47"/>
  <c r="I301" i="47" s="1"/>
  <c r="P301" i="47"/>
  <c r="N301" i="47"/>
  <c r="E301" i="47"/>
  <c r="D301" i="47"/>
  <c r="O301" i="47" s="1"/>
  <c r="I321" i="47"/>
  <c r="K336" i="47"/>
  <c r="P352" i="47"/>
  <c r="B352" i="47"/>
  <c r="G442" i="47"/>
  <c r="J442" i="47"/>
  <c r="I442" i="47"/>
  <c r="I115" i="47"/>
  <c r="E124" i="47"/>
  <c r="E126" i="47"/>
  <c r="L132" i="47"/>
  <c r="M133" i="47"/>
  <c r="K153" i="47"/>
  <c r="J160" i="47"/>
  <c r="F162" i="47"/>
  <c r="G166" i="47"/>
  <c r="E186" i="47"/>
  <c r="N192" i="47"/>
  <c r="M204" i="47"/>
  <c r="N218" i="47"/>
  <c r="C230" i="47"/>
  <c r="G248" i="47"/>
  <c r="G257" i="47"/>
  <c r="F268" i="47"/>
  <c r="F285" i="47"/>
  <c r="C285" i="47"/>
  <c r="N285" i="47" s="1"/>
  <c r="P291" i="47"/>
  <c r="F291" i="47"/>
  <c r="C296" i="47"/>
  <c r="P362" i="47"/>
  <c r="Q362" i="47" s="1"/>
  <c r="B362" i="47"/>
  <c r="G543" i="47"/>
  <c r="F543" i="47"/>
  <c r="C543" i="47"/>
  <c r="B104" i="47"/>
  <c r="J124" i="47"/>
  <c r="F126" i="47"/>
  <c r="L126" i="47" s="1"/>
  <c r="B128" i="47"/>
  <c r="M132" i="47"/>
  <c r="N133" i="47"/>
  <c r="B136" i="47"/>
  <c r="G136" i="47" s="1"/>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G201" i="47"/>
  <c r="C201" i="47"/>
  <c r="D206" i="47"/>
  <c r="O206" i="47" s="1"/>
  <c r="D209" i="47"/>
  <c r="O209" i="47" s="1"/>
  <c r="C226" i="47"/>
  <c r="D228" i="47"/>
  <c r="D230" i="47"/>
  <c r="O230" i="47" s="1"/>
  <c r="D244" i="47"/>
  <c r="O244" i="47" s="1"/>
  <c r="M248" i="47"/>
  <c r="B260" i="47"/>
  <c r="P266" i="47"/>
  <c r="B266" i="47"/>
  <c r="C272" i="47"/>
  <c r="B272" i="47"/>
  <c r="I272" i="47" s="1"/>
  <c r="D285" i="47"/>
  <c r="O285" i="47" s="1"/>
  <c r="C291" i="47"/>
  <c r="M291" i="47" s="1"/>
  <c r="D296" i="47"/>
  <c r="O296" i="47" s="1"/>
  <c r="I309" i="47"/>
  <c r="B317" i="47"/>
  <c r="F376" i="47"/>
  <c r="P381" i="47"/>
  <c r="L429" i="47"/>
  <c r="M429" i="47"/>
  <c r="H429" i="47"/>
  <c r="G429" i="47"/>
  <c r="C472" i="47"/>
  <c r="J472" i="47" s="1"/>
  <c r="P472" i="47"/>
  <c r="N472" i="47"/>
  <c r="B472" i="47"/>
  <c r="N248" i="47"/>
  <c r="F252" i="47"/>
  <c r="C252" i="47"/>
  <c r="F269" i="47"/>
  <c r="D269" i="47"/>
  <c r="O269" i="47" s="1"/>
  <c r="P285" i="47"/>
  <c r="F296" i="47"/>
  <c r="F305" i="47"/>
  <c r="J305" i="47"/>
  <c r="C305" i="47"/>
  <c r="P305" i="47"/>
  <c r="J320" i="47"/>
  <c r="D320" i="47"/>
  <c r="O320" i="47" s="1"/>
  <c r="C320" i="47"/>
  <c r="L320" i="47" s="1"/>
  <c r="M320" i="47"/>
  <c r="K320" i="47"/>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Q294" i="47"/>
  <c r="B305" i="47"/>
  <c r="H317" i="47"/>
  <c r="B320" i="47"/>
  <c r="B322" i="47"/>
  <c r="F322" i="47"/>
  <c r="D322" i="47"/>
  <c r="F346" i="47"/>
  <c r="C363" i="47"/>
  <c r="F372" i="47"/>
  <c r="C224" i="47"/>
  <c r="K224" i="47" s="1"/>
  <c r="F237" i="47"/>
  <c r="D252" i="47"/>
  <c r="O252" i="47" s="1"/>
  <c r="P307" i="47"/>
  <c r="B307" i="47"/>
  <c r="M312" i="47"/>
  <c r="N312" i="47"/>
  <c r="L322" i="47"/>
  <c r="M332" i="47"/>
  <c r="I332" i="47"/>
  <c r="E332" i="47"/>
  <c r="B332" i="47"/>
  <c r="D334" i="47"/>
  <c r="Q334" i="47" s="1"/>
  <c r="C334" i="47"/>
  <c r="I334" i="47" s="1"/>
  <c r="B334" i="47"/>
  <c r="C340" i="47"/>
  <c r="J340" i="47" s="1"/>
  <c r="D377" i="47"/>
  <c r="L377" i="47"/>
  <c r="C377" i="47"/>
  <c r="P413" i="47"/>
  <c r="Q413" i="47"/>
  <c r="F413" i="47"/>
  <c r="D413" i="47"/>
  <c r="P423" i="47"/>
  <c r="Q423" i="47" s="1"/>
  <c r="I98" i="47"/>
  <c r="F117" i="47"/>
  <c r="M126" i="47"/>
  <c r="M136" i="47"/>
  <c r="B163" i="47"/>
  <c r="G163" i="47" s="1"/>
  <c r="B171" i="47"/>
  <c r="D224" i="47"/>
  <c r="P237" i="47"/>
  <c r="P240" i="47"/>
  <c r="D240" i="47"/>
  <c r="E252" i="47"/>
  <c r="B258" i="47"/>
  <c r="K332" i="47"/>
  <c r="K680" i="47"/>
  <c r="G680"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I201" i="47"/>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N320" i="47"/>
  <c r="F332" i="47"/>
  <c r="H332" i="47" s="1"/>
  <c r="K334" i="47"/>
  <c r="F340" i="47"/>
  <c r="I434" i="47"/>
  <c r="F465" i="47"/>
  <c r="L797" i="47"/>
  <c r="N140" i="47"/>
  <c r="F163" i="47"/>
  <c r="F171" i="47"/>
  <c r="G197" i="47"/>
  <c r="Q222" i="47"/>
  <c r="P222" i="47"/>
  <c r="B222" i="47"/>
  <c r="E249" i="47"/>
  <c r="I249" i="47"/>
  <c r="L252" i="47"/>
  <c r="M308" i="47"/>
  <c r="C308" i="47"/>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H200" i="47"/>
  <c r="I212" i="47"/>
  <c r="B212" i="47"/>
  <c r="D222" i="47"/>
  <c r="O222" i="47" s="1"/>
  <c r="F233" i="47"/>
  <c r="B238" i="47"/>
  <c r="F240" i="47"/>
  <c r="N240" i="47" s="1"/>
  <c r="P243" i="47"/>
  <c r="F243" i="47"/>
  <c r="K248" i="47"/>
  <c r="K249" i="47"/>
  <c r="N252" i="47"/>
  <c r="P258" i="47"/>
  <c r="B263" i="47"/>
  <c r="P265" i="47"/>
  <c r="F265" i="47"/>
  <c r="H265" i="47" s="1"/>
  <c r="E265" i="47"/>
  <c r="B270" i="47"/>
  <c r="D280" i="47"/>
  <c r="O280" i="47" s="1"/>
  <c r="C290" i="47"/>
  <c r="L290" i="47" s="1"/>
  <c r="B297" i="47"/>
  <c r="B300" i="47"/>
  <c r="D338" i="47"/>
  <c r="O338" i="47" s="1"/>
  <c r="B338" i="47"/>
  <c r="P338" i="47"/>
  <c r="K365" i="47"/>
  <c r="P365" i="47"/>
  <c r="I365" i="47"/>
  <c r="E365" i="47"/>
  <c r="B365" i="47"/>
  <c r="M365" i="47" s="1"/>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K214" i="47" s="1"/>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08" i="47"/>
  <c r="N313" i="47"/>
  <c r="I313" i="47"/>
  <c r="H313" i="47"/>
  <c r="N326" i="47"/>
  <c r="F338" i="47"/>
  <c r="C365" i="47"/>
  <c r="P415" i="47"/>
  <c r="Q415" i="47" s="1"/>
  <c r="C415" i="47"/>
  <c r="B415" i="47"/>
  <c r="E140" i="47"/>
  <c r="C200" i="47"/>
  <c r="K200" i="47" s="1"/>
  <c r="D212" i="47"/>
  <c r="C214" i="47"/>
  <c r="L214" i="47" s="1"/>
  <c r="C216" i="47"/>
  <c r="H216" i="47" s="1"/>
  <c r="C218" i="47"/>
  <c r="F222" i="47"/>
  <c r="E238" i="47"/>
  <c r="N290" i="47"/>
  <c r="G297" i="47"/>
  <c r="B306" i="47"/>
  <c r="D306" i="47"/>
  <c r="D316" i="47"/>
  <c r="O316" i="47" s="1"/>
  <c r="B316" i="47"/>
  <c r="L365" i="47"/>
  <c r="C404" i="47"/>
  <c r="M404" i="47" s="1"/>
  <c r="P404" i="47"/>
  <c r="F404" i="47"/>
  <c r="D404" i="47"/>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I261" i="47"/>
  <c r="J264" i="47"/>
  <c r="F309" i="47"/>
  <c r="B309" i="47"/>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L652" i="47"/>
  <c r="P652" i="47"/>
  <c r="M652" i="47"/>
  <c r="I652" i="47"/>
  <c r="H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N585" i="47" s="1"/>
  <c r="C585" i="47"/>
  <c r="B585" i="47"/>
  <c r="P741" i="47"/>
  <c r="C741" i="47"/>
  <c r="K741" i="47" s="1"/>
  <c r="F741" i="47"/>
  <c r="B744" i="47"/>
  <c r="F744" i="47"/>
  <c r="E744" i="47"/>
  <c r="D744" i="47"/>
  <c r="O744" i="47" s="1"/>
  <c r="C744" i="47"/>
  <c r="I204" i="47"/>
  <c r="I253" i="47"/>
  <c r="P261" i="47"/>
  <c r="M295" i="47"/>
  <c r="E309" i="47"/>
  <c r="F314" i="47"/>
  <c r="N318" i="47"/>
  <c r="P347" i="47"/>
  <c r="F347" i="47"/>
  <c r="D350" i="47"/>
  <c r="O350" i="47" s="1"/>
  <c r="F350" i="47"/>
  <c r="H350" i="47" s="1"/>
  <c r="C359" i="47"/>
  <c r="F411" i="47"/>
  <c r="E420" i="47"/>
  <c r="I425" i="47"/>
  <c r="P430" i="47"/>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N553" i="47" s="1"/>
  <c r="F557" i="47"/>
  <c r="D557" i="47"/>
  <c r="O557" i="47" s="1"/>
  <c r="C557" i="47"/>
  <c r="N557" i="47" s="1"/>
  <c r="G585" i="47"/>
  <c r="P596" i="47"/>
  <c r="B596" i="47"/>
  <c r="G596" i="47" s="1"/>
  <c r="J596" i="47"/>
  <c r="F596" i="47"/>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E506" i="47"/>
  <c r="C506" i="47"/>
  <c r="I506" i="47" s="1"/>
  <c r="B506" i="47"/>
  <c r="K510" i="47"/>
  <c r="M532" i="47"/>
  <c r="H535" i="47"/>
  <c r="C544" i="47"/>
  <c r="P553" i="47"/>
  <c r="I560" i="47"/>
  <c r="G560" i="47"/>
  <c r="F620" i="47"/>
  <c r="P620" i="47"/>
  <c r="E626" i="47"/>
  <c r="D626" i="47"/>
  <c r="O626" i="47" s="1"/>
  <c r="C626" i="47"/>
  <c r="N626" i="47" s="1"/>
  <c r="M626" i="47"/>
  <c r="F626" i="47"/>
  <c r="B626" i="47"/>
  <c r="N769" i="47"/>
  <c r="I769" i="47"/>
  <c r="E769" i="47"/>
  <c r="M769" i="47"/>
  <c r="L769" i="47"/>
  <c r="H769" i="47"/>
  <c r="J538" i="47"/>
  <c r="E538" i="47"/>
  <c r="D538" i="47"/>
  <c r="O538" i="47" s="1"/>
  <c r="P647" i="47"/>
  <c r="K647" i="47"/>
  <c r="C647" i="47"/>
  <c r="J647" i="47" s="1"/>
  <c r="F647" i="47"/>
  <c r="N647" i="47" s="1"/>
  <c r="P735" i="47"/>
  <c r="B735" i="47"/>
  <c r="C826" i="47"/>
  <c r="P826" i="47"/>
  <c r="F826" i="47"/>
  <c r="D826" i="47"/>
  <c r="O826" i="47" s="1"/>
  <c r="B826" i="47"/>
  <c r="B508" i="47"/>
  <c r="N510" i="47"/>
  <c r="I519" i="47"/>
  <c r="G527" i="47"/>
  <c r="C527" i="47"/>
  <c r="P527" i="47"/>
  <c r="C538" i="47"/>
  <c r="D593" i="47"/>
  <c r="P593" i="47"/>
  <c r="E596" i="47"/>
  <c r="N608" i="47"/>
  <c r="E608" i="47"/>
  <c r="C620" i="47"/>
  <c r="G620" i="47" s="1"/>
  <c r="Q623" i="47"/>
  <c r="P623" i="47"/>
  <c r="F623" i="47"/>
  <c r="B647" i="47"/>
  <c r="M647" i="47" s="1"/>
  <c r="F697" i="47"/>
  <c r="F735" i="47"/>
  <c r="E429" i="47"/>
  <c r="G444" i="47"/>
  <c r="C456" i="47"/>
  <c r="B456" i="47"/>
  <c r="P463" i="47"/>
  <c r="D503" i="47"/>
  <c r="O503" i="47" s="1"/>
  <c r="F503" i="47"/>
  <c r="C503" i="47"/>
  <c r="M519" i="47"/>
  <c r="K538" i="47"/>
  <c r="K560" i="47"/>
  <c r="I596" i="47"/>
  <c r="D620" i="47"/>
  <c r="O620" i="47" s="1"/>
  <c r="D647" i="47"/>
  <c r="Q647" i="47" s="1"/>
  <c r="M668" i="47"/>
  <c r="H668" i="47"/>
  <c r="P691" i="47"/>
  <c r="C691" i="47"/>
  <c r="K769" i="47"/>
  <c r="K309" i="47"/>
  <c r="E321" i="47"/>
  <c r="D326" i="47"/>
  <c r="O326" i="47" s="1"/>
  <c r="F326" i="47"/>
  <c r="L327" i="47"/>
  <c r="F341" i="47"/>
  <c r="Q419" i="47"/>
  <c r="H444" i="47"/>
  <c r="D454" i="47"/>
  <c r="O454" i="47" s="1"/>
  <c r="C454" i="47"/>
  <c r="N506" i="47"/>
  <c r="J536" i="47"/>
  <c r="G536" i="47"/>
  <c r="F536" i="47"/>
  <c r="E536" i="47"/>
  <c r="P611" i="47"/>
  <c r="D611" i="47"/>
  <c r="O611" i="47" s="1"/>
  <c r="F644" i="47"/>
  <c r="N644" i="47" s="1"/>
  <c r="P644" i="47"/>
  <c r="I644" i="47"/>
  <c r="G644" i="47"/>
  <c r="B261" i="47"/>
  <c r="B264" i="47"/>
  <c r="N309" i="47"/>
  <c r="G321" i="47"/>
  <c r="B326" i="47"/>
  <c r="I326" i="47" s="1"/>
  <c r="N327" i="47"/>
  <c r="C331" i="47"/>
  <c r="I331" i="47" s="1"/>
  <c r="P341" i="47"/>
  <c r="Q360" i="47"/>
  <c r="F384" i="47"/>
  <c r="C389" i="47"/>
  <c r="L389" i="47" s="1"/>
  <c r="P409" i="47"/>
  <c r="D409" i="47"/>
  <c r="Q409" i="47" s="1"/>
  <c r="C412" i="47"/>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I454" i="47"/>
  <c r="J456" i="47"/>
  <c r="F467" i="47"/>
  <c r="D475" i="47"/>
  <c r="O475" i="47" s="1"/>
  <c r="J509" i="47"/>
  <c r="P511" i="47"/>
  <c r="I528" i="47"/>
  <c r="G528" i="47"/>
  <c r="F528" i="47"/>
  <c r="H528" i="47" s="1"/>
  <c r="D528" i="47"/>
  <c r="O528" i="47" s="1"/>
  <c r="I532" i="47"/>
  <c r="H532" i="47"/>
  <c r="F532" i="47"/>
  <c r="H536" i="47"/>
  <c r="H567" i="47"/>
  <c r="F591" i="47"/>
  <c r="F606" i="47"/>
  <c r="E606" i="47"/>
  <c r="D606" i="47"/>
  <c r="O606" i="47" s="1"/>
  <c r="B606" i="47"/>
  <c r="P609" i="47"/>
  <c r="F609" i="47"/>
  <c r="B609" i="47"/>
  <c r="N628" i="47"/>
  <c r="J638" i="47"/>
  <c r="H644" i="47"/>
  <c r="F665" i="47"/>
  <c r="F679" i="47"/>
  <c r="C767" i="47"/>
  <c r="M767" i="47" s="1"/>
  <c r="P767" i="47"/>
  <c r="J785" i="47"/>
  <c r="E785" i="47"/>
  <c r="P785" i="47"/>
  <c r="M785" i="47"/>
  <c r="I785" i="47"/>
  <c r="H785" i="47"/>
  <c r="F785" i="47"/>
  <c r="L785" i="47" s="1"/>
  <c r="D785" i="47"/>
  <c r="O785" i="47" s="1"/>
  <c r="C785" i="47"/>
  <c r="N785" i="47" s="1"/>
  <c r="B785" i="47"/>
  <c r="K785" i="47" s="1"/>
  <c r="C797" i="47"/>
  <c r="I536" i="47"/>
  <c r="P584" i="47"/>
  <c r="J584" i="47"/>
  <c r="N601" i="47"/>
  <c r="L601" i="47"/>
  <c r="K601" i="47"/>
  <c r="C606" i="47"/>
  <c r="H606" i="47" s="1"/>
  <c r="L638" i="47"/>
  <c r="C747" i="47"/>
  <c r="H747" i="47" s="1"/>
  <c r="B747" i="47"/>
  <c r="E817" i="47"/>
  <c r="P839" i="47"/>
  <c r="F839" i="47"/>
  <c r="D561" i="47"/>
  <c r="O561" i="47" s="1"/>
  <c r="H561" i="47"/>
  <c r="F561" i="47"/>
  <c r="H610" i="47"/>
  <c r="C715" i="47"/>
  <c r="I715" i="47" s="1"/>
  <c r="P722" i="47"/>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Q722" i="47"/>
  <c r="E748" i="47"/>
  <c r="P765" i="47"/>
  <c r="C765" i="47"/>
  <c r="P781" i="47"/>
  <c r="J834" i="47"/>
  <c r="C840" i="47"/>
  <c r="B840" i="47"/>
  <c r="C853" i="47"/>
  <c r="J853" i="47" s="1"/>
  <c r="P613" i="47"/>
  <c r="D616" i="47"/>
  <c r="O616" i="47" s="1"/>
  <c r="C616" i="47"/>
  <c r="P616" i="47"/>
  <c r="P655" i="47"/>
  <c r="Q655" i="47" s="1"/>
  <c r="H655" i="47"/>
  <c r="C655" i="47"/>
  <c r="M660" i="47"/>
  <c r="I660" i="47"/>
  <c r="B664" i="47"/>
  <c r="D682" i="47"/>
  <c r="Q682" i="47" s="1"/>
  <c r="C685" i="47"/>
  <c r="I685" i="47" s="1"/>
  <c r="J692" i="47"/>
  <c r="J694" i="47"/>
  <c r="B708" i="47"/>
  <c r="P711" i="47"/>
  <c r="Q711" i="47" s="1"/>
  <c r="E711" i="47"/>
  <c r="F730" i="47"/>
  <c r="N734" i="47"/>
  <c r="M734" i="47"/>
  <c r="L734" i="47"/>
  <c r="I734" i="47"/>
  <c r="B734" i="47"/>
  <c r="G734" i="47" s="1"/>
  <c r="K736" i="47"/>
  <c r="G748" i="47"/>
  <c r="B765" i="47"/>
  <c r="J801" i="47"/>
  <c r="P801" i="47"/>
  <c r="M801" i="47"/>
  <c r="L801" i="47"/>
  <c r="F801" i="47"/>
  <c r="H801" i="47" s="1"/>
  <c r="B801" i="47"/>
  <c r="B821" i="47"/>
  <c r="M821" i="47" s="1"/>
  <c r="D821" i="47"/>
  <c r="O821" i="47" s="1"/>
  <c r="C821" i="47"/>
  <c r="E821" i="47" s="1"/>
  <c r="B829" i="47"/>
  <c r="I829" i="47" s="1"/>
  <c r="D829" i="47"/>
  <c r="O829" i="47" s="1"/>
  <c r="C829" i="47"/>
  <c r="G829" i="47" s="1"/>
  <c r="G837" i="47"/>
  <c r="P840" i="47"/>
  <c r="E842" i="47"/>
  <c r="C848" i="47"/>
  <c r="H848" i="47" s="1"/>
  <c r="D853" i="47"/>
  <c r="O853" i="47" s="1"/>
  <c r="D795" i="47"/>
  <c r="C795" i="47"/>
  <c r="D813" i="47"/>
  <c r="O813" i="47" s="1"/>
  <c r="B833" i="47"/>
  <c r="P833" i="47"/>
  <c r="N833" i="47"/>
  <c r="M833" i="47"/>
  <c r="I833" i="47"/>
  <c r="E833" i="47"/>
  <c r="H837" i="47"/>
  <c r="F853" i="47"/>
  <c r="G624" i="47"/>
  <c r="F624" i="47"/>
  <c r="B634" i="47"/>
  <c r="D634" i="47"/>
  <c r="O634" i="47" s="1"/>
  <c r="P723" i="47"/>
  <c r="C723" i="47"/>
  <c r="I723" i="47" s="1"/>
  <c r="I748" i="47"/>
  <c r="C759" i="47"/>
  <c r="J759" i="47" s="1"/>
  <c r="D762" i="47"/>
  <c r="O762" i="47" s="1"/>
  <c r="F765" i="47"/>
  <c r="K773" i="47"/>
  <c r="M773" i="47"/>
  <c r="D801" i="47"/>
  <c r="O801" i="47" s="1"/>
  <c r="B813" i="47"/>
  <c r="G813" i="47" s="1"/>
  <c r="F821" i="47"/>
  <c r="H821" i="47" s="1"/>
  <c r="C833" i="47"/>
  <c r="L833" i="47" s="1"/>
  <c r="L837" i="47"/>
  <c r="N845" i="47"/>
  <c r="P848" i="47"/>
  <c r="D577" i="47"/>
  <c r="O577" i="47" s="1"/>
  <c r="N605" i="47"/>
  <c r="K605" i="47"/>
  <c r="E614" i="47"/>
  <c r="D614" i="47"/>
  <c r="O614" i="47" s="1"/>
  <c r="C614" i="47"/>
  <c r="B662" i="47"/>
  <c r="J664" i="47"/>
  <c r="B716" i="47"/>
  <c r="B727" i="47"/>
  <c r="M748" i="47"/>
  <c r="D759" i="47"/>
  <c r="E801" i="47"/>
  <c r="K810" i="47"/>
  <c r="C813" i="47"/>
  <c r="K813" i="47" s="1"/>
  <c r="D833" i="47"/>
  <c r="O833" i="47" s="1"/>
  <c r="P853" i="47"/>
  <c r="F540" i="47"/>
  <c r="C546" i="47"/>
  <c r="B546" i="47"/>
  <c r="H560" i="47"/>
  <c r="B577" i="47"/>
  <c r="P586" i="47"/>
  <c r="L586" i="47"/>
  <c r="D589" i="47"/>
  <c r="F589" i="47"/>
  <c r="C589" i="47"/>
  <c r="B589" i="47"/>
  <c r="B605" i="47"/>
  <c r="G605" i="47" s="1"/>
  <c r="B614" i="47"/>
  <c r="C624" i="47"/>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L810" i="47"/>
  <c r="D819" i="47"/>
  <c r="B819" i="47"/>
  <c r="I821" i="47"/>
  <c r="B824" i="47"/>
  <c r="P827" i="47"/>
  <c r="D827" i="47"/>
  <c r="B827" i="47"/>
  <c r="F833" i="47"/>
  <c r="J833" i="47" s="1"/>
  <c r="F835" i="47"/>
  <c r="D835" i="47"/>
  <c r="O835" i="47" s="1"/>
  <c r="B835" i="47"/>
  <c r="B540" i="47"/>
  <c r="E565" i="47"/>
  <c r="C577" i="47"/>
  <c r="C586" i="47"/>
  <c r="E586" i="47" s="1"/>
  <c r="C605" i="47"/>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K734" i="47"/>
  <c r="F779" i="47"/>
  <c r="K801" i="47"/>
  <c r="F813" i="47"/>
  <c r="P816" i="47"/>
  <c r="D816" i="47"/>
  <c r="O816" i="47" s="1"/>
  <c r="B816" i="47"/>
  <c r="D824" i="47"/>
  <c r="Q824" i="47" s="1"/>
  <c r="P829" i="47"/>
  <c r="G833" i="47"/>
  <c r="P835" i="47"/>
  <c r="Q835" i="47" s="1"/>
  <c r="Q324" i="47"/>
  <c r="B424" i="47"/>
  <c r="C427" i="47"/>
  <c r="P483" i="47"/>
  <c r="M483" i="47"/>
  <c r="L483" i="47"/>
  <c r="H485" i="47"/>
  <c r="C540" i="47"/>
  <c r="E540" i="47" s="1"/>
  <c r="N563" i="47"/>
  <c r="K563" i="47"/>
  <c r="J563" i="47"/>
  <c r="H565" i="47"/>
  <c r="D586" i="47"/>
  <c r="F605" i="47"/>
  <c r="H605" i="47" s="1"/>
  <c r="H614" i="47"/>
  <c r="M616" i="47"/>
  <c r="B638" i="47"/>
  <c r="M638" i="47" s="1"/>
  <c r="G638" i="47"/>
  <c r="F638" i="47"/>
  <c r="N638" i="47" s="1"/>
  <c r="E638" i="47"/>
  <c r="D648" i="47"/>
  <c r="O648" i="47" s="1"/>
  <c r="K658" i="47"/>
  <c r="K664" i="47"/>
  <c r="P668" i="47"/>
  <c r="L668" i="47"/>
  <c r="G668" i="47"/>
  <c r="D669" i="47"/>
  <c r="Q669" i="47" s="1"/>
  <c r="P672" i="47"/>
  <c r="D686" i="47"/>
  <c r="O686" i="47" s="1"/>
  <c r="K690" i="47"/>
  <c r="H711" i="47"/>
  <c r="H714" i="47"/>
  <c r="P734" i="47"/>
  <c r="H773" i="47"/>
  <c r="M779" i="47"/>
  <c r="Q799" i="47"/>
  <c r="J799" i="47"/>
  <c r="L809" i="47"/>
  <c r="H833" i="47"/>
  <c r="P846" i="47"/>
  <c r="K846" i="47"/>
  <c r="H846" i="47"/>
  <c r="G846" i="47"/>
  <c r="D846" i="47"/>
  <c r="B846" i="47"/>
  <c r="B854" i="47"/>
  <c r="F854" i="47"/>
  <c r="D854" i="47"/>
  <c r="C854" i="47"/>
  <c r="D653" i="47"/>
  <c r="O653" i="47" s="1"/>
  <c r="C653" i="47"/>
  <c r="B653" i="47"/>
  <c r="K668" i="47"/>
  <c r="L714" i="47"/>
  <c r="L773" i="47"/>
  <c r="N821" i="47"/>
  <c r="L828" i="47"/>
  <c r="K833" i="47"/>
  <c r="C846" i="47"/>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K852" i="47"/>
  <c r="V991" i="47"/>
  <c r="V1223" i="47"/>
  <c r="G595" i="47"/>
  <c r="G694" i="47"/>
  <c r="Q699" i="47"/>
  <c r="D752" i="47"/>
  <c r="O752" i="47" s="1"/>
  <c r="J769" i="47"/>
  <c r="J793" i="47"/>
  <c r="D825" i="47"/>
  <c r="O825" i="47" s="1"/>
  <c r="K837" i="47"/>
  <c r="K841" i="47"/>
  <c r="I845" i="47"/>
  <c r="C849" i="47"/>
  <c r="L852"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475" i="47"/>
  <c r="Q198" i="47"/>
  <c r="Q672" i="47"/>
  <c r="Q430" i="47"/>
  <c r="Q596" i="47"/>
  <c r="Q770" i="47"/>
  <c r="O533" i="47"/>
  <c r="Q505" i="47"/>
  <c r="Q724" i="47"/>
  <c r="Q389" i="47"/>
  <c r="Q434" i="47"/>
  <c r="O70" i="47"/>
  <c r="Q97" i="47"/>
  <c r="O647" i="47"/>
  <c r="Q117" i="47"/>
  <c r="Q81" i="47"/>
  <c r="Q694" i="47"/>
  <c r="Q497" i="47"/>
  <c r="Q563" i="47"/>
  <c r="Q576" i="47"/>
  <c r="Q174" i="47"/>
  <c r="Q471" i="47"/>
  <c r="Q661" i="47"/>
  <c r="Q146"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N14"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M167" i="47"/>
  <c r="E167" i="47"/>
  <c r="D167" i="47"/>
  <c r="O167" i="47" s="1"/>
  <c r="F167" i="47"/>
  <c r="C167" i="47"/>
  <c r="K167" i="47" s="1"/>
  <c r="B167" i="47"/>
  <c r="P167" i="47"/>
  <c r="Q167" i="47" s="1"/>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M66" i="47"/>
  <c r="J67" i="47"/>
  <c r="G68" i="47"/>
  <c r="D69" i="47"/>
  <c r="O69" i="47" s="1"/>
  <c r="V70" i="47"/>
  <c r="O71" i="47"/>
  <c r="M72" i="47"/>
  <c r="G74" i="47"/>
  <c r="D75" i="47"/>
  <c r="O75" i="47" s="1"/>
  <c r="L76" i="47"/>
  <c r="L78" i="47"/>
  <c r="C81" i="47"/>
  <c r="N81" i="47" s="1"/>
  <c r="Q82" i="47"/>
  <c r="K84" i="47"/>
  <c r="F86" i="47"/>
  <c r="C87" i="47"/>
  <c r="K90" i="47"/>
  <c r="E92" i="47"/>
  <c r="B93" i="47"/>
  <c r="M93" i="47" s="1"/>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V131" i="47"/>
  <c r="P136" i="47"/>
  <c r="Q136" i="47" s="1"/>
  <c r="F136" i="47"/>
  <c r="L136" i="47"/>
  <c r="K136" i="47"/>
  <c r="I136" i="47"/>
  <c r="H136" i="47"/>
  <c r="D137" i="47"/>
  <c r="O137" i="47" s="1"/>
  <c r="C143" i="47"/>
  <c r="H144" i="47"/>
  <c r="Q149"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E34" i="47"/>
  <c r="Q35" i="47"/>
  <c r="M36" i="47"/>
  <c r="I37" i="47"/>
  <c r="M40" i="47"/>
  <c r="I41" i="47"/>
  <c r="E42" i="47"/>
  <c r="Q43" i="47"/>
  <c r="M44" i="47"/>
  <c r="I45" i="47"/>
  <c r="Q47" i="47"/>
  <c r="M48" i="47"/>
  <c r="E50" i="47"/>
  <c r="Q51" i="47"/>
  <c r="M52" i="47"/>
  <c r="I53" i="47"/>
  <c r="Q55" i="47"/>
  <c r="M56" i="47"/>
  <c r="I57" i="47"/>
  <c r="E58" i="47"/>
  <c r="B59" i="47"/>
  <c r="I59" i="47" s="1"/>
  <c r="P60" i="47"/>
  <c r="G63"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K135" i="47"/>
  <c r="B109" i="47"/>
  <c r="G109" i="47" s="1"/>
  <c r="E120" i="47"/>
  <c r="D131" i="47"/>
  <c r="O131" i="47" s="1"/>
  <c r="C131" i="47"/>
  <c r="H131" i="47" s="1"/>
  <c r="F131" i="47"/>
  <c r="B135" i="47"/>
  <c r="P141" i="47"/>
  <c r="P56" i="47"/>
  <c r="B60" i="47"/>
  <c r="V66" i="47"/>
  <c r="J69" i="47"/>
  <c r="I75" i="47"/>
  <c r="C77" i="47"/>
  <c r="M77" i="47" s="1"/>
  <c r="Q78" i="47"/>
  <c r="F82" i="47"/>
  <c r="J82" i="47" s="1"/>
  <c r="C83" i="47"/>
  <c r="E88" i="47"/>
  <c r="B89" i="47"/>
  <c r="E94" i="47"/>
  <c r="B95" i="47"/>
  <c r="J98"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B141" i="47"/>
  <c r="E142" i="47"/>
  <c r="F146" i="47"/>
  <c r="C146" i="47"/>
  <c r="B146" i="47"/>
  <c r="L152" i="47"/>
  <c r="K152" i="47"/>
  <c r="J152" i="47"/>
  <c r="I152" i="47"/>
  <c r="H152" i="47"/>
  <c r="F157" i="47"/>
  <c r="D157" i="47"/>
  <c r="O157" i="47" s="1"/>
  <c r="C157" i="47"/>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D89" i="47"/>
  <c r="O89" i="47" s="1"/>
  <c r="V90" i="47"/>
  <c r="M92" i="47"/>
  <c r="J93" i="47"/>
  <c r="G94" i="47"/>
  <c r="D95" i="47"/>
  <c r="O95" i="47" s="1"/>
  <c r="L96" i="47"/>
  <c r="I107" i="47"/>
  <c r="D111" i="47"/>
  <c r="O111" i="47" s="1"/>
  <c r="K111" i="47"/>
  <c r="I118" i="47"/>
  <c r="I119" i="47"/>
  <c r="H120" i="47"/>
  <c r="B123" i="47"/>
  <c r="G123" i="47" s="1"/>
  <c r="D127" i="47"/>
  <c r="O127" i="47" s="1"/>
  <c r="C127" i="47"/>
  <c r="Q127" i="47"/>
  <c r="B129" i="47"/>
  <c r="F135" i="47"/>
  <c r="D141" i="47"/>
  <c r="O141" i="47" s="1"/>
  <c r="J142" i="47"/>
  <c r="E152" i="47"/>
  <c r="J157"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N63" i="47"/>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M14" i="47"/>
  <c r="I15" i="47"/>
  <c r="E16" i="47"/>
  <c r="Q17" i="47"/>
  <c r="M18" i="47"/>
  <c r="I19" i="47"/>
  <c r="Q21" i="47"/>
  <c r="M22" i="47"/>
  <c r="I23" i="47"/>
  <c r="E24" i="47"/>
  <c r="E28" i="47"/>
  <c r="Q29" i="47"/>
  <c r="I31" i="47"/>
  <c r="E32" i="47"/>
  <c r="Q33" i="47"/>
  <c r="M34" i="47"/>
  <c r="I35" i="47"/>
  <c r="E36" i="47"/>
  <c r="Q37" i="47"/>
  <c r="M38" i="47"/>
  <c r="I39" i="47"/>
  <c r="E40" i="47"/>
  <c r="Q41" i="47"/>
  <c r="M42" i="47"/>
  <c r="I43" i="47"/>
  <c r="E44" i="47"/>
  <c r="Q45" i="47"/>
  <c r="I47" i="47"/>
  <c r="E48" i="47"/>
  <c r="Q49" i="47"/>
  <c r="M50" i="47"/>
  <c r="I51" i="47"/>
  <c r="E52" i="47"/>
  <c r="Q53" i="47"/>
  <c r="M54"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J77" i="47"/>
  <c r="G78" i="47"/>
  <c r="D79" i="47"/>
  <c r="Q79" i="47" s="1"/>
  <c r="L80" i="47"/>
  <c r="O81" i="47"/>
  <c r="L82" i="47"/>
  <c r="F84" i="47"/>
  <c r="H84" i="47" s="1"/>
  <c r="C85" i="47"/>
  <c r="J85" i="47" s="1"/>
  <c r="K88" i="47"/>
  <c r="F90" i="47"/>
  <c r="L90" i="47" s="1"/>
  <c r="C91" i="47"/>
  <c r="N93"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G127" i="47"/>
  <c r="F129" i="47"/>
  <c r="K130" i="47"/>
  <c r="I134" i="47"/>
  <c r="H138" i="47"/>
  <c r="Q138" i="47"/>
  <c r="F138" i="47"/>
  <c r="C138" i="47"/>
  <c r="K138" i="47" s="1"/>
  <c r="B138" i="47"/>
  <c r="G139" i="47"/>
  <c r="F145" i="47"/>
  <c r="M146" i="47"/>
  <c r="N152" i="47"/>
  <c r="K162" i="47"/>
  <c r="G170" i="47"/>
  <c r="L59" i="47"/>
  <c r="K77" i="47"/>
  <c r="E79" i="47"/>
  <c r="V86" i="47"/>
  <c r="J89" i="47"/>
  <c r="D91" i="47"/>
  <c r="Q91" i="47" s="1"/>
  <c r="L92" i="47"/>
  <c r="F102" i="47"/>
  <c r="P106" i="47"/>
  <c r="N107" i="47"/>
  <c r="J109" i="47"/>
  <c r="E112" i="47"/>
  <c r="B114" i="47"/>
  <c r="H123" i="47"/>
  <c r="G129" i="47"/>
  <c r="N131" i="47"/>
  <c r="P135" i="47"/>
  <c r="J141"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K180" i="47"/>
  <c r="N181" i="47"/>
  <c r="L184" i="47"/>
  <c r="P187" i="47"/>
  <c r="Q187" i="47" s="1"/>
  <c r="H196" i="47"/>
  <c r="I197" i="47"/>
  <c r="L198" i="47"/>
  <c r="Q202" i="47"/>
  <c r="F203" i="47"/>
  <c r="L206" i="47"/>
  <c r="Q210" i="47"/>
  <c r="F211" i="47"/>
  <c r="M234" i="47"/>
  <c r="J234" i="47"/>
  <c r="N235" i="47"/>
  <c r="M238" i="47"/>
  <c r="J238" i="47"/>
  <c r="N249" i="47"/>
  <c r="E269" i="47"/>
  <c r="N281" i="47"/>
  <c r="K281" i="47"/>
  <c r="J281" i="47"/>
  <c r="I281" i="47"/>
  <c r="H281" i="47"/>
  <c r="G281" i="47"/>
  <c r="E281" i="47"/>
  <c r="N286" i="47"/>
  <c r="L286" i="47"/>
  <c r="M151" i="47"/>
  <c r="E161" i="47"/>
  <c r="N169" i="47"/>
  <c r="K171" i="47"/>
  <c r="P185" i="47"/>
  <c r="D191" i="47"/>
  <c r="O191" i="47" s="1"/>
  <c r="C191" i="47"/>
  <c r="N191" i="47" s="1"/>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5" i="47"/>
  <c r="L196" i="47"/>
  <c r="I200" i="47"/>
  <c r="I208" i="47"/>
  <c r="J211" i="47"/>
  <c r="J224" i="47"/>
  <c r="G228" i="47"/>
  <c r="E228" i="47"/>
  <c r="N228" i="47"/>
  <c r="L241" i="47"/>
  <c r="G241" i="47"/>
  <c r="F241" i="47"/>
  <c r="C241" i="47"/>
  <c r="E241" i="47" s="1"/>
  <c r="P241" i="47"/>
  <c r="Q241" i="47" s="1"/>
  <c r="O241" i="47"/>
  <c r="N241" i="47"/>
  <c r="M241" i="47"/>
  <c r="V242" i="47"/>
  <c r="D255" i="47"/>
  <c r="O255" i="47" s="1"/>
  <c r="M255" i="47"/>
  <c r="K255" i="47"/>
  <c r="H255" i="47"/>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N203" i="47"/>
  <c r="G208" i="47"/>
  <c r="E208" i="47"/>
  <c r="N211" i="47"/>
  <c r="I215" i="47"/>
  <c r="D215" i="47"/>
  <c r="Q215" i="47" s="1"/>
  <c r="C215" i="47"/>
  <c r="K218" i="47"/>
  <c r="L224" i="47"/>
  <c r="K227" i="47"/>
  <c r="I227" i="47"/>
  <c r="E227" i="47"/>
  <c r="D227" i="47"/>
  <c r="O227" i="47" s="1"/>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L223" i="47"/>
  <c r="M224" i="47"/>
  <c r="I236" i="47"/>
  <c r="E268" i="47"/>
  <c r="N268" i="47"/>
  <c r="M268" i="47"/>
  <c r="L268" i="47"/>
  <c r="K268" i="47"/>
  <c r="J268" i="47"/>
  <c r="I268" i="47"/>
  <c r="H268" i="47"/>
  <c r="E151" i="47"/>
  <c r="D151" i="47"/>
  <c r="O151" i="47" s="1"/>
  <c r="K158" i="47"/>
  <c r="E169" i="47"/>
  <c r="L169" i="47"/>
  <c r="I180" i="47"/>
  <c r="E181" i="47"/>
  <c r="M181" i="47"/>
  <c r="L181" i="47"/>
  <c r="Q182" i="47"/>
  <c r="M183" i="47"/>
  <c r="E183" i="47"/>
  <c r="D183" i="47"/>
  <c r="O183" i="47" s="1"/>
  <c r="C183" i="47"/>
  <c r="J183" i="47" s="1"/>
  <c r="B185" i="47"/>
  <c r="K185" i="47" s="1"/>
  <c r="B187" i="47"/>
  <c r="K192" i="47"/>
  <c r="B199" i="47"/>
  <c r="P203" i="47"/>
  <c r="B207" i="47"/>
  <c r="P211" i="47"/>
  <c r="Q214" i="47"/>
  <c r="Q226" i="47"/>
  <c r="G232" i="47"/>
  <c r="E232" i="47"/>
  <c r="N232" i="47"/>
  <c r="Q261" i="47"/>
  <c r="D275" i="47"/>
  <c r="O275" i="47" s="1"/>
  <c r="P275" i="47"/>
  <c r="F275" i="47"/>
  <c r="B282" i="47"/>
  <c r="M282" i="47"/>
  <c r="P282" i="47"/>
  <c r="N282" i="47"/>
  <c r="G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L187" i="47" s="1"/>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G199" i="47"/>
  <c r="J200" i="47"/>
  <c r="N202" i="47"/>
  <c r="J208" i="47"/>
  <c r="N210" i="47"/>
  <c r="H215"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E182" i="47"/>
  <c r="H183" i="47"/>
  <c r="J187" i="47"/>
  <c r="J188" i="47"/>
  <c r="N190" i="47"/>
  <c r="P191" i="47"/>
  <c r="L208" i="47"/>
  <c r="L215" i="47"/>
  <c r="M216" i="47"/>
  <c r="G220" i="47"/>
  <c r="E220" i="47"/>
  <c r="N220" i="47"/>
  <c r="L222" i="47"/>
  <c r="Q230" i="47"/>
  <c r="J232" i="47"/>
  <c r="F235" i="47"/>
  <c r="D235" i="47"/>
  <c r="O235" i="47" s="1"/>
  <c r="C235" i="47"/>
  <c r="M235" i="47" s="1"/>
  <c r="B235" i="47"/>
  <c r="H236" i="47"/>
  <c r="L239" i="47"/>
  <c r="I239" i="47"/>
  <c r="F239" i="47"/>
  <c r="H239" i="47" s="1"/>
  <c r="E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I183" i="47"/>
  <c r="G184" i="47"/>
  <c r="H185" i="47"/>
  <c r="J186" i="47"/>
  <c r="K187" i="47"/>
  <c r="K188" i="47"/>
  <c r="E195" i="47"/>
  <c r="D195" i="47"/>
  <c r="O195" i="47" s="1"/>
  <c r="C195" i="47"/>
  <c r="G195" i="47" s="1"/>
  <c r="E198" i="47"/>
  <c r="L199" i="47"/>
  <c r="M200" i="47"/>
  <c r="E206" i="47"/>
  <c r="M208" i="47"/>
  <c r="N215" i="47"/>
  <c r="N216" i="47"/>
  <c r="D219" i="47"/>
  <c r="O219" i="47" s="1"/>
  <c r="C219" i="47"/>
  <c r="L219" i="47" s="1"/>
  <c r="N222" i="47"/>
  <c r="H231" i="47"/>
  <c r="K232" i="47"/>
  <c r="G235" i="47"/>
  <c r="J236" i="47"/>
  <c r="D242" i="47"/>
  <c r="Q242" i="47" s="1"/>
  <c r="C242" i="47"/>
  <c r="B242" i="47"/>
  <c r="L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I278" i="47"/>
  <c r="P278" i="47"/>
  <c r="Q278" i="47" s="1"/>
  <c r="O278" i="47"/>
  <c r="F278" i="47"/>
  <c r="I283" i="47"/>
  <c r="D283" i="47"/>
  <c r="O283" i="47" s="1"/>
  <c r="P283" i="47"/>
  <c r="M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I185" i="47"/>
  <c r="K186" i="47"/>
  <c r="L188" i="47"/>
  <c r="Q194" i="47"/>
  <c r="B195" i="47"/>
  <c r="M195" i="47" s="1"/>
  <c r="N199" i="47"/>
  <c r="N200" i="47"/>
  <c r="G204" i="47"/>
  <c r="E204" i="47"/>
  <c r="N207" i="47"/>
  <c r="N208" i="47"/>
  <c r="G212" i="47"/>
  <c r="E212" i="47"/>
  <c r="J214" i="47"/>
  <c r="B219" i="47"/>
  <c r="J226" i="47"/>
  <c r="P227" i="47"/>
  <c r="J231" i="47"/>
  <c r="L232" i="47"/>
  <c r="K236" i="47"/>
  <c r="C245" i="47"/>
  <c r="N245" i="47" s="1"/>
  <c r="N258" i="47"/>
  <c r="N267" i="47"/>
  <c r="J267" i="47"/>
  <c r="B271" i="47"/>
  <c r="I271" i="47" s="1"/>
  <c r="C278" i="47"/>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H329" i="47" s="1"/>
  <c r="B329" i="47"/>
  <c r="N339" i="47"/>
  <c r="L339" i="47"/>
  <c r="H339" i="47"/>
  <c r="G339" i="47"/>
  <c r="E339" i="47"/>
  <c r="Q353" i="47"/>
  <c r="E286" i="47"/>
  <c r="F287" i="47"/>
  <c r="H287" i="47" s="1"/>
  <c r="E289" i="47"/>
  <c r="G291" i="47"/>
  <c r="G292" i="47"/>
  <c r="G293" i="47"/>
  <c r="H295" i="47"/>
  <c r="M300" i="47"/>
  <c r="P302" i="47"/>
  <c r="K307" i="47"/>
  <c r="E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B355" i="47"/>
  <c r="L355" i="47"/>
  <c r="K189" i="47"/>
  <c r="K193" i="47"/>
  <c r="K197" i="47"/>
  <c r="K201" i="47"/>
  <c r="O204" i="47"/>
  <c r="K205" i="47"/>
  <c r="O208" i="47"/>
  <c r="K209" i="47"/>
  <c r="G210" i="47"/>
  <c r="O212" i="47"/>
  <c r="G214" i="47"/>
  <c r="O216" i="47"/>
  <c r="G218" i="47"/>
  <c r="O220" i="47"/>
  <c r="G222" i="47"/>
  <c r="O224" i="47"/>
  <c r="G226" i="47"/>
  <c r="O228" i="47"/>
  <c r="G230" i="47"/>
  <c r="O232" i="47"/>
  <c r="G234" i="47"/>
  <c r="O236" i="47"/>
  <c r="K237"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L193" i="47"/>
  <c r="H194" i="47"/>
  <c r="P196" i="47"/>
  <c r="L197" i="47"/>
  <c r="H198" i="47"/>
  <c r="P200" i="47"/>
  <c r="Q200" i="47" s="1"/>
  <c r="L201" i="47"/>
  <c r="H202" i="47"/>
  <c r="P204" i="47"/>
  <c r="Q204" i="47" s="1"/>
  <c r="L205" i="47"/>
  <c r="H206" i="47"/>
  <c r="P208" i="47"/>
  <c r="L209" i="47"/>
  <c r="H210" i="47"/>
  <c r="P212" i="47"/>
  <c r="H214" i="47"/>
  <c r="P216" i="47"/>
  <c r="L217" i="47"/>
  <c r="H218" i="47"/>
  <c r="P220" i="47"/>
  <c r="H222" i="47"/>
  <c r="P224" i="47"/>
  <c r="Q224" i="47" s="1"/>
  <c r="H226" i="47"/>
  <c r="P228" i="47"/>
  <c r="Q228" i="47" s="1"/>
  <c r="H230" i="47"/>
  <c r="P232" i="47"/>
  <c r="Q232" i="47" s="1"/>
  <c r="H234" i="47"/>
  <c r="P236" i="47"/>
  <c r="Q236" i="47" s="1"/>
  <c r="L237" i="47"/>
  <c r="H238" i="47"/>
  <c r="B247" i="47"/>
  <c r="I247" i="47" s="1"/>
  <c r="J252" i="47"/>
  <c r="H253" i="47"/>
  <c r="Q257"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L345" i="47"/>
  <c r="F345" i="47"/>
  <c r="D345" i="47"/>
  <c r="O345" i="47" s="1"/>
  <c r="C345" i="47"/>
  <c r="H345" i="47" s="1"/>
  <c r="G355" i="47"/>
  <c r="I154" i="47"/>
  <c r="Q160" i="47"/>
  <c r="I186" i="47"/>
  <c r="M189" i="47"/>
  <c r="I190" i="47"/>
  <c r="Q192" i="47"/>
  <c r="M193" i="47"/>
  <c r="Q196" i="47"/>
  <c r="M197" i="47"/>
  <c r="M201" i="47"/>
  <c r="M205" i="47"/>
  <c r="I206" i="47"/>
  <c r="Q208" i="47"/>
  <c r="M209" i="47"/>
  <c r="I210" i="47"/>
  <c r="Q212" i="47"/>
  <c r="I214" i="47"/>
  <c r="Q216" i="47"/>
  <c r="I218" i="47"/>
  <c r="Q220"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G342" i="47"/>
  <c r="F342" i="47"/>
  <c r="C342" i="47"/>
  <c r="M342" i="47" s="1"/>
  <c r="P342" i="47"/>
  <c r="B345" i="47"/>
  <c r="V351" i="47"/>
  <c r="J355" i="47"/>
  <c r="M249" i="47"/>
  <c r="L249" i="47"/>
  <c r="D259" i="47"/>
  <c r="O259" i="47" s="1"/>
  <c r="J285" i="47"/>
  <c r="L288" i="47"/>
  <c r="K289" i="47"/>
  <c r="V299" i="47"/>
  <c r="D303" i="47"/>
  <c r="Q303" i="47" s="1"/>
  <c r="G304" i="47"/>
  <c r="E304" i="47"/>
  <c r="K316" i="47"/>
  <c r="V343" i="47"/>
  <c r="L350" i="47"/>
  <c r="G350" i="47"/>
  <c r="N363" i="47"/>
  <c r="K285" i="47"/>
  <c r="M288" i="47"/>
  <c r="B302" i="47"/>
  <c r="M302" i="47"/>
  <c r="L316" i="47"/>
  <c r="P329" i="47"/>
  <c r="L363" i="47"/>
  <c r="K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M345" i="47"/>
  <c r="C213" i="47"/>
  <c r="K213" i="47" s="1"/>
  <c r="C217" i="47"/>
  <c r="C221" i="47"/>
  <c r="C225" i="47"/>
  <c r="E225" i="47" s="1"/>
  <c r="C229" i="47"/>
  <c r="K229" i="47" s="1"/>
  <c r="C233" i="47"/>
  <c r="C237" i="47"/>
  <c r="E237" i="47" s="1"/>
  <c r="H240" i="47"/>
  <c r="V243" i="47"/>
  <c r="H248" i="47"/>
  <c r="F249" i="47"/>
  <c r="J249" i="47" s="1"/>
  <c r="H257" i="47"/>
  <c r="G260" i="47"/>
  <c r="D262" i="47"/>
  <c r="O262" i="47" s="1"/>
  <c r="B298" i="47"/>
  <c r="H298" i="47"/>
  <c r="B299" i="47"/>
  <c r="F302" i="47"/>
  <c r="H303"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C299" i="47"/>
  <c r="J299" i="47" s="1"/>
  <c r="L304" i="47"/>
  <c r="C311" i="47"/>
  <c r="L311" i="47" s="1"/>
  <c r="H312" i="47"/>
  <c r="K314" i="47"/>
  <c r="P315" i="47"/>
  <c r="I319" i="47"/>
  <c r="D319" i="47"/>
  <c r="J322" i="47"/>
  <c r="F325" i="47"/>
  <c r="D325" i="47"/>
  <c r="Q325" i="47" s="1"/>
  <c r="B325" i="47"/>
  <c r="C330" i="47"/>
  <c r="M330" i="47" s="1"/>
  <c r="I354" i="47"/>
  <c r="G356" i="47"/>
  <c r="N364" i="47"/>
  <c r="K364" i="47"/>
  <c r="E364" i="47"/>
  <c r="D364" i="47"/>
  <c r="O364" i="47" s="1"/>
  <c r="C364" i="47"/>
  <c r="G364" i="47" s="1"/>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J302"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B406" i="47"/>
  <c r="P369" i="47"/>
  <c r="F373" i="47"/>
  <c r="I380" i="47"/>
  <c r="F383" i="47"/>
  <c r="C383" i="47"/>
  <c r="N383" i="47" s="1"/>
  <c r="B383" i="47"/>
  <c r="P383" i="47"/>
  <c r="C388" i="47"/>
  <c r="L388" i="47" s="1"/>
  <c r="B388" i="47"/>
  <c r="N388" i="47"/>
  <c r="E406" i="47"/>
  <c r="V334" i="47"/>
  <c r="L340" i="47"/>
  <c r="Q346" i="47"/>
  <c r="N353" i="47"/>
  <c r="K354" i="47"/>
  <c r="B357" i="47"/>
  <c r="P358" i="47"/>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Q358" i="47"/>
  <c r="N359" i="47"/>
  <c r="O360" i="47"/>
  <c r="B372" i="47"/>
  <c r="N372" i="47"/>
  <c r="L372" i="47"/>
  <c r="K372" i="47"/>
  <c r="J372" i="47"/>
  <c r="C373" i="47"/>
  <c r="I373" i="47" s="1"/>
  <c r="E378" i="47"/>
  <c r="P380" i="47"/>
  <c r="I389" i="47"/>
  <c r="E393" i="47"/>
  <c r="I397" i="47"/>
  <c r="E408" i="47"/>
  <c r="M408" i="47"/>
  <c r="Q420" i="47"/>
  <c r="Q446" i="47"/>
  <c r="F371" i="47"/>
  <c r="B371" i="47"/>
  <c r="P371" i="47"/>
  <c r="N371" i="47"/>
  <c r="D373" i="47"/>
  <c r="O373" i="47" s="1"/>
  <c r="H383" i="47"/>
  <c r="F387" i="47"/>
  <c r="J387" i="47" s="1"/>
  <c r="C387" i="47"/>
  <c r="B387" i="47"/>
  <c r="I387" i="47" s="1"/>
  <c r="P387" i="47"/>
  <c r="N387" i="47"/>
  <c r="F388" i="47"/>
  <c r="I393" i="47"/>
  <c r="F399" i="47"/>
  <c r="C399" i="47"/>
  <c r="B399" i="47"/>
  <c r="P399" i="47"/>
  <c r="F410" i="47"/>
  <c r="D410" i="47"/>
  <c r="C410" i="47"/>
  <c r="N410" i="47" s="1"/>
  <c r="P244" i="47"/>
  <c r="Q244" i="47" s="1"/>
  <c r="P248" i="47"/>
  <c r="Q248" i="47" s="1"/>
  <c r="P252" i="47"/>
  <c r="Q252" i="47" s="1"/>
  <c r="P256" i="47"/>
  <c r="Q256" i="47" s="1"/>
  <c r="P260" i="47"/>
  <c r="Q260" i="47" s="1"/>
  <c r="L261" i="47"/>
  <c r="P264" i="47"/>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O348" i="47"/>
  <c r="I350" i="47"/>
  <c r="C352" i="47"/>
  <c r="J352" i="47" s="1"/>
  <c r="N354" i="47"/>
  <c r="H356" i="47"/>
  <c r="B358" i="47"/>
  <c r="M358" i="47" s="1"/>
  <c r="P361" i="47"/>
  <c r="Q361" i="47" s="1"/>
  <c r="M363" i="47"/>
  <c r="C371" i="47"/>
  <c r="D372" i="47"/>
  <c r="O372" i="47" s="1"/>
  <c r="O377" i="47"/>
  <c r="N377" i="47"/>
  <c r="K377" i="47"/>
  <c r="H377" i="47"/>
  <c r="G377" i="47"/>
  <c r="F377" i="47"/>
  <c r="J377" i="47" s="1"/>
  <c r="F382" i="47"/>
  <c r="D382" i="47"/>
  <c r="O382" i="47" s="1"/>
  <c r="C382" i="47"/>
  <c r="B382" i="47"/>
  <c r="I383" i="47"/>
  <c r="D387" i="47"/>
  <c r="O387" i="47" s="1"/>
  <c r="G388" i="47"/>
  <c r="E392" i="47"/>
  <c r="P397" i="47"/>
  <c r="D399" i="47"/>
  <c r="O399" i="47" s="1"/>
  <c r="I402" i="47"/>
  <c r="G402" i="47"/>
  <c r="F402" i="47"/>
  <c r="D402" i="47"/>
  <c r="O402" i="47" s="1"/>
  <c r="C402" i="47"/>
  <c r="B402" i="47"/>
  <c r="O405" i="47"/>
  <c r="F405" i="47"/>
  <c r="J405" i="47" s="1"/>
  <c r="C405" i="47"/>
  <c r="N405" i="47" s="1"/>
  <c r="N406" i="47"/>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H399" i="47"/>
  <c r="E402" i="47"/>
  <c r="B405" i="47"/>
  <c r="P406" i="47"/>
  <c r="H408" i="47"/>
  <c r="F369" i="47"/>
  <c r="G391" i="47"/>
  <c r="F391" i="47"/>
  <c r="C391" i="47"/>
  <c r="B391" i="47"/>
  <c r="P391" i="47"/>
  <c r="P421" i="47"/>
  <c r="K421" i="47"/>
  <c r="H421" i="47"/>
  <c r="G421" i="47"/>
  <c r="F421" i="47"/>
  <c r="E421" i="47"/>
  <c r="D421" i="47"/>
  <c r="Q421" i="47" s="1"/>
  <c r="C421" i="47"/>
  <c r="B421" i="47"/>
  <c r="I357" i="47"/>
  <c r="F358" i="47"/>
  <c r="H358" i="47" s="1"/>
  <c r="B368" i="47"/>
  <c r="L368" i="47"/>
  <c r="J368" i="47"/>
  <c r="B369" i="47"/>
  <c r="G371" i="47"/>
  <c r="C376" i="47"/>
  <c r="L376" i="47" s="1"/>
  <c r="B376" i="47"/>
  <c r="K376" i="47" s="1"/>
  <c r="N376" i="47"/>
  <c r="J376" i="47"/>
  <c r="O381" i="47"/>
  <c r="F381" i="47"/>
  <c r="L383" i="47"/>
  <c r="F386" i="47"/>
  <c r="D386" i="47"/>
  <c r="Q386" i="47" s="1"/>
  <c r="C386" i="47"/>
  <c r="I386" i="47" s="1"/>
  <c r="B386" i="47"/>
  <c r="M388" i="47"/>
  <c r="D391" i="47"/>
  <c r="O391" i="47" s="1"/>
  <c r="H392" i="47"/>
  <c r="J399" i="47"/>
  <c r="B360" i="47"/>
  <c r="J361" i="47"/>
  <c r="F367" i="47"/>
  <c r="B367" i="47"/>
  <c r="P367" i="47"/>
  <c r="Q367" i="47" s="1"/>
  <c r="O367" i="47"/>
  <c r="C368" i="47"/>
  <c r="N368" i="47" s="1"/>
  <c r="C369" i="47"/>
  <c r="E369" i="47" s="1"/>
  <c r="H371" i="47"/>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M360" i="47" s="1"/>
  <c r="B361" i="47"/>
  <c r="G361" i="47" s="1"/>
  <c r="F362" i="47"/>
  <c r="D362" i="47"/>
  <c r="O362" i="47" s="1"/>
  <c r="C362" i="47"/>
  <c r="E362" i="47" s="1"/>
  <c r="B363" i="47"/>
  <c r="P363" i="47"/>
  <c r="C367" i="47"/>
  <c r="D368" i="47"/>
  <c r="O368" i="47" s="1"/>
  <c r="D369" i="47"/>
  <c r="O369" i="47" s="1"/>
  <c r="P373" i="47"/>
  <c r="P378" i="47"/>
  <c r="C381" i="47"/>
  <c r="K387" i="47"/>
  <c r="K398" i="47"/>
  <c r="J398" i="47"/>
  <c r="G398" i="47"/>
  <c r="F398" i="47"/>
  <c r="D398" i="47"/>
  <c r="Q398" i="47" s="1"/>
  <c r="C398" i="47"/>
  <c r="I398" i="47" s="1"/>
  <c r="B398" i="47"/>
  <c r="F401" i="47"/>
  <c r="C401" i="47"/>
  <c r="F375" i="47"/>
  <c r="C375" i="47"/>
  <c r="J375" i="47" s="1"/>
  <c r="B375" i="47"/>
  <c r="P375" i="47"/>
  <c r="C380" i="47"/>
  <c r="E380" i="47" s="1"/>
  <c r="B380" i="47"/>
  <c r="J380" i="47"/>
  <c r="F385" i="47"/>
  <c r="L387" i="47"/>
  <c r="F390" i="47"/>
  <c r="D390" i="47"/>
  <c r="O390" i="47" s="1"/>
  <c r="C390" i="47"/>
  <c r="M390" i="47" s="1"/>
  <c r="B390" i="47"/>
  <c r="J391" i="47"/>
  <c r="F394" i="47"/>
  <c r="D394" i="47"/>
  <c r="O394" i="47" s="1"/>
  <c r="C394" i="47"/>
  <c r="B394" i="47"/>
  <c r="O306" i="47"/>
  <c r="O310" i="47"/>
  <c r="O314" i="47"/>
  <c r="O318" i="47"/>
  <c r="O322" i="47"/>
  <c r="V326" i="47"/>
  <c r="O327" i="47"/>
  <c r="L332" i="47"/>
  <c r="L334" i="47"/>
  <c r="C337" i="47"/>
  <c r="Q338" i="47"/>
  <c r="K340" i="47"/>
  <c r="I341" i="47"/>
  <c r="C343" i="47"/>
  <c r="K346" i="47"/>
  <c r="H347" i="47"/>
  <c r="P350" i="47"/>
  <c r="Q350" i="47" s="1"/>
  <c r="G353" i="47"/>
  <c r="E354" i="47"/>
  <c r="P356" i="47"/>
  <c r="Q356" i="47" s="1"/>
  <c r="M357" i="47"/>
  <c r="J358" i="47"/>
  <c r="G359" i="47"/>
  <c r="D361" i="47"/>
  <c r="O361" i="47" s="1"/>
  <c r="D363" i="47"/>
  <c r="O363" i="47" s="1"/>
  <c r="J365" i="47"/>
  <c r="G365" i="47"/>
  <c r="F365" i="47"/>
  <c r="H365" i="47" s="1"/>
  <c r="E367" i="47"/>
  <c r="F368" i="47"/>
  <c r="H368" i="47" s="1"/>
  <c r="P372" i="47"/>
  <c r="D375" i="47"/>
  <c r="O375" i="47" s="1"/>
  <c r="G376" i="47"/>
  <c r="M377" i="47"/>
  <c r="D380" i="47"/>
  <c r="Q380" i="47" s="1"/>
  <c r="B385" i="47"/>
  <c r="L386" i="47"/>
  <c r="M387" i="47"/>
  <c r="K391" i="47"/>
  <c r="D401" i="47"/>
  <c r="O401" i="47" s="1"/>
  <c r="E404" i="47"/>
  <c r="P322" i="47"/>
  <c r="Q322" i="47" s="1"/>
  <c r="Q327" i="47"/>
  <c r="M334" i="47"/>
  <c r="V338" i="47"/>
  <c r="M340" i="47"/>
  <c r="J341" i="47"/>
  <c r="D343" i="47"/>
  <c r="L346" i="47"/>
  <c r="I347" i="47"/>
  <c r="F348" i="47"/>
  <c r="H348" i="47" s="1"/>
  <c r="K352" i="47"/>
  <c r="I353" i="47"/>
  <c r="F354" i="47"/>
  <c r="H354" i="47" s="1"/>
  <c r="N357" i="47"/>
  <c r="K358" i="47"/>
  <c r="H359" i="47"/>
  <c r="F360" i="47"/>
  <c r="E361" i="47"/>
  <c r="E363" i="47"/>
  <c r="L371" i="47"/>
  <c r="E375" i="47"/>
  <c r="H376" i="47"/>
  <c r="P377" i="47"/>
  <c r="Q377" i="47" s="1"/>
  <c r="P382" i="47"/>
  <c r="C385" i="47"/>
  <c r="J385" i="47" s="1"/>
  <c r="M386" i="47"/>
  <c r="L391" i="47"/>
  <c r="L398" i="47"/>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N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I361" i="47"/>
  <c r="I362" i="47"/>
  <c r="G363" i="47"/>
  <c r="D365" i="47"/>
  <c r="I368" i="47"/>
  <c r="F374" i="47"/>
  <c r="D374" i="47"/>
  <c r="C374" i="47"/>
  <c r="G374" i="47" s="1"/>
  <c r="B374" i="47"/>
  <c r="M376" i="47"/>
  <c r="D379" i="47"/>
  <c r="O379" i="47" s="1"/>
  <c r="D384" i="47"/>
  <c r="O384" i="47" s="1"/>
  <c r="B389" i="47"/>
  <c r="M389" i="47" s="1"/>
  <c r="L390" i="47"/>
  <c r="O393" i="47"/>
  <c r="N393" i="47"/>
  <c r="M393" i="47"/>
  <c r="K393" i="47"/>
  <c r="H393" i="47"/>
  <c r="G393" i="47"/>
  <c r="F393" i="47"/>
  <c r="J393" i="47" s="1"/>
  <c r="M394" i="47"/>
  <c r="B397" i="47"/>
  <c r="K397" i="47" s="1"/>
  <c r="N398" i="47"/>
  <c r="L401" i="47"/>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J440" i="47" s="1"/>
  <c r="C440" i="47"/>
  <c r="H440" i="47" s="1"/>
  <c r="H442" i="47"/>
  <c r="P445" i="47"/>
  <c r="I445" i="47"/>
  <c r="G445" i="47"/>
  <c r="F445" i="47"/>
  <c r="V455" i="47"/>
  <c r="L477" i="47"/>
  <c r="H477" i="47"/>
  <c r="P439" i="47"/>
  <c r="F439" i="47"/>
  <c r="J392" i="47"/>
  <c r="J396" i="47"/>
  <c r="J400" i="47"/>
  <c r="J404" i="47"/>
  <c r="J408" i="47"/>
  <c r="F409" i="47"/>
  <c r="G414" i="47"/>
  <c r="D415" i="47"/>
  <c r="O415" i="47" s="1"/>
  <c r="I419" i="47"/>
  <c r="F420" i="47"/>
  <c r="L420" i="47" s="1"/>
  <c r="M425" i="47"/>
  <c r="K426" i="47"/>
  <c r="K427" i="47"/>
  <c r="J428" i="47"/>
  <c r="J429" i="47"/>
  <c r="F431" i="47"/>
  <c r="B439" i="47"/>
  <c r="K442" i="47"/>
  <c r="C445" i="47"/>
  <c r="K445" i="47" s="1"/>
  <c r="D452" i="47"/>
  <c r="O452" i="47" s="1"/>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L438" i="47"/>
  <c r="B438" i="47"/>
  <c r="K438" i="47" s="1"/>
  <c r="Q438" i="47"/>
  <c r="M438" i="47"/>
  <c r="I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D439" i="47"/>
  <c r="O439" i="47" s="1"/>
  <c r="N442" i="47"/>
  <c r="B448" i="47"/>
  <c r="G448" i="47" s="1"/>
  <c r="F488" i="47"/>
  <c r="D488" i="47"/>
  <c r="O488" i="47" s="1"/>
  <c r="B488" i="47"/>
  <c r="P488" i="47"/>
  <c r="L488" i="47"/>
  <c r="J488" i="47"/>
  <c r="C488" i="47"/>
  <c r="I409" i="47"/>
  <c r="J414" i="47"/>
  <c r="O417" i="47"/>
  <c r="D423" i="47"/>
  <c r="O423" i="47" s="1"/>
  <c r="N427" i="47"/>
  <c r="L433" i="47"/>
  <c r="P459" i="47"/>
  <c r="F459" i="47"/>
  <c r="N392" i="47"/>
  <c r="N396" i="47"/>
  <c r="N400" i="47"/>
  <c r="N404" i="47"/>
  <c r="B407" i="47"/>
  <c r="N408" i="47"/>
  <c r="D411" i="47"/>
  <c r="O411" i="47" s="1"/>
  <c r="N413" i="47"/>
  <c r="L414" i="47"/>
  <c r="I415" i="47"/>
  <c r="F416" i="47"/>
  <c r="L416" i="47" s="1"/>
  <c r="B417" i="47"/>
  <c r="P418" i="47"/>
  <c r="Q418" i="47" s="1"/>
  <c r="M419" i="47"/>
  <c r="J420" i="47"/>
  <c r="D422" i="47"/>
  <c r="B423" i="47"/>
  <c r="M430" i="47"/>
  <c r="K431" i="47"/>
  <c r="V435" i="47"/>
  <c r="P437" i="47"/>
  <c r="Q437" i="47" s="1"/>
  <c r="E437" i="47"/>
  <c r="C437" i="47"/>
  <c r="O437" i="47"/>
  <c r="N437" i="47"/>
  <c r="J444" i="47"/>
  <c r="I444" i="47"/>
  <c r="H448" i="47"/>
  <c r="H451" i="47"/>
  <c r="O451" i="47"/>
  <c r="N451" i="47"/>
  <c r="M451" i="47"/>
  <c r="I451" i="47"/>
  <c r="G451" i="47"/>
  <c r="F451" i="47"/>
  <c r="L451" i="47" s="1"/>
  <c r="E451" i="47"/>
  <c r="B459" i="47"/>
  <c r="O392" i="47"/>
  <c r="O396" i="47"/>
  <c r="O400" i="47"/>
  <c r="O404" i="47"/>
  <c r="C407" i="47"/>
  <c r="I407" i="47" s="1"/>
  <c r="O408" i="47"/>
  <c r="E411" i="47"/>
  <c r="M414" i="47"/>
  <c r="J415" i="47"/>
  <c r="C417" i="47"/>
  <c r="N419" i="47"/>
  <c r="E422" i="47"/>
  <c r="C423" i="47"/>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K489" i="47"/>
  <c r="J489" i="47"/>
  <c r="H489" i="47"/>
  <c r="G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N455" i="47"/>
  <c r="K459"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O418" i="47" s="1"/>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I450" i="47"/>
  <c r="H450" i="47"/>
  <c r="K451" i="47"/>
  <c r="G455" i="47"/>
  <c r="V468" i="47"/>
  <c r="E476" i="47"/>
  <c r="K414" i="47"/>
  <c r="E418" i="47"/>
  <c r="I424" i="47"/>
  <c r="P433" i="47"/>
  <c r="J433" i="47"/>
  <c r="L446" i="47"/>
  <c r="F446" i="47"/>
  <c r="D446" i="47"/>
  <c r="O446" i="47" s="1"/>
  <c r="C446" i="47"/>
  <c r="H446" i="47" s="1"/>
  <c r="O409" i="47"/>
  <c r="B414" i="47"/>
  <c r="F418" i="47"/>
  <c r="K422" i="47"/>
  <c r="L423" i="47"/>
  <c r="J424" i="47"/>
  <c r="D432" i="47"/>
  <c r="O432" i="47" s="1"/>
  <c r="M432" i="47"/>
  <c r="L432" i="47"/>
  <c r="B433" i="47"/>
  <c r="B446" i="47"/>
  <c r="E450" i="47"/>
  <c r="P451" i="47"/>
  <c r="Q451" i="47" s="1"/>
  <c r="K455" i="47"/>
  <c r="F460" i="47"/>
  <c r="D460" i="47"/>
  <c r="C460" i="47"/>
  <c r="B469" i="47"/>
  <c r="K469" i="47" s="1"/>
  <c r="P469" i="47"/>
  <c r="N469" i="47"/>
  <c r="L469" i="47"/>
  <c r="J469" i="47"/>
  <c r="H469" i="47"/>
  <c r="F469" i="47"/>
  <c r="D469" i="47"/>
  <c r="O469" i="47" s="1"/>
  <c r="B498" i="47"/>
  <c r="P498" i="47"/>
  <c r="N498" i="47"/>
  <c r="M498" i="47"/>
  <c r="L498" i="47"/>
  <c r="K498" i="47"/>
  <c r="I498" i="47"/>
  <c r="F498" i="47"/>
  <c r="D498" i="47"/>
  <c r="O498" i="47" s="1"/>
  <c r="C498" i="47"/>
  <c r="H498" i="47" s="1"/>
  <c r="H431" i="47"/>
  <c r="C431" i="47"/>
  <c r="P431" i="47"/>
  <c r="Q431" i="47" s="1"/>
  <c r="O431" i="47"/>
  <c r="C433" i="47"/>
  <c r="E433" i="47" s="1"/>
  <c r="G446" i="47"/>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L523" i="47"/>
  <c r="H523" i="47"/>
  <c r="Q537" i="47"/>
  <c r="F542" i="47"/>
  <c r="L542" i="47" s="1"/>
  <c r="P542" i="47"/>
  <c r="Q542" i="47" s="1"/>
  <c r="J542" i="47"/>
  <c r="G542" i="47"/>
  <c r="C542" i="47"/>
  <c r="I542" i="47" s="1"/>
  <c r="B542" i="47"/>
  <c r="K542" i="47" s="1"/>
  <c r="F491" i="47"/>
  <c r="E499" i="47"/>
  <c r="C504" i="47"/>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E487" i="47"/>
  <c r="C490" i="47"/>
  <c r="N490" i="47" s="1"/>
  <c r="B491" i="47"/>
  <c r="F492" i="47"/>
  <c r="D492" i="47"/>
  <c r="O492" i="47" s="1"/>
  <c r="B492" i="47"/>
  <c r="B493" i="47"/>
  <c r="P493" i="47"/>
  <c r="Q493" i="47" s="1"/>
  <c r="D495" i="47"/>
  <c r="O495" i="47" s="1"/>
  <c r="C496" i="47"/>
  <c r="G496" i="47" s="1"/>
  <c r="E504" i="47"/>
  <c r="K515" i="47"/>
  <c r="D521" i="47"/>
  <c r="Q521" i="47" s="1"/>
  <c r="E542"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Q491" i="47" s="1"/>
  <c r="D493" i="47"/>
  <c r="O493" i="47" s="1"/>
  <c r="C494" i="47"/>
  <c r="L494" i="47" s="1"/>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E470" i="47"/>
  <c r="C471" i="47"/>
  <c r="J471" i="47" s="1"/>
  <c r="F472" i="47"/>
  <c r="H472" i="47" s="1"/>
  <c r="D472" i="47"/>
  <c r="N475" i="47"/>
  <c r="J477" i="47"/>
  <c r="C480" i="47"/>
  <c r="M480" i="47" s="1"/>
  <c r="C481" i="47"/>
  <c r="N484" i="47"/>
  <c r="L485" i="47"/>
  <c r="K486" i="47"/>
  <c r="L487" i="47"/>
  <c r="G490" i="47"/>
  <c r="F493" i="47"/>
  <c r="F495" i="47"/>
  <c r="H495" i="47" s="1"/>
  <c r="J499" i="47"/>
  <c r="H503" i="47"/>
  <c r="J505" i="47"/>
  <c r="P508" i="47"/>
  <c r="Q508" i="47" s="1"/>
  <c r="L508" i="47"/>
  <c r="I508" i="47"/>
  <c r="G508" i="47"/>
  <c r="E508" i="47"/>
  <c r="D508" i="47"/>
  <c r="O508" i="47" s="1"/>
  <c r="C508" i="47"/>
  <c r="N508" i="47" s="1"/>
  <c r="G509" i="47"/>
  <c r="V545" i="47"/>
  <c r="B473" i="47"/>
  <c r="M473" i="47" s="1"/>
  <c r="P473" i="47"/>
  <c r="M476" i="47"/>
  <c r="F479" i="47"/>
  <c r="M486" i="47"/>
  <c r="M487" i="47"/>
  <c r="F494" i="47"/>
  <c r="L496" i="47"/>
  <c r="K499" i="47"/>
  <c r="M502" i="47"/>
  <c r="G502" i="47"/>
  <c r="E502" i="47"/>
  <c r="D502" i="47"/>
  <c r="Q502" i="47" s="1"/>
  <c r="C502" i="47"/>
  <c r="L502" i="47" s="1"/>
  <c r="I503" i="47"/>
  <c r="H509" i="47"/>
  <c r="M520" i="47"/>
  <c r="L520" i="47"/>
  <c r="K520" i="47"/>
  <c r="I520" i="47"/>
  <c r="H520" i="47"/>
  <c r="G520" i="47"/>
  <c r="F464" i="47"/>
  <c r="D464" i="47"/>
  <c r="O464" i="47" s="1"/>
  <c r="K491" i="47"/>
  <c r="H493" i="47"/>
  <c r="M496" i="47"/>
  <c r="F522" i="47"/>
  <c r="P522" i="47"/>
  <c r="P578" i="47"/>
  <c r="L578" i="47"/>
  <c r="C578" i="47"/>
  <c r="K578" i="47" s="1"/>
  <c r="F578" i="47"/>
  <c r="E578" i="47"/>
  <c r="D578" i="47"/>
  <c r="O578" i="47" s="1"/>
  <c r="B578" i="47"/>
  <c r="O458" i="47"/>
  <c r="I461" i="47"/>
  <c r="F462" i="47"/>
  <c r="B464" i="47"/>
  <c r="B465" i="47"/>
  <c r="P465" i="47"/>
  <c r="Q465" i="47" s="1"/>
  <c r="O467" i="47"/>
  <c r="H470" i="47"/>
  <c r="F471" i="47"/>
  <c r="E472" i="47"/>
  <c r="D473" i="47"/>
  <c r="O473" i="47" s="1"/>
  <c r="N474" i="47"/>
  <c r="L474" i="47"/>
  <c r="F481" i="47"/>
  <c r="C482" i="47"/>
  <c r="N482" i="47" s="1"/>
  <c r="J483" i="47"/>
  <c r="H483" i="47"/>
  <c r="P486" i="47"/>
  <c r="Q486" i="47" s="1"/>
  <c r="L491" i="47"/>
  <c r="I493" i="47"/>
  <c r="M495" i="47"/>
  <c r="F502" i="47"/>
  <c r="J502" i="47" s="1"/>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M566" i="47"/>
  <c r="D566" i="47"/>
  <c r="O566" i="47" s="1"/>
  <c r="J566" i="47"/>
  <c r="H566" i="47"/>
  <c r="G566" i="47"/>
  <c r="F566" i="47"/>
  <c r="C566" i="47"/>
  <c r="N566" i="47" s="1"/>
  <c r="B566" i="47"/>
  <c r="G424" i="47"/>
  <c r="L426" i="47"/>
  <c r="F430" i="47"/>
  <c r="H430" i="47" s="1"/>
  <c r="F436" i="47"/>
  <c r="L436" i="47" s="1"/>
  <c r="E442" i="47"/>
  <c r="P444" i="47"/>
  <c r="Q444" i="47" s="1"/>
  <c r="G447" i="47"/>
  <c r="E454" i="47"/>
  <c r="F456" i="47"/>
  <c r="L456" i="47" s="1"/>
  <c r="D456" i="47"/>
  <c r="O456" i="47" s="1"/>
  <c r="P458" i="47"/>
  <c r="Q458" i="47" s="1"/>
  <c r="E463" i="47"/>
  <c r="C464" i="47"/>
  <c r="E464" i="47" s="1"/>
  <c r="C465" i="47"/>
  <c r="N465" i="47" s="1"/>
  <c r="P467" i="47"/>
  <c r="Q467" i="47" s="1"/>
  <c r="I470" i="47"/>
  <c r="G472" i="47"/>
  <c r="E473" i="47"/>
  <c r="B474" i="47"/>
  <c r="P476" i="47"/>
  <c r="N477" i="47"/>
  <c r="K479" i="47"/>
  <c r="D482" i="47"/>
  <c r="O482" i="47" s="1"/>
  <c r="B483" i="47"/>
  <c r="V484" i="47"/>
  <c r="M491" i="47"/>
  <c r="N495" i="47"/>
  <c r="P501" i="47"/>
  <c r="Q501" i="47" s="1"/>
  <c r="F501" i="47"/>
  <c r="I502" i="47"/>
  <c r="M503" i="47"/>
  <c r="D507" i="47"/>
  <c r="L507" i="47"/>
  <c r="H507" i="47"/>
  <c r="G507" i="47"/>
  <c r="F507" i="47"/>
  <c r="J507" i="47" s="1"/>
  <c r="J508" i="47"/>
  <c r="M509" i="47"/>
  <c r="B513" i="47"/>
  <c r="G513" i="47" s="1"/>
  <c r="P514" i="47"/>
  <c r="P516" i="47"/>
  <c r="D516" i="47"/>
  <c r="C516" i="47"/>
  <c r="E516" i="47" s="1"/>
  <c r="B516" i="47"/>
  <c r="C522" i="47"/>
  <c r="E522" i="47" s="1"/>
  <c r="E526" i="47"/>
  <c r="B457" i="47"/>
  <c r="P457" i="47"/>
  <c r="Q457" i="47" s="1"/>
  <c r="N466" i="47"/>
  <c r="L466" i="47"/>
  <c r="J470" i="47"/>
  <c r="I471" i="47"/>
  <c r="F473" i="47"/>
  <c r="N473" i="47" s="1"/>
  <c r="J475" i="47"/>
  <c r="H475" i="47"/>
  <c r="O477" i="47"/>
  <c r="F484" i="47"/>
  <c r="H484" i="47" s="1"/>
  <c r="D484" i="47"/>
  <c r="K493" i="47"/>
  <c r="K502" i="47"/>
  <c r="N503" i="47"/>
  <c r="K508" i="47"/>
  <c r="N509" i="47"/>
  <c r="J520" i="47"/>
  <c r="D522" i="47"/>
  <c r="O522" i="47" s="1"/>
  <c r="L559" i="47"/>
  <c r="K559" i="47"/>
  <c r="J559" i="47"/>
  <c r="H559" i="47"/>
  <c r="G559" i="47"/>
  <c r="K435" i="47"/>
  <c r="V444" i="47"/>
  <c r="J447" i="47"/>
  <c r="L450" i="47"/>
  <c r="G454" i="47"/>
  <c r="C457" i="47"/>
  <c r="I462" i="47"/>
  <c r="G463" i="47"/>
  <c r="B466" i="47"/>
  <c r="G466" i="47" s="1"/>
  <c r="K470" i="47"/>
  <c r="K471" i="47"/>
  <c r="I472" i="47"/>
  <c r="D474" i="47"/>
  <c r="O474" i="47" s="1"/>
  <c r="B475" i="47"/>
  <c r="G475" i="47" s="1"/>
  <c r="V476" i="47"/>
  <c r="I481" i="47"/>
  <c r="F482" i="47"/>
  <c r="D483" i="47"/>
  <c r="Q483" i="47" s="1"/>
  <c r="B484" i="47"/>
  <c r="G484" i="47" s="1"/>
  <c r="B485" i="47"/>
  <c r="G485" i="47" s="1"/>
  <c r="P485" i="47"/>
  <c r="Q485" i="47" s="1"/>
  <c r="N485" i="47"/>
  <c r="P490" i="47"/>
  <c r="Q490" i="47" s="1"/>
  <c r="L493" i="47"/>
  <c r="P495" i="47"/>
  <c r="P500" i="47"/>
  <c r="O500" i="47"/>
  <c r="C501" i="47"/>
  <c r="H501" i="47" s="1"/>
  <c r="O506" i="47"/>
  <c r="M508"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E501" i="47"/>
  <c r="I507" i="47"/>
  <c r="N513" i="47"/>
  <c r="M544" i="47"/>
  <c r="L544" i="47"/>
  <c r="K544" i="47"/>
  <c r="J544" i="47"/>
  <c r="I544" i="47"/>
  <c r="H544" i="47"/>
  <c r="G544" i="47"/>
  <c r="E544" i="47"/>
  <c r="M512" i="47"/>
  <c r="H512" i="47"/>
  <c r="J515" i="47"/>
  <c r="H515" i="47"/>
  <c r="G515" i="47"/>
  <c r="E515" i="47"/>
  <c r="M521"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O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Q550" i="47" s="1"/>
  <c r="G551" i="47"/>
  <c r="E553" i="47"/>
  <c r="G556" i="47"/>
  <c r="G558" i="47"/>
  <c r="D564" i="47"/>
  <c r="O564" i="47" s="1"/>
  <c r="C564" i="47"/>
  <c r="B564" i="47"/>
  <c r="P570" i="47"/>
  <c r="D570" i="47"/>
  <c r="O570" i="47" s="1"/>
  <c r="C570" i="47"/>
  <c r="L570" i="47" s="1"/>
  <c r="B570" i="47"/>
  <c r="G570" i="47" s="1"/>
  <c r="I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H541"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E497" i="47"/>
  <c r="P499" i="47"/>
  <c r="Q499" i="47" s="1"/>
  <c r="E503" i="47"/>
  <c r="M506" i="47"/>
  <c r="D509" i="47"/>
  <c r="O509" i="47" s="1"/>
  <c r="H510" i="47"/>
  <c r="O511" i="47"/>
  <c r="L512" i="47"/>
  <c r="N519" i="47"/>
  <c r="H527" i="47"/>
  <c r="D529" i="47"/>
  <c r="C531" i="47"/>
  <c r="E531" i="47" s="1"/>
  <c r="M533" i="47"/>
  <c r="J533" i="47"/>
  <c r="V535" i="47"/>
  <c r="P538" i="47"/>
  <c r="Q538" i="47" s="1"/>
  <c r="N541" i="47"/>
  <c r="L543" i="47"/>
  <c r="H545" i="47"/>
  <c r="K546" i="47"/>
  <c r="L547" i="47"/>
  <c r="L550" i="47"/>
  <c r="K552" i="47"/>
  <c r="K553" i="47"/>
  <c r="L556" i="47"/>
  <c r="B562" i="47"/>
  <c r="M565" i="47"/>
  <c r="B569" i="47"/>
  <c r="J571" i="47"/>
  <c r="P574" i="47"/>
  <c r="C574" i="47"/>
  <c r="N574" i="47" s="1"/>
  <c r="J577" i="47"/>
  <c r="J580" i="47"/>
  <c r="I580" i="47"/>
  <c r="G580" i="47"/>
  <c r="F580" i="47"/>
  <c r="H580" i="47" s="1"/>
  <c r="B580" i="47"/>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L546"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64" i="47"/>
  <c r="M570" i="47"/>
  <c r="N571" i="47"/>
  <c r="V572" i="47"/>
  <c r="D574" i="47"/>
  <c r="O574" i="47" s="1"/>
  <c r="M577" i="47"/>
  <c r="D580" i="47"/>
  <c r="V605" i="47"/>
  <c r="F637" i="47"/>
  <c r="D637" i="47"/>
  <c r="O637" i="47" s="1"/>
  <c r="P637" i="47"/>
  <c r="Q637" i="47" s="1"/>
  <c r="C637" i="47"/>
  <c r="K637" i="47" s="1"/>
  <c r="B637" i="47"/>
  <c r="V511" i="47"/>
  <c r="C517" i="47"/>
  <c r="F518" i="47"/>
  <c r="H531" i="47"/>
  <c r="C534" i="47"/>
  <c r="J537" i="47"/>
  <c r="V539" i="47"/>
  <c r="N545" i="47"/>
  <c r="P550" i="47"/>
  <c r="P551" i="47"/>
  <c r="F562" i="47"/>
  <c r="P564" i="47"/>
  <c r="K568"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G562" i="47"/>
  <c r="D573" i="47"/>
  <c r="O573" i="47" s="1"/>
  <c r="F573" i="47"/>
  <c r="H506" i="47"/>
  <c r="C511" i="47"/>
  <c r="C518" i="47"/>
  <c r="D519" i="47"/>
  <c r="O519" i="47" s="1"/>
  <c r="B519" i="47"/>
  <c r="G519" i="47" s="1"/>
  <c r="J531" i="47"/>
  <c r="E534" i="47"/>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N567" i="47"/>
  <c r="K567" i="47"/>
  <c r="C573" i="47"/>
  <c r="D579" i="47"/>
  <c r="O579" i="47" s="1"/>
  <c r="M580" i="47"/>
  <c r="V581" i="47"/>
  <c r="E584" i="47"/>
  <c r="F599" i="47"/>
  <c r="D599" i="47"/>
  <c r="O599" i="47" s="1"/>
  <c r="C599" i="47"/>
  <c r="E599" i="47" s="1"/>
  <c r="B599" i="47"/>
  <c r="P599" i="47"/>
  <c r="L602" i="47"/>
  <c r="F621" i="47"/>
  <c r="D621" i="47"/>
  <c r="O621" i="47" s="1"/>
  <c r="M621" i="47"/>
  <c r="P621" i="47"/>
  <c r="Q621" i="47" s="1"/>
  <c r="C621" i="47"/>
  <c r="I621" i="47" s="1"/>
  <c r="B621" i="47"/>
  <c r="L649" i="47"/>
  <c r="F649" i="47"/>
  <c r="D649" i="47"/>
  <c r="O649" i="47" s="1"/>
  <c r="C649" i="47"/>
  <c r="M649" i="47" s="1"/>
  <c r="B649" i="47"/>
  <c r="Q549" i="47"/>
  <c r="Q553" i="47"/>
  <c r="Q557" i="47"/>
  <c r="V561" i="47"/>
  <c r="L567" i="47"/>
  <c r="P585" i="47"/>
  <c r="Q585" i="47" s="1"/>
  <c r="E589" i="47"/>
  <c r="M592" i="47"/>
  <c r="D595" i="47"/>
  <c r="O595" i="47" s="1"/>
  <c r="H596" i="47"/>
  <c r="O597" i="47"/>
  <c r="E605" i="47"/>
  <c r="D605" i="47"/>
  <c r="O605" i="47" s="1"/>
  <c r="M605" i="47"/>
  <c r="V617" i="47"/>
  <c r="F629" i="47"/>
  <c r="D629" i="47"/>
  <c r="O629" i="47" s="1"/>
  <c r="I631" i="47"/>
  <c r="E649" i="47"/>
  <c r="Q652" i="47"/>
  <c r="P654" i="47"/>
  <c r="D654" i="47"/>
  <c r="O654" i="47" s="1"/>
  <c r="C654" i="47"/>
  <c r="M607" i="47"/>
  <c r="L607" i="47"/>
  <c r="E607" i="47"/>
  <c r="E619" i="47"/>
  <c r="D619" i="47"/>
  <c r="O619" i="47" s="1"/>
  <c r="Q642" i="47"/>
  <c r="P666" i="47"/>
  <c r="M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D609" i="47"/>
  <c r="O609" i="47" s="1"/>
  <c r="C619" i="47"/>
  <c r="G619" i="47" s="1"/>
  <c r="D627" i="47"/>
  <c r="O627" i="47" s="1"/>
  <c r="N648" i="47"/>
  <c r="I648" i="47"/>
  <c r="G648" i="47"/>
  <c r="E648" i="47"/>
  <c r="I649" i="47"/>
  <c r="V650" i="47"/>
  <c r="K653" i="47"/>
  <c r="J653" i="47"/>
  <c r="H653" i="47"/>
  <c r="G653" i="47"/>
  <c r="I589" i="47"/>
  <c r="B597" i="47"/>
  <c r="D607" i="47"/>
  <c r="O607" i="47" s="1"/>
  <c r="F613" i="47"/>
  <c r="D613" i="47"/>
  <c r="O613" i="47" s="1"/>
  <c r="N615" i="47"/>
  <c r="M615" i="47"/>
  <c r="F617" i="47"/>
  <c r="D617" i="47"/>
  <c r="Q617" i="47" s="1"/>
  <c r="M617" i="47"/>
  <c r="K618" i="47"/>
  <c r="I618" i="47"/>
  <c r="H618" i="47"/>
  <c r="F646" i="47"/>
  <c r="D646" i="47"/>
  <c r="O646" i="47" s="1"/>
  <c r="P646" i="47"/>
  <c r="N646" i="47"/>
  <c r="J649" i="47"/>
  <c r="L563" i="47"/>
  <c r="E585" i="47"/>
  <c r="B586" i="47"/>
  <c r="M586" i="47" s="1"/>
  <c r="J589" i="47"/>
  <c r="D591" i="47"/>
  <c r="O591" i="47" s="1"/>
  <c r="H592" i="47"/>
  <c r="O593" i="47"/>
  <c r="C597" i="47"/>
  <c r="L597" i="47" s="1"/>
  <c r="G604" i="47"/>
  <c r="F607" i="47"/>
  <c r="C609" i="47"/>
  <c r="G609" i="47" s="1"/>
  <c r="B611" i="47"/>
  <c r="B613" i="47"/>
  <c r="K613" i="47" s="1"/>
  <c r="B615" i="47"/>
  <c r="K615" i="47" s="1"/>
  <c r="B617" i="47"/>
  <c r="H619"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J619" i="47"/>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K619" i="47"/>
  <c r="M645"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M604" i="47"/>
  <c r="L605" i="47"/>
  <c r="K606" i="47"/>
  <c r="J607" i="47"/>
  <c r="J608" i="47"/>
  <c r="I609" i="47"/>
  <c r="G610" i="47"/>
  <c r="G614" i="47"/>
  <c r="G615" i="47"/>
  <c r="J618" i="47"/>
  <c r="V621" i="47"/>
  <c r="C625" i="47"/>
  <c r="L625" i="47" s="1"/>
  <c r="P629" i="47"/>
  <c r="C633" i="47"/>
  <c r="M633" i="47" s="1"/>
  <c r="G634" i="47"/>
  <c r="K635" i="47"/>
  <c r="L639" i="47"/>
  <c r="D639" i="47"/>
  <c r="O639" i="47" s="1"/>
  <c r="C645" i="47"/>
  <c r="L648" i="47"/>
  <c r="J651" i="47"/>
  <c r="N653" i="47"/>
  <c r="J585" i="47"/>
  <c r="G586" i="47"/>
  <c r="O589" i="47"/>
  <c r="I591" i="47"/>
  <c r="F592" i="47"/>
  <c r="C593" i="47"/>
  <c r="K607" i="47"/>
  <c r="K608" i="47"/>
  <c r="J609" i="47"/>
  <c r="G612" i="47"/>
  <c r="J613" i="47"/>
  <c r="H615" i="47"/>
  <c r="J617" i="47"/>
  <c r="L618" i="47"/>
  <c r="P619" i="47"/>
  <c r="D623" i="47"/>
  <c r="O623" i="47" s="1"/>
  <c r="G626" i="47"/>
  <c r="G633" i="47"/>
  <c r="J634" i="47"/>
  <c r="B639" i="47"/>
  <c r="D645" i="47"/>
  <c r="Q645" i="47" s="1"/>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N607" i="47"/>
  <c r="L608" i="47"/>
  <c r="J610" i="47"/>
  <c r="K612" i="47"/>
  <c r="J614" i="47"/>
  <c r="I615"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J615" i="47"/>
  <c r="N618" i="47"/>
  <c r="V619" i="47"/>
  <c r="C623" i="47"/>
  <c r="G623" i="47" s="1"/>
  <c r="I625" i="47"/>
  <c r="L626" i="47"/>
  <c r="P627" i="47"/>
  <c r="B631" i="47"/>
  <c r="G631" i="47" s="1"/>
  <c r="I633" i="47"/>
  <c r="M634" i="47"/>
  <c r="I638" i="47"/>
  <c r="H638" i="47"/>
  <c r="F639" i="47"/>
  <c r="N641" i="47"/>
  <c r="F645" i="47"/>
  <c r="K656" i="47"/>
  <c r="V589" i="47"/>
  <c r="L595" i="47"/>
  <c r="P607" i="47"/>
  <c r="N609" i="47"/>
  <c r="M612" i="47"/>
  <c r="N613" i="47"/>
  <c r="K622" i="47"/>
  <c r="I622" i="47"/>
  <c r="H622" i="47"/>
  <c r="V635" i="47"/>
  <c r="L656" i="47"/>
  <c r="K665" i="47"/>
  <c r="N677" i="47"/>
  <c r="D709" i="47"/>
  <c r="O709" i="47" s="1"/>
  <c r="P709" i="47"/>
  <c r="K709" i="47"/>
  <c r="F709" i="47"/>
  <c r="C709" i="47"/>
  <c r="E709" i="47" s="1"/>
  <c r="Q644" i="47"/>
  <c r="D659" i="47"/>
  <c r="O659" i="47" s="1"/>
  <c r="Q660" i="47"/>
  <c r="G667" i="47"/>
  <c r="E667" i="47"/>
  <c r="B681" i="47"/>
  <c r="P681" i="47"/>
  <c r="D681" i="47"/>
  <c r="O681" i="47" s="1"/>
  <c r="C681" i="47"/>
  <c r="J681" i="47" s="1"/>
  <c r="F704" i="47"/>
  <c r="D704" i="47"/>
  <c r="O704" i="47" s="1"/>
  <c r="N704" i="47"/>
  <c r="P704" i="47"/>
  <c r="C704" i="47"/>
  <c r="M704" i="47" s="1"/>
  <c r="P706" i="47"/>
  <c r="F706" i="47"/>
  <c r="C706" i="47"/>
  <c r="G706" i="47" s="1"/>
  <c r="E655" i="47"/>
  <c r="H658" i="47"/>
  <c r="F659" i="47"/>
  <c r="H659" i="47" s="1"/>
  <c r="O662" i="47"/>
  <c r="B667" i="47"/>
  <c r="N669" i="47"/>
  <c r="E682" i="47"/>
  <c r="B695" i="47"/>
  <c r="D695" i="47"/>
  <c r="Q695" i="47" s="1"/>
  <c r="C695" i="47"/>
  <c r="K695" i="47" s="1"/>
  <c r="P695" i="47"/>
  <c r="M695" i="47"/>
  <c r="B704" i="47"/>
  <c r="B706" i="47"/>
  <c r="Q604" i="47"/>
  <c r="Q608" i="47"/>
  <c r="Q612" i="47"/>
  <c r="Q616" i="47"/>
  <c r="Q620" i="47"/>
  <c r="Q628" i="47"/>
  <c r="Q632" i="47"/>
  <c r="Q636" i="47"/>
  <c r="Q640" i="47"/>
  <c r="I65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H715" i="47"/>
  <c r="D717" i="47"/>
  <c r="O717" i="47" s="1"/>
  <c r="Q717" i="47"/>
  <c r="F717" i="47"/>
  <c r="C717" i="47"/>
  <c r="N717" i="47" s="1"/>
  <c r="B717" i="47"/>
  <c r="C632" i="47"/>
  <c r="J632" i="47" s="1"/>
  <c r="K634" i="47"/>
  <c r="C636" i="47"/>
  <c r="H636" i="47" s="1"/>
  <c r="K638" i="47"/>
  <c r="C640" i="47"/>
  <c r="L642" i="47"/>
  <c r="E644" i="47"/>
  <c r="C650" i="47"/>
  <c r="D655" i="47"/>
  <c r="O655" i="47" s="1"/>
  <c r="Q656" i="47"/>
  <c r="L658" i="47"/>
  <c r="I659" i="47"/>
  <c r="B661" i="47"/>
  <c r="P663" i="47"/>
  <c r="I665" i="47"/>
  <c r="F667" i="47"/>
  <c r="P671" i="47"/>
  <c r="H678" i="47"/>
  <c r="C678" i="47"/>
  <c r="Q678" i="47"/>
  <c r="I682" i="47"/>
  <c r="I690" i="47"/>
  <c r="G695"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P685" i="47"/>
  <c r="M685" i="47"/>
  <c r="L685" i="47"/>
  <c r="J685" i="47"/>
  <c r="H685" i="47"/>
  <c r="D685" i="47"/>
  <c r="O685" i="47" s="1"/>
  <c r="B689" i="47"/>
  <c r="P689" i="47"/>
  <c r="I689" i="47"/>
  <c r="F689" i="47"/>
  <c r="D689" i="47"/>
  <c r="O689" i="47" s="1"/>
  <c r="C689" i="47"/>
  <c r="L689" i="47" s="1"/>
  <c r="J690" i="47"/>
  <c r="B693" i="47"/>
  <c r="P693" i="47"/>
  <c r="Q693" i="47" s="1"/>
  <c r="F693" i="47"/>
  <c r="E693" i="47"/>
  <c r="C693" i="47"/>
  <c r="N693" i="47" s="1"/>
  <c r="M698" i="47"/>
  <c r="I698" i="47"/>
  <c r="K699" i="47"/>
  <c r="D701" i="47"/>
  <c r="Q701" i="47" s="1"/>
  <c r="P717" i="47"/>
  <c r="O731" i="47"/>
  <c r="L659" i="47"/>
  <c r="F678" i="47"/>
  <c r="L681" i="47"/>
  <c r="O682" i="47"/>
  <c r="E685" i="47"/>
  <c r="I686" i="47"/>
  <c r="E698" i="47"/>
  <c r="F701" i="47"/>
  <c r="J703" i="47"/>
  <c r="H703" i="47"/>
  <c r="B703" i="47"/>
  <c r="I703" i="47" s="1"/>
  <c r="P703" i="47"/>
  <c r="M703" i="47"/>
  <c r="L703" i="47"/>
  <c r="K703" i="47"/>
  <c r="E703" i="47"/>
  <c r="B670" i="47"/>
  <c r="F671" i="47"/>
  <c r="F676" i="47"/>
  <c r="D676" i="47"/>
  <c r="O676" i="47" s="1"/>
  <c r="J676" i="47"/>
  <c r="B676" i="47"/>
  <c r="N695" i="47"/>
  <c r="B705" i="47"/>
  <c r="P705" i="47"/>
  <c r="M705" i="47"/>
  <c r="H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H640" i="47"/>
  <c r="J644" i="47"/>
  <c r="E647" i="47"/>
  <c r="F651" i="47"/>
  <c r="H651" i="47" s="1"/>
  <c r="J655" i="47"/>
  <c r="C657" i="47"/>
  <c r="L657" i="47" s="1"/>
  <c r="N659" i="47"/>
  <c r="E662" i="47"/>
  <c r="C663" i="47"/>
  <c r="N663" i="47" s="1"/>
  <c r="Q664" i="47"/>
  <c r="P665" i="47"/>
  <c r="Q665" i="47" s="1"/>
  <c r="E669" i="47"/>
  <c r="C670" i="47"/>
  <c r="B671" i="47"/>
  <c r="C676" i="47"/>
  <c r="L676" i="47" s="1"/>
  <c r="J678" i="47"/>
  <c r="F684" i="47"/>
  <c r="D684" i="47"/>
  <c r="Q684" i="47" s="1"/>
  <c r="E684" i="47"/>
  <c r="G685" i="47"/>
  <c r="F692" i="47"/>
  <c r="D692" i="47"/>
  <c r="Q692" i="47" s="1"/>
  <c r="N692" i="47"/>
  <c r="G692" i="47"/>
  <c r="E692" i="47"/>
  <c r="B692" i="47"/>
  <c r="H698" i="47"/>
  <c r="D703" i="47"/>
  <c r="O703" i="47" s="1"/>
  <c r="C705" i="47"/>
  <c r="J705" i="47" s="1"/>
  <c r="K707" i="47"/>
  <c r="I624" i="47"/>
  <c r="I628" i="47"/>
  <c r="I640" i="47"/>
  <c r="I642" i="47"/>
  <c r="K644" i="47"/>
  <c r="J650" i="47"/>
  <c r="G651" i="47"/>
  <c r="K655" i="47"/>
  <c r="D657" i="47"/>
  <c r="O657" i="47" s="1"/>
  <c r="I658" i="47"/>
  <c r="F662" i="47"/>
  <c r="L662" i="47" s="1"/>
  <c r="D663" i="47"/>
  <c r="O663" i="47" s="1"/>
  <c r="D670" i="47"/>
  <c r="O670" i="47" s="1"/>
  <c r="C671" i="47"/>
  <c r="H671" i="47" s="1"/>
  <c r="Q674" i="47"/>
  <c r="O674" i="47"/>
  <c r="E676" i="47"/>
  <c r="F688" i="47"/>
  <c r="D688" i="47"/>
  <c r="O688" i="47" s="1"/>
  <c r="C688" i="47"/>
  <c r="E688" i="47" s="1"/>
  <c r="B688" i="47"/>
  <c r="E705" i="47"/>
  <c r="D721" i="47"/>
  <c r="O721" i="47" s="1"/>
  <c r="F721" i="47"/>
  <c r="C721" i="47"/>
  <c r="M721" i="47" s="1"/>
  <c r="P721" i="47"/>
  <c r="B721" i="47"/>
  <c r="B642" i="47"/>
  <c r="M642" i="47" s="1"/>
  <c r="K650" i="47"/>
  <c r="M653" i="47"/>
  <c r="L655" i="47"/>
  <c r="E657" i="47"/>
  <c r="B658" i="47"/>
  <c r="G658" i="47" s="1"/>
  <c r="P659" i="47"/>
  <c r="G662" i="47"/>
  <c r="F663" i="47"/>
  <c r="N667" i="47"/>
  <c r="G669" i="47"/>
  <c r="D671" i="47"/>
  <c r="O671" i="47" s="1"/>
  <c r="B674" i="47"/>
  <c r="C675" i="47"/>
  <c r="E675" i="47" s="1"/>
  <c r="G676" i="47"/>
  <c r="C684" i="47"/>
  <c r="N684" i="47" s="1"/>
  <c r="K685" i="47"/>
  <c r="N689" i="47"/>
  <c r="H692" i="47"/>
  <c r="K698" i="47"/>
  <c r="F700" i="47"/>
  <c r="D700" i="47"/>
  <c r="O700" i="47" s="1"/>
  <c r="B700" i="47"/>
  <c r="H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L705"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K754" i="47"/>
  <c r="B754" i="47"/>
  <c r="F754" i="47"/>
  <c r="K714" i="47"/>
  <c r="M715" i="47"/>
  <c r="V718" i="47"/>
  <c r="I720" i="47"/>
  <c r="F720" i="47"/>
  <c r="N723" i="47"/>
  <c r="V747" i="47"/>
  <c r="N749" i="47"/>
  <c r="M749" i="47"/>
  <c r="E749" i="47"/>
  <c r="B749" i="47"/>
  <c r="P749" i="47"/>
  <c r="F749" i="47"/>
  <c r="D749" i="47"/>
  <c r="O749" i="47" s="1"/>
  <c r="C749" i="47"/>
  <c r="I749" i="47" s="1"/>
  <c r="C754" i="47"/>
  <c r="H754" i="47" s="1"/>
  <c r="N690" i="47"/>
  <c r="L690" i="47"/>
  <c r="F690" i="47"/>
  <c r="H690" i="47" s="1"/>
  <c r="M699" i="47"/>
  <c r="I702" i="47"/>
  <c r="J711" i="47"/>
  <c r="C720" i="47"/>
  <c r="J720" i="47" s="1"/>
  <c r="I726" i="47"/>
  <c r="O727" i="47"/>
  <c r="K737" i="47"/>
  <c r="J737" i="47"/>
  <c r="D737" i="47"/>
  <c r="O737" i="47" s="1"/>
  <c r="B737" i="47"/>
  <c r="I737" i="47"/>
  <c r="H740" i="47"/>
  <c r="V672" i="47"/>
  <c r="F677" i="47"/>
  <c r="H677" i="47" s="1"/>
  <c r="M682" i="47"/>
  <c r="E686" i="47"/>
  <c r="B690" i="47"/>
  <c r="G690" i="47" s="1"/>
  <c r="J691" i="47"/>
  <c r="H691" i="47"/>
  <c r="B691" i="47"/>
  <c r="K691" i="47" s="1"/>
  <c r="N699" i="47"/>
  <c r="J702" i="47"/>
  <c r="H707" i="47"/>
  <c r="I708" i="47"/>
  <c r="M710" i="47"/>
  <c r="K711" i="47"/>
  <c r="N713"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E720" i="47"/>
  <c r="K726" i="47"/>
  <c r="D729" i="47"/>
  <c r="O729" i="47" s="1"/>
  <c r="P729" i="47"/>
  <c r="L729" i="47"/>
  <c r="H729" i="47"/>
  <c r="F729" i="47"/>
  <c r="N729" i="47" s="1"/>
  <c r="E729" i="47"/>
  <c r="M740" i="47"/>
  <c r="L744" i="47"/>
  <c r="J744" i="47"/>
  <c r="I744" i="47"/>
  <c r="H744" i="47"/>
  <c r="N744" i="47"/>
  <c r="M744" i="47"/>
  <c r="K744" i="47"/>
  <c r="I755" i="47"/>
  <c r="F755" i="47"/>
  <c r="D755" i="47"/>
  <c r="O755" i="47" s="1"/>
  <c r="P755" i="47"/>
  <c r="J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D715" i="47"/>
  <c r="K715" i="47"/>
  <c r="M723" i="47"/>
  <c r="F723" i="47"/>
  <c r="L723" i="47" s="1"/>
  <c r="E723" i="47"/>
  <c r="C728" i="47"/>
  <c r="I729" i="47"/>
  <c r="O730" i="47"/>
  <c r="B732" i="47"/>
  <c r="K733" i="47"/>
  <c r="G744" i="47"/>
  <c r="J699" i="47"/>
  <c r="H699" i="47"/>
  <c r="B699" i="47"/>
  <c r="I699" i="47" s="1"/>
  <c r="Q708" i="47"/>
  <c r="V709" i="47"/>
  <c r="V721" i="47"/>
  <c r="B723" i="47"/>
  <c r="K723" i="47" s="1"/>
  <c r="I724" i="47"/>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Q731" i="47" s="1"/>
  <c r="C745" i="47"/>
  <c r="K745" i="47" s="1"/>
  <c r="F745" i="47"/>
  <c r="D745" i="47"/>
  <c r="O745" i="47" s="1"/>
  <c r="B745" i="47"/>
  <c r="B712" i="47"/>
  <c r="F713" i="47"/>
  <c r="P726" i="47"/>
  <c r="H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K751" i="47"/>
  <c r="G761" i="47"/>
  <c r="M761" i="47"/>
  <c r="L761" i="47"/>
  <c r="K761" i="47"/>
  <c r="E761" i="47"/>
  <c r="I761" i="47"/>
  <c r="H761" i="47"/>
  <c r="K772" i="47"/>
  <c r="E772" i="47"/>
  <c r="L772" i="47"/>
  <c r="B772" i="47"/>
  <c r="P772" i="47"/>
  <c r="M772" i="47"/>
  <c r="H772" i="47"/>
  <c r="F772" i="47"/>
  <c r="N772" i="47" s="1"/>
  <c r="M777" i="47"/>
  <c r="L777" i="47"/>
  <c r="K777" i="47"/>
  <c r="E777" i="47"/>
  <c r="I777" i="47"/>
  <c r="B763" i="47"/>
  <c r="D763" i="47"/>
  <c r="O763" i="47" s="1"/>
  <c r="F763" i="47"/>
  <c r="E779" i="47"/>
  <c r="N779" i="47"/>
  <c r="L779" i="47"/>
  <c r="P753" i="47"/>
  <c r="D753" i="47"/>
  <c r="Q753" i="47" s="1"/>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I730" i="47" s="1"/>
  <c r="C753" i="47"/>
  <c r="I758" i="47"/>
  <c r="L758" i="47"/>
  <c r="D760" i="47"/>
  <c r="O760" i="47" s="1"/>
  <c r="C760" i="47"/>
  <c r="H760" i="47" s="1"/>
  <c r="B760" i="47"/>
  <c r="N768" i="47"/>
  <c r="E768" i="47"/>
  <c r="D768" i="47"/>
  <c r="O768" i="47" s="1"/>
  <c r="C768" i="47"/>
  <c r="K768" i="47" s="1"/>
  <c r="B768" i="47"/>
  <c r="M768" i="47"/>
  <c r="L768" i="47"/>
  <c r="I768" i="47"/>
  <c r="G768" i="47"/>
  <c r="J772" i="47"/>
  <c r="D707" i="47"/>
  <c r="H708" i="47"/>
  <c r="C719" i="47"/>
  <c r="E730" i="47"/>
  <c r="N741" i="47"/>
  <c r="M741" i="47"/>
  <c r="L741" i="47"/>
  <c r="H741" i="47"/>
  <c r="G741" i="47"/>
  <c r="B741" i="47"/>
  <c r="F746" i="47"/>
  <c r="G750" i="47"/>
  <c r="F753" i="47"/>
  <c r="F760" i="47"/>
  <c r="F768" i="47"/>
  <c r="M771" i="47"/>
  <c r="N771" i="47"/>
  <c r="K771" i="47"/>
  <c r="G771" i="47"/>
  <c r="E771" i="47"/>
  <c r="E776" i="47"/>
  <c r="G776" i="47"/>
  <c r="J776" i="47"/>
  <c r="I776" i="47"/>
  <c r="H776" i="47"/>
  <c r="D776" i="47"/>
  <c r="O776" i="47" s="1"/>
  <c r="B776" i="47"/>
  <c r="M776" i="47" s="1"/>
  <c r="F778" i="47"/>
  <c r="C778" i="47"/>
  <c r="M778" i="47" s="1"/>
  <c r="D778" i="47"/>
  <c r="O778" i="47" s="1"/>
  <c r="C792" i="47"/>
  <c r="B792" i="47"/>
  <c r="F792" i="47"/>
  <c r="D792" i="47"/>
  <c r="O792" i="47" s="1"/>
  <c r="P792" i="47"/>
  <c r="Q792" i="47" s="1"/>
  <c r="F739" i="47"/>
  <c r="H739" i="47" s="1"/>
  <c r="E739" i="47"/>
  <c r="D739" i="47"/>
  <c r="O739" i="47" s="1"/>
  <c r="L739" i="47"/>
  <c r="K739" i="47"/>
  <c r="K753" i="47"/>
  <c r="K759" i="47"/>
  <c r="P760" i="47"/>
  <c r="P768" i="47"/>
  <c r="C776" i="47"/>
  <c r="B778" i="47"/>
  <c r="B780" i="47"/>
  <c r="F780" i="47"/>
  <c r="D780" i="47"/>
  <c r="O780" i="47" s="1"/>
  <c r="C780" i="47"/>
  <c r="P780" i="47"/>
  <c r="Q780" i="47" s="1"/>
  <c r="Q734" i="47"/>
  <c r="V735" i="47"/>
  <c r="B739" i="47"/>
  <c r="H771" i="47"/>
  <c r="F776" i="47"/>
  <c r="J771" i="47"/>
  <c r="P776" i="47"/>
  <c r="E784" i="47"/>
  <c r="D784" i="47"/>
  <c r="O784" i="47" s="1"/>
  <c r="C784" i="47"/>
  <c r="J784" i="47" s="1"/>
  <c r="B784" i="47"/>
  <c r="K784" i="47" s="1"/>
  <c r="H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Q807" i="47" s="1"/>
  <c r="F807" i="47"/>
  <c r="D807" i="47"/>
  <c r="O807" i="47" s="1"/>
  <c r="C807" i="47"/>
  <c r="B791" i="47"/>
  <c r="I791" i="47"/>
  <c r="F791" i="47"/>
  <c r="J791" i="47" s="1"/>
  <c r="L791" i="47"/>
  <c r="D791" i="47"/>
  <c r="Q791" i="47" s="1"/>
  <c r="F794" i="47"/>
  <c r="C794" i="47"/>
  <c r="M794" i="47" s="1"/>
  <c r="P794" i="47"/>
  <c r="Q794" i="47" s="1"/>
  <c r="O794" i="47"/>
  <c r="N804" i="47"/>
  <c r="C804" i="47"/>
  <c r="L804" i="47" s="1"/>
  <c r="B804" i="47"/>
  <c r="I804" i="47"/>
  <c r="B818" i="47"/>
  <c r="V742" i="47"/>
  <c r="F747" i="47"/>
  <c r="N747" i="47" s="1"/>
  <c r="E747" i="47"/>
  <c r="D747" i="47"/>
  <c r="O747" i="47" s="1"/>
  <c r="P747" i="47"/>
  <c r="F762" i="47"/>
  <c r="C762" i="47"/>
  <c r="K762" i="47" s="1"/>
  <c r="M762" i="47"/>
  <c r="L762" i="47"/>
  <c r="J762" i="47"/>
  <c r="I773" i="47"/>
  <c r="F788" i="47"/>
  <c r="C791" i="47"/>
  <c r="K791" i="47" s="1"/>
  <c r="B794" i="47"/>
  <c r="D804" i="47"/>
  <c r="O804" i="47" s="1"/>
  <c r="C818" i="47"/>
  <c r="I818" i="47" s="1"/>
  <c r="D822" i="47"/>
  <c r="O822" i="47" s="1"/>
  <c r="F822" i="47"/>
  <c r="C822" i="47"/>
  <c r="H822" i="47" s="1"/>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G762" i="47"/>
  <c r="V765" i="47"/>
  <c r="B767" i="47"/>
  <c r="I767" i="47" s="1"/>
  <c r="F767" i="47"/>
  <c r="L767" i="47" s="1"/>
  <c r="E767" i="47"/>
  <c r="D767" i="47"/>
  <c r="O767" i="47" s="1"/>
  <c r="N773" i="47"/>
  <c r="P822" i="47"/>
  <c r="B787" i="47"/>
  <c r="G787" i="47"/>
  <c r="F787" i="47"/>
  <c r="H787" i="47"/>
  <c r="D787" i="47"/>
  <c r="O787" i="47" s="1"/>
  <c r="P788" i="47"/>
  <c r="Q788" i="47" s="1"/>
  <c r="E796" i="47"/>
  <c r="C796" i="47"/>
  <c r="K796" i="47" s="1"/>
  <c r="B796" i="47"/>
  <c r="J796" i="47"/>
  <c r="D796" i="47"/>
  <c r="O796" i="47" s="1"/>
  <c r="P804" i="47"/>
  <c r="K817" i="47"/>
  <c r="H817" i="47"/>
  <c r="N817" i="47"/>
  <c r="I817" i="47"/>
  <c r="G817" i="47"/>
  <c r="K826" i="47"/>
  <c r="F766" i="47"/>
  <c r="H766" i="47" s="1"/>
  <c r="C766" i="47"/>
  <c r="E766" i="47" s="1"/>
  <c r="M766" i="47"/>
  <c r="G766" i="47"/>
  <c r="B775" i="47"/>
  <c r="M775" i="47" s="1"/>
  <c r="I775" i="47"/>
  <c r="P775" i="47"/>
  <c r="N775" i="47"/>
  <c r="H775" i="47"/>
  <c r="H781" i="47"/>
  <c r="E781" i="47"/>
  <c r="C787" i="47"/>
  <c r="J787" i="47" s="1"/>
  <c r="F790" i="47"/>
  <c r="C790" i="47"/>
  <c r="G790" i="47" s="1"/>
  <c r="B790" i="47"/>
  <c r="P818" i="47"/>
  <c r="Q818" i="47" s="1"/>
  <c r="P808" i="47"/>
  <c r="D808" i="47"/>
  <c r="O808" i="47" s="1"/>
  <c r="C808" i="47"/>
  <c r="K808" i="47" s="1"/>
  <c r="D766" i="47"/>
  <c r="O766" i="47" s="1"/>
  <c r="D775" i="47"/>
  <c r="O775" i="47" s="1"/>
  <c r="N793" i="47"/>
  <c r="M793" i="47"/>
  <c r="L793" i="47"/>
  <c r="K793" i="47"/>
  <c r="E793" i="47"/>
  <c r="H799" i="47"/>
  <c r="B808" i="47"/>
  <c r="K825" i="47"/>
  <c r="H825" i="47"/>
  <c r="N825" i="47"/>
  <c r="M825" i="47"/>
  <c r="L825" i="47"/>
  <c r="I825" i="47"/>
  <c r="G825" i="47"/>
  <c r="E825" i="47"/>
  <c r="N844" i="47"/>
  <c r="M844" i="47"/>
  <c r="K844" i="47"/>
  <c r="J844" i="47"/>
  <c r="G742" i="47"/>
  <c r="L747" i="47"/>
  <c r="K748" i="47"/>
  <c r="P762" i="47"/>
  <c r="Q762" i="47" s="1"/>
  <c r="I766" i="47"/>
  <c r="F774" i="47"/>
  <c r="C774" i="47"/>
  <c r="Q774" i="47"/>
  <c r="P774" i="47"/>
  <c r="O774" i="47"/>
  <c r="E775" i="47"/>
  <c r="I781"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Q796" i="47" s="1"/>
  <c r="F798" i="47"/>
  <c r="C798" i="47"/>
  <c r="M798" i="47" s="1"/>
  <c r="J798" i="47"/>
  <c r="O798" i="47"/>
  <c r="K799" i="47"/>
  <c r="N805" i="47"/>
  <c r="I805" i="47"/>
  <c r="H805" i="47"/>
  <c r="E805" i="47"/>
  <c r="M805" i="47"/>
  <c r="N810" i="47"/>
  <c r="M810" i="47"/>
  <c r="F810" i="47"/>
  <c r="J810" i="47" s="1"/>
  <c r="P810" i="47"/>
  <c r="Q810" i="47" s="1"/>
  <c r="O810" i="47"/>
  <c r="H810" i="47"/>
  <c r="B810" i="47"/>
  <c r="L811" i="47"/>
  <c r="K814" i="47"/>
  <c r="L799" i="47"/>
  <c r="F802" i="47"/>
  <c r="C802" i="47"/>
  <c r="E802" i="47" s="1"/>
  <c r="D802" i="47"/>
  <c r="O802" i="47" s="1"/>
  <c r="B802" i="47"/>
  <c r="G832" i="47"/>
  <c r="F832" i="47"/>
  <c r="E832" i="47"/>
  <c r="N832" i="47"/>
  <c r="J832" i="47"/>
  <c r="C832" i="47"/>
  <c r="M832" i="47" s="1"/>
  <c r="B832" i="47"/>
  <c r="B795" i="47"/>
  <c r="G795" i="47" s="1"/>
  <c r="O795" i="47"/>
  <c r="I795" i="47"/>
  <c r="F795" i="47"/>
  <c r="H795" i="47" s="1"/>
  <c r="N797" i="47"/>
  <c r="V823" i="47"/>
  <c r="D832" i="47"/>
  <c r="O832" i="47" s="1"/>
  <c r="O838" i="47"/>
  <c r="N838" i="47"/>
  <c r="F838" i="47"/>
  <c r="C838" i="47"/>
  <c r="E838" i="47" s="1"/>
  <c r="P838" i="47"/>
  <c r="K838" i="47"/>
  <c r="L842" i="47"/>
  <c r="I842" i="47"/>
  <c r="H842" i="47"/>
  <c r="G842" i="47"/>
  <c r="F836" i="47"/>
  <c r="C836" i="47"/>
  <c r="J836" i="47" s="1"/>
  <c r="B836" i="47"/>
  <c r="P836" i="47"/>
  <c r="J795" i="47"/>
  <c r="I797" i="47"/>
  <c r="F806" i="47"/>
  <c r="C806" i="47"/>
  <c r="K806" i="47" s="1"/>
  <c r="M806" i="47"/>
  <c r="I815" i="47"/>
  <c r="P815" i="47"/>
  <c r="M815" i="47"/>
  <c r="E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I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L815" i="47"/>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O771" i="47"/>
  <c r="I771" i="47"/>
  <c r="B799" i="47"/>
  <c r="M799" i="47" s="1"/>
  <c r="O799" i="47"/>
  <c r="I799" i="47"/>
  <c r="G799" i="47"/>
  <c r="F799" i="47"/>
  <c r="N799" i="47" s="1"/>
  <c r="D800" i="47"/>
  <c r="O800" i="47" s="1"/>
  <c r="L806" i="47"/>
  <c r="D812" i="47"/>
  <c r="O812" i="47" s="1"/>
  <c r="N815" i="47"/>
  <c r="J819" i="47"/>
  <c r="F819" i="47"/>
  <c r="C819" i="47"/>
  <c r="M819" i="47" s="1"/>
  <c r="O819" i="47"/>
  <c r="G820" i="47"/>
  <c r="G828" i="47"/>
  <c r="C839" i="47"/>
  <c r="J839" i="47" s="1"/>
  <c r="N806" i="47"/>
  <c r="V808" i="47"/>
  <c r="J811" i="47"/>
  <c r="I811" i="47"/>
  <c r="G811" i="47"/>
  <c r="D811" i="47"/>
  <c r="O811" i="47" s="1"/>
  <c r="P811" i="47"/>
  <c r="N811" i="47"/>
  <c r="M811" i="47"/>
  <c r="F827" i="47"/>
  <c r="C827" i="47"/>
  <c r="Q827" i="47"/>
  <c r="O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I859" i="47"/>
  <c r="P859" i="47"/>
  <c r="Q859" i="47" s="1"/>
  <c r="O859" i="47"/>
  <c r="N859" i="47"/>
  <c r="M859" i="47"/>
  <c r="L859" i="47"/>
  <c r="K859" i="47"/>
  <c r="J859" i="47"/>
  <c r="H859" i="47"/>
  <c r="G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8" i="47"/>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B853" i="47"/>
  <c r="K853" i="47" s="1"/>
  <c r="N854" i="47"/>
  <c r="F856" i="47"/>
  <c r="J856" i="47" s="1"/>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6" i="47"/>
  <c r="G848" i="47"/>
  <c r="O850"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88" i="47" l="1"/>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<sst xmlns="http://schemas.openxmlformats.org/spreadsheetml/2006/main" count="20884" uniqueCount="7770">
  <si>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</si>
  <si>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</si>
  <si>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</si>
  <si>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</si>
  <si>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</si>
  <si>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</si>
  <si>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</si>
  <si>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</si>
  <si>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</si>
  <si>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</si>
  <si>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</si>
  <si>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</si>
  <si>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</si>
  <si>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</si>
  <si>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</si>
  <si>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</si>
  <si>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</si>
  <si>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</si>
  <si>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</si>
  <si>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</si>
  <si>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</si>
  <si>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</si>
  <si>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</si>
  <si>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</si>
  <si>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</si>
  <si>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</si>
  <si>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</si>
  <si>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</si>
  <si>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</si>
  <si>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</si>
  <si>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</si>
  <si>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</si>
  <si>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</si>
  <si>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</si>
  <si>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</si>
  <si>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</si>
  <si>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</si>
  <si>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</si>
  <si>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</si>
  <si>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</si>
  <si>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</si>
  <si>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</si>
  <si>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</si>
  <si>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</si>
  <si>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</si>
  <si>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</si>
  <si>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</si>
  <si>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</si>
  <si>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</si>
  <si>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</si>
  <si>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</si>
  <si>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</si>
  <si>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</si>
  <si>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</si>
  <si>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</si>
  <si>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</si>
  <si>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</si>
  <si>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</si>
  <si>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</si>
  <si>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</si>
  <si>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</si>
  <si>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</si>
  <si>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</si>
  <si>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</si>
  <si>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</si>
  <si>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</si>
  <si>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</si>
  <si>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</si>
  <si>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</si>
  <si>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</si>
  <si>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</si>
  <si>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</si>
  <si>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</si>
  <si>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</si>
  <si>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</si>
  <si>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</si>
  <si>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</si>
  <si>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</si>
  <si>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</si>
  <si>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</si>
  <si>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</si>
  <si>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</si>
  <si>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</si>
  <si>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</si>
  <si>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</si>
  <si>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</si>
  <si>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</si>
  <si>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</si>
  <si>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</si>
  <si>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</si>
  <si>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</si>
  <si>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</si>
  <si>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</si>
  <si>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</si>
  <si>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</si>
  <si>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</si>
  <si>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</si>
  <si>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</si>
  <si>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</si>
  <si>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</si>
  <si>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</si>
  <si>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</si>
  <si>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</si>
  <si>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</si>
  <si>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</si>
  <si>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</si>
  <si>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</si>
  <si>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</si>
  <si>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</si>
  <si>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</si>
  <si>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</si>
  <si>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</si>
  <si>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</si>
  <si>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</si>
  <si>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</si>
  <si>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</si>
  <si>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</si>
  <si>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</si>
  <si>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</si>
  <si>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</si>
  <si>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</si>
  <si>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</si>
  <si>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</si>
  <si>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</si>
  <si>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</si>
  <si>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</si>
  <si>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</si>
  <si>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</si>
  <si>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</si>
  <si>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</si>
  <si>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</si>
  <si>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</si>
  <si>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</si>
  <si>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</si>
  <si>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</si>
  <si>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</si>
  <si>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</si>
  <si>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</si>
  <si>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</si>
  <si>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</si>
  <si>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</si>
  <si>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</si>
  <si>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</si>
  <si>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</si>
  <si>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</si>
  <si>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</si>
  <si>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</si>
  <si>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</si>
  <si>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</si>
  <si>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</si>
  <si>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</si>
  <si>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</si>
  <si>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</si>
  <si>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</si>
  <si>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</si>
  <si>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</si>
  <si>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</si>
  <si>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</si>
  <si>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</si>
  <si>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</si>
  <si>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</si>
  <si>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</si>
  <si>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</si>
  <si>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</si>
  <si>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</si>
  <si>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</si>
  <si>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</si>
  <si>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</si>
  <si>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</si>
  <si>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</si>
  <si>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</si>
  <si>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</si>
  <si>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</si>
  <si>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</si>
  <si>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</si>
  <si>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</si>
  <si>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</si>
  <si>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</si>
  <si>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</si>
  <si>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</si>
  <si>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</si>
  <si>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</si>
  <si>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</si>
  <si>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</si>
  <si>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</si>
  <si>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</si>
  <si>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</si>
  <si>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</si>
  <si>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</si>
  <si>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</si>
  <si>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</si>
  <si>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</si>
  <si>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</si>
  <si>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</si>
  <si>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</si>
  <si>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</si>
  <si>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</si>
  <si>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</si>
  <si>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</si>
  <si>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</si>
  <si>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</si>
  <si>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</si>
  <si>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</si>
  <si>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</si>
  <si>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</si>
  <si>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</si>
  <si>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</si>
  <si>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</si>
  <si>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</si>
  <si>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</si>
  <si>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</si>
  <si>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</si>
  <si>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</si>
  <si>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</si>
  <si>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</si>
  <si>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</si>
  <si>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</si>
  <si>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</si>
  <si>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</si>
  <si>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</si>
  <si>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</si>
  <si>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</si>
  <si>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</si>
  <si>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</si>
  <si>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</si>
  <si>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</si>
  <si>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</si>
  <si>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</si>
  <si>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</si>
  <si>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</si>
  <si>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</si>
  <si>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</si>
  <si>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</si>
  <si>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</si>
  <si>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</si>
  <si>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</si>
  <si>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</si>
  <si>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</si>
  <si>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</si>
  <si>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</si>
  <si>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</si>
  <si>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</si>
  <si>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</si>
  <si>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</si>
  <si>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</si>
  <si>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</si>
  <si>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</si>
  <si>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</si>
  <si>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</si>
  <si>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</si>
  <si>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</si>
  <si>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</si>
  <si>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</si>
  <si>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</si>
  <si>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</si>
  <si>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</si>
  <si>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</si>
  <si>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</si>
  <si>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</si>
  <si>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</si>
  <si>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</si>
  <si>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</si>
  <si>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</si>
  <si>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</si>
  <si>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</si>
  <si>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</si>
  <si>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</si>
  <si>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</si>
  <si>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</si>
  <si>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</si>
  <si>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</si>
  <si>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</si>
  <si>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</si>
  <si>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</si>
  <si>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</si>
  <si>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</si>
  <si>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</si>
  <si>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</si>
  <si>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</si>
  <si>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</si>
  <si>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</si>
  <si>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</si>
  <si>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</si>
  <si>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</si>
  <si>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</si>
  <si>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</si>
  <si>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</si>
  <si>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</si>
  <si>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</si>
  <si>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</si>
  <si>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</si>
  <si>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</si>
  <si>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</si>
  <si>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</si>
  <si>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</si>
  <si>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</si>
  <si>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</si>
  <si>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</si>
  <si>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</si>
  <si>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</si>
  <si>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</si>
  <si>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</si>
  <si>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</si>
  <si>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</si>
  <si>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</si>
  <si>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</si>
  <si>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</si>
  <si>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</si>
  <si>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</si>
  <si>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</si>
  <si>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</si>
  <si>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</si>
  <si>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</si>
  <si>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</si>
  <si>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</si>
  <si>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</si>
  <si>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</si>
  <si>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</si>
  <si>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</si>
  <si>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</si>
  <si>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</si>
  <si>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</si>
  <si>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</si>
  <si>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</si>
  <si>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</si>
  <si>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</si>
  <si>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</si>
  <si>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</si>
  <si>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</si>
  <si>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</si>
  <si>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</si>
  <si>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</si>
  <si>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</si>
  <si>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</si>
  <si>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</si>
  <si>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</si>
  <si>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</si>
  <si>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</si>
  <si>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</si>
  <si>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</si>
  <si>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</si>
  <si>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</si>
  <si>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</si>
  <si>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</si>
  <si>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</si>
  <si>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</si>
  <si>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</si>
  <si>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</si>
  <si>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</si>
  <si>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</si>
  <si>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</si>
  <si>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</si>
  <si>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</si>
  <si>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</si>
  <si>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</si>
  <si>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</si>
  <si>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</si>
  <si>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</si>
  <si>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</si>
  <si>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</si>
  <si>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</si>
  <si>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</si>
  <si>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</si>
  <si>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</si>
  <si>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</si>
  <si>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</si>
  <si>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</si>
  <si>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</si>
  <si>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</si>
  <si>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</si>
  <si>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</si>
  <si>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</si>
  <si>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</si>
  <si>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</si>
  <si>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</si>
  <si>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</si>
  <si>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</si>
  <si>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</si>
  <si>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</si>
  <si>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</si>
  <si>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</si>
  <si>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</si>
  <si>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</si>
  <si>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</si>
  <si>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</si>
  <si>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</si>
  <si>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</si>
  <si>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</si>
  <si>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</si>
  <si>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</si>
  <si>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</si>
  <si>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</si>
  <si>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</si>
  <si>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</si>
  <si>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</si>
  <si>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</si>
  <si>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</si>
  <si>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</si>
  <si>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</si>
  <si>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</si>
  <si>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</si>
  <si>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</si>
  <si>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</si>
  <si>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</si>
  <si>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</si>
  <si>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</si>
  <si>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</si>
  <si>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</si>
  <si>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</si>
  <si>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</si>
  <si>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</si>
  <si>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</si>
  <si>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</si>
  <si>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</si>
  <si>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</si>
  <si>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</si>
  <si>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</si>
  <si>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</si>
  <si>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</si>
  <si>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</si>
  <si>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</si>
  <si>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</si>
  <si>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</si>
  <si>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</si>
  <si>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</si>
  <si>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</si>
  <si>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</si>
  <si>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</si>
  <si>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</si>
  <si>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</si>
  <si>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</si>
  <si>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</si>
  <si>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</si>
  <si>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</si>
  <si>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</si>
  <si>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</si>
  <si>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</si>
  <si>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</si>
  <si>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</si>
  <si>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</si>
  <si>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</si>
  <si>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</si>
  <si>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</si>
  <si>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</si>
  <si>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</si>
  <si>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</si>
  <si>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</si>
  <si>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</si>
  <si>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</si>
  <si>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</si>
  <si>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</si>
  <si>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</si>
  <si>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</si>
  <si>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</si>
  <si>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</si>
  <si>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</si>
  <si>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</si>
  <si>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</si>
  <si>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</si>
  <si>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</si>
  <si>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</si>
  <si>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</si>
  <si>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</si>
  <si>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</si>
  <si>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</si>
  <si>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</si>
  <si>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</si>
  <si>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</si>
  <si>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</si>
  <si>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</si>
  <si>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</si>
  <si>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</si>
  <si>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</si>
  <si>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</si>
  <si>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</si>
  <si>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</si>
  <si>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</si>
  <si>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</si>
  <si>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</si>
  <si>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</si>
  <si>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</si>
  <si>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</si>
  <si>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</si>
  <si>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</si>
  <si>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</si>
  <si>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</si>
  <si>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</si>
  <si>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</si>
  <si>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</si>
  <si>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</si>
  <si>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</si>
  <si>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</si>
  <si>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</si>
  <si>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</si>
  <si>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</si>
  <si>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</si>
  <si>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</si>
  <si>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</si>
  <si>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</si>
  <si>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</si>
  <si>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</si>
  <si>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</si>
  <si>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</si>
  <si>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</si>
  <si>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</si>
  <si>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</si>
  <si>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</si>
  <si>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</si>
  <si>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</si>
  <si>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</si>
  <si>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</si>
  <si>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</si>
  <si>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</si>
  <si>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</si>
  <si>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</si>
  <si>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</si>
  <si>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</si>
  <si>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</si>
  <si>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</si>
  <si>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</si>
  <si>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</si>
  <si>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</si>
  <si>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</si>
  <si>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</si>
  <si>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</si>
  <si>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</si>
  <si>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</si>
  <si>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</si>
  <si>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</si>
  <si>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</si>
  <si>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</si>
  <si>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</si>
  <si>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</si>
  <si>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</si>
  <si>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</si>
  <si>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</si>
  <si>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</si>
  <si>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</si>
  <si>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</si>
  <si>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</si>
  <si>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</si>
  <si>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</si>
  <si>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</si>
  <si>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</si>
  <si>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</si>
  <si>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</si>
  <si>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</si>
  <si>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</si>
  <si>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</si>
  <si>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</si>
  <si>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</si>
  <si>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</si>
  <si>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</si>
  <si>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</si>
  <si>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</si>
  <si>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</si>
  <si>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</si>
  <si>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</si>
  <si>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</si>
  <si>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</si>
  <si>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</si>
  <si>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</si>
  <si>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</si>
  <si>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</si>
  <si>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</si>
  <si>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</si>
  <si>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</si>
  <si>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</si>
  <si>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</si>
  <si>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</si>
  <si>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</si>
  <si>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</si>
  <si>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</si>
  <si>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</si>
  <si>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</si>
  <si>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</si>
  <si>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</si>
  <si>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</si>
  <si>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</si>
  <si>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</si>
  <si>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</si>
  <si>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</si>
  <si>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</si>
  <si>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</si>
  <si>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</si>
  <si>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</si>
  <si>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</si>
  <si>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</si>
  <si>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</si>
  <si>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</si>
  <si>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</si>
  <si>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</si>
  <si>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</si>
  <si>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</si>
  <si>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</si>
  <si>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</si>
  <si>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</si>
  <si>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</si>
  <si>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</si>
  <si>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</si>
  <si>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</si>
  <si>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</si>
  <si>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</si>
  <si>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</si>
  <si>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</si>
  <si>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</si>
  <si>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</si>
  <si>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</si>
  <si>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</si>
  <si>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</si>
  <si>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</si>
  <si>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</si>
  <si>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</si>
  <si>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</si>
  <si>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</si>
  <si>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</si>
  <si>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</si>
  <si>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</si>
  <si>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</si>
  <si>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</si>
  <si>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</si>
  <si>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</si>
  <si>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</si>
  <si>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</si>
  <si>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</si>
  <si>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</si>
  <si>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</si>
  <si>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</si>
  <si>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</si>
  <si>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</si>
  <si>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</si>
  <si>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</si>
  <si>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</si>
  <si>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</si>
  <si>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</si>
  <si>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</si>
  <si>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</si>
  <si>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</si>
  <si>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</si>
  <si>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</si>
  <si>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</si>
  <si>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</si>
  <si>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</si>
  <si>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</si>
  <si>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</si>
  <si>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</si>
  <si>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</si>
  <si>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</si>
  <si>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</si>
  <si>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</si>
  <si>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</si>
  <si>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</si>
  <si>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</si>
  <si>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</si>
  <si>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</si>
  <si>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</si>
  <si>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</si>
  <si>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</si>
  <si>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</si>
  <si>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</si>
  <si>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</si>
  <si>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</si>
  <si>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</si>
  <si>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</si>
  <si>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</si>
  <si>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</si>
  <si>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</si>
  <si>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</si>
  <si>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</si>
  <si>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</si>
  <si>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</si>
  <si>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</si>
  <si>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</si>
  <si>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</si>
  <si>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</si>
  <si>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</si>
  <si>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</si>
  <si>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</si>
  <si>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</si>
  <si>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</si>
  <si>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</si>
  <si>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</si>
  <si>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</si>
  <si>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</si>
  <si>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</si>
  <si>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</si>
  <si>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</si>
  <si>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</si>
  <si>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</si>
  <si>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</si>
  <si>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</si>
  <si>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</si>
  <si>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</si>
  <si>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</si>
  <si>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</si>
  <si>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</si>
  <si>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</si>
  <si>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</si>
  <si>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</si>
  <si>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</si>
  <si>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</si>
  <si>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</si>
  <si>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</si>
  <si>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</si>
  <si>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</si>
  <si>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</si>
  <si>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</si>
  <si>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</si>
  <si>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</si>
  <si>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</si>
  <si>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</si>
  <si>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</si>
  <si>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</si>
  <si>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</si>
  <si>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</si>
  <si>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</si>
  <si>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</si>
  <si>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</si>
  <si>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</si>
  <si>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</si>
  <si>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</si>
  <si>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</si>
  <si>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</si>
  <si>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</si>
  <si>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</si>
  <si>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</si>
  <si>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</si>
  <si>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</si>
  <si>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</si>
  <si>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</si>
  <si>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</si>
  <si>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</si>
  <si>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</si>
  <si>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</si>
  <si>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</si>
  <si>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</si>
  <si>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</si>
  <si>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</si>
  <si>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</si>
  <si>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</si>
  <si>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</si>
  <si>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</si>
  <si>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</si>
  <si>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</si>
  <si>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</si>
  <si>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</si>
  <si>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</si>
  <si>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</si>
  <si>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</si>
  <si>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</si>
  <si>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</si>
  <si>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</si>
  <si>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</si>
  <si>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</si>
  <si>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</si>
  <si>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</si>
  <si>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</si>
  <si>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</si>
  <si>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</si>
  <si>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</si>
  <si>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</si>
  <si>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</si>
  <si>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</si>
  <si>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</si>
  <si>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</si>
  <si>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</si>
  <si>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</si>
  <si>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</si>
  <si>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</si>
  <si>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</si>
  <si>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</si>
  <si>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</si>
  <si>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</si>
  <si>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</si>
  <si>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</si>
  <si>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</si>
  <si>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</si>
  <si>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</si>
  <si>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</si>
  <si>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</si>
  <si>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</si>
  <si>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</si>
  <si>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</si>
  <si>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</si>
  <si>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</si>
  <si>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</si>
  <si>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</si>
  <si>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</si>
  <si>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</si>
  <si>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</si>
  <si>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</si>
  <si>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</si>
  <si>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</si>
  <si>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</si>
  <si>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</si>
  <si>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</si>
  <si>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</si>
  <si>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</si>
  <si>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</si>
  <si>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</si>
  <si>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</si>
  <si>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</si>
  <si>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</si>
  <si>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</si>
  <si>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</si>
  <si>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</si>
  <si>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</si>
  <si>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</si>
  <si>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</si>
  <si>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</si>
  <si>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</si>
  <si>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</si>
  <si>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</si>
  <si>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</si>
  <si>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</si>
  <si>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</si>
  <si>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</si>
  <si>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</si>
  <si>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</si>
  <si>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</si>
  <si>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</si>
  <si>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</si>
  <si>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</si>
  <si>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</si>
  <si>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</si>
  <si>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</si>
  <si>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</si>
  <si>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</si>
  <si>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</si>
  <si>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</si>
  <si>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</si>
  <si>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</si>
  <si>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</si>
  <si>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</si>
  <si>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</si>
  <si>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</si>
  <si>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</si>
  <si>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</si>
  <si>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</si>
  <si>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</si>
  <si>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</si>
  <si>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</si>
  <si>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</si>
  <si>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</si>
  <si>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</si>
  <si>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</si>
  <si>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</si>
  <si>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</si>
  <si>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</si>
  <si>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</si>
  <si>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</si>
  <si>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</si>
  <si>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</si>
  <si>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</si>
  <si>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</si>
  <si>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</si>
  <si>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</si>
  <si>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</si>
  <si>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</si>
  <si>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</si>
  <si>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</si>
  <si>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</si>
  <si>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</si>
  <si>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</si>
  <si>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</si>
  <si>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</si>
  <si>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</si>
  <si>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</si>
  <si>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</si>
  <si>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</si>
  <si>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</si>
  <si>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</si>
  <si>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</si>
  <si>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</si>
  <si>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</si>
  <si>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</si>
  <si>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</si>
  <si>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</si>
  <si>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</si>
  <si>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</si>
  <si>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</si>
  <si>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</si>
  <si>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</si>
  <si>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</si>
  <si>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</si>
  <si>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</si>
  <si>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</si>
  <si>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</si>
  <si>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</si>
  <si>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</si>
  <si>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</si>
  <si>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</si>
  <si>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</si>
  <si>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</si>
  <si>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</si>
  <si>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</si>
  <si>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</si>
  <si>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</si>
  <si>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</si>
  <si>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</si>
  <si>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</si>
  <si>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</si>
  <si>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</si>
  <si>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</si>
  <si>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</si>
  <si>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</si>
  <si>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</si>
  <si>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</si>
  <si>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</si>
  <si>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</si>
  <si>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</si>
  <si>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</si>
  <si>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</si>
  <si>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</si>
  <si>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</si>
  <si>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</si>
  <si>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</si>
  <si>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</si>
  <si>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</si>
  <si>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</si>
  <si>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</si>
  <si>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</si>
  <si>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</si>
  <si>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</si>
  <si>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</si>
  <si>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</si>
  <si>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</si>
  <si>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</si>
  <si>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</si>
  <si>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</si>
  <si>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</si>
  <si>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</si>
  <si>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</si>
  <si>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</si>
  <si>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</si>
  <si>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</si>
  <si>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</si>
  <si>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</si>
  <si>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</si>
  <si>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</si>
  <si>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</si>
  <si>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</si>
  <si>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</si>
  <si>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</si>
  <si>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</si>
  <si>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</si>
  <si>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</si>
  <si>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</si>
  <si>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</si>
  <si>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</si>
  <si>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</si>
  <si>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</si>
  <si>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</si>
  <si>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</si>
  <si>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</si>
  <si>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</si>
  <si>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</si>
  <si>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</si>
  <si>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</si>
  <si>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</si>
  <si>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</si>
  <si>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</si>
  <si>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</si>
  <si>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</si>
  <si>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</si>
  <si>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</si>
  <si>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</si>
  <si>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</si>
  <si>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</si>
  <si>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</si>
  <si>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</si>
  <si>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</si>
  <si>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</si>
  <si>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</si>
  <si>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</si>
  <si>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</si>
  <si>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</si>
  <si>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</si>
  <si>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</si>
  <si>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</si>
  <si>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</si>
  <si>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</si>
  <si>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</si>
  <si>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</si>
  <si>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</si>
  <si>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</si>
  <si>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</si>
  <si>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</si>
  <si>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</si>
  <si>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</si>
  <si>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</si>
  <si>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</si>
  <si>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</si>
  <si>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</si>
  <si>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</si>
  <si>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</si>
  <si>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</si>
  <si>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</si>
  <si>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</si>
  <si>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</si>
  <si>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</si>
  <si>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</si>
  <si>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</si>
  <si>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</si>
  <si>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</si>
  <si>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</si>
  <si>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</si>
  <si>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</si>
  <si>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</si>
  <si>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</si>
  <si>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</si>
  <si>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</si>
  <si>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</si>
  <si>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</si>
  <si>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</si>
  <si>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</si>
  <si>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</si>
  <si>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</si>
  <si>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</si>
  <si>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</si>
  <si>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</si>
  <si>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</si>
  <si>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</si>
  <si>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</si>
  <si>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</si>
  <si>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</si>
  <si>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</si>
  <si>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</si>
  <si>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</si>
  <si>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</si>
  <si>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</si>
  <si>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</si>
  <si>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</si>
  <si>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</si>
  <si>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</si>
  <si>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</si>
  <si>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</si>
  <si>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</si>
  <si>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</si>
  <si>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</si>
  <si>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</si>
  <si>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</si>
  <si>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</si>
  <si>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</si>
  <si>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</si>
  <si>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</si>
  <si>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</si>
  <si>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</si>
  <si>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</si>
  <si>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</si>
  <si>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</si>
  <si>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</si>
  <si>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</si>
  <si>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</si>
  <si>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</si>
  <si>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</si>
  <si>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</si>
  <si>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</si>
  <si>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</si>
  <si>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</si>
  <si>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</si>
  <si>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</si>
  <si>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</si>
  <si>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</si>
  <si>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</si>
  <si>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</si>
  <si>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</si>
  <si>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</si>
  <si>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</si>
  <si>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</si>
  <si>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</si>
  <si>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</si>
  <si>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</si>
  <si>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</si>
  <si>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</si>
  <si>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</si>
  <si>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</si>
  <si>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</si>
  <si>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</si>
  <si>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</si>
  <si>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</si>
  <si>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</si>
  <si>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</si>
  <si>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</si>
  <si>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</si>
  <si>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</si>
  <si>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</si>
  <si>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</si>
  <si>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</si>
  <si>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</si>
  <si>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</si>
  <si>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</si>
  <si>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</si>
  <si>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</si>
  <si>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</si>
  <si>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</si>
  <si>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</si>
  <si>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</si>
  <si>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</si>
  <si>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</si>
  <si>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</si>
  <si>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</si>
  <si>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</si>
  <si>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</si>
  <si>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</si>
  <si>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</si>
  <si>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</si>
  <si>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</si>
  <si>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</si>
  <si>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</si>
  <si>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</si>
  <si>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</si>
  <si>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</si>
  <si>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</si>
  <si>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</si>
  <si>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</si>
  <si>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</si>
  <si>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</si>
  <si>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</si>
  <si>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</si>
  <si>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</si>
  <si>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</si>
  <si>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</si>
  <si>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</si>
  <si>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</si>
  <si>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</si>
  <si>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</si>
  <si>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</si>
  <si>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</si>
  <si>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</si>
  <si>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</si>
  <si>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</si>
  <si>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</si>
  <si>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</si>
  <si>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</si>
  <si>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</si>
  <si>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</si>
  <si>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</si>
  <si>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</si>
  <si>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</si>
  <si>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</si>
  <si>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</si>
  <si>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</si>
  <si>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</si>
  <si>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</si>
  <si>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</si>
  <si>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</si>
  <si>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</si>
  <si>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</si>
  <si>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</si>
  <si>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</si>
  <si>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</si>
  <si>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</si>
  <si>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</si>
  <si>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</si>
  <si>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</si>
  <si>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</si>
  <si>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</si>
  <si>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</si>
  <si>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</si>
  <si>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</si>
  <si>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</si>
  <si>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</si>
  <si>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</si>
  <si>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</si>
  <si>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</si>
  <si>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</si>
  <si>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</si>
  <si>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</si>
  <si>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</si>
  <si>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</si>
  <si>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</si>
  <si>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</si>
  <si>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</si>
  <si>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</si>
  <si>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</si>
  <si>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</si>
  <si>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</si>
  <si>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</si>
  <si>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</si>
  <si>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</si>
  <si>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</si>
  <si>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</si>
  <si>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</si>
  <si>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</si>
  <si>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</si>
  <si>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</si>
  <si>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</si>
  <si>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</si>
  <si>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</si>
  <si>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</si>
  <si>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</si>
  <si>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</si>
  <si>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</si>
  <si>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</si>
  <si>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</si>
  <si>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</si>
  <si>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</si>
  <si>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</si>
  <si>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</si>
  <si>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</si>
  <si>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</si>
  <si>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</si>
  <si>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</si>
  <si>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</si>
  <si>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</si>
  <si>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</si>
  <si>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</si>
  <si>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</si>
  <si>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</si>
  <si>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</si>
  <si>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</si>
  <si>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</si>
  <si>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</si>
  <si>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</si>
  <si>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</si>
  <si>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</si>
  <si>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</si>
  <si>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</si>
  <si>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</si>
  <si>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</si>
  <si>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</si>
  <si>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</si>
  <si>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</si>
  <si>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</si>
  <si>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</si>
  <si>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</si>
  <si>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</si>
  <si>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</si>
  <si>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</si>
  <si>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</si>
  <si>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</si>
  <si>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</si>
  <si>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</si>
  <si>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</si>
  <si>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</si>
  <si>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</si>
  <si>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</si>
  <si>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</si>
  <si>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</si>
  <si>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</si>
  <si>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</si>
  <si>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</si>
  <si>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</si>
  <si>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</si>
  <si>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</si>
  <si>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</si>
  <si>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</si>
  <si>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</si>
  <si>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</si>
  <si>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</si>
  <si>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</si>
  <si>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</si>
  <si>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</si>
  <si>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</si>
  <si>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</si>
  <si>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</si>
  <si>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</si>
  <si>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</si>
  <si>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</si>
  <si>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</si>
  <si>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</si>
  <si>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</si>
  <si>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</si>
  <si>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</si>
  <si>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</si>
  <si>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</si>
  <si>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</si>
  <si>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</si>
  <si>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</si>
  <si>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</si>
  <si>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</si>
  <si>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</si>
  <si>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</si>
  <si>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</si>
  <si>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</si>
  <si>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</si>
  <si>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</si>
  <si>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</si>
  <si>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</si>
  <si>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</si>
  <si>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</si>
  <si>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</si>
  <si>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</si>
  <si>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</si>
  <si>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</si>
  <si>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</si>
  <si>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</si>
  <si>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</si>
  <si>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</si>
  <si>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</si>
  <si>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</si>
  <si>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</si>
  <si>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</si>
  <si>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</si>
  <si>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</si>
  <si>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</si>
  <si>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</si>
  <si>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</si>
  <si>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</si>
  <si>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</si>
  <si>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</si>
  <si>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</si>
  <si>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</si>
  <si>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</si>
  <si>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</si>
  <si>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</si>
  <si>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</si>
  <si>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</si>
  <si>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</si>
  <si>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</si>
  <si>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</si>
  <si>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</si>
  <si>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</si>
  <si>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</si>
  <si>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</si>
  <si>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</si>
  <si>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</si>
  <si>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</si>
  <si>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</si>
  <si>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</si>
  <si>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</si>
  <si>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</si>
  <si>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</si>
  <si>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</si>
  <si>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</si>
  <si>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</si>
  <si>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</si>
  <si>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</si>
  <si>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</si>
  <si>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</si>
  <si>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</si>
  <si>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</si>
  <si>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</si>
  <si>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</si>
  <si>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</si>
  <si>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</si>
  <si>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</si>
  <si>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</si>
  <si>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</si>
  <si>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</si>
  <si>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</si>
  <si>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</si>
  <si>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</si>
  <si>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</si>
  <si>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</si>
  <si>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</si>
  <si>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</si>
  <si>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</si>
  <si>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</si>
  <si>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</si>
  <si>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</si>
  <si>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</si>
  <si>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</si>
  <si>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</si>
  <si>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</si>
  <si>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</si>
  <si>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</si>
  <si>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</si>
  <si>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</si>
  <si>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</si>
  <si>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</si>
  <si>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</si>
  <si>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</si>
  <si>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</si>
  <si>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</si>
  <si>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</si>
  <si>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</si>
  <si>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</si>
  <si>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</si>
  <si>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</si>
  <si>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</si>
  <si>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</si>
  <si>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</si>
  <si>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</si>
  <si>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</si>
  <si>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</si>
  <si>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</si>
  <si>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</si>
  <si>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</si>
  <si>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</si>
  <si>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</si>
  <si>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</si>
  <si>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</si>
  <si>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</si>
  <si>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</si>
  <si>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</si>
  <si>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</si>
  <si>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</si>
  <si>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</si>
  <si>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</si>
  <si>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</si>
  <si>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</si>
  <si>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</si>
  <si>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</si>
  <si>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</si>
  <si>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</si>
  <si>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</si>
  <si>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</si>
  <si>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</si>
  <si>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</si>
  <si>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</si>
  <si>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</si>
  <si>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</si>
  <si>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</si>
  <si>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</si>
  <si>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</si>
  <si>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</si>
  <si>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</si>
  <si>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</si>
  <si>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</si>
  <si>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</si>
  <si>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</si>
  <si>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</si>
  <si>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</si>
  <si>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</si>
  <si>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</si>
  <si>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</si>
  <si>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</si>
  <si>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</si>
  <si>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</si>
  <si>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</si>
  <si>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</si>
  <si>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</si>
  <si>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</si>
  <si>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</si>
  <si>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</si>
  <si>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</si>
  <si>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</si>
  <si>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</si>
  <si>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</si>
  <si>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</si>
  <si>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</si>
  <si>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</si>
  <si>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</si>
  <si>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</si>
  <si>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</si>
  <si>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</si>
  <si>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</si>
  <si>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</si>
  <si>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</si>
  <si>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</si>
  <si>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</si>
  <si>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</si>
  <si>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</si>
  <si>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</si>
  <si>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</si>
  <si>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</si>
  <si>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</si>
  <si>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</si>
  <si>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</si>
  <si>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</si>
  <si>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</si>
  <si>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</si>
  <si>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</si>
  <si>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</si>
  <si>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</si>
  <si>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</si>
  <si>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</si>
  <si>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</si>
  <si>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</si>
  <si>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</si>
  <si>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</si>
  <si>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</si>
  <si>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</si>
  <si>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</si>
  <si>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</si>
  <si>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</si>
  <si>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</si>
  <si>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</si>
  <si>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</si>
  <si>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</si>
  <si>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</si>
  <si>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</si>
  <si>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</si>
  <si>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</si>
  <si>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</si>
  <si>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</si>
  <si>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</si>
  <si>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</si>
  <si>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</si>
  <si>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</si>
  <si>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</si>
  <si>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</si>
  <si>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</si>
  <si>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</si>
  <si>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</si>
  <si>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</si>
  <si>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</si>
  <si>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</si>
  <si>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</si>
  <si>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</si>
  <si>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</si>
  <si>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</si>
  <si>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</si>
  <si>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</si>
  <si>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</si>
  <si>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</si>
  <si>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</si>
  <si>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</si>
  <si>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</si>
  <si>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</si>
  <si>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</si>
  <si>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</si>
  <si>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</si>
  <si>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</si>
  <si>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</si>
  <si>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</si>
  <si>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</si>
  <si>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</si>
  <si>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</si>
  <si>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</si>
  <si>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</si>
  <si>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</si>
  <si>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</si>
  <si>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</si>
  <si>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</si>
  <si>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</si>
  <si>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</si>
  <si>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</si>
  <si>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</si>
  <si>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</si>
  <si>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</si>
  <si>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</si>
  <si>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</si>
  <si>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</si>
  <si>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</si>
  <si>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</si>
  <si>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</si>
  <si>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</si>
  <si>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</si>
  <si>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</si>
  <si>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</si>
  <si>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</si>
  <si>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</si>
  <si>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</si>
  <si>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</si>
  <si>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</si>
  <si>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</si>
  <si>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</si>
  <si>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</si>
  <si>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</si>
  <si>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</si>
  <si>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</si>
  <si>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</si>
  <si>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</si>
  <si>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</si>
  <si>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</si>
  <si>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</si>
  <si>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</si>
  <si>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</si>
  <si>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</si>
  <si>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</si>
  <si>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</si>
  <si>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</si>
  <si>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</si>
  <si>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</si>
  <si>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</si>
  <si>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</si>
  <si>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</si>
  <si>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</si>
  <si>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</si>
  <si>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</si>
  <si>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</si>
  <si>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</si>
  <si>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</si>
  <si>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</si>
  <si>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</si>
  <si>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</si>
  <si>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</si>
  <si>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</si>
  <si>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</si>
  <si>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</si>
  <si>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</si>
  <si>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</si>
  <si>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</si>
  <si>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</si>
  <si>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</si>
  <si>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</si>
  <si>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</si>
  <si>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</si>
  <si>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</si>
  <si>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</si>
  <si>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</si>
  <si>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</si>
  <si>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</si>
  <si>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</si>
  <si>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</si>
  <si>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</si>
  <si>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</si>
  <si>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</si>
  <si>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</si>
  <si>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</si>
  <si>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</si>
  <si>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</si>
  <si>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</si>
  <si>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</si>
  <si>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</si>
  <si>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</si>
  <si>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</si>
  <si>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</si>
  <si>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</si>
  <si>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</si>
  <si>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</si>
  <si>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</si>
  <si>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</si>
  <si>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</si>
  <si>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</si>
  <si>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</si>
  <si>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</si>
  <si>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</si>
  <si>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</si>
  <si>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</si>
  <si>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</si>
  <si>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</si>
  <si>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</si>
  <si>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</si>
  <si>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</si>
  <si>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</si>
  <si>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</si>
  <si>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</si>
  <si>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</si>
  <si>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</si>
  <si>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</si>
  <si>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</si>
  <si>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</si>
  <si>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</si>
  <si>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</si>
  <si>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</si>
  <si>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</si>
  <si>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</si>
  <si>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</si>
  <si>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</si>
  <si>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</si>
  <si>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</si>
  <si>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</si>
  <si>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</si>
  <si>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</si>
  <si>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</si>
  <si>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</si>
  <si>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</si>
  <si>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</si>
  <si>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</si>
  <si>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</si>
  <si>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</si>
  <si>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</si>
  <si>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</si>
  <si>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</si>
  <si>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</si>
  <si>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</si>
  <si>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</si>
  <si>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</si>
  <si>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</si>
  <si>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</si>
  <si>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</si>
  <si>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</si>
  <si>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</si>
  <si>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</si>
  <si>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</si>
  <si>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</si>
  <si>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</si>
  <si>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</si>
  <si>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</si>
  <si>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</si>
  <si>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</si>
  <si>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</si>
  <si>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</si>
  <si>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</si>
  <si>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</si>
  <si>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</si>
  <si>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</si>
  <si>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</si>
  <si>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</si>
  <si>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</si>
  <si>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</si>
  <si>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</si>
  <si>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</si>
  <si>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</si>
  <si>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</si>
  <si>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</si>
  <si>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</si>
  <si>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</si>
  <si>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</si>
  <si>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</si>
  <si>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</si>
  <si>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</si>
  <si>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</si>
  <si>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</si>
  <si>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</si>
  <si>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</si>
  <si>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</si>
  <si>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</si>
  <si>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</si>
  <si>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</si>
  <si>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</si>
  <si>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</si>
  <si>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</si>
  <si>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</si>
  <si>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</si>
  <si>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</si>
  <si>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</si>
  <si>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</si>
  <si>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</si>
  <si>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</si>
  <si>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</si>
  <si>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</si>
  <si>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</si>
  <si>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</si>
  <si>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</si>
  <si>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</si>
  <si>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</si>
  <si>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</si>
  <si>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</si>
  <si>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</si>
  <si>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</si>
  <si>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</si>
  <si>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</si>
  <si>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</si>
  <si>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</si>
  <si>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</si>
  <si>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</si>
  <si>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</si>
  <si>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</si>
  <si>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</si>
  <si>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</si>
  <si>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</si>
  <si>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</si>
  <si>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</si>
  <si>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</si>
  <si>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</si>
  <si>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</si>
  <si>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</si>
  <si>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</si>
  <si>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</si>
  <si>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</si>
  <si>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</si>
  <si>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</si>
  <si>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</si>
  <si>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</si>
  <si>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</si>
  <si>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</si>
  <si>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</si>
  <si>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</si>
  <si>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</si>
  <si>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</si>
  <si>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</si>
  <si>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</si>
  <si>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</si>
  <si>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</si>
  <si>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</si>
  <si>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</si>
  <si>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</si>
  <si>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</si>
  <si>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</si>
  <si>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</si>
  <si>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</si>
  <si>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</si>
  <si>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</si>
  <si>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</si>
  <si>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</si>
  <si>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</si>
  <si>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</si>
  <si>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</si>
  <si>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</si>
  <si>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</si>
  <si>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</si>
  <si>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</si>
  <si>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</si>
  <si>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</si>
  <si>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</si>
  <si>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</si>
  <si>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</si>
  <si>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</si>
  <si>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</si>
  <si>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</si>
  <si>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</si>
  <si>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</si>
  <si>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</si>
  <si>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</si>
  <si>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</si>
  <si>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</si>
  <si>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</si>
  <si>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</si>
  <si>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</si>
  <si>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</si>
  <si>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</si>
  <si>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</si>
  <si>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</si>
  <si>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</si>
  <si>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</si>
  <si>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</si>
  <si>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</si>
  <si>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</si>
  <si>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</si>
  <si>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</si>
  <si>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</si>
  <si>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</si>
  <si>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</si>
  <si>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</si>
  <si>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</si>
  <si>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</si>
  <si>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</si>
  <si>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</si>
  <si>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</si>
  <si>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</si>
  <si>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</si>
  <si>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</si>
  <si>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</si>
  <si>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</si>
  <si>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</si>
  <si>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</si>
  <si>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</si>
  <si>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</si>
  <si>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</si>
  <si>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</si>
  <si>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</si>
  <si>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</si>
  <si>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</si>
  <si>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</si>
  <si>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</si>
  <si>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</si>
  <si>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</si>
  <si>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</si>
  <si>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</si>
  <si>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</si>
  <si>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</si>
  <si>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</si>
  <si>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</si>
  <si>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</si>
  <si>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</si>
  <si>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</si>
  <si>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</si>
  <si>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</si>
  <si>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</si>
  <si>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</si>
  <si>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</si>
  <si>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</si>
  <si>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</si>
  <si>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</si>
  <si>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</si>
  <si>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</si>
  <si>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</si>
  <si>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</si>
  <si>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</si>
  <si>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</si>
  <si>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</si>
  <si>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</si>
  <si>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</si>
  <si>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</si>
  <si>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</si>
  <si>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</si>
  <si>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</si>
  <si>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</si>
  <si>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</si>
  <si>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</si>
  <si>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</si>
  <si>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</si>
  <si>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</si>
  <si>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</si>
  <si>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</si>
  <si>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</si>
  <si>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</si>
  <si>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</si>
  <si>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</si>
  <si>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</si>
  <si>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</si>
  <si>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</si>
  <si>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</si>
  <si>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</si>
  <si>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</si>
  <si>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</si>
  <si>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</si>
  <si>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</si>
  <si>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</si>
  <si>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</si>
  <si>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</si>
  <si>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</si>
  <si>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</si>
  <si>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</si>
  <si>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</si>
  <si>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</si>
  <si>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</si>
  <si>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</si>
  <si>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</si>
  <si>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</si>
  <si>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</si>
  <si>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</si>
  <si>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</si>
  <si>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</si>
  <si>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</si>
  <si>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</si>
  <si>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</si>
  <si>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</si>
  <si>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</si>
  <si>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</si>
  <si>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</si>
  <si>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</si>
  <si>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</si>
  <si>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</si>
  <si>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</si>
  <si>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</si>
  <si>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</si>
  <si>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</si>
  <si>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</si>
  <si>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</si>
  <si>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</si>
  <si>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</si>
  <si>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</si>
  <si>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</si>
  <si>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</si>
  <si>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</si>
  <si>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</si>
  <si>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</si>
  <si>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</si>
  <si>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</si>
  <si>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</si>
  <si>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</si>
  <si>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</si>
  <si>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</si>
  <si>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</si>
  <si>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</si>
  <si>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</si>
  <si>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</si>
  <si>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</si>
  <si>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</si>
  <si>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</si>
  <si>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</si>
  <si>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</si>
  <si>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</si>
  <si>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</si>
  <si>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</si>
  <si>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</si>
  <si>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</si>
  <si>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</si>
  <si>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</si>
  <si>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</si>
  <si>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</si>
  <si>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</si>
  <si>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</si>
  <si>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</si>
  <si>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</si>
  <si>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</si>
  <si>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</si>
  <si>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</si>
  <si>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</si>
  <si>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</si>
  <si>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</si>
  <si>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</si>
  <si>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</si>
  <si>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</si>
  <si>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</si>
  <si>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</si>
  <si>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</si>
  <si>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</si>
  <si>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</si>
  <si>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</si>
  <si>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</si>
  <si>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</si>
  <si>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</si>
  <si>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</si>
  <si>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</si>
  <si>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</si>
  <si>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</si>
  <si>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</si>
  <si>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</si>
  <si>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</si>
  <si>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</si>
  <si>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</si>
  <si>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</si>
  <si>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</si>
  <si>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</si>
  <si>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</si>
  <si>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</si>
  <si>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</si>
  <si>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</si>
  <si>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</si>
  <si>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</si>
  <si>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</si>
  <si>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</si>
  <si>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</si>
  <si>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</si>
  <si>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</si>
  <si>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</si>
  <si>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</si>
  <si>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</si>
  <si>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</si>
  <si>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</si>
  <si>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</si>
  <si>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</si>
  <si>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</si>
  <si>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</si>
  <si>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</si>
  <si>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</si>
  <si>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</si>
  <si>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</si>
  <si>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</si>
  <si>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</si>
  <si>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</si>
  <si>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</si>
  <si>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</si>
  <si>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</si>
  <si>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</si>
  <si>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</si>
  <si>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</si>
  <si>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</si>
  <si>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</si>
  <si>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</si>
  <si>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</si>
  <si>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</si>
  <si>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</si>
  <si>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</si>
  <si>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</si>
  <si>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</si>
  <si>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</si>
  <si>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</si>
  <si>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</si>
  <si>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</si>
  <si>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</si>
  <si>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</si>
  <si>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</si>
  <si>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</si>
  <si>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</si>
  <si>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</si>
  <si>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</si>
  <si>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</si>
  <si>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</si>
  <si>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</si>
  <si>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</si>
  <si>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</si>
  <si>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</si>
  <si>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</si>
  <si>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</si>
  <si>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</si>
  <si>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</si>
  <si>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</si>
  <si>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</si>
  <si>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</si>
  <si>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</si>
  <si>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</si>
  <si>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</si>
  <si>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</si>
  <si>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</si>
  <si>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</si>
  <si>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</si>
  <si>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</si>
  <si>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</si>
  <si>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</si>
  <si>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</si>
  <si>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</si>
  <si>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</si>
  <si>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</si>
  <si>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</si>
  <si>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</si>
  <si>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</si>
  <si>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</si>
  <si>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</si>
  <si>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</si>
  <si>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</si>
  <si>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</si>
  <si>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</si>
  <si>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</si>
  <si>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</si>
  <si>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</si>
  <si>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</si>
  <si>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</si>
  <si>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</si>
  <si>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</si>
  <si>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</si>
  <si>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</si>
  <si>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</si>
  <si>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</si>
  <si>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</si>
  <si>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</si>
  <si>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</si>
  <si>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</si>
  <si>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</si>
  <si>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</si>
  <si>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</si>
  <si>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</si>
  <si>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</si>
  <si>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</si>
  <si>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</si>
  <si>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</si>
  <si>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</si>
  <si>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</si>
  <si>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</si>
  <si>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</si>
  <si>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</si>
  <si>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</si>
  <si>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</si>
  <si>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</si>
  <si>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</si>
  <si>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</si>
  <si>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</si>
  <si>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</si>
  <si>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</si>
  <si>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</si>
  <si>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</si>
  <si>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</si>
  <si>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</si>
  <si>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</si>
  <si>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</si>
  <si>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</si>
  <si>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</si>
  <si>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</si>
  <si>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</si>
  <si>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</si>
  <si>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</si>
  <si>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</si>
  <si>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</si>
  <si>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</si>
  <si>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</si>
  <si>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</si>
  <si>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</si>
  <si>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</si>
  <si>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</si>
  <si>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</si>
  <si>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</si>
  <si>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</si>
  <si>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</si>
  <si>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</si>
  <si>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</si>
  <si>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</si>
  <si>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</si>
  <si>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</si>
  <si>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</si>
  <si>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</si>
  <si>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</si>
  <si>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</si>
  <si>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</si>
  <si>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</si>
  <si>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</si>
  <si>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</si>
  <si>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</si>
  <si>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</si>
  <si>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</si>
  <si>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</si>
  <si>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</si>
  <si>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</si>
  <si>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</si>
  <si>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</si>
  <si>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</si>
  <si>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</si>
  <si>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</si>
  <si>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</si>
  <si>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</si>
  <si>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</si>
  <si>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</si>
  <si>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</si>
  <si>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</si>
  <si>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</si>
  <si>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</si>
  <si>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</si>
  <si>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</si>
  <si>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</si>
  <si>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</si>
  <si>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</si>
  <si>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</si>
  <si>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</si>
  <si>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</si>
  <si>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</si>
  <si>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</si>
  <si>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</si>
  <si>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</si>
  <si>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</si>
  <si>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</si>
  <si>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</si>
  <si>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</si>
  <si>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</si>
  <si>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</si>
  <si>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</si>
  <si>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</si>
  <si>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</si>
  <si>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</si>
  <si>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</si>
  <si>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</si>
  <si>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</si>
  <si>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</si>
  <si>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</si>
  <si>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</si>
  <si>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</si>
  <si>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</si>
  <si>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</si>
  <si>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</si>
  <si>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</si>
  <si>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</si>
  <si>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</si>
  <si>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</si>
  <si>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</si>
  <si>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</si>
  <si>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</si>
  <si>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</si>
  <si>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</si>
  <si>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</si>
  <si>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</si>
  <si>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</si>
  <si>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</si>
  <si>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</si>
  <si>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</si>
  <si>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</si>
  <si>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</si>
  <si>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</si>
  <si>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</si>
  <si>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</si>
  <si>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</si>
  <si>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</si>
  <si>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</si>
  <si>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</si>
  <si>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</si>
  <si>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</si>
  <si>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</si>
  <si>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</si>
  <si>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</si>
  <si>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</si>
  <si>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</si>
  <si>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</si>
  <si>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</si>
  <si>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</si>
  <si>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</si>
  <si>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</si>
  <si>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</si>
  <si>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</si>
  <si>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</si>
  <si>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</si>
  <si>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</si>
  <si>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</si>
  <si>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</si>
  <si>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</si>
  <si>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</si>
  <si>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</si>
  <si>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</si>
  <si>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</si>
  <si>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</si>
  <si>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</si>
  <si>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</si>
  <si>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</si>
  <si>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</si>
  <si>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</si>
  <si>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</si>
  <si>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</si>
  <si>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</si>
  <si>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</si>
  <si>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</si>
  <si>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</si>
  <si>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</si>
  <si>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</si>
  <si>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</si>
  <si>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</si>
  <si>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</si>
  <si>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</si>
  <si>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</si>
  <si>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</si>
  <si>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</si>
  <si>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</si>
  <si>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</si>
  <si>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</si>
  <si>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</si>
  <si>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</si>
  <si>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</si>
  <si>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</si>
  <si>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</si>
  <si>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</si>
  <si>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</si>
  <si>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</si>
  <si>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</si>
  <si>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</si>
  <si>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</si>
  <si>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</si>
  <si>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</si>
  <si>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</si>
  <si>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</si>
  <si>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</si>
  <si>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</si>
  <si>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</si>
  <si>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</si>
  <si>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</si>
  <si>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</si>
  <si>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</si>
  <si>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</si>
  <si>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</si>
  <si>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</si>
  <si>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</si>
  <si>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</si>
  <si>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</si>
  <si>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</si>
  <si>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</si>
  <si>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</si>
  <si>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</si>
  <si>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</si>
  <si>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</si>
  <si>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</si>
  <si>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</si>
  <si>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</si>
  <si>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</si>
  <si>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</si>
  <si>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</si>
  <si>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</si>
  <si>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</si>
  <si>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</si>
  <si>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</si>
  <si>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</si>
  <si>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</si>
  <si>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</si>
  <si>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</si>
  <si>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</si>
  <si>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</si>
  <si>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</si>
  <si>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</si>
  <si>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</si>
  <si>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</si>
  <si>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</si>
  <si>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</si>
  <si>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</si>
  <si>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</si>
  <si>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</si>
  <si>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</si>
  <si>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</si>
  <si>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</si>
  <si>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</si>
  <si>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</si>
  <si>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</si>
  <si>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</si>
  <si>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</si>
  <si>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</si>
  <si>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</si>
  <si>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</si>
  <si>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</si>
  <si>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</si>
  <si>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</si>
  <si>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</si>
  <si>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</si>
  <si>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</si>
  <si>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</si>
  <si>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</si>
  <si>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</si>
  <si>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</si>
  <si>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</si>
  <si>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</si>
  <si>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</si>
  <si>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</si>
  <si>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</si>
  <si>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</si>
  <si>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</si>
  <si>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</si>
  <si>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</si>
  <si>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</si>
  <si>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</si>
  <si>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</si>
  <si>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</si>
  <si>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</si>
  <si>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</si>
  <si>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</si>
  <si>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</si>
  <si>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</si>
  <si>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</si>
  <si>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</si>
  <si>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</si>
  <si>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</si>
  <si>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</si>
  <si>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</si>
  <si>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</si>
  <si>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</si>
  <si>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</si>
  <si>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</si>
  <si>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</si>
  <si>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</si>
  <si>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</si>
  <si>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</si>
  <si>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</si>
  <si>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</si>
  <si>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</si>
  <si>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</si>
  <si>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</si>
  <si>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</si>
  <si>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</si>
  <si>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</si>
  <si>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</si>
  <si>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</si>
  <si>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</si>
  <si>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</si>
  <si>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</si>
  <si>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</si>
  <si>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</si>
  <si>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</si>
  <si>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</si>
  <si>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</si>
  <si>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</si>
  <si>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</si>
  <si>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</si>
  <si>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</si>
  <si>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</si>
  <si>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</si>
  <si>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</si>
  <si>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</si>
  <si>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</si>
  <si>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</si>
  <si>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</si>
  <si>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</si>
  <si>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</si>
  <si>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</si>
  <si>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</si>
  <si>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</si>
  <si>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</si>
  <si>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</si>
  <si>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</si>
  <si>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</si>
  <si>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</si>
  <si>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</si>
  <si>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</si>
  <si>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</si>
  <si>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</si>
  <si>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</si>
  <si>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</si>
  <si>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</si>
  <si>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</si>
  <si>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</si>
  <si>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</si>
  <si>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</si>
  <si>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</si>
  <si>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</si>
  <si>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</si>
  <si>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</si>
  <si>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</si>
  <si>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</si>
  <si>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</si>
  <si>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</si>
  <si>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</si>
  <si>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</si>
  <si>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</si>
  <si>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</si>
  <si>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</si>
  <si>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</si>
  <si>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</si>
  <si>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</si>
  <si>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</si>
  <si>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</si>
  <si>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</si>
  <si>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</si>
  <si>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</si>
  <si>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</si>
  <si>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</si>
  <si>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</si>
  <si>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</si>
  <si>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</si>
  <si>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</si>
  <si>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</si>
  <si>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</si>
  <si>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</si>
  <si>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</si>
  <si>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</si>
  <si>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</si>
  <si>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</si>
  <si>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</si>
  <si>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</si>
  <si>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</si>
  <si>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</si>
  <si>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</si>
  <si>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</si>
  <si>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</si>
  <si>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</si>
  <si>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</si>
  <si>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</si>
  <si>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</si>
  <si>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</si>
  <si>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</si>
  <si>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</si>
  <si>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</si>
  <si>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</si>
  <si>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</si>
  <si>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</si>
  <si>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</si>
  <si>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</si>
  <si>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</si>
  <si>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</si>
  <si>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</si>
  <si>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</si>
  <si>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</si>
  <si>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</si>
  <si>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</si>
  <si>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</si>
  <si>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</si>
  <si>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</si>
  <si>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</si>
  <si>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</si>
  <si>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</si>
  <si>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</si>
  <si>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</si>
  <si>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</si>
  <si>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</si>
  <si>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</si>
  <si>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</si>
  <si>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</si>
  <si>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</si>
  <si>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</si>
  <si>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</si>
  <si>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</si>
  <si>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</si>
  <si>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</si>
  <si>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</si>
  <si>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</si>
  <si>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</si>
  <si>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</si>
  <si>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</si>
  <si>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</si>
  <si>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</si>
  <si>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</si>
  <si>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</si>
  <si>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</si>
  <si>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</si>
  <si>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</si>
  <si>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</si>
  <si>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</si>
  <si>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</si>
  <si>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</si>
  <si>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</si>
  <si>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</si>
  <si>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</si>
  <si>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</si>
  <si>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</si>
  <si>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</si>
  <si>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</si>
  <si>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</si>
  <si>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</si>
  <si>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</si>
  <si>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</si>
  <si>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</si>
  <si>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</si>
  <si>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</si>
  <si>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</si>
  <si>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</si>
  <si>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</si>
  <si>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</si>
  <si>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</si>
  <si>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</si>
  <si>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</si>
  <si>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</si>
  <si>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</si>
  <si>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</si>
  <si>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</si>
  <si>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</si>
  <si>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</si>
  <si>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</si>
  <si>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</si>
  <si>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</si>
  <si>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</si>
  <si>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</si>
  <si>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</si>
  <si>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</si>
  <si>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</si>
  <si>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</si>
  <si>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</si>
  <si>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</si>
  <si>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</si>
  <si>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</si>
  <si>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</si>
  <si>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</si>
  <si>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</si>
  <si>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</si>
  <si>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</si>
  <si>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</si>
  <si>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</si>
  <si>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</si>
  <si>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</si>
  <si>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</si>
  <si>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</si>
  <si>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</si>
  <si>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</si>
  <si>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</si>
  <si>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</si>
  <si>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</si>
  <si>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</si>
  <si>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</si>
  <si>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</si>
  <si>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</si>
  <si>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</si>
  <si>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</si>
  <si>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</si>
  <si>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</si>
  <si>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</si>
  <si>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</si>
  <si>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</si>
  <si>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</si>
  <si>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</si>
  <si>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</si>
  <si>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</si>
  <si>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</si>
  <si>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</si>
  <si>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</si>
  <si>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</si>
  <si>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</si>
  <si>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</si>
  <si>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</si>
  <si>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</si>
  <si>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</si>
  <si>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</si>
  <si>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</si>
  <si>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</si>
  <si>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</si>
  <si>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</si>
  <si>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</si>
  <si>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</si>
  <si>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</si>
  <si>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</si>
  <si>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</si>
  <si>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</si>
  <si>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</si>
  <si>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</si>
  <si>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</si>
  <si>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</si>
  <si>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</si>
  <si>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</si>
  <si>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</si>
  <si>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</si>
  <si>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</si>
  <si>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</si>
  <si>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</si>
  <si>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</si>
  <si>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</si>
  <si>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</si>
  <si>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</si>
  <si>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</si>
  <si>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</si>
  <si>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</si>
  <si>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</si>
  <si>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</si>
  <si>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</si>
  <si>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</si>
  <si>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</si>
  <si>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</si>
  <si>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</si>
  <si>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</si>
  <si>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</si>
  <si>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</si>
  <si>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</si>
  <si>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</si>
  <si>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</si>
  <si>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</si>
  <si>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</si>
  <si>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</si>
  <si>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</si>
  <si>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</si>
  <si>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</si>
  <si>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</si>
  <si>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</si>
  <si>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</si>
  <si>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</si>
  <si>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</si>
  <si>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</si>
  <si>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</si>
  <si>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</si>
  <si>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</si>
  <si>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</si>
  <si>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</si>
  <si>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</si>
  <si>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</si>
  <si>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</si>
  <si>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</si>
  <si>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</si>
  <si>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</si>
  <si>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</si>
  <si>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</si>
  <si>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</si>
  <si>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</si>
  <si>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</si>
  <si>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</si>
  <si>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</si>
  <si>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</si>
  <si>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</si>
  <si>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</si>
  <si>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</si>
  <si>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</si>
  <si>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</si>
  <si>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</si>
  <si>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</si>
  <si>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</si>
  <si>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</si>
  <si>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</si>
  <si>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</si>
  <si>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</si>
  <si>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</si>
  <si>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</si>
  <si>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</si>
  <si>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</si>
  <si>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</si>
  <si>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</si>
  <si>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</si>
  <si>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</si>
  <si>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</si>
  <si>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</si>
  <si>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</si>
  <si>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</si>
  <si>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</si>
  <si>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</si>
  <si>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</si>
  <si>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</si>
  <si>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</si>
  <si>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</si>
  <si>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</si>
  <si>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</si>
  <si>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</si>
  <si>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</si>
  <si>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</si>
  <si>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</si>
  <si>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</si>
  <si>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</si>
  <si>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</si>
  <si>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</si>
  <si>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</si>
  <si>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</si>
  <si>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</si>
  <si>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</si>
  <si>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</si>
  <si>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</si>
  <si>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</si>
  <si>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</si>
  <si>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</si>
  <si>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</si>
  <si>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</si>
  <si>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</si>
  <si>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</si>
  <si>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</si>
  <si>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</si>
  <si>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</si>
  <si>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</si>
  <si>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</si>
  <si>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</si>
  <si>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</si>
  <si>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</si>
  <si>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</si>
  <si>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</si>
  <si>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</si>
  <si>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</si>
  <si>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</si>
  <si>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</si>
  <si>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</si>
  <si>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</si>
  <si>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</si>
  <si>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</si>
  <si>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</si>
  <si>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</si>
  <si>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</si>
  <si>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</si>
  <si>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</si>
  <si>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</si>
  <si>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</si>
  <si>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</si>
  <si>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</si>
  <si>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</si>
  <si>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</si>
  <si>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</si>
  <si>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</si>
  <si>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</si>
  <si>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</si>
  <si>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</si>
  <si>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</si>
  <si>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</si>
  <si>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</si>
  <si>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</si>
  <si>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</si>
  <si>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</si>
  <si>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</si>
  <si>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</si>
  <si>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</si>
  <si>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</si>
  <si>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</si>
  <si>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</si>
  <si>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</si>
  <si>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</si>
  <si>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</si>
  <si>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</si>
  <si>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</si>
  <si>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</si>
  <si>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</si>
  <si>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</si>
  <si>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</si>
  <si>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</si>
  <si>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</si>
  <si>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</si>
  <si>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</si>
  <si>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</si>
  <si>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</si>
  <si>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</si>
  <si>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</si>
  <si>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</si>
  <si>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</si>
  <si>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</si>
  <si>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</si>
  <si>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</si>
  <si>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</si>
  <si>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</si>
  <si>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</si>
  <si>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</si>
  <si>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</si>
  <si>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</si>
  <si>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</si>
  <si>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</si>
  <si>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</si>
  <si>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</si>
  <si>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</si>
  <si>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</si>
  <si>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</si>
  <si>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</si>
  <si>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</si>
  <si>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</si>
  <si>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</si>
  <si>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</si>
  <si>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</si>
  <si>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</si>
  <si>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</si>
  <si>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</si>
  <si>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</si>
  <si>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</si>
  <si>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</si>
  <si>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</si>
  <si>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</si>
  <si>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</si>
  <si>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</si>
  <si>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</si>
  <si>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</si>
  <si>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</si>
  <si>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</si>
  <si>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</si>
  <si>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</si>
  <si>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</si>
  <si>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</si>
  <si>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</si>
  <si>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</si>
  <si>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</si>
  <si>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</si>
  <si>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</si>
  <si>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</si>
  <si>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</si>
  <si>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</si>
  <si>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</si>
  <si>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</si>
  <si>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</si>
  <si>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</si>
  <si>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</si>
  <si>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</si>
  <si>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</si>
  <si>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</si>
  <si>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</si>
  <si>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</si>
  <si>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</si>
  <si>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</si>
  <si>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</si>
  <si>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</si>
  <si>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</si>
  <si>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</si>
  <si>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</si>
  <si>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</si>
  <si>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</si>
  <si>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</si>
  <si>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</si>
  <si>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</si>
  <si>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</si>
  <si>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</si>
  <si>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</si>
  <si>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</si>
  <si>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</si>
  <si>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</si>
  <si>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</si>
  <si>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</si>
  <si>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</si>
  <si>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</si>
  <si>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</si>
  <si>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</si>
  <si>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</si>
  <si>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</si>
  <si>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</si>
  <si>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</si>
  <si>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</si>
  <si>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</si>
  <si>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</si>
  <si>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</si>
  <si>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</si>
  <si>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</si>
  <si>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</si>
  <si>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</si>
  <si>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</si>
  <si>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</si>
  <si>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</si>
  <si>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</si>
  <si>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</si>
  <si>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</si>
  <si>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</si>
  <si>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</si>
  <si>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</si>
  <si>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</si>
  <si>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</si>
  <si>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</si>
  <si>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</si>
  <si>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</si>
  <si>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</si>
  <si>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</si>
  <si>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</si>
  <si>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</si>
  <si>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</si>
  <si>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</si>
  <si>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</si>
  <si>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</si>
  <si>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</si>
  <si>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</si>
  <si>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</si>
  <si>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</si>
  <si>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</si>
  <si>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</si>
  <si>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</si>
  <si>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</si>
  <si>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</si>
  <si>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</si>
  <si>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</si>
  <si>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</si>
  <si>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</si>
  <si>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</si>
  <si>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</si>
  <si>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</si>
  <si>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</si>
  <si>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</si>
  <si>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</si>
  <si>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</si>
  <si>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</si>
  <si>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</si>
  <si>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</si>
  <si>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</si>
  <si>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</si>
  <si>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</si>
  <si>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</si>
  <si>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</si>
  <si>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</si>
  <si>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</si>
  <si>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</si>
  <si>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</si>
  <si>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</si>
  <si>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</si>
  <si>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</si>
  <si>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</si>
  <si>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</si>
  <si>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</si>
  <si>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</si>
  <si>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</si>
  <si>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</si>
  <si>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</si>
  <si>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</si>
  <si>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</si>
  <si>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</si>
  <si>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</si>
  <si>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</si>
  <si>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</si>
  <si>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</si>
  <si>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</si>
  <si>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</si>
  <si>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</si>
  <si>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</si>
  <si>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</si>
  <si>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</si>
  <si>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</si>
  <si>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</si>
  <si>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</si>
  <si>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</si>
  <si>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</si>
  <si>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</si>
  <si>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</si>
  <si>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</si>
  <si>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</si>
  <si>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</si>
  <si>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</si>
  <si>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</si>
  <si>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</si>
  <si>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</si>
  <si>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</si>
  <si>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</si>
  <si>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</si>
  <si>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</si>
  <si>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</si>
  <si>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</si>
  <si>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</si>
  <si>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</si>
  <si>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</si>
  <si>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</si>
  <si>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</si>
  <si>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</si>
  <si>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</si>
  <si>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</si>
  <si>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</si>
  <si>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</si>
  <si>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</si>
  <si>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</si>
  <si>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</si>
  <si>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</si>
  <si>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</si>
  <si>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</si>
  <si>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</si>
  <si>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</si>
  <si>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</si>
  <si>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</si>
  <si>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</si>
  <si>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</si>
  <si>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</si>
  <si>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</si>
  <si>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</si>
  <si>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</si>
  <si>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</si>
  <si>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</si>
  <si>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</si>
  <si>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</si>
  <si>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</si>
  <si>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</si>
  <si>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</si>
  <si>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</si>
  <si>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</si>
  <si>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</si>
  <si>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</si>
  <si>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</si>
  <si>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</si>
  <si>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</si>
  <si>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</si>
  <si>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</si>
  <si>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</si>
  <si>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</si>
  <si>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</si>
  <si>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</si>
  <si>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</si>
  <si>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</si>
  <si>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</si>
  <si>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</si>
  <si>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</si>
  <si>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</si>
  <si>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</si>
  <si>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</si>
  <si>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</si>
  <si>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</si>
  <si>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</si>
  <si>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</si>
  <si>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</si>
  <si>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</si>
  <si>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</si>
  <si>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</si>
  <si>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</si>
  <si>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</si>
  <si>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</si>
  <si>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</si>
  <si>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</si>
  <si>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</si>
  <si>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</si>
  <si>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</si>
  <si>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</si>
  <si>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</si>
  <si>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</si>
  <si>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</si>
  <si>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</si>
  <si>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</si>
  <si>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</si>
  <si>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</si>
  <si>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</si>
  <si>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</si>
  <si>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</si>
  <si>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</si>
  <si>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</si>
  <si>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</si>
  <si>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</si>
  <si>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</si>
  <si>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</si>
  <si>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</si>
  <si>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</si>
  <si>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</si>
  <si>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</si>
  <si>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</si>
  <si>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</si>
  <si>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</si>
  <si>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</si>
  <si>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</si>
  <si>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</si>
  <si>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</si>
  <si>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</si>
  <si>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</si>
  <si>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</si>
  <si>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</si>
  <si>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</si>
  <si>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</si>
  <si>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</si>
  <si>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</si>
  <si>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</si>
  <si>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</si>
  <si>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</si>
  <si>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</si>
  <si>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</si>
  <si>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</si>
  <si>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</si>
  <si>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</si>
  <si>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</si>
  <si>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</si>
  <si>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</si>
  <si>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</si>
  <si>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</si>
  <si>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</si>
  <si>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</si>
  <si>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</si>
  <si>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</si>
  <si>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</si>
  <si>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</si>
  <si>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</si>
  <si>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</si>
  <si>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</si>
  <si>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</si>
  <si>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</si>
  <si>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</si>
  <si>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</si>
  <si>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</si>
  <si>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</si>
  <si>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</si>
  <si>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</si>
  <si>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</si>
  <si>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</si>
  <si>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</si>
  <si>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</si>
  <si>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</si>
  <si>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</si>
  <si>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</si>
  <si>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</si>
  <si>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</si>
  <si>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</si>
  <si>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</si>
  <si>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</si>
  <si>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</si>
  <si>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</si>
  <si>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</si>
  <si>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</si>
  <si>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</si>
  <si>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</si>
  <si>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</si>
  <si>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</si>
  <si>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</si>
  <si>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</si>
  <si>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</si>
  <si>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</si>
  <si>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</si>
  <si>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</si>
  <si>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</si>
  <si>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</si>
  <si>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</si>
  <si>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</si>
  <si>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</si>
  <si>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</si>
  <si>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</si>
  <si>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</si>
  <si>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</si>
  <si>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</si>
  <si>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</si>
  <si>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</si>
  <si>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</si>
  <si>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</si>
  <si>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</si>
  <si>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</si>
  <si>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</si>
  <si>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</si>
  <si>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</si>
  <si>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</si>
  <si>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</si>
  <si>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</si>
  <si>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</si>
  <si>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</si>
  <si>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</si>
  <si>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</si>
  <si>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</si>
  <si>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</si>
  <si>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</si>
  <si>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</si>
  <si>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</si>
  <si>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</si>
  <si>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</si>
  <si>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</si>
  <si>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</si>
  <si>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</si>
  <si>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</si>
  <si>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</si>
  <si>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</si>
  <si>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</si>
  <si>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</si>
  <si>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</si>
  <si>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</si>
  <si>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</si>
  <si>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</si>
  <si>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</si>
  <si>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</si>
  <si>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</si>
  <si>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</si>
  <si>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</si>
  <si>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</si>
  <si>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</si>
  <si>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</si>
  <si>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</si>
  <si>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</si>
  <si>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</si>
  <si>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</si>
  <si>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</si>
  <si>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</si>
  <si>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</si>
  <si>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</si>
  <si>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</si>
  <si>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</si>
  <si>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</si>
  <si>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</si>
  <si>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</si>
  <si>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</si>
  <si>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</si>
  <si>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</si>
  <si>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</si>
  <si>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</si>
  <si>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</si>
  <si>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</si>
  <si>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</si>
  <si>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</si>
  <si>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</si>
  <si>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</si>
  <si>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</si>
  <si>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</si>
  <si>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</si>
  <si>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</si>
  <si>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</si>
  <si>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</si>
  <si>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</si>
  <si>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</si>
  <si>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</si>
  <si>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</si>
  <si>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</si>
  <si>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</si>
  <si>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</si>
  <si>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</si>
  <si>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</si>
  <si>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</si>
  <si>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</si>
  <si>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</si>
  <si>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</si>
  <si>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</si>
  <si>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</si>
  <si>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</si>
  <si>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</si>
  <si>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</si>
  <si>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</si>
  <si>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</si>
  <si>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</si>
  <si>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</si>
  <si>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</si>
  <si>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</si>
  <si>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</si>
  <si>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</si>
  <si>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</si>
  <si>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</si>
  <si>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</si>
  <si>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</si>
  <si>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</si>
  <si>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</si>
  <si>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</si>
  <si>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</si>
  <si>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</si>
  <si>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</si>
  <si>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</si>
  <si>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</si>
  <si>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</si>
  <si>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</si>
  <si>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</si>
  <si>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</si>
  <si>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</si>
  <si>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</si>
  <si>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</si>
  <si>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</si>
  <si>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</si>
  <si>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</si>
  <si>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</si>
  <si>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</si>
  <si>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</si>
  <si>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</si>
  <si>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</si>
  <si>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</si>
  <si>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</si>
  <si>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</si>
  <si>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</si>
  <si>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</si>
  <si>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</si>
  <si>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</si>
  <si>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</si>
  <si>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</si>
  <si>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</si>
  <si>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</si>
  <si>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</si>
  <si>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</si>
  <si>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</si>
  <si>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</si>
  <si>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</si>
  <si>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</si>
  <si>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</si>
  <si>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</si>
  <si>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</si>
  <si>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</si>
  <si>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</si>
  <si>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</si>
  <si>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</si>
  <si>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</si>
  <si>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</si>
  <si>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</si>
  <si>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</si>
  <si>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</si>
  <si>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</si>
  <si>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</si>
  <si>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</si>
  <si>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</si>
  <si>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</si>
  <si>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</si>
  <si>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</si>
  <si>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</si>
  <si>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</si>
  <si>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</si>
  <si>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</si>
  <si>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</si>
  <si>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</si>
  <si>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</si>
  <si>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</si>
  <si>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</si>
  <si>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</si>
  <si>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</si>
  <si>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</si>
  <si>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</si>
  <si>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</si>
  <si>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</si>
  <si>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</si>
  <si>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</si>
  <si>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</si>
  <si>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</si>
  <si>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</si>
  <si>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</si>
  <si>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</si>
  <si>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</si>
  <si>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</si>
  <si>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</si>
  <si>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</si>
  <si>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</si>
  <si>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</si>
  <si>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</si>
  <si>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</si>
  <si>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</si>
  <si>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</si>
  <si>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</si>
  <si>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</si>
  <si>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</si>
  <si>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</si>
  <si>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</si>
  <si>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</si>
  <si>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</si>
  <si>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</si>
  <si>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</si>
  <si>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</si>
  <si>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</si>
  <si>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</si>
  <si>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</si>
  <si>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</si>
  <si>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</si>
  <si>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</si>
  <si>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</si>
  <si>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</si>
  <si>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</si>
  <si>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</si>
  <si>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</si>
  <si>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</si>
  <si>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</si>
  <si>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</si>
  <si>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</si>
  <si>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</si>
  <si>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</si>
  <si>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</si>
  <si>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</si>
  <si>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</si>
  <si>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</si>
  <si>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</si>
  <si>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</si>
  <si>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</si>
  <si>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</si>
  <si>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</si>
  <si>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</si>
  <si>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</si>
  <si>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</si>
  <si>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</si>
  <si>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</si>
  <si>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</si>
  <si>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</si>
  <si>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</si>
  <si>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</si>
  <si>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</si>
  <si>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</si>
  <si>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</si>
  <si>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</si>
  <si>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</si>
  <si>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</si>
  <si>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</si>
  <si>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</si>
  <si>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</si>
  <si>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</si>
  <si>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</si>
  <si>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</si>
  <si>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</si>
  <si>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</si>
  <si>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</si>
  <si>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</si>
  <si>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</si>
  <si>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</si>
  <si>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</si>
  <si>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</si>
  <si>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</si>
  <si>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</si>
  <si>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</si>
  <si>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</si>
  <si>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</si>
  <si>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</si>
  <si>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</si>
  <si>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</si>
  <si>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</si>
  <si>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</si>
  <si>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</si>
  <si>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</si>
  <si>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</si>
  <si>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</si>
  <si>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</si>
  <si>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</si>
  <si>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</si>
  <si>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</si>
  <si>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</si>
  <si>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</si>
  <si>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</si>
  <si>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</si>
  <si>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</si>
  <si>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</si>
  <si>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</si>
  <si>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</si>
  <si>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</si>
  <si>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</si>
  <si>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</si>
  <si>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</si>
  <si>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</si>
  <si>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</si>
  <si>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</si>
  <si>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</si>
  <si>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</si>
  <si>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</si>
  <si>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</si>
  <si>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</si>
  <si>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</si>
  <si>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</si>
  <si>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</si>
  <si>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</si>
  <si>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</si>
  <si>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</si>
  <si>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</si>
  <si>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</si>
  <si>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</si>
  <si>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</si>
  <si>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</si>
  <si>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</si>
  <si>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</si>
  <si>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</si>
  <si>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</si>
  <si>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</si>
  <si>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</si>
  <si>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</si>
  <si>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</si>
  <si>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</si>
  <si>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</si>
  <si>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</si>
  <si>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</si>
  <si>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</si>
  <si>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</si>
  <si>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</si>
  <si>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</si>
  <si>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</si>
  <si>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</si>
  <si>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</si>
  <si>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</si>
  <si>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</si>
  <si>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</si>
  <si>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</si>
  <si>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</si>
  <si>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</si>
  <si>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</si>
  <si>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</si>
  <si>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</si>
  <si>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</si>
  <si>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</si>
  <si>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</si>
  <si>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</si>
  <si>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</si>
  <si>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</si>
  <si>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</si>
  <si>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</si>
  <si>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</si>
  <si>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</si>
  <si>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</si>
  <si>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</si>
  <si>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</si>
  <si>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</si>
  <si>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</si>
  <si>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</si>
  <si>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</si>
  <si>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</si>
  <si>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</si>
  <si>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</si>
  <si>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</si>
  <si>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</si>
  <si>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</si>
  <si>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</si>
  <si>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</si>
  <si>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</si>
  <si>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</si>
  <si>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</si>
  <si>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</si>
  <si>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</si>
  <si>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</si>
  <si>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</si>
  <si>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</si>
  <si>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</si>
  <si>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</si>
  <si>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</si>
  <si>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</si>
  <si>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</si>
  <si>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</si>
  <si>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</si>
  <si>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</si>
  <si>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</si>
  <si>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</si>
  <si>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</si>
  <si>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</si>
  <si>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</si>
  <si>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</si>
  <si>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</si>
  <si>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</si>
  <si>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</si>
  <si>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</si>
  <si>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</si>
  <si>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</si>
  <si>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</si>
  <si>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</si>
  <si>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</si>
  <si>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</si>
  <si>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</si>
  <si>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</si>
  <si>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</si>
  <si>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</si>
  <si>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</si>
  <si>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</si>
  <si>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</si>
  <si>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</si>
  <si>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</si>
  <si>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</si>
  <si>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</si>
  <si>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</si>
  <si>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</si>
  <si>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</si>
  <si>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</si>
  <si>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</si>
  <si>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</si>
  <si>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</si>
  <si>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</si>
  <si>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</si>
  <si>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</si>
  <si>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</si>
  <si>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</si>
  <si>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</si>
  <si>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</si>
  <si>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</si>
  <si>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</si>
  <si>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</si>
  <si>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</si>
  <si>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</si>
  <si>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</si>
  <si>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</si>
  <si>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</si>
  <si>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</si>
  <si>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</si>
  <si>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</si>
  <si>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</si>
  <si>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</si>
  <si>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</si>
  <si>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</si>
  <si>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</si>
  <si>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</si>
  <si>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</si>
  <si>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</si>
  <si>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</si>
  <si>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</si>
  <si>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</si>
  <si>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</si>
  <si>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</si>
  <si>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</si>
  <si>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</si>
  <si>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</si>
  <si>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</si>
  <si>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</si>
  <si>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</si>
  <si>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</si>
  <si>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</si>
  <si>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</si>
  <si>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</si>
  <si>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</si>
  <si>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</si>
  <si>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</si>
  <si>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</si>
  <si>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</si>
  <si>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</si>
  <si>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</si>
  <si>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</si>
  <si>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</si>
  <si>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</si>
  <si>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</si>
  <si>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</si>
  <si>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</si>
  <si>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</si>
  <si>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</si>
  <si>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</si>
  <si>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</si>
  <si>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</si>
  <si>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</si>
  <si>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</si>
  <si>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</si>
  <si>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</si>
  <si>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</si>
  <si>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</si>
  <si>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</si>
  <si>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</si>
  <si>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</si>
  <si>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</si>
  <si>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</si>
  <si>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</si>
  <si>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</si>
  <si>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</si>
  <si>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</si>
  <si>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</si>
  <si>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</si>
  <si>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</si>
  <si>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</si>
  <si>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</si>
  <si>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</si>
  <si>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</si>
  <si>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</si>
  <si>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</si>
  <si>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</si>
  <si>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</si>
  <si>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</si>
  <si>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</si>
  <si>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</si>
  <si>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</si>
  <si>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</si>
  <si>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</si>
  <si>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</si>
  <si>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</si>
  <si>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</si>
  <si>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</si>
  <si>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</si>
  <si>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</si>
  <si>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</si>
  <si>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</si>
  <si>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</si>
  <si>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</si>
  <si>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</si>
  <si>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</si>
  <si>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</si>
  <si>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</si>
  <si>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</si>
  <si>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</si>
  <si>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</si>
  <si>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</si>
  <si>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</si>
  <si>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</si>
  <si>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</si>
  <si>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</si>
  <si>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</si>
  <si>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</si>
  <si>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</si>
  <si>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</si>
  <si>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</si>
  <si>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</si>
  <si>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</si>
  <si>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</si>
  <si>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</si>
  <si>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</si>
  <si>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</si>
  <si>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</si>
  <si>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</si>
  <si>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</si>
  <si>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</si>
  <si>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</si>
  <si>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</si>
  <si>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</si>
  <si>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</si>
  <si>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</si>
  <si>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</si>
  <si>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</si>
  <si>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</si>
  <si>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</si>
  <si>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</si>
  <si>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</si>
  <si>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</si>
  <si>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</si>
  <si>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</si>
  <si>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</si>
  <si>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</si>
  <si>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</si>
  <si>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</si>
  <si>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</si>
  <si>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</si>
  <si>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</si>
  <si>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</si>
  <si>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</si>
  <si>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</si>
  <si>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</si>
  <si>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</si>
  <si>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</si>
  <si>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</si>
  <si>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</si>
  <si>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</si>
  <si>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</si>
  <si>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</si>
  <si>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</si>
  <si>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</si>
  <si>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</si>
  <si>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</si>
  <si>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</si>
  <si>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</si>
  <si>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</si>
  <si>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</si>
  <si>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</si>
  <si>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</si>
  <si>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</si>
  <si>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</si>
  <si>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</si>
  <si>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</si>
  <si>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</si>
  <si>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</si>
  <si>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</si>
  <si>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</si>
  <si>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</si>
  <si>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</si>
  <si>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</si>
  <si>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</si>
  <si>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</si>
  <si>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</si>
  <si>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</si>
  <si>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</si>
  <si>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</si>
  <si>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</si>
  <si>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</si>
  <si>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</si>
  <si>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</si>
  <si>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</si>
  <si>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</si>
  <si>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</si>
  <si>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</si>
  <si>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</si>
  <si>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</si>
  <si>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</si>
  <si>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</si>
  <si>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</si>
  <si>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</si>
  <si>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</si>
  <si>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</si>
  <si>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</si>
  <si>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</si>
  <si>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</si>
  <si>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</si>
  <si>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</si>
  <si>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</si>
  <si>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</si>
  <si>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</si>
  <si>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</si>
  <si>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</si>
  <si>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</si>
  <si>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</si>
  <si>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</si>
  <si>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</si>
  <si>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</si>
  <si>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</si>
  <si>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</si>
  <si>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</si>
  <si>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</si>
  <si>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</si>
  <si>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</si>
  <si>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</si>
  <si>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</si>
  <si>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</si>
  <si>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</si>
  <si>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</si>
  <si>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</si>
  <si>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</si>
  <si>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</si>
  <si>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</si>
  <si>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</si>
  <si>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</si>
  <si>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</si>
  <si>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</si>
  <si>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</si>
  <si>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</si>
  <si>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</si>
  <si>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</si>
  <si>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</si>
  <si>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</si>
  <si>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</si>
  <si>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</si>
  <si>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</si>
  <si>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</si>
  <si>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</si>
  <si>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</si>
  <si>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</si>
  <si>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</si>
  <si>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</si>
  <si>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</si>
  <si>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</si>
  <si>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</si>
  <si>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</si>
  <si>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</si>
  <si>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</si>
  <si>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</si>
  <si>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</si>
  <si>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</si>
  <si>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</si>
  <si>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</si>
  <si>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</si>
  <si>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</si>
  <si>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</si>
  <si>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</si>
  <si>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</si>
  <si>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</si>
  <si>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</si>
  <si>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</si>
  <si>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</si>
  <si>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</si>
  <si>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</si>
  <si>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</si>
  <si>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</si>
  <si>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</si>
  <si>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</si>
  <si>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</si>
  <si>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</si>
  <si>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</si>
  <si>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</si>
  <si>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</si>
  <si>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</si>
  <si>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</si>
  <si>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</si>
  <si>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</si>
  <si>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</si>
  <si>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</si>
  <si>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</si>
  <si>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</si>
  <si>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</si>
  <si>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</si>
  <si>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</si>
  <si>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</si>
  <si>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</si>
  <si>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</si>
  <si>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</si>
  <si>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</si>
  <si>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</si>
  <si>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</si>
  <si>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</si>
  <si>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</si>
  <si>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</si>
  <si>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</si>
  <si>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</si>
  <si>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</si>
  <si>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</si>
  <si>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</si>
  <si>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</si>
  <si>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</si>
  <si>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</si>
  <si>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</si>
  <si>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</si>
  <si>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</si>
  <si>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</si>
  <si>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</si>
  <si>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</si>
  <si>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</si>
  <si>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</si>
  <si>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</si>
  <si>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</si>
  <si>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</si>
  <si>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</si>
  <si>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</si>
  <si>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</si>
  <si>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</si>
  <si>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</si>
  <si>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</si>
  <si>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</si>
  <si>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</si>
  <si>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</si>
  <si>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</si>
  <si>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</si>
  <si>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</si>
  <si>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</si>
  <si>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</si>
  <si>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</si>
  <si>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</si>
  <si>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</si>
  <si>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</si>
  <si>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</si>
  <si>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</si>
  <si>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</si>
  <si>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</si>
  <si>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</si>
  <si>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</si>
  <si>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</si>
  <si>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</si>
  <si>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</si>
  <si>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</si>
  <si>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</si>
  <si>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</si>
  <si>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</si>
  <si>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</si>
  <si>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</si>
  <si>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</si>
  <si>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</si>
  <si>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</si>
  <si>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</si>
  <si>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</si>
  <si>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</si>
  <si>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</si>
  <si>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</si>
  <si>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</si>
  <si>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</si>
  <si>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</si>
  <si>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</si>
  <si>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</si>
  <si>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</si>
  <si>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</si>
  <si>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</si>
  <si>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</si>
  <si>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</si>
  <si>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</si>
  <si>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</si>
  <si>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</si>
  <si>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</si>
  <si>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</si>
  <si>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</si>
  <si>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</si>
  <si>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</si>
  <si>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</si>
  <si>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</si>
  <si>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</si>
  <si>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</si>
  <si>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</si>
  <si>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</si>
  <si>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</si>
  <si>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</si>
  <si>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</si>
  <si>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</si>
  <si>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</si>
  <si>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</si>
  <si>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</si>
  <si>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</si>
  <si>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</si>
  <si>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</si>
  <si>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</si>
  <si>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</si>
  <si>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</si>
  <si>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</si>
  <si>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</si>
  <si>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</si>
  <si>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</si>
  <si>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</si>
  <si>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</si>
  <si>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</si>
  <si>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</si>
  <si>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</si>
  <si>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</si>
  <si>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</si>
  <si>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</si>
  <si>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</si>
  <si>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</si>
  <si>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</si>
  <si>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</si>
  <si>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</si>
  <si>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</si>
  <si>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</si>
  <si>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</si>
  <si>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</si>
  <si>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</si>
  <si>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</si>
  <si>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</si>
  <si>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</si>
  <si>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</si>
  <si>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</si>
  <si>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</si>
  <si>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</si>
  <si>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</si>
  <si>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</si>
  <si>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</si>
  <si>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</si>
  <si>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</si>
  <si>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</si>
  <si>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</si>
  <si>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</si>
  <si>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</si>
  <si>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</si>
  <si>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</si>
  <si>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</si>
  <si>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</si>
  <si>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</si>
  <si>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</si>
  <si>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</si>
  <si>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</si>
  <si>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</si>
  <si>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</si>
  <si>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</si>
  <si>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</si>
  <si>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</si>
  <si>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</si>
  <si>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</si>
  <si>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</si>
  <si>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</si>
  <si>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</si>
  <si>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</si>
  <si>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</si>
  <si>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</si>
  <si>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</si>
  <si>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</si>
  <si>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</si>
  <si>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</si>
  <si>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</si>
  <si>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</si>
  <si>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</si>
  <si>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</si>
  <si>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</si>
  <si>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</si>
  <si>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</si>
  <si>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</si>
  <si>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</si>
  <si>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</si>
  <si>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</si>
  <si>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</si>
  <si>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</si>
  <si>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</si>
  <si>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</si>
  <si>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</si>
  <si>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</si>
  <si>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</si>
  <si>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</si>
  <si>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</si>
  <si>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</si>
  <si>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</si>
  <si>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</si>
  <si>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</si>
  <si>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</si>
  <si>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</si>
  <si>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</si>
  <si>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</si>
  <si>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</si>
  <si>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</si>
  <si>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</si>
  <si>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</si>
  <si>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</si>
  <si>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</si>
  <si>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</si>
  <si>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</si>
  <si>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</si>
  <si>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</si>
  <si>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</si>
  <si>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</si>
  <si>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</si>
  <si>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</si>
  <si>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</si>
  <si>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</si>
  <si>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</si>
  <si>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</si>
  <si>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</si>
  <si>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</si>
  <si>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</si>
  <si>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</si>
  <si>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</si>
  <si>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</si>
  <si>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</si>
  <si>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</si>
  <si>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</si>
  <si>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</si>
  <si>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</si>
  <si>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</si>
  <si>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</si>
  <si>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</si>
  <si>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</si>
  <si>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</si>
  <si>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</si>
  <si>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</si>
  <si>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</si>
  <si>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</si>
  <si>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</si>
  <si>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</si>
  <si>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</si>
  <si>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</si>
  <si>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</si>
  <si>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</si>
  <si>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</si>
  <si>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</si>
  <si>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</si>
  <si>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</si>
  <si>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</si>
  <si>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</si>
  <si>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</si>
  <si>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</si>
  <si>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</si>
  <si>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</si>
  <si>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</si>
  <si>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</si>
  <si>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</si>
  <si>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</si>
  <si>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</si>
  <si>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</si>
  <si>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</si>
  <si>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</si>
  <si>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</si>
  <si>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</si>
  <si>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</si>
  <si>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</si>
  <si>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</si>
  <si>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</si>
  <si>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</si>
  <si>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</si>
  <si>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</si>
  <si>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</si>
  <si>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</si>
  <si>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</si>
  <si>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</si>
  <si>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</si>
  <si>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</si>
  <si>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</si>
  <si>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</si>
  <si>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</si>
  <si>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</si>
  <si>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</si>
  <si>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</si>
  <si>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</si>
  <si>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</si>
  <si>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</si>
  <si>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</si>
  <si>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</si>
  <si>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</si>
  <si>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</si>
  <si>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</si>
  <si>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</si>
  <si>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</si>
  <si>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</si>
  <si>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</si>
  <si>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</si>
  <si>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</si>
  <si>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</si>
  <si>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</si>
  <si>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</si>
  <si>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</si>
  <si>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</si>
  <si>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</si>
  <si>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</si>
  <si>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</si>
  <si>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</si>
  <si>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</si>
  <si>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</si>
  <si>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</si>
  <si>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</si>
  <si>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</si>
  <si>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</si>
  <si>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</si>
  <si>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</si>
  <si>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</si>
  <si>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</si>
  <si>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</si>
  <si>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</si>
  <si>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</si>
  <si>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</si>
  <si>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</si>
  <si>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</si>
  <si>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</si>
  <si>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</si>
  <si>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</si>
  <si>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</si>
  <si>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</si>
  <si>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</si>
  <si>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</si>
  <si>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</si>
  <si>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</si>
  <si>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</si>
  <si>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</si>
  <si>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</si>
  <si>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</si>
  <si>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</si>
  <si>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</si>
  <si>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</si>
  <si>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</si>
  <si>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</si>
  <si>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</si>
  <si>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</si>
  <si>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</si>
  <si>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</si>
  <si>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</si>
  <si>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</si>
  <si>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</si>
  <si>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</si>
  <si>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</si>
  <si>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</si>
  <si>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</si>
  <si>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</si>
  <si>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</si>
  <si>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</si>
  <si>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</si>
  <si>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</si>
  <si>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</si>
  <si>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</si>
  <si>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</si>
  <si>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</si>
  <si>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</si>
  <si>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</si>
  <si>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</si>
  <si>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</si>
  <si>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</si>
  <si>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</si>
  <si>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</si>
  <si>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</si>
  <si>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</si>
  <si>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</si>
  <si>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</si>
  <si>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</si>
  <si>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</si>
  <si>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</si>
  <si>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</si>
  <si>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</si>
  <si>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</si>
  <si>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</si>
  <si>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</si>
  <si>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</si>
  <si>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</si>
  <si>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</si>
  <si>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</si>
  <si>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</si>
  <si>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</si>
  <si>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</si>
  <si>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</si>
  <si>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</si>
  <si>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</si>
  <si>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</si>
  <si>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</si>
  <si>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</si>
  <si>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</si>
  <si>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</si>
  <si>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</si>
  <si>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</si>
  <si>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</si>
  <si>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</si>
  <si>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</si>
  <si>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</si>
  <si>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</si>
  <si>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</si>
  <si>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</si>
  <si>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</si>
  <si>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</si>
  <si>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</si>
  <si>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</si>
  <si>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</si>
  <si>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</si>
  <si>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</si>
  <si>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</si>
  <si>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</si>
  <si>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</si>
  <si>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</si>
  <si>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</si>
  <si>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</si>
  <si>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</si>
  <si>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</si>
  <si>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</si>
  <si>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</si>
  <si>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</si>
  <si>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</si>
  <si>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</si>
  <si>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</si>
  <si>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</si>
  <si>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</si>
  <si>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</si>
  <si>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</si>
  <si>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</si>
  <si>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</si>
  <si>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</si>
  <si>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</si>
  <si>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</si>
  <si>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</si>
  <si>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</si>
  <si>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</si>
  <si>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</si>
  <si>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</si>
  <si>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</si>
  <si>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</si>
  <si>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</si>
  <si>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</si>
  <si>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</si>
  <si>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</si>
  <si>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</si>
  <si>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</si>
  <si>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</si>
  <si>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</si>
  <si>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</si>
  <si>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</si>
  <si>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</si>
  <si>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</si>
  <si>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</si>
  <si>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</si>
  <si>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</si>
  <si>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</si>
  <si>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</si>
  <si>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</si>
  <si>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</si>
  <si>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</si>
  <si>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</si>
  <si>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</si>
  <si>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</si>
  <si>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</si>
  <si>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</si>
  <si>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</si>
  <si>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</si>
  <si>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</si>
  <si>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</si>
  <si>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</si>
  <si>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</si>
  <si>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</si>
  <si>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</si>
  <si>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</si>
  <si>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</si>
  <si>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</si>
  <si>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</si>
  <si>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</si>
  <si>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</si>
  <si>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</si>
  <si>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</si>
  <si>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</si>
  <si>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</si>
  <si>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</si>
  <si>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</si>
  <si>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</si>
  <si>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</si>
  <si>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</si>
  <si>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</si>
  <si>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</si>
  <si>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</si>
  <si>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</si>
  <si>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</si>
  <si>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</si>
  <si>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</si>
  <si>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</si>
  <si>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</si>
  <si>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</si>
  <si>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</si>
  <si>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</si>
  <si>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</si>
  <si>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</si>
  <si>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</si>
  <si>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</si>
  <si>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</si>
  <si>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</si>
  <si>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</si>
  <si>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</si>
  <si>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</si>
  <si>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</si>
  <si>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</si>
  <si>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</si>
  <si>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</si>
  <si>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</si>
  <si>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</si>
  <si>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</si>
  <si>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</si>
  <si>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</si>
  <si>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</si>
  <si>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</si>
  <si>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</si>
  <si>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</si>
  <si>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</si>
  <si>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</si>
  <si>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</si>
  <si>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</si>
  <si>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</si>
  <si>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</si>
  <si>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</si>
  <si>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</si>
  <si>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</si>
  <si>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</si>
  <si>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</si>
  <si>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</si>
  <si>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</si>
  <si>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</si>
  <si>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</si>
  <si>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</si>
  <si>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</si>
  <si>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</si>
  <si>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</si>
  <si>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</si>
  <si>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</si>
  <si>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</si>
  <si>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</si>
  <si>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</si>
  <si>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</si>
  <si>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</si>
  <si>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</si>
  <si>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</si>
  <si>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</si>
  <si>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</si>
  <si>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</si>
  <si>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</si>
  <si>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</si>
  <si>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</si>
  <si>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</si>
  <si>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</si>
  <si>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</si>
  <si>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</si>
  <si>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</si>
  <si>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</si>
  <si>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</si>
  <si>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</si>
  <si>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</si>
  <si>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</si>
  <si>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</si>
  <si>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</si>
  <si>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</si>
  <si>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</si>
  <si>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</si>
  <si>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</si>
  <si>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</si>
  <si>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</si>
  <si>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</si>
  <si>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</si>
  <si>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</si>
  <si>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</si>
  <si>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</si>
  <si>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</si>
  <si>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</si>
  <si>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</si>
  <si>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</si>
  <si>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</si>
  <si>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</si>
  <si>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</si>
  <si>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</si>
  <si>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</si>
  <si>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</si>
  <si>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</si>
  <si>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</si>
  <si>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</si>
  <si>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</si>
  <si>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</si>
  <si>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</si>
  <si>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</si>
  <si>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</si>
  <si>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</si>
  <si>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</si>
  <si>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</si>
  <si>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</si>
  <si>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</si>
  <si>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</si>
  <si>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</si>
  <si>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</si>
  <si>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</si>
  <si>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</si>
  <si>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</si>
  <si>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</si>
  <si>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</si>
  <si>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</si>
  <si>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</si>
  <si>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</si>
  <si>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</si>
  <si>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</si>
  <si>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</si>
  <si>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</si>
  <si>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</si>
  <si>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</si>
  <si>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</si>
  <si>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</si>
  <si>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</si>
  <si>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</si>
  <si>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</si>
  <si>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</si>
  <si>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</si>
  <si>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</si>
  <si>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</si>
  <si>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</si>
  <si>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</si>
  <si>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</si>
  <si>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</si>
  <si>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</si>
  <si>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</si>
  <si>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</si>
  <si>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</si>
  <si>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</si>
  <si>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</si>
  <si>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</si>
  <si>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</si>
  <si>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</si>
  <si>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</si>
  <si>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</si>
  <si>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</si>
  <si>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</si>
  <si>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</si>
  <si>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</si>
  <si>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</si>
  <si>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</si>
  <si>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</si>
  <si>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</si>
  <si>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</si>
  <si>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</si>
  <si>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</si>
  <si>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</si>
  <si>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</si>
  <si>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</si>
  <si>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</si>
  <si>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</si>
  <si>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</si>
  <si>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</si>
  <si>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</si>
  <si>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</si>
  <si>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</si>
  <si>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</si>
  <si>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</si>
  <si>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</si>
  <si>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</si>
  <si>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</si>
  <si>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</si>
  <si>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</si>
  <si>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</si>
  <si>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</si>
  <si>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</si>
  <si>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</si>
  <si>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</si>
  <si>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</si>
  <si>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</si>
  <si>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</si>
  <si>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</si>
  <si>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</si>
  <si>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</si>
  <si>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</si>
  <si>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</si>
  <si>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</si>
  <si>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</si>
  <si>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</si>
  <si>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</si>
  <si>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</si>
  <si>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</si>
  <si>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</si>
  <si>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</si>
  <si>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</si>
  <si>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</si>
  <si>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</si>
  <si>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</si>
  <si>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</si>
  <si>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</si>
  <si>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</si>
  <si>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</si>
  <si>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</si>
  <si>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</si>
  <si>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</si>
  <si>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</si>
  <si>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</si>
  <si>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</si>
  <si>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</si>
  <si>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</si>
  <si>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</si>
  <si>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</si>
  <si>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</si>
  <si>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</si>
  <si>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</si>
  <si>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</si>
  <si>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</si>
  <si>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</si>
  <si>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</si>
  <si>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</si>
  <si>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</si>
  <si>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</si>
  <si>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</si>
  <si>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</si>
  <si>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</si>
  <si>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</si>
  <si>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</si>
  <si>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</si>
  <si>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</si>
  <si>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</si>
  <si>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</si>
  <si>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</si>
  <si>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</si>
  <si>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</si>
  <si>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</si>
  <si>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</si>
  <si>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</si>
  <si>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</si>
  <si>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</si>
  <si>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</si>
  <si>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</si>
  <si>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</si>
  <si>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</si>
  <si>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</si>
  <si>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</si>
  <si>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</si>
  <si>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</si>
  <si>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</si>
  <si>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</si>
  <si>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</si>
  <si>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</si>
  <si>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</si>
  <si>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</si>
  <si>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</si>
  <si>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</si>
  <si>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</si>
  <si>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</si>
  <si>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</si>
  <si>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</si>
  <si>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</si>
  <si>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</si>
  <si>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</si>
  <si>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</si>
  <si>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</si>
  <si>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</si>
  <si>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</si>
  <si>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</si>
  <si>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</si>
  <si>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</si>
  <si>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</si>
  <si>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</si>
  <si>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</si>
  <si>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</si>
  <si>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</si>
  <si>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</si>
  <si>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</si>
  <si>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</si>
  <si>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</si>
  <si>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</si>
  <si>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</si>
  <si>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</si>
  <si>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</si>
  <si>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</si>
  <si>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</si>
  <si>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</si>
  <si>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</si>
  <si>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</si>
  <si>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</si>
  <si>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</si>
  <si>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</si>
  <si>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</si>
  <si>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</si>
  <si>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</si>
  <si>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</si>
  <si>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</si>
  <si>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</si>
  <si>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</si>
  <si>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</si>
  <si>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</si>
  <si>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</si>
  <si>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</si>
  <si>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</si>
  <si>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</si>
  <si>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</si>
  <si>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</si>
  <si>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</si>
  <si>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</si>
  <si>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</si>
  <si>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</si>
  <si>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</si>
  <si>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</si>
  <si>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</si>
  <si>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</si>
  <si>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</si>
  <si>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</si>
  <si>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</si>
  <si>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</si>
  <si>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</si>
  <si>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</si>
  <si>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</si>
  <si>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</si>
  <si>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</si>
  <si>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</si>
  <si>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</si>
  <si>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</si>
  <si>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</si>
  <si>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</si>
  <si>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</si>
  <si>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</si>
  <si>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</si>
  <si>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</si>
  <si>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</si>
  <si>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</si>
  <si>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</si>
  <si>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</si>
  <si>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</si>
  <si>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</si>
  <si>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</si>
  <si>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</si>
  <si>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</si>
  <si>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</si>
  <si>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</si>
  <si>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</si>
  <si>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</si>
  <si>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</si>
  <si>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</si>
  <si>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</si>
  <si>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</si>
  <si>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</si>
  <si>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</si>
  <si>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</si>
  <si>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</si>
  <si>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</si>
  <si>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</si>
  <si>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</si>
  <si>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</si>
  <si>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</si>
  <si>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</si>
  <si>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</si>
  <si>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</si>
  <si>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</si>
  <si>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</si>
  <si>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</si>
  <si>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</si>
  <si>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</si>
  <si>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</si>
  <si>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</si>
  <si>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</si>
  <si>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</si>
  <si>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</si>
  <si>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</si>
  <si>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</si>
  <si>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</si>
  <si>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</si>
  <si>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</si>
  <si>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</si>
  <si>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</si>
  <si>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</si>
  <si>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</si>
  <si>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</si>
  <si>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</si>
  <si>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</si>
  <si>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</si>
  <si>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</si>
  <si>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</si>
  <si>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</si>
  <si>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</si>
  <si>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</si>
  <si>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</si>
  <si>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</si>
  <si>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</si>
  <si>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</si>
  <si>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</si>
  <si>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</si>
  <si>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</si>
  <si>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</si>
  <si>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</si>
  <si>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</si>
  <si>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</si>
  <si>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</si>
  <si>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</si>
  <si>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</si>
  <si>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</si>
  <si>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</si>
  <si>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</si>
  <si>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</si>
  <si>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</si>
  <si>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</si>
  <si>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</si>
  <si>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</si>
  <si>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</si>
  <si>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</si>
  <si>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</si>
  <si>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</si>
  <si>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</si>
  <si>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</si>
  <si>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</si>
  <si>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</si>
  <si>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</si>
  <si>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</si>
  <si>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</si>
  <si>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</si>
  <si>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</si>
  <si>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</si>
  <si>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</si>
  <si>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</si>
  <si>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</si>
  <si>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</si>
  <si>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</si>
  <si>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</si>
  <si>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</si>
  <si>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</si>
  <si>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</si>
  <si>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</si>
  <si>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</si>
  <si>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</si>
  <si>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</si>
  <si>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</si>
  <si>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</si>
  <si>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</si>
  <si>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</si>
  <si>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</si>
  <si>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</si>
  <si>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</si>
  <si>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</si>
  <si>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</si>
  <si>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</si>
  <si>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</si>
  <si>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</si>
  <si>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</si>
  <si>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</si>
  <si>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</si>
  <si>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</si>
  <si>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</si>
  <si>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</si>
  <si>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</si>
  <si>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</si>
  <si>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</si>
  <si>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</si>
  <si>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</si>
  <si>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</si>
  <si>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</si>
  <si>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</si>
  <si>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</si>
  <si>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</si>
  <si>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</si>
  <si>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</si>
  <si>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</si>
  <si>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</si>
  <si>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</si>
  <si>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</si>
  <si>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</si>
  <si>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</si>
  <si>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</si>
  <si>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</si>
  <si>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</si>
  <si>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</si>
  <si>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</si>
  <si>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</si>
  <si>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</si>
  <si>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</si>
  <si>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</si>
  <si>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</si>
  <si>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</si>
  <si>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</si>
  <si>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</si>
  <si>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</si>
  <si>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</si>
  <si>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</si>
  <si>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</si>
  <si>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</si>
  <si>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</si>
  <si>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</si>
  <si>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</si>
  <si>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</si>
  <si>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</si>
  <si>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</si>
  <si>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</si>
  <si>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</si>
  <si>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</si>
  <si>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</si>
  <si>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</si>
  <si>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</si>
  <si>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</si>
  <si>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</si>
  <si>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</si>
  <si>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</si>
  <si>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</si>
  <si>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</si>
  <si>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</si>
  <si>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</si>
  <si>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</si>
  <si>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</si>
  <si>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</si>
  <si>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</si>
  <si>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</si>
  <si>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</si>
  <si>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</si>
  <si>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</si>
  <si>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</si>
  <si>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</si>
  <si>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</si>
  <si>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</si>
  <si>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</si>
  <si>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</si>
  <si>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</si>
  <si>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</si>
  <si>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</si>
  <si>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</si>
  <si>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</si>
  <si>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</si>
  <si>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</si>
  <si>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</si>
  <si>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</si>
  <si>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</si>
  <si>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</si>
  <si>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</si>
  <si>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</si>
  <si>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</si>
  <si>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</si>
  <si>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</si>
  <si>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</si>
  <si>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</si>
  <si>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</si>
  <si>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</si>
  <si>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</si>
  <si>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</si>
  <si>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</si>
  <si>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</si>
  <si>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</si>
  <si>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</si>
  <si>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</si>
  <si>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</si>
  <si>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</si>
  <si>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</si>
  <si>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</si>
  <si>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</si>
  <si>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</si>
  <si>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</si>
  <si>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</si>
  <si>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</si>
  <si>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</si>
  <si>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</si>
  <si>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</si>
  <si>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</si>
  <si>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</si>
  <si>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</si>
  <si>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</si>
  <si>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</si>
  <si>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</si>
  <si>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</si>
  <si>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</si>
  <si>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</si>
  <si>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</si>
  <si>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</si>
  <si>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</si>
  <si>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</si>
  <si>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</si>
  <si>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</si>
  <si>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</si>
  <si>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</si>
  <si>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</si>
  <si>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</si>
  <si>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</si>
  <si>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</si>
  <si>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</si>
  <si>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</si>
  <si>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</si>
  <si>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</si>
  <si>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</si>
  <si>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</si>
  <si>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</si>
  <si>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</si>
  <si>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</si>
  <si>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</si>
  <si>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</si>
  <si>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</si>
  <si>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</si>
  <si>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</si>
  <si>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</si>
  <si>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</si>
  <si>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</si>
  <si>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</si>
  <si>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</si>
  <si>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</si>
  <si>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</si>
  <si>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</si>
  <si>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</si>
  <si>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</si>
  <si>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</si>
  <si>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</si>
  <si>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</si>
  <si>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</si>
  <si>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</si>
  <si>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</si>
  <si>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</si>
  <si>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</si>
  <si>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</si>
  <si>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</si>
  <si>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</si>
  <si>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</si>
  <si>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</si>
  <si>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</si>
  <si>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</si>
  <si>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</si>
  <si>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</si>
  <si>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</si>
  <si>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</si>
  <si>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</si>
  <si>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</si>
  <si>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</si>
  <si>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</si>
  <si>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</si>
  <si>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</si>
  <si>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</si>
  <si>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</si>
  <si>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</si>
  <si>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</si>
  <si>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</si>
  <si>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</si>
  <si>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</si>
  <si>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</si>
  <si>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</si>
  <si>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</si>
  <si>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</si>
  <si>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</si>
  <si>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</si>
  <si>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</si>
  <si>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</si>
  <si>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</si>
  <si>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</si>
  <si>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</si>
  <si>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</si>
  <si>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</si>
  <si>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</si>
  <si>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</si>
  <si>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</si>
  <si>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</si>
  <si>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</si>
  <si>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</si>
  <si>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</si>
  <si>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</si>
  <si>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</si>
  <si>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</si>
  <si>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</si>
  <si>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</si>
  <si>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</si>
  <si>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</si>
  <si>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</si>
  <si>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</si>
  <si>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</si>
  <si>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</si>
  <si>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</si>
  <si>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</si>
  <si>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</si>
  <si>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</si>
  <si>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</si>
  <si>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</si>
  <si>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</si>
  <si>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</si>
  <si>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</si>
  <si>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</si>
  <si>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</si>
  <si>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</si>
  <si>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</si>
  <si>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</si>
  <si>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</si>
  <si>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</si>
  <si>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</si>
  <si>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</si>
  <si>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</si>
  <si>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</si>
  <si>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</si>
  <si>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</si>
  <si>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</si>
  <si>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</si>
  <si>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</si>
  <si>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</si>
  <si>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</si>
  <si>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</si>
  <si>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</si>
  <si>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</si>
  <si>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</si>
  <si>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</si>
  <si>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</si>
  <si>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</si>
  <si>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</si>
  <si>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</si>
  <si>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</si>
  <si>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</si>
  <si>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</si>
  <si>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</si>
  <si>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</si>
  <si>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</si>
  <si>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</si>
  <si>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</si>
  <si>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</si>
  <si>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</si>
  <si>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</si>
  <si>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</si>
  <si>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</si>
  <si>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</si>
  <si>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</si>
  <si>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</si>
  <si>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</si>
  <si>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</si>
  <si>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</si>
  <si>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</si>
  <si>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</si>
  <si>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</si>
  <si>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</si>
  <si>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</si>
  <si>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</si>
  <si>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</si>
  <si>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</si>
  <si>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</si>
  <si>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</si>
  <si>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</si>
  <si>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</si>
  <si>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</si>
  <si>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</si>
  <si>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</si>
  <si>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</si>
  <si>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</si>
  <si>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</si>
  <si>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</si>
  <si>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</si>
  <si>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</si>
  <si>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</si>
  <si>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</si>
  <si>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</si>
  <si>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</si>
  <si>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</si>
  <si>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</si>
  <si>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</si>
  <si>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</si>
  <si>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</si>
  <si>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</si>
  <si>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</si>
  <si>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</si>
  <si>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</si>
  <si>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</si>
  <si>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</si>
  <si>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</si>
  <si>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</si>
  <si>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</si>
  <si>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</si>
  <si>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</si>
  <si>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</si>
  <si>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</si>
  <si>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</si>
  <si>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</si>
  <si>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</si>
  <si>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</si>
  <si>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</si>
  <si>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</si>
  <si>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</si>
  <si>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</si>
  <si>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</si>
  <si>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</si>
  <si>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</si>
  <si>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</si>
  <si>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</si>
  <si>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</si>
  <si>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</si>
  <si>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</si>
  <si>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</si>
  <si>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</si>
  <si>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</si>
  <si>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</si>
  <si>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</si>
  <si>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</si>
  <si>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</si>
  <si>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</si>
  <si>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</si>
  <si>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</si>
  <si>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</si>
  <si>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</si>
  <si>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</si>
  <si>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</si>
  <si>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</si>
  <si>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</si>
  <si>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</si>
  <si>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</si>
  <si>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</si>
  <si>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</si>
  <si>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</si>
  <si>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</si>
  <si>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</si>
  <si>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</si>
  <si>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</si>
  <si>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</si>
  <si>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</si>
  <si>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</si>
  <si>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</si>
  <si>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</si>
  <si>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</si>
  <si>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</si>
  <si>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</si>
  <si>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</si>
  <si>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</si>
  <si>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</si>
  <si>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</si>
  <si>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</si>
  <si>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</si>
  <si>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</si>
  <si>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</si>
  <si>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</si>
  <si>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</si>
  <si>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</si>
  <si>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</si>
  <si>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</si>
  <si>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</si>
  <si>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</si>
  <si>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</si>
  <si>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</si>
  <si>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</si>
  <si>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</si>
  <si>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</si>
  <si>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</si>
  <si>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</si>
  <si>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</si>
  <si>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</si>
  <si>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</si>
  <si>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</si>
  <si>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</si>
  <si>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</si>
  <si>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</si>
  <si>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</si>
  <si>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</si>
  <si>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</si>
  <si>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</si>
  <si>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</si>
  <si>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</si>
  <si>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</si>
  <si>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</si>
  <si>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</si>
  <si>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</si>
  <si>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</si>
  <si>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</si>
  <si>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</si>
  <si>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</si>
  <si>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</si>
  <si>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</si>
  <si>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</si>
  <si>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</si>
  <si>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</si>
  <si>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</si>
  <si>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</si>
  <si>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</si>
  <si>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</si>
  <si>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</si>
  <si>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</si>
  <si>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</si>
  <si>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</si>
  <si>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</si>
  <si>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</si>
  <si>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</si>
  <si>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</si>
  <si>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</si>
  <si>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</si>
  <si>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</si>
  <si>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</si>
  <si>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</si>
  <si>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</si>
  <si>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</si>
  <si>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</si>
  <si>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</si>
  <si>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</si>
  <si>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</si>
  <si>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</si>
  <si>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</si>
  <si>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</si>
  <si>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</si>
  <si>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</si>
  <si>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</si>
  <si>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</si>
  <si>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</si>
  <si>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</si>
  <si>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</si>
  <si>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</si>
  <si>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</si>
  <si>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</si>
  <si>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</si>
  <si>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</si>
  <si>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</si>
  <si>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</si>
  <si>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</si>
  <si>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</si>
  <si>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</si>
  <si>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</si>
  <si>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</si>
  <si>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</si>
  <si>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</si>
  <si>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</si>
  <si>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</si>
  <si>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</si>
  <si>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</si>
  <si>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</si>
  <si>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</si>
  <si>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</si>
  <si>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</si>
  <si>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</si>
  <si>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</si>
  <si>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</si>
  <si>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</si>
  <si>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</si>
  <si>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</si>
  <si>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</si>
  <si>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</si>
  <si>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</si>
  <si>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</si>
  <si>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</si>
  <si>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</si>
  <si>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</si>
  <si>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</si>
  <si>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</si>
  <si>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</si>
  <si>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</si>
  <si>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</si>
  <si>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</si>
  <si>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</si>
  <si>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</si>
  <si>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</si>
  <si>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</si>
  <si>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</si>
  <si>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</si>
  <si>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</si>
  <si>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</si>
  <si>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</si>
  <si>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</si>
  <si>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</si>
  <si>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</si>
  <si>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</si>
  <si>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</si>
  <si>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</si>
  <si>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</si>
  <si>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</si>
  <si>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</si>
  <si>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</si>
  <si>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</si>
  <si>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</si>
  <si>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</si>
  <si>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</si>
  <si>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</si>
  <si>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</si>
  <si>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</si>
  <si>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</si>
  <si>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</si>
  <si>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</si>
  <si>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</si>
  <si>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</si>
  <si>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</si>
  <si>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</si>
  <si>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</si>
  <si>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</si>
  <si>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</si>
  <si>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</si>
  <si>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</si>
  <si>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</si>
  <si>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</si>
  <si>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</si>
  <si>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</si>
  <si>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</si>
  <si>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</si>
  <si>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</si>
  <si>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</si>
  <si>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</si>
  <si>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</si>
  <si>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</si>
  <si>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</si>
  <si>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</si>
  <si>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</si>
  <si>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</si>
  <si>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</si>
  <si>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</si>
  <si>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</si>
  <si>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</si>
  <si>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</si>
  <si>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</si>
  <si>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</si>
  <si>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</si>
  <si>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</si>
  <si>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</si>
  <si>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</si>
  <si>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</si>
  <si>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</si>
  <si>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</si>
  <si>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</si>
  <si>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</si>
  <si>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</si>
  <si>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</si>
  <si>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</si>
  <si>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</si>
  <si>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</si>
  <si>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</si>
  <si>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</si>
  <si>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</si>
  <si>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</si>
  <si>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</si>
  <si>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</si>
  <si>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</si>
  <si>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</si>
  <si>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</si>
  <si>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</si>
  <si>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</si>
  <si>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</si>
  <si>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</si>
  <si>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</si>
  <si>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</si>
  <si>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</si>
  <si>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</si>
  <si>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</si>
  <si>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</si>
  <si>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</si>
  <si>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</si>
  <si>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</si>
  <si>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</si>
  <si>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</si>
  <si>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</si>
  <si>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</si>
  <si>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</si>
  <si>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</si>
  <si>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</si>
  <si>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</si>
  <si>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</si>
  <si>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</si>
  <si>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</si>
  <si>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</si>
  <si>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</si>
  <si>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</si>
  <si>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</si>
  <si>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</si>
  <si>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</si>
  <si>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</si>
  <si>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</si>
  <si>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</si>
  <si>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</si>
  <si>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</si>
  <si>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</si>
  <si>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</si>
  <si>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</si>
  <si>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</si>
  <si>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</si>
  <si>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</si>
  <si>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</si>
  <si>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</si>
  <si>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</si>
  <si>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</si>
  <si>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</si>
  <si>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</si>
  <si>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</si>
  <si>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</si>
  <si>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</si>
  <si>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</si>
  <si>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</si>
  <si>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</si>
  <si>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</si>
  <si>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</si>
  <si>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</si>
  <si>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</si>
  <si>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</si>
  <si>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</si>
  <si>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</si>
  <si>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</si>
  <si>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</si>
  <si>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</si>
  <si>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</si>
  <si>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</si>
  <si>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</si>
  <si>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</si>
  <si>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</si>
  <si>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</si>
  <si>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</si>
  <si>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</si>
  <si>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</si>
  <si>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</si>
  <si>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</si>
  <si>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</si>
  <si>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</si>
  <si>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</si>
  <si>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</si>
  <si>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</si>
  <si>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</si>
  <si>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</si>
  <si>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</si>
  <si>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</si>
  <si>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</si>
  <si>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</si>
  <si>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</si>
  <si>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</si>
  <si>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</si>
  <si>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</si>
  <si>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</si>
  <si>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</si>
  <si>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</si>
  <si>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</si>
  <si>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</si>
  <si>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</si>
  <si>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</si>
  <si>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</si>
  <si>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</si>
  <si>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</si>
  <si>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</si>
  <si>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</si>
  <si>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</si>
  <si>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</si>
  <si>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</si>
  <si>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</si>
  <si>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</si>
  <si>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</si>
  <si>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</si>
  <si>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</si>
  <si>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</si>
  <si>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</si>
  <si>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</si>
  <si>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</si>
  <si>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</si>
  <si>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</si>
  <si>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</si>
  <si>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</si>
  <si>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</si>
  <si>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</si>
  <si>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</si>
  <si>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</si>
  <si>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</si>
  <si>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</si>
  <si>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</si>
  <si>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</si>
  <si>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</si>
  <si>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</si>
  <si>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</si>
  <si>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</si>
  <si>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</si>
  <si>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</si>
  <si>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</si>
  <si>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</si>
  <si>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</si>
  <si>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</si>
  <si>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</si>
  <si>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</si>
  <si>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</si>
  <si>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</si>
  <si>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</si>
  <si>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</si>
  <si>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</si>
  <si>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</si>
  <si>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</si>
  <si>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</si>
  <si>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</si>
  <si>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</si>
  <si>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</si>
  <si>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</si>
  <si>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</si>
  <si>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</si>
  <si>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</si>
  <si>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</si>
  <si>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</si>
  <si>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</si>
  <si>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</si>
  <si>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</si>
  <si>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</si>
  <si>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</si>
  <si>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</si>
  <si>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</si>
  <si>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</si>
  <si>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</si>
  <si>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</si>
  <si>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</si>
  <si>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</si>
  <si>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</si>
  <si>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</si>
  <si>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</si>
  <si>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</si>
  <si>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</si>
  <si>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</si>
  <si>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</si>
  <si>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</si>
  <si>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</si>
  <si>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</si>
  <si>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</si>
  <si>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</si>
  <si>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</si>
  <si>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</si>
  <si>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</si>
  <si>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</si>
  <si>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</si>
  <si>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</si>
  <si>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</si>
  <si>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</si>
  <si>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</si>
  <si>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</si>
  <si>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</si>
  <si>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</si>
  <si>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</si>
  <si>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</si>
  <si>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</si>
  <si>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</si>
  <si>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</si>
  <si>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</si>
  <si>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</si>
  <si>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</si>
  <si>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</si>
  <si>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</si>
  <si>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</si>
  <si>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</si>
  <si>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</si>
  <si>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</si>
  <si>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</si>
  <si>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</si>
  <si>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</si>
  <si>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</si>
  <si>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</si>
  <si>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</si>
  <si>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</si>
  <si>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</si>
  <si>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</si>
  <si>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</si>
  <si>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</si>
  <si>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</si>
  <si>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</si>
  <si>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</si>
  <si>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</si>
  <si>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</si>
  <si>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</si>
  <si>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</si>
  <si>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</si>
  <si>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</si>
  <si>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</si>
  <si>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</si>
  <si>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</si>
  <si>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</si>
  <si>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</si>
  <si>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</si>
  <si>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</si>
  <si>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</si>
  <si>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</si>
  <si>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</si>
  <si>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</si>
  <si>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</si>
  <si>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</si>
  <si>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</si>
  <si>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</si>
  <si>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</si>
  <si>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</si>
  <si>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</si>
  <si>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</si>
  <si>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</si>
  <si>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</si>
  <si>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</si>
  <si>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</si>
  <si>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</si>
  <si>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</si>
  <si>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</si>
  <si>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</si>
  <si>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</si>
  <si>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</si>
  <si>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</si>
  <si>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</si>
  <si>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</si>
  <si>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</si>
  <si>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</si>
  <si>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</si>
  <si>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</si>
  <si>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</si>
  <si>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</si>
  <si>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</si>
  <si>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</si>
  <si>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</si>
  <si>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</si>
  <si>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</si>
  <si>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</si>
  <si>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</si>
  <si>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</si>
  <si>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</si>
  <si>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</si>
  <si>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</si>
  <si>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</si>
  <si>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</si>
  <si>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</si>
  <si>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</si>
  <si>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</si>
  <si>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</si>
  <si>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</si>
  <si>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</si>
  <si>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</si>
  <si>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</si>
  <si>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</si>
  <si>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</si>
  <si>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</si>
  <si>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</si>
  <si>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</si>
  <si>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</si>
  <si>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</si>
  <si>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</si>
  <si>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</si>
  <si>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</si>
  <si>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</si>
  <si>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</si>
  <si>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</si>
  <si>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</si>
  <si>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</si>
  <si>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</si>
  <si>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</si>
  <si>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</si>
  <si>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</si>
  <si>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</si>
  <si>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</si>
  <si>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</si>
  <si>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</si>
  <si>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</si>
  <si>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</si>
  <si>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</si>
  <si>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</si>
  <si>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</si>
  <si>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</si>
  <si>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</si>
  <si>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</si>
  <si>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</si>
  <si>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</si>
  <si>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</si>
  <si>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</si>
  <si>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</si>
  <si>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</si>
  <si>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</si>
  <si>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</si>
  <si>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</si>
  <si>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</si>
  <si>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</si>
  <si>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</si>
  <si>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</si>
  <si>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</si>
  <si>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</si>
  <si>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</si>
  <si>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</si>
  <si>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</si>
  <si>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</si>
  <si>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</si>
  <si>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</si>
  <si>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</si>
  <si>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</si>
  <si>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</si>
  <si>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</si>
  <si>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</si>
  <si>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</si>
  <si>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</si>
  <si>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</si>
  <si>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</si>
  <si>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</si>
  <si>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</si>
  <si>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</si>
  <si>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</si>
  <si>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</si>
  <si>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</si>
  <si>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</si>
  <si>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</si>
  <si>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</si>
  <si>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</si>
  <si>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</si>
  <si>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</si>
  <si>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</si>
  <si>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</si>
  <si>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</si>
  <si>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</si>
  <si>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</si>
  <si>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</si>
  <si>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</si>
  <si>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</si>
  <si>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</si>
  <si>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</si>
  <si>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</si>
  <si>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</si>
  <si>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</si>
  <si>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</si>
  <si>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</si>
  <si>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</si>
  <si>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</si>
  <si>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</si>
  <si>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</si>
  <si>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</si>
  <si>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</si>
  <si>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</si>
  <si>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</si>
  <si>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</si>
  <si>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</si>
  <si>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</si>
  <si>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</si>
  <si>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</si>
  <si>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</si>
  <si>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</si>
  <si>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</si>
  <si>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</si>
  <si>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</si>
  <si>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</si>
  <si>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</si>
  <si>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</si>
  <si>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</si>
  <si>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</si>
  <si>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</si>
  <si>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</si>
  <si>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</si>
  <si>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</si>
  <si>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</si>
  <si>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</si>
  <si>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</si>
  <si>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</si>
  <si>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</si>
  <si>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</si>
  <si>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</si>
  <si>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</si>
  <si>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</si>
  <si>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</si>
  <si>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</si>
  <si>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</si>
  <si>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</si>
  <si>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</si>
  <si>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</si>
  <si>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</si>
  <si>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</si>
  <si>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</si>
  <si>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</si>
  <si>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</si>
  <si>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</si>
  <si>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</si>
  <si>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</si>
  <si>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</si>
  <si>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</si>
  <si>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</si>
  <si>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</si>
  <si>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</si>
  <si>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</si>
  <si>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</si>
  <si>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</si>
  <si>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</si>
  <si>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</si>
  <si>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</si>
  <si>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</si>
  <si>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</si>
  <si>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</si>
  <si>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</si>
  <si>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</si>
  <si>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</si>
  <si>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</si>
  <si>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</si>
  <si>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</si>
  <si>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</si>
  <si>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</si>
  <si>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</si>
  <si>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</si>
  <si>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</si>
  <si>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</si>
  <si>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</si>
  <si>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</si>
  <si>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</si>
  <si>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</si>
  <si>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</si>
  <si>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</si>
  <si>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</si>
  <si>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</si>
  <si>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</si>
  <si>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</si>
  <si>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</si>
  <si>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</si>
  <si>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</si>
  <si>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</si>
  <si>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</si>
  <si>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</si>
  <si>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</si>
  <si>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</si>
  <si>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</si>
  <si>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</si>
  <si>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</si>
  <si>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</si>
  <si>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</si>
  <si>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</si>
  <si>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</si>
  <si>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</si>
  <si>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</si>
  <si>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</si>
  <si>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</si>
  <si>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</si>
  <si>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</si>
  <si>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</si>
  <si>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</si>
  <si>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</si>
  <si>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</si>
  <si>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</si>
  <si>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</si>
  <si>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</si>
  <si>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</si>
  <si>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</si>
  <si>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</si>
  <si>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</si>
  <si>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</si>
  <si>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</si>
  <si>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</si>
  <si>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</si>
  <si>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</si>
  <si>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</si>
  <si>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</si>
  <si>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</si>
  <si>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</si>
  <si>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</si>
  <si>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</si>
  <si>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</si>
  <si>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</si>
  <si>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</si>
  <si>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</si>
  <si>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</si>
  <si>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</si>
  <si>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</si>
  <si>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</si>
  <si>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</si>
  <si>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</si>
  <si>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</si>
  <si>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</si>
  <si>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</si>
  <si>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</si>
  <si>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</si>
  <si>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</si>
  <si>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</si>
  <si>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</si>
  <si>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</si>
  <si>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</si>
  <si>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</si>
  <si>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</si>
  <si>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</si>
  <si>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</si>
  <si>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</si>
  <si>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</si>
  <si>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</si>
  <si>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</si>
  <si>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</si>
  <si>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</si>
  <si>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</si>
  <si>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</si>
  <si>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</si>
  <si>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</si>
  <si>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</si>
  <si>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</si>
  <si>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</si>
  <si>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</si>
  <si>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</si>
  <si>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</si>
  <si>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</si>
  <si>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</si>
  <si>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</si>
  <si>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</si>
  <si>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</si>
  <si>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</si>
  <si>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</si>
  <si>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</si>
  <si>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</si>
  <si>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</si>
  <si>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</si>
  <si>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</si>
  <si>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</si>
  <si>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</si>
  <si>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</si>
  <si>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</si>
  <si>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</si>
  <si>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</si>
  <si>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</si>
  <si>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</si>
  <si>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</si>
  <si>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</si>
  <si>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</si>
  <si>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</si>
  <si>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</si>
  <si>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</si>
  <si>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</si>
  <si>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</si>
  <si>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</si>
  <si>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</si>
  <si>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</si>
  <si>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</si>
  <si>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</si>
  <si>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</si>
  <si>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</si>
  <si>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</si>
  <si>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</si>
  <si>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</si>
  <si>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</si>
  <si>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</si>
  <si>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</si>
  <si>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</si>
  <si>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</si>
  <si>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</si>
  <si>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</si>
  <si>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</si>
  <si>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</si>
  <si>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</si>
  <si>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</si>
  <si>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</si>
  <si>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</si>
  <si>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</si>
  <si>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</si>
  <si>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</si>
  <si>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</si>
  <si>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</si>
  <si>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</si>
  <si>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</si>
  <si>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</si>
  <si>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</si>
  <si>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</si>
  <si>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</si>
  <si>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</si>
  <si>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</si>
  <si>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</si>
  <si>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</si>
  <si>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</si>
  <si>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</si>
  <si>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</si>
  <si>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</si>
  <si>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</si>
  <si>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</si>
  <si>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</si>
  <si>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</si>
  <si>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</si>
  <si>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</si>
  <si>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</si>
  <si>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</si>
  <si>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</si>
  <si>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</si>
  <si>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</si>
  <si>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</si>
  <si>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</si>
  <si>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</si>
  <si>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</si>
  <si>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</si>
  <si>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</si>
  <si>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</si>
  <si>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</si>
  <si>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</si>
  <si>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</si>
  <si>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</si>
  <si>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</si>
  <si>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</si>
  <si>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</si>
  <si>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</si>
  <si>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</si>
  <si>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</si>
  <si>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</si>
  <si>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</si>
  <si>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</si>
  <si>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</si>
  <si>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</si>
  <si>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</si>
  <si>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</si>
  <si>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</si>
  <si>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</si>
  <si>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</si>
  <si>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</si>
  <si>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</si>
  <si>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</si>
  <si>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</si>
  <si>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</si>
  <si>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</si>
  <si>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</si>
  <si>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</si>
  <si>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</si>
  <si>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</si>
  <si>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</si>
  <si>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</si>
  <si>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</si>
  <si>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</si>
  <si>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</si>
  <si>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</si>
  <si>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</si>
  <si>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</si>
  <si>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</si>
  <si>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</si>
  <si>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</si>
  <si>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</si>
  <si>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</si>
  <si>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</si>
  <si>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</si>
  <si>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</si>
  <si>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</si>
  <si>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</si>
  <si>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</si>
  <si>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</si>
  <si>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</si>
  <si>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</si>
  <si>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</si>
  <si>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</si>
  <si>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</si>
  <si>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</si>
  <si>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</si>
  <si>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</si>
  <si>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</si>
  <si>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</si>
  <si>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</si>
  <si>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</si>
  <si>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</si>
  <si>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</si>
  <si>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</si>
  <si>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</si>
  <si>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</si>
  <si>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</si>
  <si>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</si>
  <si>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</si>
  <si>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</si>
  <si>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</si>
  <si>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</si>
  <si>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</si>
  <si>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</si>
  <si>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</si>
  <si>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</si>
  <si>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</si>
  <si>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</si>
  <si>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</si>
  <si>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</si>
  <si>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</si>
  <si>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</si>
  <si>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</si>
  <si>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</si>
  <si>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</si>
  <si>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</si>
  <si>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</si>
  <si>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</si>
  <si>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</si>
  <si>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</si>
  <si>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</si>
  <si>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</si>
  <si>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</si>
  <si>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</si>
  <si>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</si>
  <si>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</si>
  <si>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</si>
  <si>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</si>
  <si>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</si>
  <si>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</si>
  <si>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</si>
  <si>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</si>
  <si>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</si>
  <si>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</si>
  <si>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</si>
  <si>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</si>
  <si>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</si>
  <si>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</si>
  <si>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</si>
  <si>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</si>
  <si>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</si>
  <si>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</si>
  <si>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</si>
  <si>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</si>
  <si>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</si>
  <si>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</si>
  <si>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</si>
  <si>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</si>
  <si>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</si>
  <si>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</si>
  <si>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</si>
  <si>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</si>
  <si>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</si>
  <si>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</si>
  <si>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</si>
  <si>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</si>
  <si>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</si>
  <si>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</si>
  <si>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</si>
  <si>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</si>
  <si>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</si>
  <si>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</si>
  <si>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</si>
  <si>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</si>
  <si>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</si>
  <si>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</si>
  <si>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</si>
  <si>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</si>
  <si>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</si>
  <si>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</si>
  <si>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</si>
  <si>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</si>
  <si>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</si>
  <si>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</si>
  <si>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</si>
  <si>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</si>
  <si>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</si>
  <si>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</si>
  <si>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</si>
  <si>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</si>
  <si>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</si>
  <si>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</si>
  <si>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</si>
  <si>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</si>
  <si>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</si>
  <si>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</si>
  <si>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</si>
  <si>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</si>
  <si>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</si>
  <si>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</si>
  <si>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</si>
  <si>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</si>
  <si>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</si>
  <si>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</si>
  <si>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</si>
  <si>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</si>
  <si>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</si>
  <si>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</si>
  <si>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</si>
  <si>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</si>
  <si>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</si>
  <si>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</si>
  <si>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</si>
  <si>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</si>
  <si>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</si>
  <si>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</si>
  <si>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</si>
  <si>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</si>
  <si>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</si>
  <si>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</si>
  <si>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</si>
  <si>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</si>
  <si>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</si>
  <si>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</si>
  <si>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</si>
  <si>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</si>
  <si>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</si>
  <si>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</si>
  <si>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</si>
  <si>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</si>
  <si>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</si>
  <si>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</si>
  <si>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</si>
  <si>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</si>
  <si>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</si>
  <si>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</si>
  <si>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</si>
  <si>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</si>
  <si>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</si>
  <si>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</si>
  <si>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</si>
  <si>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</si>
  <si>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</si>
  <si>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</si>
  <si>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</si>
  <si>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</si>
  <si>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</si>
  <si>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</si>
  <si>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</si>
  <si>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</si>
  <si>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</si>
  <si>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</si>
  <si>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</si>
  <si>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</si>
  <si>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</si>
  <si>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</si>
  <si>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</si>
  <si>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</si>
  <si>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</si>
  <si>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</si>
  <si>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</si>
  <si>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</si>
  <si>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</si>
  <si>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</si>
  <si>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</si>
  <si>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</si>
  <si>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</si>
  <si>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</si>
  <si>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</si>
  <si>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</si>
  <si>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</si>
  <si>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</si>
  <si>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</si>
  <si>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</si>
  <si>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</si>
  <si>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</si>
  <si>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</si>
  <si>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</si>
  <si>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</si>
  <si>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</si>
  <si>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</si>
  <si>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</si>
  <si>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</si>
  <si>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</si>
  <si>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</si>
  <si>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</si>
  <si>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</si>
  <si>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</si>
  <si>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</si>
  <si>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</si>
  <si>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</si>
  <si>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</si>
  <si>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</si>
  <si>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</si>
  <si>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</si>
  <si>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</si>
  <si>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</si>
  <si>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</si>
  <si>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</si>
  <si>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</si>
  <si>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</si>
  <si>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</si>
  <si>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</si>
  <si>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</si>
  <si>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</si>
  <si>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</si>
  <si>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</si>
  <si>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</si>
  <si>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</si>
  <si>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</si>
  <si>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</si>
  <si>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</si>
  <si>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</si>
  <si>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</si>
  <si>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</si>
  <si>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</si>
  <si>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</si>
  <si>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</si>
  <si>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</si>
  <si>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</si>
  <si>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</si>
  <si>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</si>
  <si>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</si>
  <si>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</si>
  <si>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</si>
  <si>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</si>
  <si>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</si>
  <si>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</si>
  <si>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</si>
  <si>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</si>
  <si>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</si>
  <si>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</si>
  <si>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</si>
  <si>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</si>
  <si>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</si>
  <si>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</si>
  <si>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</si>
  <si>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</si>
  <si>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</si>
  <si>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</si>
  <si>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</si>
  <si>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</si>
  <si>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</si>
  <si>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</si>
  <si>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</si>
  <si>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</si>
  <si>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</si>
  <si>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</si>
  <si>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</si>
  <si>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</si>
  <si>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</si>
  <si>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</si>
  <si>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</si>
  <si>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</si>
  <si>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</si>
  <si>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</si>
  <si>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</si>
  <si>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</si>
  <si>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</si>
  <si>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</si>
  <si>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</si>
  <si>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</si>
  <si>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</si>
  <si>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</si>
  <si>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</si>
  <si>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</si>
  <si>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</si>
  <si>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</si>
  <si>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</si>
  <si>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</si>
  <si>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</si>
  <si>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</si>
  <si>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</si>
  <si>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</si>
  <si>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</si>
  <si>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</si>
  <si>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</si>
  <si>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</si>
  <si>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</si>
  <si>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</si>
  <si>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</si>
  <si>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</si>
  <si>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</si>
  <si>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</si>
  <si>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</si>
  <si>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</si>
  <si>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</si>
  <si>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</si>
  <si>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</si>
  <si>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</si>
  <si>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</si>
  <si>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</si>
  <si>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</si>
  <si>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</si>
  <si>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</si>
  <si>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</si>
  <si>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</si>
  <si>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</si>
  <si>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</si>
  <si>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</si>
  <si>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</si>
  <si>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</si>
  <si>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</si>
  <si>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</si>
  <si>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</si>
  <si>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</si>
  <si>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</si>
  <si>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</si>
  <si>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</si>
  <si>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</si>
  <si>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</si>
  <si>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</si>
  <si>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</si>
  <si>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</si>
  <si>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</si>
  <si>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</si>
  <si>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</si>
  <si>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</si>
  <si>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</si>
  <si>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</si>
  <si>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</si>
  <si>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</si>
  <si>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</si>
  <si>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</si>
  <si>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</si>
  <si>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</si>
  <si>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</si>
  <si>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</si>
  <si>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</si>
  <si>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</si>
  <si>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</si>
  <si>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</si>
  <si>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</si>
  <si>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</si>
  <si>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</si>
  <si>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</si>
  <si>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</si>
  <si>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</si>
  <si>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</si>
  <si>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</si>
  <si>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</si>
  <si>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</si>
  <si>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</si>
  <si>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</si>
  <si>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</si>
  <si>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</si>
  <si>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</si>
  <si>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</si>
  <si>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</si>
  <si>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</si>
  <si>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</si>
  <si>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</si>
  <si>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</si>
  <si>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</si>
  <si>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</si>
  <si>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</si>
  <si>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</si>
  <si>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</si>
  <si>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</si>
  <si>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</si>
  <si>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</si>
  <si>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</si>
  <si>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</si>
  <si>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</si>
  <si>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</si>
  <si>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</si>
  <si>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</si>
  <si>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</si>
  <si>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</si>
  <si>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</si>
  <si>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</si>
  <si>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</si>
  <si>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</si>
  <si>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</si>
  <si>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</si>
  <si>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</si>
  <si>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</si>
  <si>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</si>
  <si>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</si>
  <si>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</si>
  <si>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</si>
  <si>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</si>
  <si>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</si>
  <si>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</si>
  <si>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</si>
  <si>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</si>
  <si>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</si>
  <si>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</si>
  <si>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</si>
  <si>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</si>
  <si>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</si>
  <si>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</si>
  <si>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</si>
  <si>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</si>
  <si>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</si>
  <si>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</si>
  <si>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</si>
  <si>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</si>
  <si>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</si>
  <si>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</si>
  <si>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</si>
  <si>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</si>
  <si>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</si>
  <si>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</si>
  <si>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</si>
  <si>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</si>
  <si>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</si>
  <si>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</si>
  <si>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</si>
  <si>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</si>
  <si>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</si>
  <si>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</si>
  <si>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</si>
  <si>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</si>
  <si>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</si>
  <si>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</si>
  <si>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</si>
  <si>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</si>
  <si>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</si>
  <si>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</si>
  <si>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</si>
  <si>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</si>
  <si>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</si>
  <si>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</si>
  <si>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</si>
  <si>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</si>
  <si>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</si>
  <si>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</si>
  <si>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</si>
  <si>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</si>
  <si>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</si>
  <si>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</si>
  <si>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</si>
  <si>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</si>
  <si>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</si>
  <si>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</si>
  <si>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</si>
  <si>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</si>
  <si>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</si>
  <si>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</si>
  <si>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</si>
  <si>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</si>
  <si>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</si>
  <si>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</si>
  <si>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</si>
  <si>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</si>
  <si>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</si>
  <si>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</si>
  <si>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</si>
  <si>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</si>
  <si>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</si>
  <si>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</si>
  <si>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</si>
  <si>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</si>
  <si>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</si>
  <si>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</si>
  <si>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</si>
  <si>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</si>
  <si>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</si>
  <si>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</si>
  <si>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</si>
  <si>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</si>
  <si>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</si>
  <si>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</si>
  <si>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</si>
  <si>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</si>
  <si>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</si>
  <si>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</si>
  <si>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</si>
  <si>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</si>
  <si>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</si>
  <si>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</si>
  <si>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</si>
  <si>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</si>
  <si>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</si>
  <si>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</si>
  <si>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</si>
  <si>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</si>
  <si>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</si>
  <si>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</si>
  <si>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</si>
  <si>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</si>
  <si>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</si>
  <si>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</si>
  <si>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</si>
  <si>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</si>
  <si>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</si>
  <si>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</si>
  <si>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</si>
  <si>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</si>
  <si>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</si>
  <si>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</si>
  <si>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</si>
  <si>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</si>
  <si>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</si>
  <si>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</si>
  <si>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</si>
  <si>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</si>
  <si>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</si>
  <si>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</si>
  <si>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</si>
  <si>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</si>
  <si>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</si>
  <si>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</si>
  <si>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</si>
  <si>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</si>
  <si>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</si>
  <si>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</si>
  <si>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</si>
  <si>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</si>
  <si>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</si>
  <si>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</si>
  <si>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</si>
  <si>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</si>
  <si>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</si>
  <si>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</si>
  <si>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</si>
  <si>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</si>
  <si>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</si>
  <si>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</si>
  <si>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</si>
  <si>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</si>
  <si>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</si>
  <si>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</si>
  <si>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</si>
  <si>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</si>
  <si>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</si>
  <si>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</si>
  <si>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</si>
  <si>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</si>
  <si>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</si>
  <si>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</si>
  <si>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</si>
  <si>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</si>
  <si>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</si>
  <si>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</si>
  <si>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</si>
  <si>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</si>
  <si>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</si>
  <si>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</si>
  <si>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</si>
  <si>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</si>
  <si>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</si>
  <si>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</si>
  <si>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</si>
  <si>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</si>
  <si>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</si>
  <si>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</si>
  <si>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</si>
  <si>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</si>
  <si>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</si>
  <si>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</si>
  <si>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</si>
  <si>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</si>
  <si>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</si>
  <si>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</si>
  <si>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</si>
  <si>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</si>
  <si>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</si>
  <si>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</si>
  <si>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</si>
  <si>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</si>
  <si>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</si>
  <si>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</si>
  <si>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</si>
  <si>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</si>
  <si>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</si>
  <si>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</si>
  <si>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</si>
  <si>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</si>
  <si>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</si>
  <si>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</si>
  <si>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</si>
  <si>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</si>
  <si>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</si>
  <si>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</si>
  <si>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</si>
  <si>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</si>
  <si>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</si>
  <si>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</si>
  <si>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</si>
  <si>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</si>
  <si>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</si>
  <si>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</si>
  <si>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</si>
  <si>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</si>
  <si>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</si>
  <si>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</si>
  <si>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</si>
  <si>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</si>
  <si>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</si>
  <si>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</si>
  <si>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</si>
  <si>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</si>
  <si>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</si>
  <si>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</si>
  <si>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</si>
  <si>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</si>
  <si>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</si>
  <si>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</si>
  <si>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</si>
  <si>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</si>
  <si>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</si>
  <si>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</si>
  <si>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</si>
  <si>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</si>
  <si>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</si>
  <si>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</si>
  <si>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</si>
  <si>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</si>
  <si>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</si>
  <si>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</si>
  <si>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</si>
  <si>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</si>
  <si>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</si>
  <si>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</si>
  <si>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</si>
  <si>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</si>
  <si>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</si>
  <si>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</si>
  <si>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</si>
  <si>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</si>
  <si>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</si>
  <si>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</si>
  <si>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</si>
  <si>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</si>
  <si>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</si>
  <si>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</si>
  <si>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</si>
  <si>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</si>
  <si>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</si>
  <si>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</si>
  <si>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</si>
  <si>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</si>
  <si>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</si>
  <si>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</si>
  <si>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</si>
  <si>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</si>
  <si>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</si>
  <si>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</si>
  <si>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</si>
  <si>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</si>
  <si>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</si>
  <si>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</si>
  <si>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</si>
  <si>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</si>
  <si>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</si>
  <si>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</si>
  <si>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</si>
  <si>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</si>
  <si>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</si>
  <si>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</si>
  <si>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</si>
  <si>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</si>
  <si>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</si>
  <si>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</si>
  <si>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</si>
  <si>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</si>
  <si>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</si>
  <si>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</si>
  <si>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</si>
  <si>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</si>
  <si>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</si>
  <si>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</si>
  <si>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</si>
  <si>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</si>
  <si>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</si>
  <si>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</si>
  <si>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</si>
  <si>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</si>
  <si>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</si>
  <si>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</si>
  <si>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</si>
  <si>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</si>
  <si>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</si>
  <si>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</si>
  <si>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</si>
  <si>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</si>
  <si>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</si>
  <si>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</si>
  <si>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</si>
  <si>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</si>
  <si>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</si>
  <si>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</si>
  <si>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</si>
  <si>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</si>
  <si>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</si>
  <si>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</si>
  <si>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</si>
  <si>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</si>
  <si>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</si>
  <si>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</si>
  <si>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</si>
  <si>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</si>
  <si>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</si>
  <si>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</si>
  <si>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</si>
  <si>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</si>
  <si>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</si>
  <si>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</si>
  <si>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</si>
  <si>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</si>
  <si>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</si>
  <si>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</si>
  <si>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</si>
  <si>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</si>
  <si>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</si>
  <si>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</si>
  <si>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</si>
  <si>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</si>
  <si>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</si>
  <si>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</si>
  <si>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</si>
  <si>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</si>
  <si>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</si>
  <si>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</si>
  <si>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</si>
  <si>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</si>
  <si>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</si>
  <si>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</si>
  <si>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</si>
  <si>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</si>
  <si>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</si>
  <si>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</si>
  <si>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</si>
  <si>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</si>
  <si>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</si>
  <si>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</si>
  <si>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</si>
  <si>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</si>
  <si>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</si>
  <si>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</si>
  <si>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</si>
  <si>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</si>
  <si>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</si>
  <si>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</si>
  <si>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</si>
  <si>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</si>
  <si>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</si>
  <si>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</si>
  <si>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</si>
  <si>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</si>
  <si>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</si>
  <si>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</si>
  <si>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</si>
  <si>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</si>
  <si>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</si>
  <si>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</si>
  <si>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</si>
  <si>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</si>
  <si>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</si>
  <si>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</si>
  <si>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</si>
  <si>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</si>
  <si>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</si>
  <si>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</si>
  <si>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</si>
  <si>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</si>
  <si>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</si>
  <si>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</si>
  <si>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</si>
  <si>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</si>
  <si>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</si>
  <si>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</si>
  <si>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</si>
  <si>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</si>
  <si>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</si>
  <si>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</si>
  <si>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</si>
  <si>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</si>
  <si>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</si>
  <si>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</si>
  <si>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</si>
  <si>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</si>
  <si>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</si>
  <si>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</si>
  <si>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</si>
  <si>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</si>
  <si>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</si>
  <si>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</si>
  <si>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</si>
  <si>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</si>
  <si>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</si>
  <si>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</si>
  <si>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</si>
  <si>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</si>
  <si>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</si>
  <si>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</si>
  <si>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</si>
  <si>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</si>
  <si>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</si>
  <si>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</si>
  <si>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</si>
  <si>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</si>
  <si>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</si>
  <si>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</si>
  <si>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</si>
  <si>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</si>
  <si>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</si>
  <si>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</si>
  <si>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</si>
  <si>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</si>
  <si>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</si>
  <si>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</si>
  <si>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</si>
  <si>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</si>
  <si>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</si>
  <si>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</si>
  <si>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</si>
  <si>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</si>
  <si>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</si>
  <si>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</si>
  <si>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</si>
  <si>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</si>
  <si>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</si>
  <si>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</si>
  <si>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</si>
  <si>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</si>
  <si>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</si>
  <si>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</si>
  <si>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</si>
  <si>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</si>
  <si>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</si>
  <si>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</si>
  <si>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</si>
  <si>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</si>
  <si>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</si>
  <si>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</si>
  <si>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</si>
  <si>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</si>
  <si>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</si>
  <si>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</si>
  <si>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</si>
  <si>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</si>
  <si>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</si>
  <si>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</si>
  <si>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</si>
  <si>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</si>
  <si>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</si>
  <si>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</si>
  <si>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</si>
  <si>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</si>
  <si>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</si>
  <si>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</si>
  <si>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</si>
  <si>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</si>
  <si>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</si>
  <si>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</si>
  <si>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</si>
  <si>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</si>
  <si>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</si>
  <si>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</si>
  <si>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</si>
  <si>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</si>
  <si>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</si>
  <si>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</si>
  <si>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</si>
  <si>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</si>
  <si>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</si>
  <si>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</si>
  <si>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</si>
  <si>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</si>
  <si>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</si>
  <si>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</si>
  <si>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</si>
  <si>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</si>
  <si>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</si>
  <si>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</si>
  <si>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</si>
  <si>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</si>
  <si>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</si>
  <si>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</si>
  <si>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</si>
  <si>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</si>
  <si>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</si>
  <si>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</si>
  <si>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</si>
  <si>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</si>
  <si>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</si>
  <si>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</si>
  <si>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</si>
  <si>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</si>
  <si>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</si>
  <si>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</si>
  <si>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</si>
  <si>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</si>
  <si>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</si>
  <si>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</si>
  <si>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</si>
  <si>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</si>
  <si>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</si>
  <si>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</si>
  <si>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</si>
  <si>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</si>
  <si>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</si>
  <si>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</si>
  <si>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</si>
  <si>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</si>
  <si>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</si>
  <si>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</si>
  <si>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</si>
  <si>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</si>
  <si>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</si>
  <si>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</si>
  <si>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</si>
  <si>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</si>
  <si>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</si>
  <si>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</si>
  <si>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</si>
  <si>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</si>
  <si>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</si>
  <si>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</si>
  <si>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</si>
  <si>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</si>
  <si>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</si>
  <si>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</si>
  <si>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</si>
  <si>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</si>
  <si>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</si>
  <si>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</si>
  <si>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</si>
  <si>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</si>
  <si>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</si>
  <si>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</si>
  <si>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</si>
  <si>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</si>
  <si>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</si>
  <si>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</si>
  <si>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</si>
  <si>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</si>
  <si>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</si>
  <si>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</si>
  <si>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</si>
  <si>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</si>
  <si>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</si>
  <si>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</si>
  <si>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</si>
  <si>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</si>
  <si>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</si>
  <si>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</si>
  <si>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</si>
  <si>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</si>
  <si>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</si>
  <si>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</si>
  <si>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</si>
  <si>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</si>
  <si>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</si>
  <si>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</si>
  <si>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</si>
  <si>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</si>
  <si>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</si>
  <si>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</si>
  <si>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</si>
  <si>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</si>
  <si>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</si>
  <si>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</si>
  <si>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</si>
  <si>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</si>
  <si>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</si>
  <si>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</si>
  <si>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</si>
  <si>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</si>
  <si>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</si>
  <si>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</si>
  <si>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</si>
  <si>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</si>
  <si>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</si>
  <si>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</si>
  <si>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</si>
  <si>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</si>
  <si>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</si>
  <si>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</si>
  <si>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</si>
  <si>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</si>
  <si>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</si>
  <si>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</si>
  <si>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</si>
  <si>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</si>
  <si>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</si>
  <si>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</si>
  <si>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</si>
  <si>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</si>
  <si>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</si>
  <si>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</si>
  <si>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</si>
  <si>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</si>
  <si>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</si>
  <si>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</si>
  <si>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</si>
  <si>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</si>
  <si>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</si>
  <si>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</si>
  <si>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</si>
  <si>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</si>
  <si>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</si>
  <si>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</si>
  <si>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</si>
  <si>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</si>
  <si>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</si>
  <si>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</si>
  <si>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</si>
  <si>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</si>
  <si>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</si>
  <si>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</si>
  <si>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</si>
  <si>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</si>
  <si>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</si>
  <si>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</si>
  <si>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</si>
  <si>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</si>
  <si>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</si>
  <si>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</si>
  <si>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</si>
  <si>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</si>
  <si>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</si>
  <si>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</si>
  <si>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</si>
  <si>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</si>
  <si>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</si>
  <si>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</si>
  <si>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</si>
  <si>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</si>
  <si>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</si>
  <si>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</si>
  <si>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</si>
  <si>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</si>
  <si>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</si>
  <si>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</si>
  <si>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</si>
  <si>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</si>
  <si>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</si>
  <si>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</si>
  <si>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</si>
  <si>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</si>
  <si>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</si>
  <si>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</si>
  <si>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</si>
  <si>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</si>
  <si>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</si>
  <si>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</si>
  <si>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</si>
  <si>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</si>
  <si>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</si>
  <si>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</si>
  <si>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</si>
  <si>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</si>
  <si>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</si>
  <si>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</si>
  <si>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</si>
  <si>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</si>
  <si>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</si>
  <si>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</si>
  <si>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</si>
  <si>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</si>
  <si>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</si>
  <si>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</si>
  <si>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</si>
  <si>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</si>
  <si>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</si>
  <si>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</si>
  <si>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</si>
  <si>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</si>
  <si>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</si>
  <si>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</si>
  <si>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</si>
  <si>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</si>
  <si>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</si>
  <si>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</si>
  <si>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</si>
  <si>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</si>
  <si>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</si>
  <si>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</si>
  <si>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</si>
  <si>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</si>
  <si>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</si>
  <si>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</si>
  <si>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</si>
  <si>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</si>
  <si>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</si>
  <si>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</si>
  <si>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</si>
  <si>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</si>
  <si>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</si>
  <si>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</si>
  <si>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</si>
  <si>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</si>
  <si>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</si>
  <si>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</si>
  <si>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</si>
  <si>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</si>
  <si>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</si>
  <si>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</si>
  <si>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</si>
  <si>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</si>
  <si>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</si>
  <si>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</si>
  <si>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</si>
  <si>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</si>
  <si>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</si>
  <si>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</si>
  <si>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</si>
  <si>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</si>
  <si>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</si>
  <si>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</si>
  <si>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</si>
  <si>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</si>
  <si>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</si>
  <si>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</si>
  <si>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</si>
  <si>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</si>
  <si>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</si>
  <si>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</si>
  <si>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</si>
  <si>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</si>
  <si>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</si>
  <si>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</si>
  <si>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</si>
  <si>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</si>
  <si>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</si>
  <si>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</si>
  <si>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</si>
  <si>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</si>
  <si>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</si>
  <si>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</si>
  <si>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</si>
  <si>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</si>
  <si>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</si>
  <si>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</si>
  <si>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</si>
  <si>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</si>
  <si>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</si>
  <si>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</si>
  <si>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</si>
  <si>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</si>
  <si>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</si>
  <si>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</si>
  <si>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</si>
  <si>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</si>
  <si>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</si>
  <si>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</si>
  <si>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</si>
  <si>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</si>
  <si>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</si>
  <si>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</si>
  <si>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</si>
  <si>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</si>
  <si>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</si>
  <si>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</si>
  <si>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</si>
  <si>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</si>
  <si>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</si>
  <si>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</si>
  <si>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</si>
  <si>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</si>
  <si>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</si>
  <si>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</si>
  <si>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</si>
  <si>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</si>
  <si>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</si>
  <si>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</si>
  <si>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</si>
  <si>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</si>
  <si>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</si>
  <si>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</si>
  <si>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</si>
  <si>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</si>
  <si>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</si>
  <si>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</si>
  <si>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</si>
  <si>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</si>
  <si>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</si>
  <si>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</si>
  <si>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</si>
  <si>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</si>
  <si>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</si>
  <si>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</si>
  <si>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</si>
  <si>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</si>
  <si>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</si>
  <si>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</si>
  <si>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</si>
  <si>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</si>
  <si>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</si>
  <si>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</si>
  <si>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</si>
  <si>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</si>
  <si>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</si>
  <si>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</si>
  <si>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</si>
  <si>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</si>
  <si>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</si>
  <si>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</si>
  <si>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</si>
  <si>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</si>
  <si>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</si>
  <si>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</si>
  <si>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</si>
  <si>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</si>
  <si>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</si>
  <si>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</si>
  <si>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</si>
  <si>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</si>
  <si>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</si>
  <si>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</si>
  <si>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</si>
  <si>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</si>
  <si>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</si>
  <si>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</si>
  <si>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</si>
  <si>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</si>
  <si>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</si>
  <si>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</si>
  <si>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</si>
  <si>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</si>
  <si>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</si>
  <si>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</si>
  <si>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</si>
  <si>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</si>
  <si>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</si>
  <si>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</si>
  <si>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</si>
  <si>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</si>
  <si>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</si>
  <si>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</si>
  <si>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</si>
  <si>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</si>
  <si>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</si>
  <si>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</si>
  <si>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</si>
  <si>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</si>
  <si>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</si>
  <si>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</si>
  <si>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</si>
  <si>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</si>
  <si>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</si>
  <si>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</si>
  <si>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</si>
  <si>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</si>
  <si>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</si>
  <si>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</si>
  <si>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</si>
  <si>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</si>
  <si>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</si>
  <si>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</si>
  <si>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</si>
  <si>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</si>
  <si>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</si>
  <si>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</si>
  <si>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</si>
  <si>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</si>
  <si>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</si>
  <si>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</si>
  <si>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</si>
  <si>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</si>
  <si>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</si>
  <si>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</si>
  <si>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</si>
  <si>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</si>
  <si>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</si>
  <si>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</si>
  <si>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</si>
  <si>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</si>
  <si>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</si>
  <si>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</si>
  <si>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</si>
  <si>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</si>
  <si>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</si>
  <si>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</si>
  <si>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</si>
  <si>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</si>
  <si>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</si>
  <si>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</si>
  <si>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</si>
  <si>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</si>
  <si>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</si>
  <si>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</si>
  <si>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</si>
  <si>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</si>
  <si>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</si>
  <si>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</si>
  <si>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</si>
  <si>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</si>
  <si>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</si>
  <si>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</si>
  <si>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</si>
  <si>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</si>
  <si>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</si>
  <si>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</si>
  <si>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</si>
  <si>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</si>
  <si>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</si>
  <si>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</si>
  <si>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</si>
  <si>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</si>
  <si>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</si>
  <si>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</si>
  <si>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</si>
  <si>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</si>
  <si>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</si>
  <si>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</si>
  <si>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</si>
  <si>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</si>
  <si>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</si>
  <si>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</si>
  <si>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</si>
  <si>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</si>
  <si>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</si>
  <si>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</si>
  <si>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</si>
  <si>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</si>
  <si>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</si>
  <si>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</si>
  <si>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</si>
  <si>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</si>
  <si>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</si>
  <si>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</si>
  <si>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</si>
  <si>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</si>
  <si>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</si>
  <si>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</si>
  <si>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</si>
  <si>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</si>
  <si>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</si>
  <si>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</si>
  <si>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</si>
  <si>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</si>
  <si>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</si>
  <si>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</si>
  <si>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</si>
  <si>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</si>
  <si>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</si>
  <si>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</si>
  <si>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</si>
  <si>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</si>
  <si>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</si>
  <si>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</si>
  <si>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</si>
  <si>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</si>
  <si>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</si>
  <si>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</si>
  <si>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</si>
  <si>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</si>
  <si>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</si>
  <si>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</si>
  <si>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</si>
  <si>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</si>
  <si>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</si>
  <si>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</si>
  <si>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</si>
  <si>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</si>
  <si>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</si>
  <si>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</si>
  <si>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</si>
  <si>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</si>
  <si>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</si>
  <si>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</si>
  <si>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</si>
  <si>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</si>
  <si>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</si>
  <si>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</si>
  <si>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</si>
  <si>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</si>
  <si>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</si>
  <si>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</si>
  <si>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</si>
  <si>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</si>
  <si>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</si>
  <si>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</si>
  <si>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</si>
  <si>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</si>
  <si>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</si>
  <si>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</si>
  <si>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</si>
  <si>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</si>
  <si>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</si>
  <si>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</si>
  <si>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</si>
  <si>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</si>
  <si>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</si>
  <si>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</si>
  <si>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</si>
  <si>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</si>
  <si>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</si>
  <si>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</si>
  <si>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</si>
  <si>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</si>
  <si>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</si>
  <si>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</si>
  <si>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</si>
  <si>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</si>
  <si>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</si>
  <si>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</si>
  <si>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</si>
  <si>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</si>
  <si>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</si>
  <si>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</si>
  <si>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</si>
  <si>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</si>
  <si>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</si>
  <si>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</si>
  <si>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</si>
  <si>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</si>
  <si>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</si>
  <si>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</si>
  <si>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</si>
  <si>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</si>
  <si>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</si>
  <si>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</si>
  <si>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</si>
  <si>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</si>
  <si>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</si>
  <si>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</si>
  <si>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</si>
  <si>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</si>
  <si>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</si>
  <si>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</si>
  <si>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</si>
  <si>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</si>
  <si>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</si>
  <si>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</si>
  <si>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</si>
  <si>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</si>
  <si>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</si>
  <si>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</si>
  <si>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</si>
  <si>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</si>
  <si>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</si>
  <si>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</si>
  <si>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</si>
  <si>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</si>
  <si>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</si>
  <si>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</si>
  <si>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</si>
  <si>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</si>
  <si>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</si>
  <si>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</si>
  <si>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</si>
  <si>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</si>
  <si>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</si>
  <si>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</si>
  <si>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</si>
  <si>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</si>
  <si>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</si>
  <si>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</si>
  <si>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</si>
  <si>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</si>
  <si>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</si>
  <si>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</si>
  <si>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</si>
  <si>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</si>
  <si>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</si>
  <si>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</si>
  <si>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</si>
  <si>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</si>
  <si>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</si>
  <si>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</si>
  <si>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</si>
  <si>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</si>
  <si>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</si>
  <si>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</si>
  <si>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</si>
  <si>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</si>
  <si>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</si>
  <si>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</si>
  <si>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</si>
  <si>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</si>
  <si>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Gains "and you must beat X or all bosses without getting hit"</t>
  </si>
  <si>
    <t>clause "you must beat {X} or all bosses without getting hit"</t>
  </si>
  <si>
    <t>goal "the difficulty is increased {X} [time|times] or as much as possible" -&gt; gain_chest reward {X}; gain_stat bash 1</t>
  </si>
  <si>
    <t>Gains "and the difficulty must be increased X times or as much as possible"</t>
  </si>
  <si>
    <t>clause "the difficulty must be increased {X} [time|times] or as much as possible"</t>
  </si>
  <si>
    <t>Gain +1 Max Health and +1 Loot</t>
  </si>
  <si>
    <t>System 1</t>
  </si>
  <si>
    <t>Subsystem 1</t>
  </si>
  <si>
    <t>System 2</t>
  </si>
  <si>
    <t>Subsystem 2</t>
  </si>
  <si>
    <t>System 3</t>
  </si>
  <si>
    <t>Subsystem 3</t>
  </si>
  <si>
    <t>Item</t>
  </si>
  <si>
    <t>Temporary Shield</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</si>
  <si>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</si>
  <si>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</si>
  <si>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</si>
  <si>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</si>
  <si>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</si>
  <si>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</si>
  <si>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</si>
  <si>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</si>
  <si>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</si>
  <si>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</si>
  <si>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</si>
  <si>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</si>
  <si>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</si>
  <si>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</si>
  <si>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</si>
  <si>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</si>
  <si>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</si>
  <si>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</si>
  <si>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</si>
  <si>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</si>
  <si>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</si>
  <si>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</si>
  <si>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</si>
  <si>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</si>
  <si>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</si>
  <si>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</si>
  <si>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</si>
  <si>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</si>
  <si>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</si>
  <si>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</si>
  <si>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</si>
  <si>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</si>
  <si>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</si>
  <si>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</si>
  <si>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</si>
  <si>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</si>
  <si>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</si>
  <si>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</si>
  <si>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</si>
  <si>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</si>
  <si>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</si>
  <si>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</si>
  <si>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</si>
  <si>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</si>
  <si>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</si>
  <si>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</si>
  <si>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</si>
  <si>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</si>
  <si>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</si>
  <si>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</si>
  <si>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</si>
  <si>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</si>
  <si>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</si>
  <si>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</si>
  <si>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</si>
  <si>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</si>
  <si>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</si>
  <si>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</si>
  <si>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</si>
  <si>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</si>
  <si>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</si>
  <si>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</si>
  <si>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</si>
  <si>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</si>
  <si>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</si>
  <si>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</si>
  <si>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</si>
  <si>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</si>
  <si>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</si>
  <si>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</si>
  <si>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</si>
  <si>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</si>
  <si>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</si>
  <si>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</si>
  <si>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Good Direction</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</si>
  <si>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</si>
  <si>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</si>
  <si>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</si>
  <si>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</si>
  <si>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</si>
  <si>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</si>
  <si>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</si>
  <si>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</si>
  <si>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</si>
  <si>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</si>
  <si>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</si>
  <si>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</si>
  <si>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</si>
  <si>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</si>
  <si>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</si>
  <si>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</si>
  <si>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</si>
  <si>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Enemy Damage Taken</t>
  </si>
  <si>
    <t>Dir 1</t>
  </si>
  <si>
    <t>Dir 2</t>
  </si>
  <si>
    <t>Dir 3</t>
  </si>
  <si>
    <t>Groups</t>
  </si>
  <si>
    <t>Loot Copy</t>
  </si>
  <si>
    <t>Collectables</t>
  </si>
  <si>
    <t>Items</t>
  </si>
  <si>
    <t>Loot Amount</t>
  </si>
  <si>
    <t>Goals</t>
  </si>
  <si>
    <t>Event: Arcade, Loot: XIV - Temperance</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</si>
  <si>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</si>
  <si>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</si>
  <si>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</si>
  <si>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</si>
  <si>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</si>
  <si>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</si>
  <si>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</si>
  <si>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</si>
  <si>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</si>
  <si>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</si>
  <si>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</si>
  <si>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</si>
  <si>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</si>
  <si>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</si>
  <si>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</si>
  <si>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</si>
  <si>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</si>
  <si>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</si>
  <si>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</si>
  <si>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</si>
  <si>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</si>
  <si>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</si>
  <si>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</si>
  <si>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</si>
  <si>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</si>
  <si>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</si>
  <si>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</si>
  <si>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</si>
  <si>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</si>
  <si>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</si>
  <si>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</si>
  <si>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</si>
  <si>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</si>
  <si>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</si>
  <si>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</si>
  <si>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</si>
  <si>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</si>
  <si>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</si>
  <si>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</si>
  <si>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</si>
  <si>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</si>
  <si>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</si>
  <si>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</si>
  <si>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</si>
  <si>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</si>
  <si>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</si>
  <si>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</si>
  <si>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</si>
  <si>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</si>
  <si>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</si>
  <si>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</si>
  <si>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</si>
  <si>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Gains "and if you didn't intentionally heal, Gain a [chest reward]"</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</si>
  <si>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</si>
  <si>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</si>
  <si>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</si>
  <si>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</si>
  <si>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Gains "and if you beat the game twice in a row, Gain a [chest reward]"</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</si>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</sst>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68</c:v>
                </c:pt>
                <c:pt idx="38">
                  <c:v>31</c:v>
                </c:pt>
                <c:pt idx="39">
                  <c:v>156</c:v>
                </c:pt>
                <c:pt idx="40">
                  <c:v>66</c:v>
                </c:pt>
                <c:pt idx="41">
                  <c:v>83</c:v>
                </c:pt>
                <c:pt idx="42">
                  <c:v>51</c:v>
                </c:pt>
                <c:pt idx="43">
                  <c:v>158</c:v>
                </c:pt>
                <c:pt idx="44">
                  <c:v>56</c:v>
                </c:pt>
                <c:pt idx="45">
                  <c:v>82</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202</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198</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367</c:v>
                </c:pt>
                <c:pt idx="1">
                  <c:v>150</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Analysis'!$P$5:$P$19</c:f>
              <c:numCache>
                <c:formatCode>General</c:formatCode>
                <c:ptCount val="15"/>
                <c:pt idx="0">
                  <c:v>146</c:v>
                </c:pt>
                <c:pt idx="1">
                  <c:v>87</c:v>
                </c:pt>
                <c:pt idx="2">
                  <c:v>70</c:v>
                </c:pt>
                <c:pt idx="3">
                  <c:v>51</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Analysis'!$T$5:$T$19</c:f>
              <c:numCache>
                <c:formatCode>General</c:formatCode>
                <c:ptCount val="15"/>
                <c:pt idx="0">
                  <c:v>146</c:v>
                </c:pt>
                <c:pt idx="1">
                  <c:v>87</c:v>
                </c:pt>
                <c:pt idx="2">
                  <c:v>70</c:v>
                </c:pt>
                <c:pt idx="3">
                  <c:v>51</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149</c:v>
                </c:pt>
                <c:pt idx="4">
                  <c:v>139</c:v>
                </c:pt>
                <c:pt idx="5">
                  <c:v>118</c:v>
                </c:pt>
                <c:pt idx="6">
                  <c:v>96</c:v>
                </c:pt>
                <c:pt idx="7">
                  <c:v>86</c:v>
                </c:pt>
                <c:pt idx="8">
                  <c:v>71</c:v>
                </c:pt>
                <c:pt idx="9">
                  <c:v>62</c:v>
                </c:pt>
                <c:pt idx="10">
                  <c:v>30</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2024</c:v>
                </c:pt>
                <c:pt idx="793">
                  <c:v>2019</c:v>
                </c:pt>
                <c:pt idx="794">
                  <c:v>2025</c:v>
                </c:pt>
                <c:pt idx="795">
                  <c:v>2017</c:v>
                </c:pt>
                <c:pt idx="796">
                  <c:v>2022</c:v>
                </c:pt>
                <c:pt idx="797">
                  <c:v>#N/A</c:v>
                </c:pt>
                <c:pt idx="798">
                  <c:v>2018</c:v>
                </c:pt>
                <c:pt idx="799">
                  <c:v>#N/A</c:v>
                </c:pt>
                <c:pt idx="800">
                  <c:v>2023</c:v>
                </c:pt>
                <c:pt idx="801">
                  <c:v>2021</c:v>
                </c:pt>
                <c:pt idx="802">
                  <c:v>#N/A</c:v>
                </c:pt>
                <c:pt idx="803">
                  <c:v>2024</c:v>
                </c:pt>
                <c:pt idx="804">
                  <c:v>2026</c:v>
                </c:pt>
                <c:pt idx="805">
                  <c:v>#N/A</c:v>
                </c:pt>
                <c:pt idx="806">
                  <c:v>#N/A</c:v>
                </c:pt>
                <c:pt idx="807">
                  <c:v>#N/A</c:v>
                </c:pt>
                <c:pt idx="808">
                  <c:v>2019</c:v>
                </c:pt>
                <c:pt idx="809">
                  <c:v>2022</c:v>
                </c:pt>
                <c:pt idx="810">
                  <c:v>#N/A</c:v>
                </c:pt>
                <c:pt idx="811">
                  <c:v>2023</c:v>
                </c:pt>
                <c:pt idx="812">
                  <c:v>2024</c:v>
                </c:pt>
                <c:pt idx="813">
                  <c:v>2024</c:v>
                </c:pt>
                <c:pt idx="814">
                  <c:v>#N/A</c:v>
                </c:pt>
                <c:pt idx="815">
                  <c:v>#N/A</c:v>
                </c:pt>
                <c:pt idx="816">
                  <c:v>#N/A</c:v>
                </c:pt>
                <c:pt idx="817">
                  <c:v>2026</c:v>
                </c:pt>
                <c:pt idx="818">
                  <c:v>#N/A</c:v>
                </c:pt>
                <c:pt idx="819">
                  <c:v>2025</c:v>
                </c:pt>
                <c:pt idx="820">
                  <c:v>#N/A</c:v>
                </c:pt>
                <c:pt idx="821">
                  <c:v>#N/A</c:v>
                </c:pt>
                <c:pt idx="822">
                  <c:v>#N/A</c:v>
                </c:pt>
                <c:pt idx="823">
                  <c:v>2017</c:v>
                </c:pt>
                <c:pt idx="824">
                  <c:v>#N/A</c:v>
                </c:pt>
                <c:pt idx="825">
                  <c:v>2020</c:v>
                </c:pt>
                <c:pt idx="826">
                  <c:v>2025</c:v>
                </c:pt>
                <c:pt idx="827">
                  <c:v>2025</c:v>
                </c:pt>
                <c:pt idx="828">
                  <c:v>2024</c:v>
                </c:pt>
                <c:pt idx="829">
                  <c:v>#N/A</c:v>
                </c:pt>
                <c:pt idx="830">
                  <c:v>#N/A</c:v>
                </c:pt>
                <c:pt idx="831">
                  <c:v>2024</c:v>
                </c:pt>
                <c:pt idx="832">
                  <c:v>#N/A</c:v>
                </c:pt>
                <c:pt idx="833">
                  <c:v>#N/A</c:v>
                </c:pt>
                <c:pt idx="834">
                  <c:v>2024</c:v>
                </c:pt>
                <c:pt idx="835">
                  <c:v>#N/A</c:v>
                </c:pt>
                <c:pt idx="836">
                  <c:v>2018</c:v>
                </c:pt>
                <c:pt idx="837">
                  <c:v>2024</c:v>
                </c:pt>
                <c:pt idx="838">
                  <c:v>#N/A</c:v>
                </c:pt>
                <c:pt idx="839">
                  <c:v>#N/A</c:v>
                </c:pt>
                <c:pt idx="840">
                  <c:v>#N/A</c:v>
                </c:pt>
                <c:pt idx="841">
                  <c:v>#N/A</c:v>
                </c:pt>
                <c:pt idx="842">
                  <c:v>#N/A</c:v>
                </c:pt>
                <c:pt idx="843">
                  <c:v>2025</c:v>
                </c:pt>
                <c:pt idx="844">
                  <c:v>2023</c:v>
                </c:pt>
                <c:pt idx="845">
                  <c:v>#N/A</c:v>
                </c:pt>
                <c:pt idx="846">
                  <c:v>#N/A</c:v>
                </c:pt>
                <c:pt idx="847">
                  <c:v>#N/A</c:v>
                </c:pt>
                <c:pt idx="848">
                  <c:v>#N/A</c:v>
                </c:pt>
                <c:pt idx="849">
                  <c:v>#N/A</c:v>
                </c:pt>
                <c:pt idx="850">
                  <c:v>2014</c:v>
                </c:pt>
                <c:pt idx="851">
                  <c:v>2020</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1.276</c:v>
                </c:pt>
                <c:pt idx="794">
                  <c:v>1.2989999999999999</c:v>
                </c:pt>
                <c:pt idx="795">
                  <c:v>1.3220000000000001</c:v>
                </c:pt>
                <c:pt idx="796">
                  <c:v>1.345</c:v>
                </c:pt>
                <c:pt idx="797">
                  <c:v>1.3679999999999999</c:v>
                </c:pt>
                <c:pt idx="798">
                  <c:v>#N/A</c:v>
                </c:pt>
                <c:pt idx="799">
                  <c:v>1.4139999999999999</c:v>
                </c:pt>
                <c:pt idx="800">
                  <c:v>#N/A</c:v>
                </c:pt>
                <c:pt idx="801">
                  <c:v>1.46</c:v>
                </c:pt>
                <c:pt idx="802">
                  <c:v>1.4830000000000001</c:v>
                </c:pt>
                <c:pt idx="803">
                  <c:v>#N/A</c:v>
                </c:pt>
                <c:pt idx="804">
                  <c:v>1.5289999999999999</c:v>
                </c:pt>
                <c:pt idx="805">
                  <c:v>1.552</c:v>
                </c:pt>
                <c:pt idx="806">
                  <c:v>#N/A</c:v>
                </c:pt>
                <c:pt idx="807">
                  <c:v>#N/A</c:v>
                </c:pt>
                <c:pt idx="808">
                  <c:v>#N/A</c:v>
                </c:pt>
                <c:pt idx="809">
                  <c:v>1.6440000000000001</c:v>
                </c:pt>
                <c:pt idx="810">
                  <c:v>1.667</c:v>
                </c:pt>
                <c:pt idx="811">
                  <c:v>#N/A</c:v>
                </c:pt>
                <c:pt idx="812">
                  <c:v>1.7130000000000001</c:v>
                </c:pt>
                <c:pt idx="813">
                  <c:v>1.736</c:v>
                </c:pt>
                <c:pt idx="814">
                  <c:v>1.7589999999999999</c:v>
                </c:pt>
                <c:pt idx="815">
                  <c:v>#N/A</c:v>
                </c:pt>
                <c:pt idx="816">
                  <c:v>#N/A</c:v>
                </c:pt>
                <c:pt idx="817">
                  <c:v>#N/A</c:v>
                </c:pt>
                <c:pt idx="818">
                  <c:v>1.069</c:v>
                </c:pt>
                <c:pt idx="819">
                  <c:v>#N/A</c:v>
                </c:pt>
                <c:pt idx="820">
                  <c:v>1.115</c:v>
                </c:pt>
                <c:pt idx="821">
                  <c:v>#N/A</c:v>
                </c:pt>
                <c:pt idx="822">
                  <c:v>#N/A</c:v>
                </c:pt>
                <c:pt idx="823">
                  <c:v>#N/A</c:v>
                </c:pt>
                <c:pt idx="824">
                  <c:v>1.2070000000000001</c:v>
                </c:pt>
                <c:pt idx="825">
                  <c:v>#N/A</c:v>
                </c:pt>
                <c:pt idx="826">
                  <c:v>1.2530000000000001</c:v>
                </c:pt>
                <c:pt idx="827">
                  <c:v>1.276</c:v>
                </c:pt>
                <c:pt idx="828">
                  <c:v>1.2989999999999999</c:v>
                </c:pt>
                <c:pt idx="829">
                  <c:v>1.3220000000000001</c:v>
                </c:pt>
                <c:pt idx="830">
                  <c:v>#N/A</c:v>
                </c:pt>
                <c:pt idx="831">
                  <c:v>#N/A</c:v>
                </c:pt>
                <c:pt idx="832">
                  <c:v>1.391</c:v>
                </c:pt>
                <c:pt idx="833">
                  <c:v>#N/A</c:v>
                </c:pt>
                <c:pt idx="834">
                  <c:v>#N/A</c:v>
                </c:pt>
                <c:pt idx="835">
                  <c:v>1.46</c:v>
                </c:pt>
                <c:pt idx="836">
                  <c:v>#N/A</c:v>
                </c:pt>
                <c:pt idx="837">
                  <c:v>1.506</c:v>
                </c:pt>
                <c:pt idx="838">
                  <c:v>1.5289999999999999</c:v>
                </c:pt>
                <c:pt idx="839">
                  <c:v>#N/A</c:v>
                </c:pt>
                <c:pt idx="840">
                  <c:v>#N/A</c:v>
                </c:pt>
                <c:pt idx="841">
                  <c:v>#N/A</c:v>
                </c:pt>
                <c:pt idx="842">
                  <c:v>#N/A</c:v>
                </c:pt>
                <c:pt idx="843">
                  <c:v>#N/A</c:v>
                </c:pt>
                <c:pt idx="844">
                  <c:v>1.667</c:v>
                </c:pt>
                <c:pt idx="845">
                  <c:v>1.69</c:v>
                </c:pt>
                <c:pt idx="846">
                  <c:v>#N/A</c:v>
                </c:pt>
                <c:pt idx="847">
                  <c:v>#N/A</c:v>
                </c:pt>
                <c:pt idx="848">
                  <c:v>#N/A</c:v>
                </c:pt>
                <c:pt idx="849">
                  <c:v>#N/A</c:v>
                </c:pt>
                <c:pt idx="850">
                  <c:v>#N/A</c:v>
                </c:pt>
                <c:pt idx="851">
                  <c:v>1.046</c:v>
                </c:pt>
                <c:pt idx="852">
                  <c:v>1.069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2021</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2024</c:v>
                </c:pt>
                <c:pt idx="811">
                  <c:v>#N/A</c:v>
                </c:pt>
                <c:pt idx="812">
                  <c:v>#N/A</c:v>
                </c:pt>
                <c:pt idx="813">
                  <c:v>#N/A</c:v>
                </c:pt>
                <c:pt idx="814">
                  <c:v>#N/A</c:v>
                </c:pt>
                <c:pt idx="815">
                  <c:v>2023</c:v>
                </c:pt>
                <c:pt idx="816">
                  <c:v>2025</c:v>
                </c:pt>
                <c:pt idx="817">
                  <c:v>#N/A</c:v>
                </c:pt>
                <c:pt idx="818">
                  <c:v>#N/A</c:v>
                </c:pt>
                <c:pt idx="819">
                  <c:v>#N/A</c:v>
                </c:pt>
                <c:pt idx="820">
                  <c:v>2017</c:v>
                </c:pt>
                <c:pt idx="821">
                  <c:v>#N/A</c:v>
                </c:pt>
                <c:pt idx="822">
                  <c:v>2012</c:v>
                </c:pt>
                <c:pt idx="823">
                  <c:v>#N/A</c:v>
                </c:pt>
                <c:pt idx="824">
                  <c:v>2005</c:v>
                </c:pt>
                <c:pt idx="825">
                  <c:v>#N/A</c:v>
                </c:pt>
                <c:pt idx="826">
                  <c:v>#N/A</c:v>
                </c:pt>
                <c:pt idx="827">
                  <c:v>#N/A</c:v>
                </c:pt>
                <c:pt idx="828">
                  <c:v>#N/A</c:v>
                </c:pt>
                <c:pt idx="829">
                  <c:v>2019</c:v>
                </c:pt>
                <c:pt idx="830">
                  <c:v>#N/A</c:v>
                </c:pt>
                <c:pt idx="831">
                  <c:v>#N/A</c:v>
                </c:pt>
                <c:pt idx="832">
                  <c:v>#N/A</c:v>
                </c:pt>
                <c:pt idx="833">
                  <c:v>2026</c:v>
                </c:pt>
                <c:pt idx="834">
                  <c:v>#N/A</c:v>
                </c:pt>
                <c:pt idx="835">
                  <c:v>#N/A</c:v>
                </c:pt>
                <c:pt idx="836">
                  <c:v>#N/A</c:v>
                </c:pt>
                <c:pt idx="837">
                  <c:v>#N/A</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#N/A</c:v>
                </c:pt>
                <c:pt idx="814">
                  <c:v>#N/A</c:v>
                </c:pt>
                <c:pt idx="815">
                  <c:v>#N/A</c:v>
                </c:pt>
                <c:pt idx="816">
                  <c:v>2.0230000000000001</c:v>
                </c:pt>
                <c:pt idx="817">
                  <c:v>2.0459999999999998</c:v>
                </c:pt>
                <c:pt idx="818">
                  <c:v>#N/A</c:v>
                </c:pt>
                <c:pt idx="819">
                  <c:v>#N/A</c:v>
                </c:pt>
                <c:pt idx="820">
                  <c:v>#N/A</c:v>
                </c:pt>
                <c:pt idx="821">
                  <c:v>2.1379999999999999</c:v>
                </c:pt>
                <c:pt idx="822">
                  <c:v>#N/A</c:v>
                </c:pt>
                <c:pt idx="823">
                  <c:v>2.1840000000000002</c:v>
                </c:pt>
                <c:pt idx="824">
                  <c:v>#N/A</c:v>
                </c:pt>
                <c:pt idx="825">
                  <c:v>2.23</c:v>
                </c:pt>
                <c:pt idx="826">
                  <c:v>#N/A</c:v>
                </c:pt>
                <c:pt idx="827">
                  <c:v>#N/A</c:v>
                </c:pt>
                <c:pt idx="828">
                  <c:v>#N/A</c:v>
                </c:pt>
                <c:pt idx="829">
                  <c:v>#N/A</c:v>
                </c:pt>
                <c:pt idx="830">
                  <c:v>2.3449999999999998</c:v>
                </c:pt>
                <c:pt idx="831">
                  <c:v>#N/A</c:v>
                </c:pt>
                <c:pt idx="832">
                  <c:v>#N/A</c:v>
                </c:pt>
                <c:pt idx="833">
                  <c:v>#N/A</c:v>
                </c:pt>
                <c:pt idx="834">
                  <c:v>2.4369999999999998</c:v>
                </c:pt>
                <c:pt idx="835">
                  <c:v>#N/A</c:v>
                </c:pt>
                <c:pt idx="836">
                  <c:v>#N/A</c:v>
                </c:pt>
                <c:pt idx="837">
                  <c:v>#N/A</c:v>
                </c:pt>
                <c:pt idx="838">
                  <c:v>#N/A</c:v>
                </c:pt>
                <c:pt idx="839">
                  <c:v>2.552</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#N/A</c:v>
                </c:pt>
                <c:pt idx="792">
                  <c:v>#N/A</c:v>
                </c:pt>
                <c:pt idx="793">
                  <c:v>#N/A</c:v>
                </c:pt>
                <c:pt idx="794">
                  <c:v>#N/A</c:v>
                </c:pt>
                <c:pt idx="795">
                  <c:v>#N/A</c:v>
                </c:pt>
                <c:pt idx="796">
                  <c:v>#N/A</c:v>
                </c:pt>
                <c:pt idx="797">
                  <c:v>#N/A</c:v>
                </c:pt>
                <c:pt idx="798">
                  <c:v>#N/A</c:v>
                </c:pt>
                <c:pt idx="799">
                  <c:v>2026</c:v>
                </c:pt>
                <c:pt idx="800">
                  <c:v>#N/A</c:v>
                </c:pt>
                <c:pt idx="801">
                  <c:v>#N/A</c:v>
                </c:pt>
                <c:pt idx="802">
                  <c:v>2020</c:v>
                </c:pt>
                <c:pt idx="803">
                  <c:v>#N/A</c:v>
                </c:pt>
                <c:pt idx="804">
                  <c:v>#N/A</c:v>
                </c:pt>
                <c:pt idx="805">
                  <c:v>2021</c:v>
                </c:pt>
                <c:pt idx="806">
                  <c:v>2025</c:v>
                </c:pt>
                <c:pt idx="807">
                  <c:v>2026</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2023</c:v>
                </c:pt>
                <c:pt idx="831">
                  <c:v>#N/A</c:v>
                </c:pt>
                <c:pt idx="832">
                  <c:v>2026</c:v>
                </c:pt>
                <c:pt idx="833">
                  <c:v>#N/A</c:v>
                </c:pt>
                <c:pt idx="834">
                  <c:v>#N/A</c:v>
                </c:pt>
                <c:pt idx="835">
                  <c:v>2026</c:v>
                </c:pt>
                <c:pt idx="836">
                  <c:v>#N/A</c:v>
                </c:pt>
                <c:pt idx="837">
                  <c:v>#N/A</c:v>
                </c:pt>
                <c:pt idx="838">
                  <c:v>#N/A</c:v>
                </c:pt>
                <c:pt idx="839">
                  <c:v>2025</c:v>
                </c:pt>
                <c:pt idx="840">
                  <c:v>2025</c:v>
                </c:pt>
                <c:pt idx="841">
                  <c:v>2022</c:v>
                </c:pt>
                <c:pt idx="842">
                  <c:v>2026</c:v>
                </c:pt>
                <c:pt idx="843">
                  <c:v>#N/A</c:v>
                </c:pt>
                <c:pt idx="844">
                  <c:v>#N/A</c:v>
                </c:pt>
                <c:pt idx="845">
                  <c:v>2024</c:v>
                </c:pt>
                <c:pt idx="846">
                  <c:v>#N/A</c:v>
                </c:pt>
                <c:pt idx="847">
                  <c:v>#N/A</c:v>
                </c:pt>
                <c:pt idx="848">
                  <c:v>#N/A</c:v>
                </c:pt>
                <c:pt idx="849">
                  <c:v>2024</c:v>
                </c:pt>
                <c:pt idx="850">
                  <c:v>#N/A</c:v>
                </c:pt>
                <c:pt idx="851">
                  <c:v>#N/A</c:v>
                </c:pt>
                <c:pt idx="852">
                  <c:v>#N/A</c:v>
                </c:pt>
                <c:pt idx="853">
                  <c:v>2023</c:v>
                </c:pt>
                <c:pt idx="854">
                  <c:v>2026</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#N/A</c:v>
                </c:pt>
                <c:pt idx="793">
                  <c:v>#N/A</c:v>
                </c:pt>
                <c:pt idx="794">
                  <c:v>#N/A</c:v>
                </c:pt>
                <c:pt idx="795">
                  <c:v>#N/A</c:v>
                </c:pt>
                <c:pt idx="796">
                  <c:v>#N/A</c:v>
                </c:pt>
                <c:pt idx="797">
                  <c:v>#N/A</c:v>
                </c:pt>
                <c:pt idx="798">
                  <c:v>#N/A</c:v>
                </c:pt>
                <c:pt idx="799">
                  <c:v>#N/A</c:v>
                </c:pt>
                <c:pt idx="800">
                  <c:v>3.4369999999999998</c:v>
                </c:pt>
                <c:pt idx="801">
                  <c:v>#N/A</c:v>
                </c:pt>
                <c:pt idx="802">
                  <c:v>#N/A</c:v>
                </c:pt>
                <c:pt idx="803">
                  <c:v>3.5060000000000002</c:v>
                </c:pt>
                <c:pt idx="804">
                  <c:v>#N/A</c:v>
                </c:pt>
                <c:pt idx="805">
                  <c:v>#N/A</c:v>
                </c:pt>
                <c:pt idx="806">
                  <c:v>3.5750000000000002</c:v>
                </c:pt>
                <c:pt idx="807">
                  <c:v>3.5979999999999999</c:v>
                </c:pt>
                <c:pt idx="808">
                  <c:v>3.621</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3.3679999999999999</c:v>
                </c:pt>
                <c:pt idx="832">
                  <c:v>#N/A</c:v>
                </c:pt>
                <c:pt idx="833">
                  <c:v>3.4140000000000001</c:v>
                </c:pt>
                <c:pt idx="834">
                  <c:v>#N/A</c:v>
                </c:pt>
                <c:pt idx="835">
                  <c:v>#N/A</c:v>
                </c:pt>
                <c:pt idx="836">
                  <c:v>3.4830000000000001</c:v>
                </c:pt>
                <c:pt idx="837">
                  <c:v>#N/A</c:v>
                </c:pt>
                <c:pt idx="838">
                  <c:v>#N/A</c:v>
                </c:pt>
                <c:pt idx="839">
                  <c:v>#N/A</c:v>
                </c:pt>
                <c:pt idx="840">
                  <c:v>3.5750000000000002</c:v>
                </c:pt>
                <c:pt idx="841">
                  <c:v>3.5979999999999999</c:v>
                </c:pt>
                <c:pt idx="842">
                  <c:v>3.621</c:v>
                </c:pt>
                <c:pt idx="843">
                  <c:v>3.6440000000000001</c:v>
                </c:pt>
                <c:pt idx="844">
                  <c:v>#N/A</c:v>
                </c:pt>
                <c:pt idx="845">
                  <c:v>#N/A</c:v>
                </c:pt>
                <c:pt idx="846">
                  <c:v>3.7130000000000001</c:v>
                </c:pt>
                <c:pt idx="847">
                  <c:v>#N/A</c:v>
                </c:pt>
                <c:pt idx="848">
                  <c:v>#N/A</c:v>
                </c:pt>
                <c:pt idx="849">
                  <c:v>#N/A</c:v>
                </c:pt>
                <c:pt idx="850">
                  <c:v>3.0230000000000001</c:v>
                </c:pt>
                <c:pt idx="851">
                  <c:v>#N/A</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1992</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1998</c:v>
                </c:pt>
                <c:pt idx="815">
                  <c:v>#N/A</c:v>
                </c:pt>
                <c:pt idx="816">
                  <c:v>#N/A</c:v>
                </c:pt>
                <c:pt idx="817">
                  <c:v>#N/A</c:v>
                </c:pt>
                <c:pt idx="818">
                  <c:v>2023</c:v>
                </c:pt>
                <c:pt idx="819">
                  <c:v>#N/A</c:v>
                </c:pt>
                <c:pt idx="820">
                  <c:v>#N/A</c:v>
                </c:pt>
                <c:pt idx="821">
                  <c:v>2011</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2017</c:v>
                </c:pt>
                <c:pt idx="847">
                  <c:v>2010</c:v>
                </c:pt>
                <c:pt idx="848">
                  <c:v>1994</c:v>
                </c:pt>
                <c:pt idx="849">
                  <c:v>#N/A</c:v>
                </c:pt>
                <c:pt idx="850">
                  <c:v>#N/A</c:v>
                </c:pt>
                <c:pt idx="851">
                  <c:v>#N/A</c:v>
                </c:pt>
                <c:pt idx="852">
                  <c:v>2025</c:v>
                </c:pt>
                <c:pt idx="853">
                  <c:v>#N/A</c:v>
                </c:pt>
                <c:pt idx="854">
                  <c:v>#N/A</c:v>
                </c:pt>
                <c:pt idx="855">
                  <c:v>2022</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4.391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4</c:v>
                </c:pt>
                <c:pt idx="816">
                  <c:v>#N/A</c:v>
                </c:pt>
                <c:pt idx="817">
                  <c:v>#N/A</c:v>
                </c:pt>
                <c:pt idx="818">
                  <c:v>#N/A</c:v>
                </c:pt>
                <c:pt idx="819">
                  <c:v>4.0919999999999996</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4.7590000000000003</c:v>
                </c:pt>
                <c:pt idx="849">
                  <c:v>4</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7" totalsRowShown="0">
  <autoFilter ref="A1:J857" xr:uid="{00000000-0009-0000-0100-000001000000}"/>
  <sortState xmlns:xlrd2="http://schemas.microsoft.com/office/spreadsheetml/2017/richdata2" ref="A2:J857">
    <sortCondition ref="A848:A85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39" totalsRowShown="0">
  <autoFilter ref="A1:E1239" xr:uid="{00000000-0009-0000-0100-000002000000}"/>
  <sortState xmlns:xlrd2="http://schemas.microsoft.com/office/spreadsheetml/2017/richdata2" ref="A2:E1238">
    <sortCondition ref="A1213:A123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9" totalsRowShown="0">
  <autoFilter ref="A1:O59" xr:uid="{1488E5C4-2A91-4674-9CD8-0B77B8CFB172}"/>
  <tableColumns count="15">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T14:T19" totalsRowShown="0">
  <autoFilter ref="T14:T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Q1:R37" totalsRowShown="0">
  <autoFilter ref="Q1:R37" xr:uid="{122B7FB3-A60E-4060-AB70-515C5FBF11F9}"/>
  <sortState xmlns:xlrd2="http://schemas.microsoft.com/office/spreadsheetml/2017/richdata2" ref="Q2:R15">
    <sortCondition ref="Q5:Q15"/>
  </sortState>
  <tableColumns count="2">
    <tableColumn id="1" xr3:uid="{82E001BE-3818-493B-9B38-AEB69348528B}" name="Subsystem"/>
    <tableColumn id="2" xr3:uid="{811ADC91-8965-4D46-BB94-DA81884CD06D}" name="Good Directio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T10:T12" totalsRowShown="0">
  <autoFilter ref="T10:T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T3:T8" totalsRowShown="0">
  <autoFilter ref="T3:T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table" Target="../tables/table1.xm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table" Target="../tables/table2.xm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7"/>
  <sheetViews>
    <sheetView topLeftCell="A811" zoomScaleNormal="100" workbookViewId="0">
      <selection activeCell="A848" sqref="A84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7524</v>
      </c>
    </row>
    <row r="107" spans="1:10" ht="15" customHeight="1" x14ac:dyDescent="0.25">
      <c r="A107" t="s">
        <v>536</v>
      </c>
      <c r="B107">
        <v>2013</v>
      </c>
      <c r="C107" t="s">
        <v>179</v>
      </c>
      <c r="D107" t="b">
        <f>TRUE()</f>
        <v>1</v>
      </c>
      <c r="E107" t="b">
        <f>COUNTIF(connections!A:A, A107) &gt; 0</f>
        <v>1</v>
      </c>
      <c r="F107" t="s">
        <v>458</v>
      </c>
      <c r="G107" t="s">
        <v>537</v>
      </c>
      <c r="H107" t="s">
        <v>187</v>
      </c>
      <c r="I107" t="s">
        <v>7525</v>
      </c>
    </row>
    <row r="108" spans="1:10" ht="15" customHeight="1" x14ac:dyDescent="0.25">
      <c r="A108" t="s">
        <v>538</v>
      </c>
      <c r="B108">
        <v>2025</v>
      </c>
      <c r="C108" t="s">
        <v>179</v>
      </c>
      <c r="D108" t="b">
        <f>TRUE()</f>
        <v>1</v>
      </c>
      <c r="E108" t="b">
        <f>COUNTIF(connections!A:A, A108) &gt; 0</f>
        <v>0</v>
      </c>
      <c r="F108" t="s">
        <v>458</v>
      </c>
      <c r="G108" t="s">
        <v>539</v>
      </c>
      <c r="H108" t="s">
        <v>187</v>
      </c>
      <c r="I108" t="s">
        <v>7526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7714</v>
      </c>
      <c r="B137">
        <v>2026</v>
      </c>
      <c r="C137" t="s">
        <v>222</v>
      </c>
      <c r="D137" t="b">
        <f>TRUE()</f>
        <v>1</v>
      </c>
      <c r="E137" t="b">
        <f>COUNTIF(connections!A:A, A137) &gt; 0</f>
        <v>0</v>
      </c>
      <c r="G137" t="s">
        <v>7713</v>
      </c>
      <c r="J137" s="11" t="s">
        <v>7712</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7715</v>
      </c>
      <c r="B538">
        <v>2026</v>
      </c>
      <c r="C538" t="s">
        <v>176</v>
      </c>
      <c r="D538" t="b">
        <f>TRUE()</f>
        <v>1</v>
      </c>
      <c r="E538" t="b">
        <f>COUNTIF(connections!A:A, A538) &gt; 0</f>
        <v>0</v>
      </c>
      <c r="G538" t="s">
        <v>7716</v>
      </c>
      <c r="J538" s="11" t="s">
        <v>7717</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2776</v>
      </c>
      <c r="B793">
        <v>2021</v>
      </c>
      <c r="C793" t="s">
        <v>222</v>
      </c>
      <c r="D793" t="b">
        <f>FALSE()</f>
        <v>0</v>
      </c>
      <c r="E793" t="b">
        <f>COUNTIF(connections!A:A, A793) &gt; 0</f>
        <v>0</v>
      </c>
      <c r="F793" t="s">
        <v>2777</v>
      </c>
      <c r="G793" t="s">
        <v>2778</v>
      </c>
      <c r="H793" t="s">
        <v>187</v>
      </c>
      <c r="I793" t="s">
        <v>2779</v>
      </c>
      <c r="J793" s="1" t="s">
        <v>2780</v>
      </c>
    </row>
    <row r="794" spans="1:10" x14ac:dyDescent="0.25">
      <c r="A794" t="s">
        <v>2781</v>
      </c>
      <c r="B794">
        <v>2024</v>
      </c>
      <c r="C794" t="s">
        <v>176</v>
      </c>
      <c r="D794" t="b">
        <f>FALSE()</f>
        <v>0</v>
      </c>
      <c r="E794" t="b">
        <f>COUNTIF(connections!A:A, A794) &gt; 0</f>
        <v>0</v>
      </c>
      <c r="F794" t="s">
        <v>277</v>
      </c>
      <c r="G794" t="s">
        <v>2782</v>
      </c>
    </row>
    <row r="795" spans="1:10" x14ac:dyDescent="0.25">
      <c r="A795" t="s">
        <v>2783</v>
      </c>
      <c r="B795">
        <v>2019</v>
      </c>
      <c r="C795" t="s">
        <v>176</v>
      </c>
      <c r="D795" t="b">
        <f>TRUE()</f>
        <v>1</v>
      </c>
      <c r="E795" t="b">
        <f>COUNTIF(connections!A:A, A795) &gt; 0</f>
        <v>1</v>
      </c>
      <c r="F795" t="s">
        <v>617</v>
      </c>
      <c r="G795" t="s">
        <v>2784</v>
      </c>
      <c r="H795" t="s">
        <v>187</v>
      </c>
      <c r="I795" t="s">
        <v>2785</v>
      </c>
      <c r="J795" s="1" t="s">
        <v>2786</v>
      </c>
    </row>
    <row r="796" spans="1:10" x14ac:dyDescent="0.25">
      <c r="A796" t="s">
        <v>2787</v>
      </c>
      <c r="B796">
        <v>2025</v>
      </c>
      <c r="C796" t="s">
        <v>176</v>
      </c>
      <c r="D796" t="b">
        <f>TRUE()</f>
        <v>1</v>
      </c>
      <c r="E796" t="b">
        <f>COUNTIF(connections!A:A, A796) &gt; 0</f>
        <v>0</v>
      </c>
      <c r="F796" t="s">
        <v>617</v>
      </c>
      <c r="G796" t="s">
        <v>2788</v>
      </c>
    </row>
    <row r="797" spans="1:10" x14ac:dyDescent="0.25">
      <c r="A797" t="s">
        <v>2789</v>
      </c>
      <c r="B797">
        <v>2017</v>
      </c>
      <c r="C797" t="s">
        <v>176</v>
      </c>
      <c r="D797" t="b">
        <f>TRUE()</f>
        <v>1</v>
      </c>
      <c r="E797" t="b">
        <f>COUNTIF(connections!A:A, A797) &gt; 0</f>
        <v>1</v>
      </c>
      <c r="G797" t="s">
        <v>2790</v>
      </c>
    </row>
    <row r="798" spans="1:10" x14ac:dyDescent="0.25">
      <c r="A798" t="s">
        <v>2791</v>
      </c>
      <c r="B798">
        <v>2022</v>
      </c>
      <c r="C798" t="s">
        <v>176</v>
      </c>
      <c r="D798" t="b">
        <f>TRUE()</f>
        <v>1</v>
      </c>
      <c r="E798" t="b">
        <f>COUNTIF(connections!A:A, A798) &gt; 0</f>
        <v>0</v>
      </c>
      <c r="G798" t="s">
        <v>2792</v>
      </c>
    </row>
    <row r="799" spans="1:10" x14ac:dyDescent="0.25">
      <c r="A799" t="s">
        <v>2793</v>
      </c>
      <c r="B799">
        <v>1992</v>
      </c>
      <c r="C799" t="s">
        <v>179</v>
      </c>
      <c r="D799" t="b">
        <f>TRUE()</f>
        <v>1</v>
      </c>
      <c r="E799" t="b">
        <f>COUNTIF(connections!A:A, A799) &gt; 0</f>
        <v>1</v>
      </c>
      <c r="G799" t="s">
        <v>2794</v>
      </c>
      <c r="H799" t="s">
        <v>187</v>
      </c>
      <c r="I799" t="s">
        <v>2795</v>
      </c>
      <c r="J799" s="1" t="s">
        <v>2796</v>
      </c>
    </row>
    <row r="800" spans="1:10" x14ac:dyDescent="0.25">
      <c r="A800" t="s">
        <v>2797</v>
      </c>
      <c r="B800">
        <v>2018</v>
      </c>
      <c r="C800" t="s">
        <v>176</v>
      </c>
      <c r="D800" t="b">
        <f>TRUE()</f>
        <v>1</v>
      </c>
      <c r="E800" t="b">
        <f>COUNTIF(connections!A:A, A800) &gt; 0</f>
        <v>0</v>
      </c>
      <c r="G800" t="s">
        <v>2798</v>
      </c>
    </row>
    <row r="801" spans="1:10" x14ac:dyDescent="0.25">
      <c r="A801" t="s">
        <v>2799</v>
      </c>
      <c r="B801">
        <v>2026</v>
      </c>
      <c r="C801" t="s">
        <v>182</v>
      </c>
      <c r="D801" t="b">
        <f>TRUE()</f>
        <v>1</v>
      </c>
      <c r="E801" t="b">
        <f>COUNTIF(connections!A:A, A801) &gt; 0</f>
        <v>0</v>
      </c>
      <c r="F801" t="s">
        <v>1806</v>
      </c>
      <c r="G801" t="s">
        <v>2800</v>
      </c>
    </row>
    <row r="802" spans="1:10" x14ac:dyDescent="0.25">
      <c r="A802" t="s">
        <v>2801</v>
      </c>
      <c r="B802">
        <v>2023</v>
      </c>
      <c r="C802" t="s">
        <v>176</v>
      </c>
      <c r="D802" t="b">
        <f>TRUE()</f>
        <v>1</v>
      </c>
      <c r="E802" t="b">
        <f>COUNTIF(connections!A:A, A802) &gt; 0</f>
        <v>0</v>
      </c>
      <c r="F802" t="s">
        <v>1806</v>
      </c>
      <c r="G802" t="s">
        <v>2802</v>
      </c>
      <c r="H802" t="s">
        <v>187</v>
      </c>
      <c r="I802" t="s">
        <v>2803</v>
      </c>
      <c r="J802" s="1" t="s">
        <v>2804</v>
      </c>
    </row>
    <row r="803" spans="1:10" x14ac:dyDescent="0.25">
      <c r="A803" t="s">
        <v>2805</v>
      </c>
      <c r="B803">
        <v>2021</v>
      </c>
      <c r="C803" t="s">
        <v>176</v>
      </c>
      <c r="D803" t="b">
        <f>TRUE()</f>
        <v>1</v>
      </c>
      <c r="E803" t="b">
        <f>COUNTIF(connections!A:A, A803) &gt; 0</f>
        <v>1</v>
      </c>
      <c r="F803" t="s">
        <v>1806</v>
      </c>
      <c r="G803" t="s">
        <v>2806</v>
      </c>
      <c r="H803" t="s">
        <v>187</v>
      </c>
      <c r="I803" t="s">
        <v>2807</v>
      </c>
      <c r="J803" s="1" t="s">
        <v>2808</v>
      </c>
    </row>
    <row r="804" spans="1:10" x14ac:dyDescent="0.25">
      <c r="A804" t="s">
        <v>2809</v>
      </c>
      <c r="B804">
        <v>2020</v>
      </c>
      <c r="C804" t="s">
        <v>182</v>
      </c>
      <c r="D804" t="b">
        <f>TRUE()</f>
        <v>1</v>
      </c>
      <c r="E804" t="b">
        <f>COUNTIF(connections!A:A, A804) &gt; 0</f>
        <v>0</v>
      </c>
      <c r="G804" t="s">
        <v>2810</v>
      </c>
      <c r="H804" t="s">
        <v>187</v>
      </c>
      <c r="I804" t="s">
        <v>2811</v>
      </c>
      <c r="J804" s="1" t="s">
        <v>2812</v>
      </c>
    </row>
    <row r="805" spans="1:10" x14ac:dyDescent="0.25">
      <c r="A805" t="s">
        <v>2813</v>
      </c>
      <c r="B805">
        <v>2024</v>
      </c>
      <c r="C805" t="s">
        <v>176</v>
      </c>
      <c r="D805" t="b">
        <f>TRUE()</f>
        <v>1</v>
      </c>
      <c r="E805" t="b">
        <f>COUNTIF(connections!A:A, A805) &gt; 0</f>
        <v>0</v>
      </c>
      <c r="G805" t="s">
        <v>2814</v>
      </c>
    </row>
    <row r="806" spans="1:10" x14ac:dyDescent="0.25">
      <c r="A806" t="s">
        <v>2815</v>
      </c>
      <c r="B806">
        <v>2026</v>
      </c>
      <c r="C806" t="s">
        <v>176</v>
      </c>
      <c r="D806" t="b">
        <f>TRUE()</f>
        <v>1</v>
      </c>
      <c r="E806" t="b">
        <f>COUNTIF(connections!A:A, A806) &gt; 0</f>
        <v>0</v>
      </c>
      <c r="F806" t="s">
        <v>277</v>
      </c>
      <c r="G806" t="s">
        <v>2816</v>
      </c>
      <c r="H806" t="s">
        <v>187</v>
      </c>
      <c r="I806" t="s">
        <v>2817</v>
      </c>
      <c r="J806" s="1" t="s">
        <v>2818</v>
      </c>
    </row>
    <row r="807" spans="1:10" x14ac:dyDescent="0.25">
      <c r="A807" t="s">
        <v>2819</v>
      </c>
      <c r="B807">
        <v>2021</v>
      </c>
      <c r="C807" t="s">
        <v>182</v>
      </c>
      <c r="D807" t="b">
        <f>TRUE()</f>
        <v>1</v>
      </c>
      <c r="E807" t="b">
        <f>COUNTIF(connections!A:A, A807) &gt; 0</f>
        <v>1</v>
      </c>
      <c r="F807" t="s">
        <v>1031</v>
      </c>
      <c r="G807" t="s">
        <v>2820</v>
      </c>
    </row>
    <row r="808" spans="1:10" x14ac:dyDescent="0.25">
      <c r="A808" t="s">
        <v>2821</v>
      </c>
      <c r="B808">
        <v>2025</v>
      </c>
      <c r="C808" t="s">
        <v>182</v>
      </c>
      <c r="D808" t="b">
        <f>TRUE()</f>
        <v>1</v>
      </c>
      <c r="E808" t="b">
        <f>COUNTIF(connections!A:A, A808) &gt; 0</f>
        <v>0</v>
      </c>
      <c r="G808" t="s">
        <v>2822</v>
      </c>
    </row>
    <row r="809" spans="1:10" x14ac:dyDescent="0.25">
      <c r="A809" t="s">
        <v>2823</v>
      </c>
      <c r="B809">
        <v>2026</v>
      </c>
      <c r="C809" t="s">
        <v>182</v>
      </c>
      <c r="D809" t="b">
        <f>TRUE()</f>
        <v>1</v>
      </c>
      <c r="E809" t="b">
        <f>COUNTIF(connections!A:A, A809) &gt; 0</f>
        <v>0</v>
      </c>
      <c r="G809" t="s">
        <v>2824</v>
      </c>
    </row>
    <row r="810" spans="1:10" x14ac:dyDescent="0.25">
      <c r="A810" t="s">
        <v>2825</v>
      </c>
      <c r="B810">
        <v>2019</v>
      </c>
      <c r="C810" t="s">
        <v>176</v>
      </c>
      <c r="D810" t="b">
        <f>TRUE()</f>
        <v>1</v>
      </c>
      <c r="E810" t="b">
        <f>COUNTIF(connections!A:A, A810) &gt; 0</f>
        <v>1</v>
      </c>
      <c r="F810" t="s">
        <v>274</v>
      </c>
      <c r="G810" t="s">
        <v>2826</v>
      </c>
      <c r="H810" t="s">
        <v>187</v>
      </c>
      <c r="I810" t="s">
        <v>2827</v>
      </c>
      <c r="J810" s="1" t="s">
        <v>2828</v>
      </c>
    </row>
    <row r="811" spans="1:10" x14ac:dyDescent="0.25">
      <c r="A811" t="s">
        <v>2829</v>
      </c>
      <c r="B811">
        <v>2022</v>
      </c>
      <c r="C811" t="s">
        <v>176</v>
      </c>
      <c r="D811" t="b">
        <f>TRUE()</f>
        <v>1</v>
      </c>
      <c r="E811" t="b">
        <f>COUNTIF(connections!A:A, A811) &gt; 0</f>
        <v>1</v>
      </c>
      <c r="G811" t="s">
        <v>2830</v>
      </c>
      <c r="H811" t="s">
        <v>187</v>
      </c>
      <c r="I811" t="s">
        <v>2831</v>
      </c>
      <c r="J811" s="11" t="s">
        <v>2832</v>
      </c>
    </row>
    <row r="812" spans="1:10" x14ac:dyDescent="0.25">
      <c r="A812" t="s">
        <v>2833</v>
      </c>
      <c r="B812">
        <v>2024</v>
      </c>
      <c r="C812" t="s">
        <v>222</v>
      </c>
      <c r="D812" t="b">
        <f>TRUE()</f>
        <v>1</v>
      </c>
      <c r="E812" t="b">
        <f>COUNTIF(connections!A:A, A812) &gt; 0</f>
        <v>0</v>
      </c>
      <c r="F812" t="s">
        <v>274</v>
      </c>
      <c r="G812" t="s">
        <v>2834</v>
      </c>
    </row>
    <row r="813" spans="1:10" x14ac:dyDescent="0.25">
      <c r="A813" t="s">
        <v>2835</v>
      </c>
      <c r="B813">
        <v>2023</v>
      </c>
      <c r="C813" t="s">
        <v>176</v>
      </c>
      <c r="D813" t="b">
        <f>TRUE()</f>
        <v>1</v>
      </c>
      <c r="E813" t="b">
        <f>COUNTIF(connections!A:A, A813) &gt; 0</f>
        <v>0</v>
      </c>
      <c r="G813" t="s">
        <v>2836</v>
      </c>
      <c r="H813" t="s">
        <v>187</v>
      </c>
      <c r="I813" t="s">
        <v>2837</v>
      </c>
      <c r="J813" s="1" t="s">
        <v>2838</v>
      </c>
    </row>
    <row r="814" spans="1:10" x14ac:dyDescent="0.25">
      <c r="A814" t="s">
        <v>2839</v>
      </c>
      <c r="B814">
        <v>2024</v>
      </c>
      <c r="C814" t="s">
        <v>176</v>
      </c>
      <c r="D814" t="b">
        <f>TRUE()</f>
        <v>1</v>
      </c>
      <c r="E814" t="b">
        <f>COUNTIF(connections!A:A, A814) &gt; 0</f>
        <v>0</v>
      </c>
      <c r="G814" t="s">
        <v>2840</v>
      </c>
    </row>
    <row r="815" spans="1:10" x14ac:dyDescent="0.25">
      <c r="A815" t="s">
        <v>2841</v>
      </c>
      <c r="B815">
        <v>2024</v>
      </c>
      <c r="C815" t="s">
        <v>176</v>
      </c>
      <c r="D815" t="b">
        <f>FALSE()</f>
        <v>0</v>
      </c>
      <c r="E815" t="b">
        <f>COUNTIF(connections!A:A, A815) &gt; 0</f>
        <v>0</v>
      </c>
      <c r="G815" t="s">
        <v>2842</v>
      </c>
      <c r="J815" s="1" t="s">
        <v>2843</v>
      </c>
    </row>
    <row r="816" spans="1:10" x14ac:dyDescent="0.25">
      <c r="A816" t="s">
        <v>2844</v>
      </c>
      <c r="B816">
        <v>1998</v>
      </c>
      <c r="C816" t="s">
        <v>179</v>
      </c>
      <c r="D816" t="b">
        <f>TRUE()</f>
        <v>1</v>
      </c>
      <c r="E816" t="b">
        <f>COUNTIF(connections!A:A, A816) &gt; 0</f>
        <v>0</v>
      </c>
      <c r="G816" t="s">
        <v>2845</v>
      </c>
      <c r="H816" t="s">
        <v>187</v>
      </c>
      <c r="I816" t="s">
        <v>2846</v>
      </c>
    </row>
    <row r="817" spans="1:10" x14ac:dyDescent="0.25">
      <c r="A817" t="s">
        <v>2847</v>
      </c>
      <c r="B817">
        <v>2023</v>
      </c>
      <c r="C817" t="s">
        <v>222</v>
      </c>
      <c r="D817" t="b">
        <f>TRUE()</f>
        <v>1</v>
      </c>
      <c r="E817" t="b">
        <f>COUNTIF(connections!A:A, A817) &gt; 0</f>
        <v>1</v>
      </c>
      <c r="F817" t="s">
        <v>617</v>
      </c>
      <c r="G817" t="s">
        <v>2848</v>
      </c>
      <c r="H817" t="s">
        <v>187</v>
      </c>
      <c r="I817" t="s">
        <v>2849</v>
      </c>
      <c r="J817" s="1" t="s">
        <v>2850</v>
      </c>
    </row>
    <row r="818" spans="1:10" x14ac:dyDescent="0.25">
      <c r="A818" t="s">
        <v>2851</v>
      </c>
      <c r="B818">
        <v>2025</v>
      </c>
      <c r="C818" t="s">
        <v>222</v>
      </c>
      <c r="D818" t="b">
        <f>TRUE()</f>
        <v>1</v>
      </c>
      <c r="E818" t="b">
        <f>COUNTIF(connections!A:A, A818) &gt; 0</f>
        <v>0</v>
      </c>
      <c r="F818" t="s">
        <v>617</v>
      </c>
      <c r="G818" t="s">
        <v>2852</v>
      </c>
    </row>
    <row r="819" spans="1:10" x14ac:dyDescent="0.25">
      <c r="A819" t="s">
        <v>2853</v>
      </c>
      <c r="B819">
        <v>2026</v>
      </c>
      <c r="C819" t="s">
        <v>176</v>
      </c>
      <c r="D819" t="b">
        <f>TRUE()</f>
        <v>1</v>
      </c>
      <c r="E819" t="b">
        <f>COUNTIF(connections!A:A, A819) &gt; 0</f>
        <v>0</v>
      </c>
      <c r="G819" t="s">
        <v>2854</v>
      </c>
    </row>
    <row r="820" spans="1:10" x14ac:dyDescent="0.25">
      <c r="A820" t="s">
        <v>2855</v>
      </c>
      <c r="B820">
        <v>2023</v>
      </c>
      <c r="C820" t="s">
        <v>179</v>
      </c>
      <c r="D820" t="b">
        <f>TRUE()</f>
        <v>1</v>
      </c>
      <c r="E820" t="b">
        <f>COUNTIF(connections!A:A, A820) &gt; 0</f>
        <v>0</v>
      </c>
      <c r="F820" t="s">
        <v>274</v>
      </c>
      <c r="G820" t="s">
        <v>2856</v>
      </c>
    </row>
    <row r="821" spans="1:10" x14ac:dyDescent="0.25">
      <c r="A821" t="s">
        <v>2857</v>
      </c>
      <c r="B821">
        <v>2025</v>
      </c>
      <c r="C821" t="s">
        <v>176</v>
      </c>
      <c r="D821" t="b">
        <f>TRUE()</f>
        <v>1</v>
      </c>
      <c r="E821" t="b">
        <f>COUNTIF(connections!A:A, A821) &gt; 0</f>
        <v>0</v>
      </c>
      <c r="G821" t="s">
        <v>2858</v>
      </c>
      <c r="H821" t="s">
        <v>187</v>
      </c>
      <c r="I821" t="s">
        <v>2859</v>
      </c>
      <c r="J821" s="1" t="s">
        <v>2860</v>
      </c>
    </row>
    <row r="822" spans="1:10" x14ac:dyDescent="0.25">
      <c r="A822" t="s">
        <v>2861</v>
      </c>
      <c r="B822">
        <v>2017</v>
      </c>
      <c r="C822" t="s">
        <v>222</v>
      </c>
      <c r="D822" t="b">
        <f>TRUE()</f>
        <v>1</v>
      </c>
      <c r="E822" t="b">
        <f>COUNTIF(connections!A:A, A822) &gt; 0</f>
        <v>0</v>
      </c>
      <c r="G822" t="s">
        <v>2862</v>
      </c>
      <c r="H822" t="s">
        <v>187</v>
      </c>
      <c r="I822" t="s">
        <v>2863</v>
      </c>
      <c r="J822" s="1" t="s">
        <v>2864</v>
      </c>
    </row>
    <row r="823" spans="1:10" x14ac:dyDescent="0.25">
      <c r="A823" t="s">
        <v>2865</v>
      </c>
      <c r="B823">
        <v>2011</v>
      </c>
      <c r="C823" t="s">
        <v>179</v>
      </c>
      <c r="D823" t="b">
        <f>TRUE()</f>
        <v>1</v>
      </c>
      <c r="E823" t="b">
        <f>COUNTIF(connections!A:A, A823) &gt; 0</f>
        <v>0</v>
      </c>
      <c r="G823" t="s">
        <v>2866</v>
      </c>
    </row>
    <row r="824" spans="1:10" x14ac:dyDescent="0.25">
      <c r="A824" t="s">
        <v>2867</v>
      </c>
      <c r="B824">
        <v>2012</v>
      </c>
      <c r="C824" t="s">
        <v>222</v>
      </c>
      <c r="D824" t="b">
        <f>TRUE()</f>
        <v>1</v>
      </c>
      <c r="E824" t="b">
        <f>COUNTIF(connections!A:A, A824) &gt; 0</f>
        <v>0</v>
      </c>
      <c r="G824" t="s">
        <v>2868</v>
      </c>
      <c r="H824" t="s">
        <v>187</v>
      </c>
      <c r="I824" t="s">
        <v>2869</v>
      </c>
      <c r="J824" s="1" t="s">
        <v>2870</v>
      </c>
    </row>
    <row r="825" spans="1:10" x14ac:dyDescent="0.25">
      <c r="A825" t="s">
        <v>2871</v>
      </c>
      <c r="B825">
        <v>2017</v>
      </c>
      <c r="C825" t="s">
        <v>176</v>
      </c>
      <c r="D825" t="b">
        <f>FALSE()</f>
        <v>0</v>
      </c>
      <c r="E825" t="b">
        <f>COUNTIF(connections!A:A, A825) &gt; 0</f>
        <v>0</v>
      </c>
      <c r="F825" t="s">
        <v>652</v>
      </c>
      <c r="G825" t="s">
        <v>2872</v>
      </c>
      <c r="H825" t="s">
        <v>187</v>
      </c>
      <c r="I825" t="s">
        <v>2873</v>
      </c>
      <c r="J825" s="1" t="s">
        <v>2874</v>
      </c>
    </row>
    <row r="826" spans="1:10" x14ac:dyDescent="0.25">
      <c r="A826" t="s">
        <v>2875</v>
      </c>
      <c r="B826">
        <v>2005</v>
      </c>
      <c r="C826" t="s">
        <v>222</v>
      </c>
      <c r="D826" t="b">
        <f>TRUE()</f>
        <v>1</v>
      </c>
      <c r="E826" t="b">
        <f>COUNTIF(connections!A:A, A826) &gt; 0</f>
        <v>1</v>
      </c>
      <c r="F826" t="s">
        <v>274</v>
      </c>
      <c r="G826" t="s">
        <v>2876</v>
      </c>
      <c r="H826" t="s">
        <v>187</v>
      </c>
      <c r="I826" t="s">
        <v>2877</v>
      </c>
      <c r="J826" s="1" t="s">
        <v>2878</v>
      </c>
    </row>
    <row r="827" spans="1:10" x14ac:dyDescent="0.25">
      <c r="A827" t="s">
        <v>2879</v>
      </c>
      <c r="B827">
        <v>2020</v>
      </c>
      <c r="C827" t="s">
        <v>176</v>
      </c>
      <c r="D827" t="b">
        <f>FALSE()</f>
        <v>0</v>
      </c>
      <c r="E827" t="b">
        <f>COUNTIF(connections!A:A, A827) &gt; 0</f>
        <v>1</v>
      </c>
      <c r="G827" t="s">
        <v>2880</v>
      </c>
      <c r="H827" t="s">
        <v>187</v>
      </c>
      <c r="I827" t="s">
        <v>2881</v>
      </c>
      <c r="J827" s="11" t="s">
        <v>2882</v>
      </c>
    </row>
    <row r="828" spans="1:10" x14ac:dyDescent="0.25">
      <c r="A828" t="s">
        <v>2883</v>
      </c>
      <c r="B828">
        <v>2025</v>
      </c>
      <c r="C828" t="s">
        <v>176</v>
      </c>
      <c r="D828" t="b">
        <f>TRUE()</f>
        <v>1</v>
      </c>
      <c r="E828" t="b">
        <f>COUNTIF(connections!A:A, A828) &gt; 0</f>
        <v>0</v>
      </c>
      <c r="G828" t="s">
        <v>2884</v>
      </c>
    </row>
    <row r="829" spans="1:10" x14ac:dyDescent="0.25">
      <c r="A829" t="s">
        <v>2885</v>
      </c>
      <c r="B829">
        <v>2025</v>
      </c>
      <c r="C829" t="s">
        <v>176</v>
      </c>
      <c r="D829" t="b">
        <f>FALSE()</f>
        <v>0</v>
      </c>
      <c r="E829" t="b">
        <f>COUNTIF(connections!A:A, A829) &gt; 0</f>
        <v>0</v>
      </c>
      <c r="G829" t="s">
        <v>2886</v>
      </c>
    </row>
    <row r="830" spans="1:10" x14ac:dyDescent="0.25">
      <c r="A830" t="s">
        <v>2887</v>
      </c>
      <c r="B830">
        <v>2024</v>
      </c>
      <c r="C830" t="s">
        <v>176</v>
      </c>
      <c r="D830" t="b">
        <f>TRUE()</f>
        <v>1</v>
      </c>
      <c r="E830" t="b">
        <f>COUNTIF(connections!A:A, A830) &gt; 0</f>
        <v>0</v>
      </c>
      <c r="G830" t="s">
        <v>2888</v>
      </c>
    </row>
    <row r="831" spans="1:10" x14ac:dyDescent="0.25">
      <c r="A831" t="s">
        <v>2889</v>
      </c>
      <c r="B831">
        <v>2019</v>
      </c>
      <c r="C831" t="s">
        <v>222</v>
      </c>
      <c r="D831" t="b">
        <f>FALSE()</f>
        <v>0</v>
      </c>
      <c r="E831" t="b">
        <f>COUNTIF(connections!A:A, A831) &gt; 0</f>
        <v>0</v>
      </c>
      <c r="G831" t="s">
        <v>2890</v>
      </c>
    </row>
    <row r="832" spans="1:10" x14ac:dyDescent="0.25">
      <c r="A832" t="s">
        <v>2891</v>
      </c>
      <c r="B832">
        <v>2023</v>
      </c>
      <c r="C832" t="s">
        <v>182</v>
      </c>
      <c r="D832" t="b">
        <f>TRUE()</f>
        <v>1</v>
      </c>
      <c r="E832" t="b">
        <f>COUNTIF(connections!A:A, A832) &gt; 0</f>
        <v>1</v>
      </c>
      <c r="G832" t="s">
        <v>2892</v>
      </c>
      <c r="H832" t="s">
        <v>187</v>
      </c>
      <c r="I832" t="s">
        <v>2893</v>
      </c>
      <c r="J832" s="1" t="s">
        <v>2894</v>
      </c>
    </row>
    <row r="833" spans="1:10" x14ac:dyDescent="0.25">
      <c r="A833" t="s">
        <v>2895</v>
      </c>
      <c r="B833">
        <v>2024</v>
      </c>
      <c r="C833" t="s">
        <v>176</v>
      </c>
      <c r="D833" t="b">
        <f>TRUE()</f>
        <v>1</v>
      </c>
      <c r="E833" t="b">
        <f>COUNTIF(connections!A:A, A833) &gt; 0</f>
        <v>0</v>
      </c>
      <c r="G833" t="s">
        <v>2896</v>
      </c>
    </row>
    <row r="834" spans="1:10" x14ac:dyDescent="0.25">
      <c r="A834" t="s">
        <v>2897</v>
      </c>
      <c r="B834">
        <v>2026</v>
      </c>
      <c r="C834" t="s">
        <v>182</v>
      </c>
      <c r="D834" t="b">
        <f>TRUE()</f>
        <v>1</v>
      </c>
      <c r="E834" t="b">
        <f>COUNTIF(connections!A:A, A834) &gt; 0</f>
        <v>0</v>
      </c>
      <c r="G834" t="s">
        <v>2898</v>
      </c>
    </row>
    <row r="835" spans="1:10" x14ac:dyDescent="0.25">
      <c r="A835" t="s">
        <v>2899</v>
      </c>
      <c r="B835">
        <v>2026</v>
      </c>
      <c r="C835" t="s">
        <v>222</v>
      </c>
      <c r="D835" t="b">
        <f>FALSE()</f>
        <v>0</v>
      </c>
      <c r="E835" t="b">
        <f>COUNTIF(connections!A:A, A835) &gt; 0</f>
        <v>0</v>
      </c>
      <c r="F835" t="s">
        <v>404</v>
      </c>
      <c r="G835" t="s">
        <v>2900</v>
      </c>
      <c r="J835" s="1" t="s">
        <v>2901</v>
      </c>
    </row>
    <row r="836" spans="1:10" x14ac:dyDescent="0.25">
      <c r="A836" t="s">
        <v>2902</v>
      </c>
      <c r="B836">
        <v>2024</v>
      </c>
      <c r="C836" t="s">
        <v>176</v>
      </c>
      <c r="D836" t="b">
        <f>FALSE()</f>
        <v>0</v>
      </c>
      <c r="E836" t="b">
        <f>COUNTIF(connections!A:A, A836) &gt; 0</f>
        <v>1</v>
      </c>
      <c r="G836" t="s">
        <v>2903</v>
      </c>
      <c r="J836" s="1" t="s">
        <v>2904</v>
      </c>
    </row>
    <row r="837" spans="1:10" x14ac:dyDescent="0.25">
      <c r="A837" t="s">
        <v>2905</v>
      </c>
      <c r="B837">
        <v>2026</v>
      </c>
      <c r="C837" t="s">
        <v>182</v>
      </c>
      <c r="D837" t="b">
        <f>TRUE()</f>
        <v>1</v>
      </c>
      <c r="E837" t="b">
        <f>COUNTIF(connections!A:A, A837) &gt; 0</f>
        <v>0</v>
      </c>
      <c r="G837" t="s">
        <v>2906</v>
      </c>
    </row>
    <row r="838" spans="1:10" x14ac:dyDescent="0.25">
      <c r="A838" t="s">
        <v>2907</v>
      </c>
      <c r="B838">
        <v>2018</v>
      </c>
      <c r="C838" t="s">
        <v>176</v>
      </c>
      <c r="D838" t="b">
        <f>TRUE()</f>
        <v>1</v>
      </c>
      <c r="E838" t="b">
        <f>COUNTIF(connections!A:A, A838) &gt; 0</f>
        <v>1</v>
      </c>
      <c r="G838" t="s">
        <v>2908</v>
      </c>
      <c r="H838" t="s">
        <v>187</v>
      </c>
      <c r="I838" t="s">
        <v>2909</v>
      </c>
      <c r="J838" s="1" t="s">
        <v>2910</v>
      </c>
    </row>
    <row r="839" spans="1:10" x14ac:dyDescent="0.25">
      <c r="A839" t="s">
        <v>2911</v>
      </c>
      <c r="B839">
        <v>2024</v>
      </c>
      <c r="C839" t="s">
        <v>176</v>
      </c>
      <c r="D839" t="b">
        <f>TRUE()</f>
        <v>1</v>
      </c>
      <c r="E839" t="b">
        <f>COUNTIF(connections!A:A, A839) &gt; 0</f>
        <v>0</v>
      </c>
      <c r="G839" t="s">
        <v>2912</v>
      </c>
      <c r="H839" t="s">
        <v>187</v>
      </c>
      <c r="I839" t="s">
        <v>2913</v>
      </c>
      <c r="J839" s="1" t="s">
        <v>2914</v>
      </c>
    </row>
    <row r="840" spans="1:10" x14ac:dyDescent="0.25">
      <c r="A840" t="s">
        <v>2915</v>
      </c>
      <c r="B840">
        <v>2021</v>
      </c>
      <c r="C840" t="s">
        <v>222</v>
      </c>
      <c r="D840" t="b">
        <f>TRUE()</f>
        <v>1</v>
      </c>
      <c r="E840" t="b">
        <f>COUNTIF(connections!A:A, A840) &gt; 0</f>
        <v>0</v>
      </c>
      <c r="F840" t="s">
        <v>1165</v>
      </c>
      <c r="G840" t="s">
        <v>2916</v>
      </c>
      <c r="H840" t="s">
        <v>187</v>
      </c>
      <c r="I840" t="s">
        <v>2917</v>
      </c>
      <c r="J840" s="1" t="s">
        <v>2918</v>
      </c>
    </row>
    <row r="841" spans="1:10" x14ac:dyDescent="0.25">
      <c r="A841" t="s">
        <v>2919</v>
      </c>
      <c r="B841">
        <v>2025</v>
      </c>
      <c r="C841" t="s">
        <v>182</v>
      </c>
      <c r="D841" t="b">
        <f>TRUE()</f>
        <v>1</v>
      </c>
      <c r="E841" t="b">
        <f>COUNTIF(connections!A:A, A841) &gt; 0</f>
        <v>0</v>
      </c>
      <c r="F841" t="s">
        <v>731</v>
      </c>
      <c r="G841" t="s">
        <v>2920</v>
      </c>
    </row>
    <row r="842" spans="1:10" x14ac:dyDescent="0.25">
      <c r="A842" t="s">
        <v>2921</v>
      </c>
      <c r="B842">
        <v>2025</v>
      </c>
      <c r="C842" t="s">
        <v>182</v>
      </c>
      <c r="D842" t="b">
        <f>TRUE()</f>
        <v>1</v>
      </c>
      <c r="E842" t="b">
        <f>COUNTIF(connections!A:A, A842) &gt; 0</f>
        <v>0</v>
      </c>
      <c r="F842" t="s">
        <v>731</v>
      </c>
      <c r="G842" t="s">
        <v>2922</v>
      </c>
      <c r="H842" t="s">
        <v>187</v>
      </c>
      <c r="I842" t="s">
        <v>2923</v>
      </c>
      <c r="J842" s="1" t="s">
        <v>2924</v>
      </c>
    </row>
    <row r="843" spans="1:10" x14ac:dyDescent="0.25">
      <c r="A843" t="s">
        <v>2925</v>
      </c>
      <c r="B843">
        <v>2022</v>
      </c>
      <c r="C843" t="s">
        <v>182</v>
      </c>
      <c r="D843" t="b">
        <f>TRUE()</f>
        <v>1</v>
      </c>
      <c r="E843" t="b">
        <f>COUNTIF(connections!A:A, A843) &gt; 0</f>
        <v>0</v>
      </c>
      <c r="F843" t="s">
        <v>731</v>
      </c>
      <c r="G843" t="s">
        <v>2926</v>
      </c>
      <c r="H843" t="s">
        <v>187</v>
      </c>
      <c r="I843" t="s">
        <v>2927</v>
      </c>
      <c r="J843" s="1" t="s">
        <v>2928</v>
      </c>
    </row>
    <row r="844" spans="1:10" x14ac:dyDescent="0.25">
      <c r="A844" t="s">
        <v>2929</v>
      </c>
      <c r="B844">
        <v>2026</v>
      </c>
      <c r="C844" t="s">
        <v>182</v>
      </c>
      <c r="D844" t="b">
        <f>TRUE()</f>
        <v>1</v>
      </c>
      <c r="E844" t="b">
        <f>COUNTIF(connections!A:A, A844) &gt; 0</f>
        <v>0</v>
      </c>
      <c r="G844" t="s">
        <v>2930</v>
      </c>
      <c r="J844" s="11" t="s">
        <v>2931</v>
      </c>
    </row>
    <row r="845" spans="1:10" x14ac:dyDescent="0.25">
      <c r="A845" t="s">
        <v>2932</v>
      </c>
      <c r="B845">
        <v>2025</v>
      </c>
      <c r="C845" t="s">
        <v>176</v>
      </c>
      <c r="D845" t="b">
        <f>TRUE()</f>
        <v>1</v>
      </c>
      <c r="E845" t="b">
        <f>COUNTIF(connections!A:A, A845) &gt; 0</f>
        <v>0</v>
      </c>
      <c r="G845" t="s">
        <v>2933</v>
      </c>
    </row>
    <row r="846" spans="1:10" x14ac:dyDescent="0.25">
      <c r="A846" t="s">
        <v>2934</v>
      </c>
      <c r="B846">
        <v>2023</v>
      </c>
      <c r="C846" t="s">
        <v>176</v>
      </c>
      <c r="D846" t="b">
        <f>TRUE()</f>
        <v>1</v>
      </c>
      <c r="E846" t="b">
        <f>COUNTIF(connections!A:A, A846) &gt; 0</f>
        <v>0</v>
      </c>
      <c r="F846" t="s">
        <v>458</v>
      </c>
      <c r="G846" t="s">
        <v>2935</v>
      </c>
      <c r="H846" t="s">
        <v>187</v>
      </c>
      <c r="I846" t="s">
        <v>2936</v>
      </c>
      <c r="J846" s="1" t="s">
        <v>2937</v>
      </c>
    </row>
    <row r="847" spans="1:10" x14ac:dyDescent="0.25">
      <c r="A847" t="s">
        <v>2938</v>
      </c>
      <c r="B847">
        <v>2024</v>
      </c>
      <c r="C847" t="s">
        <v>182</v>
      </c>
      <c r="D847" t="b">
        <f>TRUE()</f>
        <v>1</v>
      </c>
      <c r="E847" t="b">
        <f>COUNTIF(connections!A:A, A847) &gt; 0</f>
        <v>0</v>
      </c>
      <c r="F847" t="s">
        <v>1077</v>
      </c>
      <c r="G847" t="s">
        <v>2939</v>
      </c>
      <c r="H847" t="s">
        <v>187</v>
      </c>
      <c r="I847" t="s">
        <v>2940</v>
      </c>
      <c r="J847" s="1" t="s">
        <v>2941</v>
      </c>
    </row>
    <row r="848" spans="1:10" x14ac:dyDescent="0.25">
      <c r="A848" t="s">
        <v>2942</v>
      </c>
      <c r="B848">
        <v>2017</v>
      </c>
      <c r="C848" t="s">
        <v>179</v>
      </c>
      <c r="D848" t="b">
        <f>TRUE()</f>
        <v>1</v>
      </c>
      <c r="E848" t="b">
        <f>COUNTIF(connections!A:A, A848) &gt; 0</f>
        <v>0</v>
      </c>
      <c r="G848" t="s">
        <v>2943</v>
      </c>
    </row>
    <row r="849" spans="1:10" x14ac:dyDescent="0.25">
      <c r="A849" t="s">
        <v>2944</v>
      </c>
      <c r="B849">
        <v>2010</v>
      </c>
      <c r="C849" t="s">
        <v>179</v>
      </c>
      <c r="D849" t="b">
        <f>TRUE()</f>
        <v>1</v>
      </c>
      <c r="E849" t="b">
        <f>COUNTIF(connections!A:A, A849) &gt; 0</f>
        <v>1</v>
      </c>
      <c r="G849" t="s">
        <v>2945</v>
      </c>
      <c r="H849" t="s">
        <v>187</v>
      </c>
      <c r="I849" t="s">
        <v>2946</v>
      </c>
      <c r="J849" s="11" t="s">
        <v>2947</v>
      </c>
    </row>
    <row r="850" spans="1:10" x14ac:dyDescent="0.25">
      <c r="A850" t="s">
        <v>2948</v>
      </c>
      <c r="B850">
        <v>1994</v>
      </c>
      <c r="C850" t="s">
        <v>179</v>
      </c>
      <c r="D850" t="b">
        <f>TRUE()</f>
        <v>1</v>
      </c>
      <c r="E850" t="b">
        <f>COUNTIF(connections!A:A, A850) &gt; 0</f>
        <v>1</v>
      </c>
      <c r="G850" t="s">
        <v>2949</v>
      </c>
      <c r="H850" t="s">
        <v>187</v>
      </c>
      <c r="I850" t="s">
        <v>2950</v>
      </c>
    </row>
    <row r="851" spans="1:10" x14ac:dyDescent="0.25">
      <c r="A851" t="s">
        <v>2951</v>
      </c>
      <c r="B851">
        <v>2024</v>
      </c>
      <c r="C851" t="s">
        <v>182</v>
      </c>
      <c r="D851" t="b">
        <f>TRUE()</f>
        <v>1</v>
      </c>
      <c r="E851" t="b">
        <f>COUNTIF(connections!A:A, A851) &gt; 0</f>
        <v>0</v>
      </c>
      <c r="F851" t="s">
        <v>274</v>
      </c>
      <c r="G851" t="s">
        <v>2952</v>
      </c>
      <c r="H851" t="s">
        <v>187</v>
      </c>
      <c r="I851" t="s">
        <v>2953</v>
      </c>
      <c r="J851" s="1" t="s">
        <v>2954</v>
      </c>
    </row>
    <row r="852" spans="1:10" x14ac:dyDescent="0.25">
      <c r="A852" t="s">
        <v>2955</v>
      </c>
      <c r="B852">
        <v>2014</v>
      </c>
      <c r="C852" t="s">
        <v>176</v>
      </c>
      <c r="D852" t="b">
        <f>TRUE()</f>
        <v>1</v>
      </c>
      <c r="E852" t="b">
        <f>COUNTIF(connections!A:A, A852) &gt; 0</f>
        <v>1</v>
      </c>
      <c r="G852" t="s">
        <v>2956</v>
      </c>
      <c r="H852" t="s">
        <v>187</v>
      </c>
      <c r="I852" t="s">
        <v>2957</v>
      </c>
      <c r="J852" s="1" t="s">
        <v>2958</v>
      </c>
    </row>
    <row r="853" spans="1:10" x14ac:dyDescent="0.25">
      <c r="A853" t="s">
        <v>2959</v>
      </c>
      <c r="B853">
        <v>2020</v>
      </c>
      <c r="C853" t="s">
        <v>176</v>
      </c>
      <c r="D853" t="b">
        <f>TRUE()</f>
        <v>1</v>
      </c>
      <c r="E853" t="b">
        <f>COUNTIF(connections!A:A, A853) &gt; 0</f>
        <v>0</v>
      </c>
      <c r="G853" t="s">
        <v>2960</v>
      </c>
      <c r="H853" t="s">
        <v>187</v>
      </c>
      <c r="I853" t="s">
        <v>2961</v>
      </c>
      <c r="J853" s="1" t="s">
        <v>2962</v>
      </c>
    </row>
    <row r="854" spans="1:10" x14ac:dyDescent="0.25">
      <c r="A854" t="s">
        <v>2963</v>
      </c>
      <c r="B854">
        <v>2025</v>
      </c>
      <c r="C854" t="s">
        <v>179</v>
      </c>
      <c r="D854" t="b">
        <f>TRUE()</f>
        <v>1</v>
      </c>
      <c r="E854" t="b">
        <f>COUNTIF(connections!A:A, A854) &gt; 0</f>
        <v>0</v>
      </c>
      <c r="G854" t="s">
        <v>2964</v>
      </c>
      <c r="H854" t="s">
        <v>187</v>
      </c>
      <c r="I854" t="s">
        <v>2965</v>
      </c>
    </row>
    <row r="855" spans="1:10" x14ac:dyDescent="0.25">
      <c r="A855" t="s">
        <v>2966</v>
      </c>
      <c r="B855">
        <v>2023</v>
      </c>
      <c r="C855" t="s">
        <v>182</v>
      </c>
      <c r="D855" t="b">
        <f>TRUE()</f>
        <v>1</v>
      </c>
      <c r="E855" t="b">
        <f>COUNTIF(connections!A:A, A855) &gt; 0</f>
        <v>1</v>
      </c>
      <c r="G855" t="s">
        <v>2967</v>
      </c>
      <c r="H855" t="s">
        <v>187</v>
      </c>
      <c r="I855" t="s">
        <v>2968</v>
      </c>
      <c r="J855" s="1" t="s">
        <v>2969</v>
      </c>
    </row>
    <row r="856" spans="1:10" x14ac:dyDescent="0.25">
      <c r="A856" t="s">
        <v>2970</v>
      </c>
      <c r="B856">
        <v>2026</v>
      </c>
      <c r="C856" t="s">
        <v>182</v>
      </c>
      <c r="D856" t="b">
        <f>TRUE()</f>
        <v>1</v>
      </c>
      <c r="E856" t="b">
        <f>COUNTIF(connections!A:A, A856) &gt; 0</f>
        <v>0</v>
      </c>
      <c r="G856" t="s">
        <v>2971</v>
      </c>
      <c r="J856" s="11" t="s">
        <v>2972</v>
      </c>
    </row>
    <row r="857" spans="1:10" x14ac:dyDescent="0.25">
      <c r="A857" t="s">
        <v>2973</v>
      </c>
      <c r="B857">
        <v>2022</v>
      </c>
      <c r="C857" t="s">
        <v>179</v>
      </c>
      <c r="D857" t="b">
        <f>TRUE()</f>
        <v>1</v>
      </c>
      <c r="E857" t="b">
        <f>COUNTIF(connections!A:A, A857) &gt; 0</f>
        <v>0</v>
      </c>
      <c r="G857" t="s">
        <v>2974</v>
      </c>
      <c r="H857" t="s">
        <v>187</v>
      </c>
      <c r="I857" t="s">
        <v>2975</v>
      </c>
      <c r="J857"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3" r:id="rId502" xr:uid="{00000000-0004-0000-0000-0000F5010000}"/>
    <hyperlink ref="J795" r:id="rId503" xr:uid="{00000000-0004-0000-0000-0000F6010000}"/>
    <hyperlink ref="J799" r:id="rId504" xr:uid="{00000000-0004-0000-0000-0000F7010000}"/>
    <hyperlink ref="J802" r:id="rId505" xr:uid="{00000000-0004-0000-0000-0000F8010000}"/>
    <hyperlink ref="J803" r:id="rId506" xr:uid="{00000000-0004-0000-0000-0000F9010000}"/>
    <hyperlink ref="J804" r:id="rId507" xr:uid="{00000000-0004-0000-0000-0000FA010000}"/>
    <hyperlink ref="J806" r:id="rId508" xr:uid="{00000000-0004-0000-0000-0000FB010000}"/>
    <hyperlink ref="J810" r:id="rId509" xr:uid="{00000000-0004-0000-0000-0000FC010000}"/>
    <hyperlink ref="J811" r:id="rId510" xr:uid="{00000000-0004-0000-0000-0000FD010000}"/>
    <hyperlink ref="J813" r:id="rId511" xr:uid="{00000000-0004-0000-0000-0000FE010000}"/>
    <hyperlink ref="J815" r:id="rId512" xr:uid="{00000000-0004-0000-0000-0000FF010000}"/>
    <hyperlink ref="J817" r:id="rId513" xr:uid="{00000000-0004-0000-0000-000000020000}"/>
    <hyperlink ref="J821" r:id="rId514" xr:uid="{00000000-0004-0000-0000-000001020000}"/>
    <hyperlink ref="J822" r:id="rId515" xr:uid="{00000000-0004-0000-0000-000002020000}"/>
    <hyperlink ref="J824" r:id="rId516" xr:uid="{00000000-0004-0000-0000-000003020000}"/>
    <hyperlink ref="J825" r:id="rId517" xr:uid="{00000000-0004-0000-0000-000004020000}"/>
    <hyperlink ref="J826" r:id="rId518" xr:uid="{00000000-0004-0000-0000-000005020000}"/>
    <hyperlink ref="J827" r:id="rId519" xr:uid="{00000000-0004-0000-0000-000006020000}"/>
    <hyperlink ref="J832" r:id="rId520" xr:uid="{00000000-0004-0000-0000-000007020000}"/>
    <hyperlink ref="J835" r:id="rId521" xr:uid="{00000000-0004-0000-0000-000008020000}"/>
    <hyperlink ref="J836" r:id="rId522" xr:uid="{00000000-0004-0000-0000-000009020000}"/>
    <hyperlink ref="J838" r:id="rId523" xr:uid="{00000000-0004-0000-0000-00000A020000}"/>
    <hyperlink ref="J839" r:id="rId524" xr:uid="{00000000-0004-0000-0000-00000B020000}"/>
    <hyperlink ref="J840" r:id="rId525" xr:uid="{00000000-0004-0000-0000-00000C020000}"/>
    <hyperlink ref="J842" r:id="rId526" xr:uid="{00000000-0004-0000-0000-00000D020000}"/>
    <hyperlink ref="J843" r:id="rId527" xr:uid="{00000000-0004-0000-0000-00000E020000}"/>
    <hyperlink ref="J844" r:id="rId528" xr:uid="{00000000-0004-0000-0000-00000F020000}"/>
    <hyperlink ref="J846" r:id="rId529" xr:uid="{00000000-0004-0000-0000-000010020000}"/>
    <hyperlink ref="J847" r:id="rId530" xr:uid="{00000000-0004-0000-0000-000011020000}"/>
    <hyperlink ref="J849" r:id="rId531" xr:uid="{00000000-0004-0000-0000-000012020000}"/>
    <hyperlink ref="J851" r:id="rId532" xr:uid="{00000000-0004-0000-0000-000013020000}"/>
    <hyperlink ref="J852" r:id="rId533" xr:uid="{00000000-0004-0000-0000-000014020000}"/>
    <hyperlink ref="J853" r:id="rId534" xr:uid="{00000000-0004-0000-0000-000015020000}"/>
    <hyperlink ref="J855" r:id="rId535" xr:uid="{00000000-0004-0000-0000-000016020000}"/>
    <hyperlink ref="J856" r:id="rId536" xr:uid="{00000000-0004-0000-0000-000017020000}"/>
    <hyperlink ref="J857" r:id="rId537" xr:uid="{00000000-0004-0000-0000-000018020000}"/>
    <hyperlink ref="J137" r:id="rId538" xr:uid="{08E49B8B-AB87-44CE-BD88-6A72072643F3}"/>
    <hyperlink ref="J538" r:id="rId539" xr:uid="{613E919C-99D5-4936-BD6E-E1B66FD364CC}"/>
  </hyperlinks>
  <pageMargins left="0.7" right="0.7" top="0.75" bottom="0.75" header="0.511811023622047" footer="0.511811023622047"/>
  <pageSetup orientation="portrait" horizontalDpi="300" verticalDpi="300"/>
  <tableParts count="1">
    <tablePart r:id="rId5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39"/>
  <sheetViews>
    <sheetView topLeftCell="A1200" zoomScaleNormal="100" workbookViewId="0">
      <selection activeCell="B1250" sqref="B125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7715</v>
      </c>
      <c r="C5">
        <v>2022</v>
      </c>
      <c r="E5" s="11" t="s">
        <v>7718</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7714</v>
      </c>
      <c r="C73">
        <v>2023</v>
      </c>
      <c r="E73" s="11" t="s">
        <v>7710</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2919</v>
      </c>
      <c r="C111">
        <v>2023</v>
      </c>
      <c r="E111" s="1" t="s">
        <v>3053</v>
      </c>
    </row>
    <row r="112" spans="1:5" ht="15" customHeight="1" x14ac:dyDescent="0.25">
      <c r="A112" t="s">
        <v>353</v>
      </c>
      <c r="B112" t="s">
        <v>2921</v>
      </c>
      <c r="C112">
        <v>2023</v>
      </c>
      <c r="E112" s="1" t="s">
        <v>3054</v>
      </c>
    </row>
    <row r="113" spans="1:5" ht="15" customHeight="1" x14ac:dyDescent="0.25">
      <c r="A113" t="s">
        <v>353</v>
      </c>
      <c r="B113" t="s">
        <v>2970</v>
      </c>
      <c r="C113">
        <v>2023</v>
      </c>
      <c r="E113" s="11" t="s">
        <v>3055</v>
      </c>
    </row>
    <row r="114" spans="1:5" ht="15" customHeight="1" x14ac:dyDescent="0.25">
      <c r="A114" t="s">
        <v>360</v>
      </c>
      <c r="B114" t="s">
        <v>7715</v>
      </c>
      <c r="C114">
        <v>2025</v>
      </c>
      <c r="E114" s="11" t="s">
        <v>7718</v>
      </c>
    </row>
    <row r="115" spans="1:5" ht="15" customHeight="1" x14ac:dyDescent="0.25">
      <c r="A115" t="s">
        <v>364</v>
      </c>
      <c r="B115" t="s">
        <v>1632</v>
      </c>
      <c r="C115">
        <v>2024</v>
      </c>
      <c r="E115" s="1" t="s">
        <v>3036</v>
      </c>
    </row>
    <row r="116" spans="1:5" ht="15" customHeight="1" x14ac:dyDescent="0.25">
      <c r="A116" t="s">
        <v>364</v>
      </c>
      <c r="B116" t="s">
        <v>1894</v>
      </c>
      <c r="C116">
        <v>2024</v>
      </c>
      <c r="E116" s="1" t="s">
        <v>3037</v>
      </c>
    </row>
    <row r="117" spans="1:5" ht="15" customHeight="1" x14ac:dyDescent="0.25">
      <c r="A117" t="s">
        <v>379</v>
      </c>
      <c r="B117" t="s">
        <v>381</v>
      </c>
      <c r="C117">
        <v>1998</v>
      </c>
      <c r="D117" t="s">
        <v>187</v>
      </c>
    </row>
    <row r="118" spans="1:5" ht="15" customHeight="1" x14ac:dyDescent="0.25">
      <c r="A118" t="s">
        <v>383</v>
      </c>
      <c r="B118" t="s">
        <v>1527</v>
      </c>
      <c r="C118">
        <v>2017</v>
      </c>
      <c r="E118" s="1" t="s">
        <v>3056</v>
      </c>
    </row>
    <row r="119" spans="1:5" ht="15" customHeight="1" x14ac:dyDescent="0.25">
      <c r="A119" t="s">
        <v>383</v>
      </c>
      <c r="B119" t="s">
        <v>2649</v>
      </c>
      <c r="C119">
        <v>2017</v>
      </c>
      <c r="E119" s="11" t="s">
        <v>3057</v>
      </c>
    </row>
    <row r="120" spans="1:5" ht="15" customHeight="1" x14ac:dyDescent="0.25">
      <c r="A120" t="s">
        <v>435</v>
      </c>
      <c r="B120" t="s">
        <v>2255</v>
      </c>
      <c r="C120">
        <v>2019</v>
      </c>
      <c r="E120" s="1" t="s">
        <v>2983</v>
      </c>
    </row>
    <row r="121" spans="1:5" ht="15" customHeight="1" x14ac:dyDescent="0.25">
      <c r="A121" t="s">
        <v>439</v>
      </c>
      <c r="B121" t="s">
        <v>443</v>
      </c>
      <c r="C121">
        <v>2023</v>
      </c>
      <c r="D121" t="s">
        <v>187</v>
      </c>
      <c r="E121" s="1"/>
    </row>
    <row r="122" spans="1:5" ht="15" customHeight="1" x14ac:dyDescent="0.25">
      <c r="A122" t="s">
        <v>457</v>
      </c>
      <c r="B122" t="s">
        <v>394</v>
      </c>
      <c r="C122">
        <v>2022</v>
      </c>
      <c r="E122" s="11" t="s">
        <v>3058</v>
      </c>
    </row>
    <row r="123" spans="1:5" ht="15" customHeight="1" x14ac:dyDescent="0.25">
      <c r="A123" t="s">
        <v>457</v>
      </c>
      <c r="B123" t="s">
        <v>2839</v>
      </c>
      <c r="C123">
        <v>2022</v>
      </c>
      <c r="D123" t="s">
        <v>187</v>
      </c>
    </row>
    <row r="124" spans="1:5" ht="15" customHeight="1" x14ac:dyDescent="0.25">
      <c r="A124" t="s">
        <v>462</v>
      </c>
      <c r="B124" t="s">
        <v>1354</v>
      </c>
      <c r="C124">
        <v>2018</v>
      </c>
      <c r="D124" t="s">
        <v>187</v>
      </c>
      <c r="E124" s="1" t="s">
        <v>3059</v>
      </c>
    </row>
    <row r="125" spans="1:5" ht="15" customHeight="1" x14ac:dyDescent="0.25">
      <c r="A125" t="s">
        <v>464</v>
      </c>
      <c r="B125" t="s">
        <v>1377</v>
      </c>
      <c r="C125">
        <v>2022</v>
      </c>
      <c r="D125" t="s">
        <v>187</v>
      </c>
      <c r="E125" s="1"/>
    </row>
    <row r="126" spans="1:5" ht="15" customHeight="1" x14ac:dyDescent="0.25">
      <c r="A126" t="s">
        <v>490</v>
      </c>
      <c r="B126" t="s">
        <v>1051</v>
      </c>
      <c r="C126">
        <v>2009</v>
      </c>
      <c r="E126" s="11" t="s">
        <v>3060</v>
      </c>
    </row>
    <row r="127" spans="1:5" ht="15" customHeight="1" x14ac:dyDescent="0.25">
      <c r="A127" t="s">
        <v>490</v>
      </c>
      <c r="B127" t="s">
        <v>1514</v>
      </c>
      <c r="C127">
        <v>2009</v>
      </c>
      <c r="E127" s="1" t="s">
        <v>3061</v>
      </c>
    </row>
    <row r="128" spans="1:5" ht="15" customHeight="1" x14ac:dyDescent="0.25">
      <c r="A128" t="s">
        <v>490</v>
      </c>
      <c r="B128" t="s">
        <v>1720</v>
      </c>
      <c r="C128">
        <v>2009</v>
      </c>
      <c r="E128" s="1" t="s">
        <v>2983</v>
      </c>
    </row>
    <row r="129" spans="1:5" ht="15" customHeight="1" x14ac:dyDescent="0.25">
      <c r="A129" t="s">
        <v>490</v>
      </c>
      <c r="B129" t="s">
        <v>1971</v>
      </c>
      <c r="C129">
        <v>2009</v>
      </c>
      <c r="E129" s="1" t="s">
        <v>3062</v>
      </c>
    </row>
    <row r="130" spans="1:5" ht="15" customHeight="1" x14ac:dyDescent="0.25">
      <c r="A130" t="s">
        <v>490</v>
      </c>
      <c r="B130" t="s">
        <v>2201</v>
      </c>
      <c r="C130">
        <v>2009</v>
      </c>
      <c r="E130" s="1" t="s">
        <v>3063</v>
      </c>
    </row>
    <row r="131" spans="1:5" ht="15" customHeight="1" x14ac:dyDescent="0.25">
      <c r="A131" t="s">
        <v>490</v>
      </c>
      <c r="B131" t="s">
        <v>2407</v>
      </c>
      <c r="C131">
        <v>2009</v>
      </c>
      <c r="E131" s="11" t="s">
        <v>3064</v>
      </c>
    </row>
    <row r="132" spans="1:5" ht="15" customHeight="1" x14ac:dyDescent="0.25">
      <c r="A132" t="s">
        <v>490</v>
      </c>
      <c r="B132" t="s">
        <v>2789</v>
      </c>
      <c r="C132">
        <v>2009</v>
      </c>
      <c r="E132" s="1" t="s">
        <v>3065</v>
      </c>
    </row>
    <row r="133" spans="1:5" ht="15" customHeight="1" x14ac:dyDescent="0.25">
      <c r="A133" t="s">
        <v>490</v>
      </c>
      <c r="B133" t="s">
        <v>2855</v>
      </c>
      <c r="C133">
        <v>2009</v>
      </c>
      <c r="E133" s="1" t="s">
        <v>3066</v>
      </c>
    </row>
    <row r="134" spans="1:5" ht="15" customHeight="1" x14ac:dyDescent="0.25">
      <c r="A134" t="s">
        <v>497</v>
      </c>
      <c r="B134" t="s">
        <v>294</v>
      </c>
      <c r="C134">
        <v>2022</v>
      </c>
      <c r="E134" s="11" t="s">
        <v>3067</v>
      </c>
    </row>
    <row r="135" spans="1:5" ht="15" customHeight="1" x14ac:dyDescent="0.25">
      <c r="A135" t="s">
        <v>497</v>
      </c>
      <c r="B135" t="s">
        <v>319</v>
      </c>
      <c r="C135">
        <v>2022</v>
      </c>
      <c r="E135" s="1" t="s">
        <v>2983</v>
      </c>
    </row>
    <row r="136" spans="1:5" ht="15" customHeight="1" x14ac:dyDescent="0.25">
      <c r="A136" t="s">
        <v>497</v>
      </c>
      <c r="B136" t="s">
        <v>610</v>
      </c>
      <c r="C136">
        <v>2022</v>
      </c>
      <c r="E136" s="11" t="s">
        <v>3068</v>
      </c>
    </row>
    <row r="137" spans="1:5" ht="15" customHeight="1" x14ac:dyDescent="0.25">
      <c r="A137" t="s">
        <v>497</v>
      </c>
      <c r="B137" t="s">
        <v>1362</v>
      </c>
      <c r="C137">
        <v>2022</v>
      </c>
      <c r="E137" s="11" t="s">
        <v>3069</v>
      </c>
    </row>
    <row r="138" spans="1:5" ht="15" customHeight="1" x14ac:dyDescent="0.25">
      <c r="A138" t="s">
        <v>497</v>
      </c>
      <c r="B138" t="s">
        <v>1392</v>
      </c>
      <c r="C138">
        <v>2022</v>
      </c>
      <c r="E138" t="s">
        <v>2983</v>
      </c>
    </row>
    <row r="139" spans="1:5" ht="15" customHeight="1" x14ac:dyDescent="0.25">
      <c r="A139" t="s">
        <v>497</v>
      </c>
      <c r="B139" t="s">
        <v>1493</v>
      </c>
      <c r="C139">
        <v>2022</v>
      </c>
      <c r="E139" s="1" t="s">
        <v>3070</v>
      </c>
    </row>
    <row r="140" spans="1:5" ht="15" customHeight="1" x14ac:dyDescent="0.25">
      <c r="A140" t="s">
        <v>497</v>
      </c>
      <c r="B140" t="s">
        <v>1597</v>
      </c>
      <c r="C140">
        <v>2022</v>
      </c>
      <c r="E140" s="1" t="s">
        <v>3071</v>
      </c>
    </row>
    <row r="141" spans="1:5" ht="15" customHeight="1" x14ac:dyDescent="0.25">
      <c r="A141" t="s">
        <v>497</v>
      </c>
      <c r="B141" t="s">
        <v>1826</v>
      </c>
      <c r="C141">
        <v>2022</v>
      </c>
      <c r="E141" s="1" t="s">
        <v>1829</v>
      </c>
    </row>
    <row r="142" spans="1:5" ht="15" customHeight="1" x14ac:dyDescent="0.25">
      <c r="A142" t="s">
        <v>497</v>
      </c>
      <c r="B142" t="s">
        <v>7715</v>
      </c>
      <c r="C142">
        <v>2022</v>
      </c>
      <c r="E142" s="11" t="s">
        <v>7718</v>
      </c>
    </row>
    <row r="143" spans="1:5" ht="15" customHeight="1" x14ac:dyDescent="0.25">
      <c r="A143" t="s">
        <v>497</v>
      </c>
      <c r="B143" t="s">
        <v>1959</v>
      </c>
      <c r="C143">
        <v>2022</v>
      </c>
      <c r="E143" s="1" t="s">
        <v>1962</v>
      </c>
    </row>
    <row r="144" spans="1:5" ht="15" customHeight="1" x14ac:dyDescent="0.25">
      <c r="A144" t="s">
        <v>497</v>
      </c>
      <c r="B144" t="s">
        <v>2050</v>
      </c>
      <c r="C144">
        <v>2022</v>
      </c>
      <c r="E144" s="1" t="s">
        <v>3009</v>
      </c>
    </row>
    <row r="145" spans="1:5" ht="15" customHeight="1" x14ac:dyDescent="0.25">
      <c r="A145" t="s">
        <v>497</v>
      </c>
      <c r="B145" t="s">
        <v>2284</v>
      </c>
      <c r="C145">
        <v>2022</v>
      </c>
      <c r="E145" s="11" t="s">
        <v>3072</v>
      </c>
    </row>
    <row r="146" spans="1:5" ht="15" customHeight="1" x14ac:dyDescent="0.25">
      <c r="A146" t="s">
        <v>497</v>
      </c>
      <c r="B146" t="s">
        <v>2839</v>
      </c>
      <c r="C146">
        <v>2022</v>
      </c>
      <c r="E146" s="1" t="s">
        <v>3073</v>
      </c>
    </row>
    <row r="147" spans="1:5" ht="15" customHeight="1" x14ac:dyDescent="0.25">
      <c r="A147" t="s">
        <v>505</v>
      </c>
      <c r="B147" t="s">
        <v>606</v>
      </c>
      <c r="C147">
        <v>2024</v>
      </c>
      <c r="E147" s="1" t="s">
        <v>609</v>
      </c>
    </row>
    <row r="148" spans="1:5" ht="15" customHeight="1" x14ac:dyDescent="0.25">
      <c r="A148" t="s">
        <v>510</v>
      </c>
      <c r="B148" t="s">
        <v>673</v>
      </c>
      <c r="C148">
        <v>2018</v>
      </c>
      <c r="D148" t="s">
        <v>187</v>
      </c>
      <c r="E148" s="1"/>
    </row>
    <row r="149" spans="1:5" ht="15" customHeight="1" x14ac:dyDescent="0.25">
      <c r="A149" t="s">
        <v>517</v>
      </c>
      <c r="B149" t="s">
        <v>519</v>
      </c>
      <c r="C149">
        <v>2010</v>
      </c>
      <c r="D149" t="s">
        <v>187</v>
      </c>
    </row>
    <row r="150" spans="1:5" ht="15" customHeight="1" x14ac:dyDescent="0.25">
      <c r="A150" t="s">
        <v>522</v>
      </c>
      <c r="B150" t="s">
        <v>985</v>
      </c>
      <c r="C150">
        <v>1989</v>
      </c>
      <c r="E150" s="1" t="s">
        <v>3074</v>
      </c>
    </row>
    <row r="151" spans="1:5" ht="15" customHeight="1" x14ac:dyDescent="0.25">
      <c r="A151" t="s">
        <v>525</v>
      </c>
      <c r="B151" t="s">
        <v>2963</v>
      </c>
      <c r="C151">
        <v>2005</v>
      </c>
      <c r="E151" s="1" t="s">
        <v>3007</v>
      </c>
    </row>
    <row r="152" spans="1:5" ht="15" customHeight="1" x14ac:dyDescent="0.25">
      <c r="A152" t="s">
        <v>531</v>
      </c>
      <c r="B152" t="s">
        <v>534</v>
      </c>
      <c r="C152">
        <v>2010</v>
      </c>
      <c r="E152" s="1" t="s">
        <v>3075</v>
      </c>
    </row>
    <row r="153" spans="1:5" ht="15" customHeight="1" x14ac:dyDescent="0.25">
      <c r="A153" t="s">
        <v>531</v>
      </c>
      <c r="B153" t="s">
        <v>536</v>
      </c>
      <c r="C153">
        <v>2010</v>
      </c>
      <c r="E153" s="1" t="s">
        <v>3076</v>
      </c>
    </row>
    <row r="154" spans="1:5" ht="15" customHeight="1" x14ac:dyDescent="0.25">
      <c r="A154" t="s">
        <v>536</v>
      </c>
      <c r="B154" t="s">
        <v>538</v>
      </c>
      <c r="C154">
        <v>2013</v>
      </c>
      <c r="D154" t="s">
        <v>187</v>
      </c>
      <c r="E154" s="1"/>
    </row>
    <row r="155" spans="1:5" ht="15" customHeight="1" x14ac:dyDescent="0.25">
      <c r="A155" t="s">
        <v>540</v>
      </c>
      <c r="B155" t="s">
        <v>2078</v>
      </c>
      <c r="C155">
        <v>2015</v>
      </c>
      <c r="E155" s="11" t="s">
        <v>3077</v>
      </c>
    </row>
    <row r="156" spans="1:5" ht="15" customHeight="1" x14ac:dyDescent="0.25">
      <c r="A156" t="s">
        <v>549</v>
      </c>
      <c r="B156" t="s">
        <v>2891</v>
      </c>
      <c r="C156">
        <v>2017</v>
      </c>
      <c r="E156" s="1" t="s">
        <v>3078</v>
      </c>
    </row>
    <row r="157" spans="1:5" ht="15" customHeight="1" x14ac:dyDescent="0.25">
      <c r="A157" t="s">
        <v>553</v>
      </c>
      <c r="B157" t="s">
        <v>273</v>
      </c>
      <c r="C157">
        <v>2010</v>
      </c>
      <c r="E157" s="1" t="s">
        <v>2983</v>
      </c>
    </row>
    <row r="158" spans="1:5" ht="15" customHeight="1" x14ac:dyDescent="0.25">
      <c r="A158" t="s">
        <v>553</v>
      </c>
      <c r="B158" t="s">
        <v>2448</v>
      </c>
      <c r="C158">
        <v>2010</v>
      </c>
      <c r="D158" t="s">
        <v>187</v>
      </c>
      <c r="E158" s="1"/>
    </row>
    <row r="159" spans="1:5" ht="15" customHeight="1" x14ac:dyDescent="0.25">
      <c r="A159" t="s">
        <v>571</v>
      </c>
      <c r="B159" t="s">
        <v>1374</v>
      </c>
      <c r="C159">
        <v>2022</v>
      </c>
      <c r="D159" t="s">
        <v>187</v>
      </c>
    </row>
    <row r="160" spans="1:5" ht="15" customHeight="1" x14ac:dyDescent="0.25">
      <c r="A160" t="s">
        <v>574</v>
      </c>
      <c r="B160" t="s">
        <v>310</v>
      </c>
      <c r="C160">
        <v>2019</v>
      </c>
      <c r="E160" s="1" t="s">
        <v>3079</v>
      </c>
    </row>
    <row r="161" spans="1:5" ht="15" customHeight="1" x14ac:dyDescent="0.25">
      <c r="A161" t="s">
        <v>574</v>
      </c>
      <c r="B161" t="s">
        <v>2600</v>
      </c>
      <c r="C161">
        <v>2019</v>
      </c>
      <c r="E161" s="11" t="s">
        <v>3080</v>
      </c>
    </row>
    <row r="162" spans="1:5" ht="15" customHeight="1" x14ac:dyDescent="0.25">
      <c r="A162" t="s">
        <v>578</v>
      </c>
      <c r="B162" t="s">
        <v>1094</v>
      </c>
      <c r="C162">
        <v>1998</v>
      </c>
      <c r="D162" t="s">
        <v>187</v>
      </c>
      <c r="E162" s="1"/>
    </row>
    <row r="163" spans="1:5" ht="15" customHeight="1" x14ac:dyDescent="0.25">
      <c r="A163" t="s">
        <v>581</v>
      </c>
      <c r="B163" t="s">
        <v>578</v>
      </c>
      <c r="C163">
        <v>1997</v>
      </c>
      <c r="D163" t="s">
        <v>187</v>
      </c>
      <c r="E163" s="1"/>
    </row>
    <row r="164" spans="1:5" ht="15" customHeight="1" x14ac:dyDescent="0.25">
      <c r="A164" t="s">
        <v>586</v>
      </c>
      <c r="B164" t="s">
        <v>591</v>
      </c>
      <c r="C164">
        <v>2023</v>
      </c>
      <c r="D164" t="s">
        <v>187</v>
      </c>
      <c r="E164" s="1"/>
    </row>
    <row r="165" spans="1:5" ht="15" customHeight="1" x14ac:dyDescent="0.25">
      <c r="A165" t="s">
        <v>606</v>
      </c>
      <c r="B165" t="s">
        <v>910</v>
      </c>
      <c r="C165">
        <v>2025</v>
      </c>
      <c r="E165" t="s">
        <v>2983</v>
      </c>
    </row>
    <row r="166" spans="1:5" ht="15" customHeight="1" x14ac:dyDescent="0.25">
      <c r="A166" t="s">
        <v>606</v>
      </c>
      <c r="B166" t="s">
        <v>7715</v>
      </c>
      <c r="C166">
        <v>2025</v>
      </c>
      <c r="E166" s="11" t="s">
        <v>7718</v>
      </c>
    </row>
    <row r="167" spans="1:5" ht="15" customHeight="1" x14ac:dyDescent="0.25">
      <c r="A167" t="s">
        <v>623</v>
      </c>
      <c r="B167" t="s">
        <v>1599</v>
      </c>
      <c r="C167">
        <v>2017</v>
      </c>
      <c r="E167" s="1" t="s">
        <v>3081</v>
      </c>
    </row>
    <row r="168" spans="1:5" ht="15" customHeight="1" x14ac:dyDescent="0.25">
      <c r="A168" t="s">
        <v>623</v>
      </c>
      <c r="B168" t="s">
        <v>2624</v>
      </c>
      <c r="C168">
        <v>2017</v>
      </c>
      <c r="E168" s="1" t="s">
        <v>3082</v>
      </c>
    </row>
    <row r="169" spans="1:5" ht="15" customHeight="1" x14ac:dyDescent="0.25">
      <c r="A169" t="s">
        <v>643</v>
      </c>
      <c r="B169" t="s">
        <v>403</v>
      </c>
      <c r="C169">
        <v>2020</v>
      </c>
      <c r="D169" t="s">
        <v>187</v>
      </c>
      <c r="E169" s="1"/>
    </row>
    <row r="170" spans="1:5" ht="15" customHeight="1" x14ac:dyDescent="0.25">
      <c r="A170" t="s">
        <v>651</v>
      </c>
      <c r="B170" t="s">
        <v>1876</v>
      </c>
      <c r="C170">
        <v>2023</v>
      </c>
      <c r="E170" s="1" t="s">
        <v>3083</v>
      </c>
    </row>
    <row r="171" spans="1:5" ht="15" customHeight="1" x14ac:dyDescent="0.25">
      <c r="A171" t="s">
        <v>651</v>
      </c>
      <c r="B171" t="s">
        <v>2813</v>
      </c>
      <c r="C171">
        <v>2023</v>
      </c>
      <c r="E171" s="1" t="s">
        <v>3084</v>
      </c>
    </row>
    <row r="172" spans="1:5" ht="15" customHeight="1" x14ac:dyDescent="0.25">
      <c r="A172" t="s">
        <v>689</v>
      </c>
      <c r="B172" t="s">
        <v>190</v>
      </c>
      <c r="C172">
        <v>2015</v>
      </c>
      <c r="E172" s="1" t="s">
        <v>3085</v>
      </c>
    </row>
    <row r="173" spans="1:5" ht="15" customHeight="1" x14ac:dyDescent="0.25">
      <c r="A173" t="s">
        <v>689</v>
      </c>
      <c r="B173" t="s">
        <v>473</v>
      </c>
      <c r="C173">
        <v>2015</v>
      </c>
      <c r="E173" s="1" t="s">
        <v>3086</v>
      </c>
    </row>
    <row r="174" spans="1:5" ht="15" customHeight="1" x14ac:dyDescent="0.25">
      <c r="A174" t="s">
        <v>689</v>
      </c>
      <c r="B174" t="s">
        <v>571</v>
      </c>
      <c r="C174">
        <v>2015</v>
      </c>
      <c r="E174" s="11" t="s">
        <v>3087</v>
      </c>
    </row>
    <row r="175" spans="1:5" ht="15" customHeight="1" x14ac:dyDescent="0.25">
      <c r="A175" t="s">
        <v>689</v>
      </c>
      <c r="B175" t="s">
        <v>821</v>
      </c>
      <c r="C175">
        <v>2015</v>
      </c>
      <c r="E175" s="1" t="s">
        <v>3088</v>
      </c>
    </row>
    <row r="176" spans="1:5" ht="15" customHeight="1" x14ac:dyDescent="0.25">
      <c r="A176" t="s">
        <v>689</v>
      </c>
      <c r="B176" t="s">
        <v>1260</v>
      </c>
      <c r="C176">
        <v>2015</v>
      </c>
      <c r="E176" t="s">
        <v>2983</v>
      </c>
    </row>
    <row r="177" spans="1:5" ht="15" customHeight="1" x14ac:dyDescent="0.25">
      <c r="A177" t="s">
        <v>689</v>
      </c>
      <c r="B177" t="s">
        <v>1401</v>
      </c>
      <c r="C177">
        <v>2015</v>
      </c>
      <c r="E177" s="11" t="s">
        <v>2992</v>
      </c>
    </row>
    <row r="178" spans="1:5" ht="15" customHeight="1" x14ac:dyDescent="0.25">
      <c r="A178" t="s">
        <v>689</v>
      </c>
      <c r="B178" t="s">
        <v>1493</v>
      </c>
      <c r="C178">
        <v>2015</v>
      </c>
      <c r="E178" s="1" t="s">
        <v>3089</v>
      </c>
    </row>
    <row r="179" spans="1:5" ht="15" customHeight="1" x14ac:dyDescent="0.25">
      <c r="A179" t="s">
        <v>689</v>
      </c>
      <c r="B179" t="s">
        <v>2319</v>
      </c>
      <c r="C179">
        <v>2015</v>
      </c>
      <c r="E179" s="1" t="s">
        <v>3090</v>
      </c>
    </row>
    <row r="180" spans="1:5" ht="15" customHeight="1" x14ac:dyDescent="0.25">
      <c r="A180" t="s">
        <v>709</v>
      </c>
      <c r="B180" t="s">
        <v>602</v>
      </c>
      <c r="C180">
        <v>2022</v>
      </c>
      <c r="E180" s="1" t="s">
        <v>2983</v>
      </c>
    </row>
    <row r="181" spans="1:5" ht="15" customHeight="1" x14ac:dyDescent="0.25">
      <c r="A181" t="s">
        <v>709</v>
      </c>
      <c r="B181" t="s">
        <v>1167</v>
      </c>
      <c r="C181">
        <v>2022</v>
      </c>
      <c r="E181" s="1" t="s">
        <v>3091</v>
      </c>
    </row>
    <row r="182" spans="1:5" ht="15" customHeight="1" x14ac:dyDescent="0.25">
      <c r="A182" t="s">
        <v>717</v>
      </c>
      <c r="B182" t="s">
        <v>2046</v>
      </c>
      <c r="C182">
        <v>2024</v>
      </c>
      <c r="E182" s="11" t="s">
        <v>3068</v>
      </c>
    </row>
    <row r="183" spans="1:5" ht="15" customHeight="1" x14ac:dyDescent="0.25">
      <c r="A183" t="s">
        <v>720</v>
      </c>
      <c r="B183" t="s">
        <v>724</v>
      </c>
      <c r="C183">
        <v>2016</v>
      </c>
      <c r="D183" t="s">
        <v>187</v>
      </c>
      <c r="E183" s="1" t="s">
        <v>3078</v>
      </c>
    </row>
    <row r="184" spans="1:5" ht="15" customHeight="1" x14ac:dyDescent="0.25">
      <c r="A184" t="s">
        <v>720</v>
      </c>
      <c r="B184" t="s">
        <v>1440</v>
      </c>
      <c r="C184">
        <v>2016</v>
      </c>
      <c r="E184" s="1" t="s">
        <v>3092</v>
      </c>
    </row>
    <row r="185" spans="1:5" ht="15" customHeight="1" x14ac:dyDescent="0.25">
      <c r="A185" t="s">
        <v>720</v>
      </c>
      <c r="B185" t="s">
        <v>2245</v>
      </c>
      <c r="C185">
        <v>2016</v>
      </c>
      <c r="E185" s="11" t="s">
        <v>3093</v>
      </c>
    </row>
    <row r="186" spans="1:5" ht="15" customHeight="1" x14ac:dyDescent="0.25">
      <c r="A186" t="s">
        <v>726</v>
      </c>
      <c r="B186" t="s">
        <v>1799</v>
      </c>
      <c r="C186">
        <v>2020</v>
      </c>
      <c r="E186" s="11" t="s">
        <v>3094</v>
      </c>
    </row>
    <row r="187" spans="1:5" ht="15" customHeight="1" x14ac:dyDescent="0.25">
      <c r="A187" t="s">
        <v>726</v>
      </c>
      <c r="B187" t="s">
        <v>2066</v>
      </c>
      <c r="C187">
        <v>2020</v>
      </c>
      <c r="D187" t="s">
        <v>187</v>
      </c>
      <c r="E187" s="1"/>
    </row>
    <row r="188" spans="1:5" ht="15" customHeight="1" x14ac:dyDescent="0.25">
      <c r="A188" t="s">
        <v>737</v>
      </c>
      <c r="B188" t="s">
        <v>310</v>
      </c>
      <c r="C188">
        <v>2019</v>
      </c>
      <c r="D188" t="s">
        <v>187</v>
      </c>
      <c r="E188" s="1" t="s">
        <v>3079</v>
      </c>
    </row>
    <row r="189" spans="1:5" ht="15" customHeight="1" x14ac:dyDescent="0.25">
      <c r="A189" t="s">
        <v>746</v>
      </c>
      <c r="B189" t="s">
        <v>237</v>
      </c>
      <c r="C189">
        <v>2015</v>
      </c>
      <c r="E189" s="1" t="s">
        <v>3095</v>
      </c>
    </row>
    <row r="190" spans="1:5" ht="15" customHeight="1" x14ac:dyDescent="0.25">
      <c r="A190" t="s">
        <v>746</v>
      </c>
      <c r="B190" t="s">
        <v>301</v>
      </c>
      <c r="C190">
        <v>2015</v>
      </c>
      <c r="D190" t="s">
        <v>3096</v>
      </c>
      <c r="E190" s="1" t="s">
        <v>3097</v>
      </c>
    </row>
    <row r="191" spans="1:5" ht="15" customHeight="1" x14ac:dyDescent="0.25">
      <c r="A191" t="s">
        <v>746</v>
      </c>
      <c r="B191" t="s">
        <v>598</v>
      </c>
      <c r="C191">
        <v>2015</v>
      </c>
      <c r="E191" s="1" t="s">
        <v>2983</v>
      </c>
    </row>
    <row r="192" spans="1:5" ht="15" customHeight="1" x14ac:dyDescent="0.25">
      <c r="A192" t="s">
        <v>746</v>
      </c>
      <c r="B192" t="s">
        <v>647</v>
      </c>
      <c r="C192">
        <v>2015</v>
      </c>
      <c r="E192" s="1" t="s">
        <v>3098</v>
      </c>
    </row>
    <row r="193" spans="1:5" ht="15" customHeight="1" x14ac:dyDescent="0.25">
      <c r="A193" t="s">
        <v>746</v>
      </c>
      <c r="B193" t="s">
        <v>726</v>
      </c>
      <c r="C193">
        <v>2015</v>
      </c>
      <c r="E193" s="1" t="s">
        <v>3099</v>
      </c>
    </row>
    <row r="194" spans="1:5" ht="15" customHeight="1" x14ac:dyDescent="0.25">
      <c r="A194" t="s">
        <v>746</v>
      </c>
      <c r="B194" t="s">
        <v>737</v>
      </c>
      <c r="C194">
        <v>2015</v>
      </c>
      <c r="E194" s="1" t="s">
        <v>3100</v>
      </c>
    </row>
    <row r="195" spans="1:5" ht="15" customHeight="1" x14ac:dyDescent="0.25">
      <c r="A195" t="s">
        <v>746</v>
      </c>
      <c r="B195" t="s">
        <v>750</v>
      </c>
      <c r="C195">
        <v>2015</v>
      </c>
      <c r="E195" s="1"/>
    </row>
    <row r="196" spans="1:5" ht="15" customHeight="1" x14ac:dyDescent="0.25">
      <c r="A196" t="s">
        <v>746</v>
      </c>
      <c r="B196" t="s">
        <v>795</v>
      </c>
      <c r="C196">
        <v>2015</v>
      </c>
      <c r="E196" s="1" t="s">
        <v>3101</v>
      </c>
    </row>
    <row r="197" spans="1:5" ht="15" customHeight="1" x14ac:dyDescent="0.25">
      <c r="A197" t="s">
        <v>746</v>
      </c>
      <c r="B197" t="s">
        <v>813</v>
      </c>
      <c r="C197">
        <v>2015</v>
      </c>
      <c r="E197" s="1" t="s">
        <v>3102</v>
      </c>
    </row>
    <row r="198" spans="1:5" ht="15" customHeight="1" x14ac:dyDescent="0.25">
      <c r="A198" t="s">
        <v>746</v>
      </c>
      <c r="B198" t="s">
        <v>878</v>
      </c>
      <c r="C198">
        <v>2015</v>
      </c>
      <c r="E198" s="1" t="s">
        <v>3103</v>
      </c>
    </row>
    <row r="199" spans="1:5" ht="15" customHeight="1" x14ac:dyDescent="0.25">
      <c r="A199" t="s">
        <v>746</v>
      </c>
      <c r="B199" t="s">
        <v>981</v>
      </c>
      <c r="C199">
        <v>2015</v>
      </c>
      <c r="E199" s="11" t="s">
        <v>3104</v>
      </c>
    </row>
    <row r="200" spans="1:5" ht="15" customHeight="1" x14ac:dyDescent="0.25">
      <c r="A200" t="s">
        <v>746</v>
      </c>
      <c r="B200" t="s">
        <v>1051</v>
      </c>
      <c r="C200">
        <v>2015</v>
      </c>
      <c r="E200" s="1" t="s">
        <v>3105</v>
      </c>
    </row>
    <row r="201" spans="1:5" ht="15" customHeight="1" x14ac:dyDescent="0.25">
      <c r="A201" t="s">
        <v>746</v>
      </c>
      <c r="B201" t="s">
        <v>1345</v>
      </c>
      <c r="C201">
        <v>2015</v>
      </c>
      <c r="E201" s="1" t="s">
        <v>3106</v>
      </c>
    </row>
    <row r="202" spans="1:5" ht="15" customHeight="1" x14ac:dyDescent="0.25">
      <c r="A202" t="s">
        <v>746</v>
      </c>
      <c r="B202" t="s">
        <v>1451</v>
      </c>
      <c r="C202">
        <v>2015</v>
      </c>
      <c r="E202" s="1" t="s">
        <v>3107</v>
      </c>
    </row>
    <row r="203" spans="1:5" ht="15" customHeight="1" x14ac:dyDescent="0.25">
      <c r="A203" t="s">
        <v>746</v>
      </c>
      <c r="B203" t="s">
        <v>1527</v>
      </c>
      <c r="C203">
        <v>2015</v>
      </c>
      <c r="E203" s="1" t="s">
        <v>3056</v>
      </c>
    </row>
    <row r="204" spans="1:5" ht="15" customHeight="1" x14ac:dyDescent="0.25">
      <c r="A204" t="s">
        <v>746</v>
      </c>
      <c r="B204" t="s">
        <v>1575</v>
      </c>
      <c r="C204">
        <v>2015</v>
      </c>
      <c r="E204" s="1" t="s">
        <v>2983</v>
      </c>
    </row>
    <row r="205" spans="1:5" ht="15" customHeight="1" x14ac:dyDescent="0.25">
      <c r="A205" t="s">
        <v>746</v>
      </c>
      <c r="B205" t="s">
        <v>1769</v>
      </c>
      <c r="C205">
        <v>2015</v>
      </c>
      <c r="E205" s="11" t="s">
        <v>3108</v>
      </c>
    </row>
    <row r="206" spans="1:5" ht="15" customHeight="1" x14ac:dyDescent="0.25">
      <c r="A206" t="s">
        <v>746</v>
      </c>
      <c r="B206" t="s">
        <v>2245</v>
      </c>
      <c r="C206">
        <v>2015</v>
      </c>
      <c r="E206" s="11" t="s">
        <v>3093</v>
      </c>
    </row>
    <row r="207" spans="1:5" ht="15" customHeight="1" x14ac:dyDescent="0.25">
      <c r="A207" t="s">
        <v>746</v>
      </c>
      <c r="B207" t="s">
        <v>2280</v>
      </c>
      <c r="C207">
        <v>2015</v>
      </c>
      <c r="E207" s="1" t="s">
        <v>3109</v>
      </c>
    </row>
    <row r="208" spans="1:5" ht="15" customHeight="1" x14ac:dyDescent="0.25">
      <c r="A208" t="s">
        <v>746</v>
      </c>
      <c r="B208" t="s">
        <v>2319</v>
      </c>
      <c r="C208">
        <v>2015</v>
      </c>
      <c r="E208" s="1" t="s">
        <v>3090</v>
      </c>
    </row>
    <row r="209" spans="1:5" ht="15" customHeight="1" x14ac:dyDescent="0.25">
      <c r="A209" t="s">
        <v>746</v>
      </c>
      <c r="B209" t="s">
        <v>90</v>
      </c>
      <c r="C209">
        <v>2015</v>
      </c>
      <c r="E209" s="1" t="s">
        <v>3110</v>
      </c>
    </row>
    <row r="210" spans="1:5" ht="15" customHeight="1" x14ac:dyDescent="0.25">
      <c r="A210" t="s">
        <v>746</v>
      </c>
      <c r="B210" t="s">
        <v>2482</v>
      </c>
      <c r="C210">
        <v>2015</v>
      </c>
      <c r="E210" s="1" t="s">
        <v>3000</v>
      </c>
    </row>
    <row r="211" spans="1:5" ht="15" customHeight="1" x14ac:dyDescent="0.25">
      <c r="A211" t="s">
        <v>746</v>
      </c>
      <c r="B211" t="s">
        <v>2703</v>
      </c>
      <c r="C211">
        <v>2015</v>
      </c>
      <c r="E211" s="1" t="s">
        <v>2983</v>
      </c>
    </row>
    <row r="212" spans="1:5" ht="15" customHeight="1" x14ac:dyDescent="0.25">
      <c r="A212" t="s">
        <v>746</v>
      </c>
      <c r="B212" t="s">
        <v>2823</v>
      </c>
      <c r="C212">
        <v>2015</v>
      </c>
      <c r="E212" s="1" t="s">
        <v>3111</v>
      </c>
    </row>
    <row r="213" spans="1:5" ht="15" customHeight="1" x14ac:dyDescent="0.25">
      <c r="A213" t="s">
        <v>754</v>
      </c>
      <c r="B213" t="s">
        <v>894</v>
      </c>
      <c r="C213">
        <v>2022</v>
      </c>
      <c r="E213" s="11" t="s">
        <v>3112</v>
      </c>
    </row>
    <row r="214" spans="1:5" ht="15" customHeight="1" x14ac:dyDescent="0.25">
      <c r="A214" t="s">
        <v>759</v>
      </c>
      <c r="B214" t="s">
        <v>228</v>
      </c>
      <c r="C214">
        <v>2018</v>
      </c>
      <c r="E214" s="1" t="s">
        <v>3113</v>
      </c>
    </row>
    <row r="215" spans="1:5" ht="15" customHeight="1" x14ac:dyDescent="0.25">
      <c r="A215" t="s">
        <v>759</v>
      </c>
      <c r="B215" t="s">
        <v>241</v>
      </c>
      <c r="C215">
        <v>2018</v>
      </c>
      <c r="E215" s="1" t="s">
        <v>2983</v>
      </c>
    </row>
    <row r="216" spans="1:5" ht="15" customHeight="1" x14ac:dyDescent="0.25">
      <c r="A216" t="s">
        <v>759</v>
      </c>
      <c r="B216" t="s">
        <v>253</v>
      </c>
      <c r="C216">
        <v>2018</v>
      </c>
      <c r="E216" s="11" t="s">
        <v>3114</v>
      </c>
    </row>
    <row r="217" spans="1:5" ht="15" customHeight="1" x14ac:dyDescent="0.25">
      <c r="A217" t="s">
        <v>759</v>
      </c>
      <c r="B217" t="s">
        <v>310</v>
      </c>
      <c r="C217">
        <v>2018</v>
      </c>
      <c r="E217" s="1" t="s">
        <v>3079</v>
      </c>
    </row>
    <row r="218" spans="1:5" ht="15" customHeight="1" x14ac:dyDescent="0.25">
      <c r="A218" t="s">
        <v>759</v>
      </c>
      <c r="B218" t="s">
        <v>330</v>
      </c>
      <c r="C218">
        <v>2018</v>
      </c>
      <c r="E218" s="11" t="s">
        <v>3115</v>
      </c>
    </row>
    <row r="219" spans="1:5" ht="15" customHeight="1" x14ac:dyDescent="0.25">
      <c r="A219" t="s">
        <v>759</v>
      </c>
      <c r="B219" t="s">
        <v>387</v>
      </c>
      <c r="C219">
        <v>2018</v>
      </c>
      <c r="E219" s="1" t="s">
        <v>3116</v>
      </c>
    </row>
    <row r="220" spans="1:5" ht="15" customHeight="1" x14ac:dyDescent="0.25">
      <c r="A220" t="s">
        <v>759</v>
      </c>
      <c r="B220" t="s">
        <v>709</v>
      </c>
      <c r="C220">
        <v>2018</v>
      </c>
      <c r="E220" s="1" t="s">
        <v>3117</v>
      </c>
    </row>
    <row r="221" spans="1:5" ht="15" customHeight="1" x14ac:dyDescent="0.25">
      <c r="A221" t="s">
        <v>759</v>
      </c>
      <c r="B221" t="s">
        <v>846</v>
      </c>
      <c r="C221">
        <v>2018</v>
      </c>
      <c r="E221" s="1" t="s">
        <v>3118</v>
      </c>
    </row>
    <row r="222" spans="1:5" ht="15" customHeight="1" x14ac:dyDescent="0.25">
      <c r="A222" t="s">
        <v>759</v>
      </c>
      <c r="B222" t="s">
        <v>949</v>
      </c>
      <c r="C222">
        <v>2018</v>
      </c>
      <c r="E222" s="1" t="s">
        <v>3119</v>
      </c>
    </row>
    <row r="223" spans="1:5" ht="15" customHeight="1" x14ac:dyDescent="0.25">
      <c r="A223" t="s">
        <v>759</v>
      </c>
      <c r="B223" t="s">
        <v>1003</v>
      </c>
      <c r="C223">
        <v>2018</v>
      </c>
      <c r="E223" s="1" t="s">
        <v>3120</v>
      </c>
    </row>
    <row r="224" spans="1:5" ht="15" customHeight="1" x14ac:dyDescent="0.25">
      <c r="A224" t="s">
        <v>759</v>
      </c>
      <c r="B224" t="s">
        <v>1030</v>
      </c>
      <c r="C224">
        <v>2018</v>
      </c>
      <c r="E224" s="1" t="s">
        <v>2983</v>
      </c>
    </row>
    <row r="225" spans="1:5" ht="15" customHeight="1" x14ac:dyDescent="0.25">
      <c r="A225" t="s">
        <v>759</v>
      </c>
      <c r="B225" t="s">
        <v>1152</v>
      </c>
      <c r="C225">
        <v>2018</v>
      </c>
      <c r="E225" s="1" t="s">
        <v>3121</v>
      </c>
    </row>
    <row r="226" spans="1:5" ht="15" customHeight="1" x14ac:dyDescent="0.25">
      <c r="A226" t="s">
        <v>759</v>
      </c>
      <c r="B226" t="s">
        <v>1160</v>
      </c>
      <c r="C226">
        <v>2018</v>
      </c>
      <c r="E226" s="1" t="s">
        <v>3122</v>
      </c>
    </row>
    <row r="227" spans="1:5" ht="15" customHeight="1" x14ac:dyDescent="0.25">
      <c r="A227" t="s">
        <v>759</v>
      </c>
      <c r="B227" t="s">
        <v>1480</v>
      </c>
      <c r="C227">
        <v>2018</v>
      </c>
      <c r="E227" s="11" t="s">
        <v>3123</v>
      </c>
    </row>
    <row r="228" spans="1:5" ht="15" customHeight="1" x14ac:dyDescent="0.25">
      <c r="A228" t="s">
        <v>759</v>
      </c>
      <c r="B228" t="s">
        <v>1642</v>
      </c>
      <c r="C228">
        <v>2018</v>
      </c>
      <c r="E228" s="1" t="s">
        <v>3124</v>
      </c>
    </row>
    <row r="229" spans="1:5" ht="15" customHeight="1" x14ac:dyDescent="0.25">
      <c r="A229" t="s">
        <v>759</v>
      </c>
      <c r="B229" t="s">
        <v>1866</v>
      </c>
      <c r="C229">
        <v>2018</v>
      </c>
      <c r="E229" s="1" t="s">
        <v>3014</v>
      </c>
    </row>
    <row r="230" spans="1:5" ht="15" customHeight="1" x14ac:dyDescent="0.25">
      <c r="A230" t="s">
        <v>759</v>
      </c>
      <c r="B230" t="s">
        <v>2070</v>
      </c>
      <c r="C230">
        <v>2018</v>
      </c>
      <c r="E230" s="1" t="s">
        <v>2983</v>
      </c>
    </row>
    <row r="231" spans="1:5" ht="15" customHeight="1" x14ac:dyDescent="0.25">
      <c r="A231" t="s">
        <v>759</v>
      </c>
      <c r="B231" t="s">
        <v>2147</v>
      </c>
      <c r="C231">
        <v>2018</v>
      </c>
      <c r="E231" s="1" t="s">
        <v>3125</v>
      </c>
    </row>
    <row r="232" spans="1:5" ht="15" customHeight="1" x14ac:dyDescent="0.25">
      <c r="A232" t="s">
        <v>759</v>
      </c>
      <c r="B232" t="s">
        <v>2255</v>
      </c>
      <c r="C232">
        <v>2018</v>
      </c>
      <c r="E232" s="1" t="s">
        <v>2983</v>
      </c>
    </row>
    <row r="233" spans="1:5" ht="15" customHeight="1" x14ac:dyDescent="0.25">
      <c r="A233" t="s">
        <v>759</v>
      </c>
      <c r="B233" t="s">
        <v>2404</v>
      </c>
      <c r="C233">
        <v>2018</v>
      </c>
      <c r="E233" s="1" t="s">
        <v>3126</v>
      </c>
    </row>
    <row r="234" spans="1:5" ht="15" customHeight="1" x14ac:dyDescent="0.25">
      <c r="A234" t="s">
        <v>759</v>
      </c>
      <c r="B234" t="s">
        <v>2600</v>
      </c>
      <c r="C234">
        <v>2018</v>
      </c>
      <c r="E234" s="11" t="s">
        <v>3080</v>
      </c>
    </row>
    <row r="235" spans="1:5" ht="15" customHeight="1" x14ac:dyDescent="0.25">
      <c r="A235" t="s">
        <v>759</v>
      </c>
      <c r="B235" t="s">
        <v>2664</v>
      </c>
      <c r="C235">
        <v>2018</v>
      </c>
      <c r="D235" t="s">
        <v>187</v>
      </c>
      <c r="E235" s="1" t="s">
        <v>3127</v>
      </c>
    </row>
    <row r="236" spans="1:5" ht="15" customHeight="1" x14ac:dyDescent="0.25">
      <c r="A236" t="s">
        <v>759</v>
      </c>
      <c r="B236" t="s">
        <v>2767</v>
      </c>
      <c r="C236">
        <v>2018</v>
      </c>
      <c r="E236" s="1" t="s">
        <v>2983</v>
      </c>
    </row>
    <row r="237" spans="1:5" ht="15" customHeight="1" x14ac:dyDescent="0.25">
      <c r="A237" t="s">
        <v>759</v>
      </c>
      <c r="B237" t="s">
        <v>2783</v>
      </c>
      <c r="C237">
        <v>2018</v>
      </c>
      <c r="E237" s="1" t="s">
        <v>3128</v>
      </c>
    </row>
    <row r="238" spans="1:5" ht="15" customHeight="1" x14ac:dyDescent="0.25">
      <c r="A238" t="s">
        <v>759</v>
      </c>
      <c r="B238" t="s">
        <v>2895</v>
      </c>
      <c r="C238">
        <v>2018</v>
      </c>
      <c r="D238" t="s">
        <v>187</v>
      </c>
      <c r="E238" s="1" t="s">
        <v>3129</v>
      </c>
    </row>
    <row r="239" spans="1:5" ht="15" customHeight="1" x14ac:dyDescent="0.25">
      <c r="A239" t="s">
        <v>778</v>
      </c>
      <c r="B239" t="s">
        <v>394</v>
      </c>
      <c r="C239">
        <v>2023</v>
      </c>
      <c r="E239" s="11" t="s">
        <v>3058</v>
      </c>
    </row>
    <row r="240" spans="1:5" ht="15" customHeight="1" x14ac:dyDescent="0.25">
      <c r="A240" t="s">
        <v>778</v>
      </c>
      <c r="B240" t="s">
        <v>1060</v>
      </c>
      <c r="C240">
        <v>2023</v>
      </c>
      <c r="E240" s="1" t="s">
        <v>2983</v>
      </c>
    </row>
    <row r="241" spans="1:5" ht="15" customHeight="1" x14ac:dyDescent="0.25">
      <c r="A241" t="s">
        <v>778</v>
      </c>
      <c r="B241" t="s">
        <v>1464</v>
      </c>
      <c r="C241">
        <v>2023</v>
      </c>
      <c r="E241" s="1" t="s">
        <v>3130</v>
      </c>
    </row>
    <row r="242" spans="1:5" ht="15" customHeight="1" x14ac:dyDescent="0.25">
      <c r="A242" t="s">
        <v>778</v>
      </c>
      <c r="B242" t="s">
        <v>2382</v>
      </c>
      <c r="C242">
        <v>2023</v>
      </c>
      <c r="E242" s="1" t="s">
        <v>3049</v>
      </c>
    </row>
    <row r="243" spans="1:5" ht="15" customHeight="1" x14ac:dyDescent="0.25">
      <c r="A243" t="s">
        <v>778</v>
      </c>
      <c r="B243" t="s">
        <v>2670</v>
      </c>
      <c r="C243">
        <v>2023</v>
      </c>
      <c r="E243" s="1" t="s">
        <v>3131</v>
      </c>
    </row>
    <row r="244" spans="1:5" ht="15" customHeight="1" x14ac:dyDescent="0.25">
      <c r="A244" t="s">
        <v>786</v>
      </c>
      <c r="B244" t="s">
        <v>1109</v>
      </c>
      <c r="C244">
        <v>2023</v>
      </c>
      <c r="E244" t="s">
        <v>2983</v>
      </c>
    </row>
    <row r="245" spans="1:5" ht="15" customHeight="1" x14ac:dyDescent="0.25">
      <c r="A245" t="s">
        <v>811</v>
      </c>
      <c r="B245" t="s">
        <v>360</v>
      </c>
      <c r="C245">
        <v>2024</v>
      </c>
      <c r="E245" s="11" t="s">
        <v>7719</v>
      </c>
    </row>
    <row r="246" spans="1:5" ht="15" customHeight="1" x14ac:dyDescent="0.25">
      <c r="A246" t="s">
        <v>811</v>
      </c>
      <c r="B246" t="s">
        <v>1313</v>
      </c>
      <c r="C246">
        <v>2024</v>
      </c>
      <c r="E246" t="s">
        <v>2983</v>
      </c>
    </row>
    <row r="247" spans="1:5" ht="15" customHeight="1" x14ac:dyDescent="0.25">
      <c r="A247" t="s">
        <v>811</v>
      </c>
      <c r="B247" t="s">
        <v>7715</v>
      </c>
      <c r="C247">
        <v>2024</v>
      </c>
      <c r="E247" s="11" t="s">
        <v>7718</v>
      </c>
    </row>
    <row r="248" spans="1:5" ht="15" customHeight="1" x14ac:dyDescent="0.25">
      <c r="A248" t="s">
        <v>811</v>
      </c>
      <c r="B248" t="s">
        <v>2670</v>
      </c>
      <c r="C248">
        <v>2024</v>
      </c>
      <c r="E248" s="1" t="s">
        <v>3131</v>
      </c>
    </row>
    <row r="249" spans="1:5" ht="15" customHeight="1" x14ac:dyDescent="0.25">
      <c r="A249" t="s">
        <v>813</v>
      </c>
      <c r="B249" t="s">
        <v>786</v>
      </c>
      <c r="C249">
        <v>2018</v>
      </c>
      <c r="E249" s="1" t="s">
        <v>2983</v>
      </c>
    </row>
    <row r="250" spans="1:5" ht="15" customHeight="1" x14ac:dyDescent="0.25">
      <c r="A250" t="s">
        <v>826</v>
      </c>
      <c r="B250" t="s">
        <v>493</v>
      </c>
      <c r="C250">
        <v>2019</v>
      </c>
      <c r="E250" s="1" t="s">
        <v>2983</v>
      </c>
    </row>
    <row r="251" spans="1:5" ht="15" customHeight="1" x14ac:dyDescent="0.25">
      <c r="A251" t="s">
        <v>836</v>
      </c>
      <c r="B251" t="s">
        <v>1566</v>
      </c>
      <c r="C251">
        <v>2010</v>
      </c>
      <c r="E251" s="11" t="s">
        <v>3132</v>
      </c>
    </row>
    <row r="252" spans="1:5" ht="15" customHeight="1" x14ac:dyDescent="0.25">
      <c r="A252" t="s">
        <v>836</v>
      </c>
      <c r="B252" t="s">
        <v>160</v>
      </c>
      <c r="C252">
        <v>2010</v>
      </c>
      <c r="E252" s="1" t="s">
        <v>3133</v>
      </c>
    </row>
    <row r="253" spans="1:5" ht="15" customHeight="1" x14ac:dyDescent="0.25">
      <c r="A253" t="s">
        <v>842</v>
      </c>
      <c r="B253" t="s">
        <v>2340</v>
      </c>
      <c r="C253">
        <v>2021</v>
      </c>
      <c r="E253" s="1" t="s">
        <v>2983</v>
      </c>
    </row>
    <row r="254" spans="1:5" ht="15" customHeight="1" x14ac:dyDescent="0.25">
      <c r="A254" t="s">
        <v>842</v>
      </c>
      <c r="B254" t="s">
        <v>2366</v>
      </c>
      <c r="C254">
        <v>2021</v>
      </c>
      <c r="D254" t="s">
        <v>187</v>
      </c>
      <c r="E254" s="1"/>
    </row>
    <row r="255" spans="1:5" ht="15" customHeight="1" x14ac:dyDescent="0.25">
      <c r="A255" t="s">
        <v>848</v>
      </c>
      <c r="B255" t="s">
        <v>294</v>
      </c>
      <c r="C255">
        <v>1996</v>
      </c>
      <c r="E255" s="11" t="s">
        <v>3134</v>
      </c>
    </row>
    <row r="256" spans="1:5" ht="15" customHeight="1" x14ac:dyDescent="0.25">
      <c r="A256" t="s">
        <v>848</v>
      </c>
      <c r="B256" t="s">
        <v>462</v>
      </c>
      <c r="C256">
        <v>1996</v>
      </c>
      <c r="E256" s="11" t="s">
        <v>3135</v>
      </c>
    </row>
    <row r="257" spans="1:5" ht="15" customHeight="1" x14ac:dyDescent="0.25">
      <c r="A257" t="s">
        <v>848</v>
      </c>
      <c r="B257" t="s">
        <v>517</v>
      </c>
      <c r="C257">
        <v>1996</v>
      </c>
      <c r="E257" s="11" t="s">
        <v>3001</v>
      </c>
    </row>
    <row r="258" spans="1:5" ht="15" customHeight="1" x14ac:dyDescent="0.25">
      <c r="A258" t="s">
        <v>848</v>
      </c>
      <c r="B258" t="s">
        <v>741</v>
      </c>
      <c r="C258">
        <v>1996</v>
      </c>
      <c r="E258" s="11" t="s">
        <v>3136</v>
      </c>
    </row>
    <row r="259" spans="1:5" ht="15" customHeight="1" x14ac:dyDescent="0.25">
      <c r="A259" t="s">
        <v>848</v>
      </c>
      <c r="B259" t="s">
        <v>778</v>
      </c>
      <c r="C259">
        <v>1996</v>
      </c>
      <c r="E259" s="11" t="s">
        <v>3137</v>
      </c>
    </row>
    <row r="260" spans="1:5" ht="15" customHeight="1" x14ac:dyDescent="0.25">
      <c r="A260" t="s">
        <v>848</v>
      </c>
      <c r="B260" t="s">
        <v>985</v>
      </c>
      <c r="C260">
        <v>1996</v>
      </c>
      <c r="E260" s="11" t="s">
        <v>3074</v>
      </c>
    </row>
    <row r="261" spans="1:5" ht="15" customHeight="1" x14ac:dyDescent="0.25">
      <c r="A261" t="s">
        <v>848</v>
      </c>
      <c r="B261" t="s">
        <v>1051</v>
      </c>
      <c r="C261">
        <v>1996</v>
      </c>
      <c r="E261" s="11" t="s">
        <v>3060</v>
      </c>
    </row>
    <row r="262" spans="1:5" ht="15" customHeight="1" x14ac:dyDescent="0.25">
      <c r="A262" t="s">
        <v>848</v>
      </c>
      <c r="B262" t="s">
        <v>1303</v>
      </c>
      <c r="C262">
        <v>1996</v>
      </c>
      <c r="E262" s="11" t="s">
        <v>3138</v>
      </c>
    </row>
    <row r="263" spans="1:5" ht="15" customHeight="1" x14ac:dyDescent="0.25">
      <c r="A263" t="s">
        <v>848</v>
      </c>
      <c r="B263" t="s">
        <v>1345</v>
      </c>
      <c r="C263">
        <v>1996</v>
      </c>
      <c r="E263" s="11" t="s">
        <v>3139</v>
      </c>
    </row>
    <row r="264" spans="1:5" ht="15" customHeight="1" x14ac:dyDescent="0.25">
      <c r="A264" t="s">
        <v>848</v>
      </c>
      <c r="B264" t="s">
        <v>1464</v>
      </c>
      <c r="C264">
        <v>1996</v>
      </c>
      <c r="E264" s="11" t="s">
        <v>3130</v>
      </c>
    </row>
    <row r="265" spans="1:5" ht="15" customHeight="1" x14ac:dyDescent="0.25">
      <c r="A265" t="s">
        <v>848</v>
      </c>
      <c r="B265" t="s">
        <v>1521</v>
      </c>
      <c r="C265">
        <v>1996</v>
      </c>
      <c r="E265" s="11" t="s">
        <v>3140</v>
      </c>
    </row>
    <row r="266" spans="1:5" ht="15" customHeight="1" x14ac:dyDescent="0.25">
      <c r="A266" t="s">
        <v>848</v>
      </c>
      <c r="B266" t="s">
        <v>1650</v>
      </c>
      <c r="C266">
        <v>1996</v>
      </c>
      <c r="E266" s="11" t="s">
        <v>3141</v>
      </c>
    </row>
    <row r="267" spans="1:5" ht="15" customHeight="1" x14ac:dyDescent="0.25">
      <c r="A267" t="s">
        <v>848</v>
      </c>
      <c r="B267" t="s">
        <v>2024</v>
      </c>
      <c r="C267">
        <v>1996</v>
      </c>
      <c r="E267" s="11" t="s">
        <v>2995</v>
      </c>
    </row>
    <row r="268" spans="1:5" ht="15" customHeight="1" x14ac:dyDescent="0.25">
      <c r="A268" t="s">
        <v>848</v>
      </c>
      <c r="B268" t="s">
        <v>2108</v>
      </c>
      <c r="C268">
        <v>1996</v>
      </c>
      <c r="E268" s="11" t="s">
        <v>3142</v>
      </c>
    </row>
    <row r="269" spans="1:5" ht="15" customHeight="1" x14ac:dyDescent="0.25">
      <c r="A269" t="s">
        <v>848</v>
      </c>
      <c r="B269" t="s">
        <v>2544</v>
      </c>
      <c r="C269">
        <v>1996</v>
      </c>
      <c r="E269" s="11" t="s">
        <v>3143</v>
      </c>
    </row>
    <row r="270" spans="1:5" ht="15" customHeight="1" x14ac:dyDescent="0.25">
      <c r="A270" t="s">
        <v>874</v>
      </c>
      <c r="B270" t="s">
        <v>287</v>
      </c>
      <c r="C270">
        <v>2019</v>
      </c>
      <c r="E270" s="11" t="s">
        <v>3144</v>
      </c>
    </row>
    <row r="271" spans="1:5" ht="15" customHeight="1" x14ac:dyDescent="0.25">
      <c r="A271" t="s">
        <v>874</v>
      </c>
      <c r="B271" t="s">
        <v>346</v>
      </c>
      <c r="C271">
        <v>2019</v>
      </c>
      <c r="E271" s="1" t="s">
        <v>2983</v>
      </c>
    </row>
    <row r="272" spans="1:5" ht="15" customHeight="1" x14ac:dyDescent="0.25">
      <c r="A272" t="s">
        <v>874</v>
      </c>
      <c r="B272" t="s">
        <v>851</v>
      </c>
      <c r="C272">
        <v>2019</v>
      </c>
      <c r="E272" s="1" t="s">
        <v>3145</v>
      </c>
    </row>
    <row r="273" spans="1:5" ht="15" customHeight="1" x14ac:dyDescent="0.25">
      <c r="A273" t="s">
        <v>874</v>
      </c>
      <c r="B273" t="s">
        <v>864</v>
      </c>
      <c r="C273">
        <v>2019</v>
      </c>
      <c r="E273" s="1" t="s">
        <v>3029</v>
      </c>
    </row>
    <row r="274" spans="1:5" ht="15" customHeight="1" x14ac:dyDescent="0.25">
      <c r="A274" t="s">
        <v>874</v>
      </c>
      <c r="B274" t="s">
        <v>878</v>
      </c>
      <c r="C274">
        <v>2019</v>
      </c>
      <c r="E274" s="1" t="s">
        <v>3103</v>
      </c>
    </row>
    <row r="275" spans="1:5" ht="15" customHeight="1" x14ac:dyDescent="0.25">
      <c r="A275" t="s">
        <v>874</v>
      </c>
      <c r="B275" t="s">
        <v>899</v>
      </c>
      <c r="C275">
        <v>2019</v>
      </c>
      <c r="E275" s="1" t="s">
        <v>3146</v>
      </c>
    </row>
    <row r="276" spans="1:5" ht="15" customHeight="1" x14ac:dyDescent="0.25">
      <c r="A276" t="s">
        <v>874</v>
      </c>
      <c r="B276" t="s">
        <v>961</v>
      </c>
      <c r="C276">
        <v>2019</v>
      </c>
      <c r="E276" s="1" t="s">
        <v>3147</v>
      </c>
    </row>
    <row r="277" spans="1:5" ht="15" customHeight="1" x14ac:dyDescent="0.25">
      <c r="A277" t="s">
        <v>874</v>
      </c>
      <c r="B277" t="s">
        <v>2417</v>
      </c>
      <c r="C277">
        <v>2019</v>
      </c>
      <c r="E277" s="1" t="s">
        <v>2983</v>
      </c>
    </row>
    <row r="278" spans="1:5" ht="15" customHeight="1" x14ac:dyDescent="0.25">
      <c r="A278" t="s">
        <v>905</v>
      </c>
      <c r="B278" t="s">
        <v>604</v>
      </c>
      <c r="C278">
        <v>2022</v>
      </c>
      <c r="E278" s="11" t="s">
        <v>3148</v>
      </c>
    </row>
    <row r="279" spans="1:5" ht="15" customHeight="1" x14ac:dyDescent="0.25">
      <c r="A279" t="s">
        <v>905</v>
      </c>
      <c r="B279" t="s">
        <v>1086</v>
      </c>
      <c r="C279">
        <v>2022</v>
      </c>
      <c r="E279" s="1" t="s">
        <v>1089</v>
      </c>
    </row>
    <row r="280" spans="1:5" ht="15" customHeight="1" x14ac:dyDescent="0.25">
      <c r="A280" t="s">
        <v>905</v>
      </c>
      <c r="B280" t="s">
        <v>1697</v>
      </c>
      <c r="C280">
        <v>2022</v>
      </c>
      <c r="E280" s="1" t="s">
        <v>3149</v>
      </c>
    </row>
    <row r="281" spans="1:5" ht="15" customHeight="1" x14ac:dyDescent="0.25">
      <c r="A281" t="s">
        <v>905</v>
      </c>
      <c r="B281" t="s">
        <v>2847</v>
      </c>
      <c r="C281">
        <v>2022</v>
      </c>
      <c r="E281" s="1" t="s">
        <v>3150</v>
      </c>
    </row>
    <row r="282" spans="1:5" ht="15" customHeight="1" x14ac:dyDescent="0.25">
      <c r="A282" t="s">
        <v>915</v>
      </c>
      <c r="B282" t="s">
        <v>709</v>
      </c>
      <c r="C282">
        <v>2013</v>
      </c>
      <c r="E282" s="1" t="s">
        <v>3117</v>
      </c>
    </row>
    <row r="283" spans="1:5" ht="15" customHeight="1" x14ac:dyDescent="0.25">
      <c r="A283" t="s">
        <v>915</v>
      </c>
      <c r="B283" t="s">
        <v>919</v>
      </c>
      <c r="C283">
        <v>2013</v>
      </c>
      <c r="D283" t="s">
        <v>187</v>
      </c>
      <c r="E283" s="1"/>
    </row>
    <row r="284" spans="1:5" ht="15" customHeight="1" x14ac:dyDescent="0.25">
      <c r="A284" t="s">
        <v>915</v>
      </c>
      <c r="B284" t="s">
        <v>1395</v>
      </c>
      <c r="C284">
        <v>2013</v>
      </c>
      <c r="E284" s="1" t="s">
        <v>3034</v>
      </c>
    </row>
    <row r="285" spans="1:5" ht="15" customHeight="1" x14ac:dyDescent="0.25">
      <c r="A285" t="s">
        <v>915</v>
      </c>
      <c r="B285" t="s">
        <v>2145</v>
      </c>
      <c r="C285">
        <v>2013</v>
      </c>
      <c r="E285" s="1" t="s">
        <v>3151</v>
      </c>
    </row>
    <row r="286" spans="1:5" ht="15" customHeight="1" x14ac:dyDescent="0.25">
      <c r="A286" t="s">
        <v>915</v>
      </c>
      <c r="B286" t="s">
        <v>2631</v>
      </c>
      <c r="C286">
        <v>2013</v>
      </c>
      <c r="E286" s="1" t="s">
        <v>3152</v>
      </c>
    </row>
    <row r="287" spans="1:5" ht="15" customHeight="1" x14ac:dyDescent="0.25">
      <c r="A287" t="s">
        <v>923</v>
      </c>
      <c r="B287" t="s">
        <v>517</v>
      </c>
      <c r="C287">
        <v>2002</v>
      </c>
      <c r="E287" s="11" t="s">
        <v>3153</v>
      </c>
    </row>
    <row r="288" spans="1:5" ht="15" customHeight="1" x14ac:dyDescent="0.25">
      <c r="A288" t="s">
        <v>923</v>
      </c>
      <c r="B288" t="s">
        <v>531</v>
      </c>
      <c r="C288">
        <v>2002</v>
      </c>
      <c r="E288" s="1" t="s">
        <v>3154</v>
      </c>
    </row>
    <row r="289" spans="1:5" ht="15" customHeight="1" x14ac:dyDescent="0.25">
      <c r="A289" t="s">
        <v>923</v>
      </c>
      <c r="B289" t="s">
        <v>985</v>
      </c>
      <c r="C289">
        <v>2002</v>
      </c>
      <c r="E289" s="11" t="s">
        <v>2989</v>
      </c>
    </row>
    <row r="290" spans="1:5" ht="15" customHeight="1" x14ac:dyDescent="0.25">
      <c r="A290" t="s">
        <v>923</v>
      </c>
      <c r="B290" t="s">
        <v>1142</v>
      </c>
      <c r="C290">
        <v>2002</v>
      </c>
      <c r="E290" s="11" t="s">
        <v>2990</v>
      </c>
    </row>
    <row r="291" spans="1:5" ht="15" customHeight="1" x14ac:dyDescent="0.25">
      <c r="A291" t="s">
        <v>923</v>
      </c>
      <c r="B291" t="s">
        <v>1426</v>
      </c>
      <c r="C291">
        <v>2002</v>
      </c>
      <c r="E291" s="1" t="s">
        <v>2983</v>
      </c>
    </row>
    <row r="292" spans="1:5" ht="15" customHeight="1" x14ac:dyDescent="0.25">
      <c r="A292" t="s">
        <v>923</v>
      </c>
      <c r="B292" t="s">
        <v>1468</v>
      </c>
      <c r="C292">
        <v>2002</v>
      </c>
      <c r="D292" t="s">
        <v>187</v>
      </c>
      <c r="E292" s="1"/>
    </row>
    <row r="293" spans="1:5" ht="15" customHeight="1" x14ac:dyDescent="0.25">
      <c r="A293" t="s">
        <v>923</v>
      </c>
      <c r="B293" t="s">
        <v>2036</v>
      </c>
      <c r="C293">
        <v>2002</v>
      </c>
      <c r="E293" s="1" t="s">
        <v>3155</v>
      </c>
    </row>
    <row r="294" spans="1:5" ht="15" customHeight="1" x14ac:dyDescent="0.25">
      <c r="A294" t="s">
        <v>923</v>
      </c>
      <c r="B294" t="s">
        <v>2407</v>
      </c>
      <c r="C294">
        <v>2002</v>
      </c>
      <c r="E294" s="11" t="s">
        <v>3064</v>
      </c>
    </row>
    <row r="295" spans="1:5" ht="15" customHeight="1" x14ac:dyDescent="0.25">
      <c r="A295" t="s">
        <v>925</v>
      </c>
      <c r="B295" t="s">
        <v>1996</v>
      </c>
      <c r="C295">
        <v>2019</v>
      </c>
      <c r="E295" s="1"/>
    </row>
    <row r="296" spans="1:5" ht="15" customHeight="1" x14ac:dyDescent="0.25">
      <c r="A296" t="s">
        <v>925</v>
      </c>
      <c r="B296" t="s">
        <v>2507</v>
      </c>
      <c r="C296">
        <v>2019</v>
      </c>
      <c r="E296" s="11" t="s">
        <v>3156</v>
      </c>
    </row>
    <row r="297" spans="1:5" ht="15" customHeight="1" x14ac:dyDescent="0.25">
      <c r="A297" t="s">
        <v>925</v>
      </c>
      <c r="B297" t="s">
        <v>2595</v>
      </c>
      <c r="C297">
        <v>2019</v>
      </c>
      <c r="E297" s="1" t="s">
        <v>3157</v>
      </c>
    </row>
    <row r="298" spans="1:5" ht="15" customHeight="1" x14ac:dyDescent="0.25">
      <c r="A298" t="s">
        <v>925</v>
      </c>
      <c r="B298" t="s">
        <v>2615</v>
      </c>
      <c r="C298">
        <v>2019</v>
      </c>
      <c r="E298" s="1" t="s">
        <v>3158</v>
      </c>
    </row>
    <row r="299" spans="1:5" ht="15" customHeight="1" x14ac:dyDescent="0.25">
      <c r="A299" t="s">
        <v>925</v>
      </c>
      <c r="B299" t="s">
        <v>2819</v>
      </c>
      <c r="C299">
        <v>2019</v>
      </c>
      <c r="E299" s="1" t="s">
        <v>3159</v>
      </c>
    </row>
    <row r="300" spans="1:5" ht="15" customHeight="1" x14ac:dyDescent="0.25">
      <c r="A300" t="s">
        <v>931</v>
      </c>
      <c r="B300" t="s">
        <v>1236</v>
      </c>
      <c r="C300">
        <v>2015</v>
      </c>
      <c r="E300" s="1" t="s">
        <v>3160</v>
      </c>
    </row>
    <row r="301" spans="1:5" ht="15" customHeight="1" x14ac:dyDescent="0.25">
      <c r="A301" t="s">
        <v>931</v>
      </c>
      <c r="B301" t="s">
        <v>1542</v>
      </c>
      <c r="C301">
        <v>2015</v>
      </c>
      <c r="E301" s="1" t="s">
        <v>3161</v>
      </c>
    </row>
    <row r="302" spans="1:5" ht="15" customHeight="1" x14ac:dyDescent="0.25">
      <c r="A302" t="s">
        <v>931</v>
      </c>
      <c r="B302" t="s">
        <v>1554</v>
      </c>
      <c r="C302">
        <v>2015</v>
      </c>
      <c r="E302" s="1" t="s">
        <v>3162</v>
      </c>
    </row>
    <row r="303" spans="1:5" ht="15" customHeight="1" x14ac:dyDescent="0.25">
      <c r="A303" t="s">
        <v>931</v>
      </c>
      <c r="B303" t="s">
        <v>2131</v>
      </c>
      <c r="C303">
        <v>2015</v>
      </c>
      <c r="E303" s="1" t="s">
        <v>3163</v>
      </c>
    </row>
    <row r="304" spans="1:5" ht="15" customHeight="1" x14ac:dyDescent="0.25">
      <c r="A304" t="s">
        <v>931</v>
      </c>
      <c r="B304" t="s">
        <v>2255</v>
      </c>
      <c r="C304">
        <v>2015</v>
      </c>
      <c r="E304" s="1" t="s">
        <v>2983</v>
      </c>
    </row>
    <row r="305" spans="1:5" ht="15" customHeight="1" x14ac:dyDescent="0.25">
      <c r="A305" t="s">
        <v>931</v>
      </c>
      <c r="B305" t="s">
        <v>2329</v>
      </c>
      <c r="C305">
        <v>2015</v>
      </c>
      <c r="E305" s="1" t="s">
        <v>3164</v>
      </c>
    </row>
    <row r="306" spans="1:5" ht="15" customHeight="1" x14ac:dyDescent="0.25">
      <c r="A306" t="s">
        <v>931</v>
      </c>
      <c r="B306" t="s">
        <v>2745</v>
      </c>
      <c r="C306">
        <v>2015</v>
      </c>
      <c r="E306" s="11" t="s">
        <v>3165</v>
      </c>
    </row>
    <row r="307" spans="1:5" ht="15" customHeight="1" x14ac:dyDescent="0.25">
      <c r="A307" t="s">
        <v>931</v>
      </c>
      <c r="B307" t="s">
        <v>2761</v>
      </c>
      <c r="C307">
        <v>2015</v>
      </c>
      <c r="E307" s="11" t="s">
        <v>3166</v>
      </c>
    </row>
    <row r="308" spans="1:5" ht="15" customHeight="1" x14ac:dyDescent="0.25">
      <c r="A308" t="s">
        <v>947</v>
      </c>
      <c r="B308" t="s">
        <v>874</v>
      </c>
      <c r="C308">
        <v>2014</v>
      </c>
      <c r="E308" s="1" t="s">
        <v>3167</v>
      </c>
    </row>
    <row r="309" spans="1:5" ht="15" customHeight="1" x14ac:dyDescent="0.25">
      <c r="A309" t="s">
        <v>947</v>
      </c>
      <c r="B309" t="s">
        <v>1687</v>
      </c>
      <c r="C309">
        <v>2014</v>
      </c>
      <c r="E309" s="1" t="s">
        <v>1690</v>
      </c>
    </row>
    <row r="310" spans="1:5" ht="15" customHeight="1" x14ac:dyDescent="0.25">
      <c r="A310" t="s">
        <v>947</v>
      </c>
      <c r="B310" t="s">
        <v>1848</v>
      </c>
      <c r="C310">
        <v>2014</v>
      </c>
      <c r="E310" s="1" t="s">
        <v>3168</v>
      </c>
    </row>
    <row r="311" spans="1:5" ht="15" customHeight="1" x14ac:dyDescent="0.25">
      <c r="A311" t="s">
        <v>947</v>
      </c>
      <c r="B311" t="s">
        <v>90</v>
      </c>
      <c r="C311">
        <v>2014</v>
      </c>
      <c r="E311" s="1" t="s">
        <v>3169</v>
      </c>
    </row>
    <row r="312" spans="1:5" ht="15" customHeight="1" x14ac:dyDescent="0.25">
      <c r="A312" t="s">
        <v>961</v>
      </c>
      <c r="B312" t="s">
        <v>2220</v>
      </c>
      <c r="C312">
        <v>2024</v>
      </c>
      <c r="E312" t="s">
        <v>2983</v>
      </c>
    </row>
    <row r="313" spans="1:5" ht="15" customHeight="1" x14ac:dyDescent="0.25">
      <c r="A313" t="s">
        <v>965</v>
      </c>
      <c r="B313" t="s">
        <v>531</v>
      </c>
      <c r="C313">
        <v>2006</v>
      </c>
      <c r="E313" s="1" t="s">
        <v>3154</v>
      </c>
    </row>
    <row r="314" spans="1:5" ht="15" customHeight="1" x14ac:dyDescent="0.25">
      <c r="A314" t="s">
        <v>965</v>
      </c>
      <c r="B314" t="s">
        <v>623</v>
      </c>
      <c r="C314">
        <v>2006</v>
      </c>
      <c r="E314" s="1" t="s">
        <v>3170</v>
      </c>
    </row>
    <row r="315" spans="1:5" ht="15" customHeight="1" x14ac:dyDescent="0.25">
      <c r="A315" t="s">
        <v>965</v>
      </c>
      <c r="B315" t="s">
        <v>836</v>
      </c>
      <c r="C315">
        <v>2006</v>
      </c>
      <c r="E315" s="1" t="s">
        <v>3171</v>
      </c>
    </row>
    <row r="316" spans="1:5" ht="15" customHeight="1" x14ac:dyDescent="0.25">
      <c r="A316" t="s">
        <v>965</v>
      </c>
      <c r="B316" t="s">
        <v>985</v>
      </c>
      <c r="C316">
        <v>2006</v>
      </c>
      <c r="E316" s="1" t="s">
        <v>3074</v>
      </c>
    </row>
    <row r="317" spans="1:5" ht="15" customHeight="1" x14ac:dyDescent="0.25">
      <c r="A317" t="s">
        <v>965</v>
      </c>
      <c r="B317" t="s">
        <v>1224</v>
      </c>
      <c r="C317">
        <v>2006</v>
      </c>
      <c r="E317" s="1" t="s">
        <v>2983</v>
      </c>
    </row>
    <row r="318" spans="1:5" ht="15" customHeight="1" x14ac:dyDescent="0.25">
      <c r="A318" t="s">
        <v>965</v>
      </c>
      <c r="B318" t="s">
        <v>1938</v>
      </c>
      <c r="C318">
        <v>2006</v>
      </c>
      <c r="E318" s="1" t="s">
        <v>1941</v>
      </c>
    </row>
    <row r="319" spans="1:5" ht="15" customHeight="1" x14ac:dyDescent="0.25">
      <c r="A319" t="s">
        <v>965</v>
      </c>
      <c r="B319" t="s">
        <v>2108</v>
      </c>
      <c r="C319">
        <v>2006</v>
      </c>
      <c r="E319" s="11" t="s">
        <v>3142</v>
      </c>
    </row>
    <row r="320" spans="1:5" ht="15" customHeight="1" x14ac:dyDescent="0.25">
      <c r="A320" t="s">
        <v>965</v>
      </c>
      <c r="B320" t="s">
        <v>2725</v>
      </c>
      <c r="C320">
        <v>2006</v>
      </c>
      <c r="E320" s="1" t="s">
        <v>2728</v>
      </c>
    </row>
    <row r="321" spans="1:5" ht="15" customHeight="1" x14ac:dyDescent="0.25">
      <c r="A321" t="s">
        <v>965</v>
      </c>
      <c r="B321" t="s">
        <v>2797</v>
      </c>
      <c r="C321">
        <v>2018</v>
      </c>
      <c r="E321" s="1" t="s">
        <v>3172</v>
      </c>
    </row>
    <row r="322" spans="1:5" ht="15" customHeight="1" x14ac:dyDescent="0.25">
      <c r="A322" t="s">
        <v>965</v>
      </c>
      <c r="B322" t="s">
        <v>2963</v>
      </c>
      <c r="C322">
        <v>2006</v>
      </c>
      <c r="E322" s="1" t="s">
        <v>3007</v>
      </c>
    </row>
    <row r="323" spans="1:5" ht="15" customHeight="1" x14ac:dyDescent="0.25">
      <c r="A323" t="s">
        <v>985</v>
      </c>
      <c r="B323" t="s">
        <v>2579</v>
      </c>
      <c r="C323">
        <v>2010</v>
      </c>
      <c r="E323" s="1" t="s">
        <v>3173</v>
      </c>
    </row>
    <row r="324" spans="1:5" ht="15" customHeight="1" x14ac:dyDescent="0.25">
      <c r="A324" t="s">
        <v>995</v>
      </c>
      <c r="B324" t="s">
        <v>1408</v>
      </c>
      <c r="C324">
        <v>2011</v>
      </c>
      <c r="E324" s="1" t="s">
        <v>3174</v>
      </c>
    </row>
    <row r="325" spans="1:5" ht="15" customHeight="1" x14ac:dyDescent="0.25">
      <c r="A325" t="s">
        <v>995</v>
      </c>
      <c r="B325" t="s">
        <v>2040</v>
      </c>
      <c r="C325">
        <v>2011</v>
      </c>
      <c r="E325" s="1" t="s">
        <v>2982</v>
      </c>
    </row>
    <row r="326" spans="1:5" ht="15" customHeight="1" x14ac:dyDescent="0.25">
      <c r="A326" t="s">
        <v>995</v>
      </c>
      <c r="B326" t="s">
        <v>2191</v>
      </c>
      <c r="C326">
        <v>2011</v>
      </c>
      <c r="E326" s="11" t="s">
        <v>3175</v>
      </c>
    </row>
    <row r="327" spans="1:5" ht="15" customHeight="1" x14ac:dyDescent="0.25">
      <c r="A327" t="s">
        <v>995</v>
      </c>
      <c r="B327" t="s">
        <v>2624</v>
      </c>
      <c r="C327">
        <v>2011</v>
      </c>
      <c r="E327" s="1" t="s">
        <v>3082</v>
      </c>
    </row>
    <row r="328" spans="1:5" ht="15" customHeight="1" x14ac:dyDescent="0.25">
      <c r="A328" t="s">
        <v>999</v>
      </c>
      <c r="B328" t="s">
        <v>2268</v>
      </c>
      <c r="C328">
        <v>2018</v>
      </c>
      <c r="D328" t="s">
        <v>187</v>
      </c>
      <c r="E328" s="1"/>
    </row>
    <row r="329" spans="1:5" ht="15" customHeight="1" x14ac:dyDescent="0.25">
      <c r="A329" t="s">
        <v>1005</v>
      </c>
      <c r="B329" t="s">
        <v>985</v>
      </c>
      <c r="C329">
        <v>2006</v>
      </c>
      <c r="E329" s="11" t="s">
        <v>2989</v>
      </c>
    </row>
    <row r="330" spans="1:5" ht="15" customHeight="1" x14ac:dyDescent="0.25">
      <c r="A330" t="s">
        <v>1005</v>
      </c>
      <c r="B330" t="s">
        <v>1483</v>
      </c>
      <c r="C330">
        <v>2006</v>
      </c>
      <c r="E330" s="1" t="s">
        <v>3176</v>
      </c>
    </row>
    <row r="331" spans="1:5" ht="15" customHeight="1" x14ac:dyDescent="0.25">
      <c r="A331" t="s">
        <v>1005</v>
      </c>
      <c r="B331" t="s">
        <v>2396</v>
      </c>
      <c r="C331">
        <v>2006</v>
      </c>
      <c r="E331" s="1" t="s">
        <v>3177</v>
      </c>
    </row>
    <row r="332" spans="1:5" ht="15" customHeight="1" x14ac:dyDescent="0.25">
      <c r="A332" t="s">
        <v>1005</v>
      </c>
      <c r="B332" t="s">
        <v>2515</v>
      </c>
      <c r="C332">
        <v>2006</v>
      </c>
      <c r="E332" s="1" t="s">
        <v>3178</v>
      </c>
    </row>
    <row r="333" spans="1:5" ht="15" customHeight="1" x14ac:dyDescent="0.25">
      <c r="A333" t="s">
        <v>1005</v>
      </c>
      <c r="B333" t="s">
        <v>2624</v>
      </c>
      <c r="C333">
        <v>2006</v>
      </c>
      <c r="E333" s="1" t="s">
        <v>3179</v>
      </c>
    </row>
    <row r="334" spans="1:5" ht="15" customHeight="1" x14ac:dyDescent="0.25">
      <c r="A334" t="s">
        <v>1005</v>
      </c>
      <c r="B334" t="s">
        <v>2770</v>
      </c>
      <c r="C334">
        <v>2006</v>
      </c>
      <c r="E334" s="1" t="s">
        <v>3180</v>
      </c>
    </row>
    <row r="335" spans="1:5" ht="15" customHeight="1" x14ac:dyDescent="0.25">
      <c r="A335" t="s">
        <v>1005</v>
      </c>
      <c r="B335" t="s">
        <v>2833</v>
      </c>
      <c r="C335">
        <v>2006</v>
      </c>
      <c r="E335" s="1" t="s">
        <v>3181</v>
      </c>
    </row>
    <row r="336" spans="1:5" ht="15" customHeight="1" x14ac:dyDescent="0.25">
      <c r="A336" t="s">
        <v>1005</v>
      </c>
      <c r="B336" t="s">
        <v>2861</v>
      </c>
      <c r="C336">
        <v>2006</v>
      </c>
      <c r="E336" s="1" t="s">
        <v>3182</v>
      </c>
    </row>
    <row r="337" spans="1:5" ht="15" customHeight="1" x14ac:dyDescent="0.25">
      <c r="A337" t="s">
        <v>1005</v>
      </c>
      <c r="B337" t="s">
        <v>2865</v>
      </c>
      <c r="C337">
        <v>2006</v>
      </c>
      <c r="E337" s="1" t="s">
        <v>3183</v>
      </c>
    </row>
    <row r="338" spans="1:5" ht="15" customHeight="1" x14ac:dyDescent="0.25">
      <c r="A338" t="s">
        <v>1011</v>
      </c>
      <c r="B338" t="s">
        <v>2274</v>
      </c>
      <c r="C338">
        <v>2025</v>
      </c>
      <c r="E338" s="11" t="s">
        <v>3184</v>
      </c>
    </row>
    <row r="339" spans="1:5" ht="15" customHeight="1" x14ac:dyDescent="0.25">
      <c r="A339" t="s">
        <v>1028</v>
      </c>
      <c r="B339" t="s">
        <v>985</v>
      </c>
      <c r="C339">
        <v>2008</v>
      </c>
      <c r="E339" s="11" t="s">
        <v>2989</v>
      </c>
    </row>
    <row r="340" spans="1:5" ht="15" customHeight="1" x14ac:dyDescent="0.25">
      <c r="A340" t="s">
        <v>1028</v>
      </c>
      <c r="B340" t="s">
        <v>1026</v>
      </c>
      <c r="C340">
        <v>2008</v>
      </c>
      <c r="D340" t="s">
        <v>187</v>
      </c>
      <c r="E340" s="1"/>
    </row>
    <row r="341" spans="1:5" ht="15" customHeight="1" x14ac:dyDescent="0.25">
      <c r="A341" t="s">
        <v>1030</v>
      </c>
      <c r="B341" t="s">
        <v>2813</v>
      </c>
      <c r="C341">
        <v>2022</v>
      </c>
      <c r="E341" s="1" t="s">
        <v>3084</v>
      </c>
    </row>
    <row r="342" spans="1:5" ht="15" customHeight="1" x14ac:dyDescent="0.25">
      <c r="A342" t="s">
        <v>1047</v>
      </c>
      <c r="B342" t="s">
        <v>226</v>
      </c>
      <c r="C342">
        <v>2016</v>
      </c>
      <c r="E342" s="1" t="s">
        <v>3185</v>
      </c>
    </row>
    <row r="343" spans="1:5" ht="15" customHeight="1" x14ac:dyDescent="0.25">
      <c r="A343" t="s">
        <v>1047</v>
      </c>
      <c r="B343" t="s">
        <v>245</v>
      </c>
      <c r="C343">
        <v>2016</v>
      </c>
      <c r="E343" s="1" t="s">
        <v>3186</v>
      </c>
    </row>
    <row r="344" spans="1:5" ht="15" customHeight="1" x14ac:dyDescent="0.25">
      <c r="A344" t="s">
        <v>1047</v>
      </c>
      <c r="B344" t="s">
        <v>308</v>
      </c>
      <c r="C344">
        <v>2016</v>
      </c>
      <c r="E344" s="1" t="s">
        <v>3187</v>
      </c>
    </row>
    <row r="345" spans="1:5" ht="15" customHeight="1" x14ac:dyDescent="0.25">
      <c r="A345" t="s">
        <v>1047</v>
      </c>
      <c r="B345" t="s">
        <v>319</v>
      </c>
      <c r="C345">
        <v>2016</v>
      </c>
      <c r="E345" s="1" t="s">
        <v>2983</v>
      </c>
    </row>
    <row r="346" spans="1:5" ht="15" customHeight="1" x14ac:dyDescent="0.25">
      <c r="A346" t="s">
        <v>1047</v>
      </c>
      <c r="B346" t="s">
        <v>333</v>
      </c>
      <c r="C346">
        <v>2016</v>
      </c>
      <c r="E346" s="1" t="s">
        <v>3188</v>
      </c>
    </row>
    <row r="347" spans="1:5" ht="15" customHeight="1" x14ac:dyDescent="0.25">
      <c r="A347" t="s">
        <v>1047</v>
      </c>
      <c r="B347" t="s">
        <v>415</v>
      </c>
      <c r="C347">
        <v>2016</v>
      </c>
      <c r="E347" s="1" t="s">
        <v>3189</v>
      </c>
    </row>
    <row r="348" spans="1:5" ht="15" customHeight="1" x14ac:dyDescent="0.25">
      <c r="A348" t="s">
        <v>1047</v>
      </c>
      <c r="B348" t="s">
        <v>501</v>
      </c>
      <c r="C348">
        <v>2016</v>
      </c>
      <c r="E348" s="1" t="s">
        <v>3190</v>
      </c>
    </row>
    <row r="349" spans="1:5" ht="15" customHeight="1" x14ac:dyDescent="0.25">
      <c r="A349" t="s">
        <v>1047</v>
      </c>
      <c r="B349" t="s">
        <v>709</v>
      </c>
      <c r="C349">
        <v>2016</v>
      </c>
      <c r="E349" s="1" t="s">
        <v>3117</v>
      </c>
    </row>
    <row r="350" spans="1:5" ht="15" customHeight="1" x14ac:dyDescent="0.25">
      <c r="A350" t="s">
        <v>1047</v>
      </c>
      <c r="B350" t="s">
        <v>1051</v>
      </c>
      <c r="C350">
        <v>2016</v>
      </c>
      <c r="E350" s="1" t="s">
        <v>3105</v>
      </c>
    </row>
    <row r="351" spans="1:5" ht="15" customHeight="1" x14ac:dyDescent="0.25">
      <c r="A351" t="s">
        <v>1047</v>
      </c>
      <c r="B351" t="s">
        <v>1068</v>
      </c>
      <c r="C351">
        <v>2016</v>
      </c>
      <c r="D351" t="s">
        <v>187</v>
      </c>
      <c r="E351" s="1"/>
    </row>
    <row r="352" spans="1:5" ht="15" customHeight="1" x14ac:dyDescent="0.25">
      <c r="A352" t="s">
        <v>1047</v>
      </c>
      <c r="B352" t="s">
        <v>1160</v>
      </c>
      <c r="C352">
        <v>2016</v>
      </c>
      <c r="E352" s="1" t="s">
        <v>3122</v>
      </c>
    </row>
    <row r="353" spans="1:5" ht="15" customHeight="1" x14ac:dyDescent="0.25">
      <c r="A353" t="s">
        <v>1047</v>
      </c>
      <c r="B353" t="s">
        <v>1220</v>
      </c>
      <c r="C353">
        <v>2016</v>
      </c>
      <c r="E353" s="1" t="s">
        <v>2983</v>
      </c>
    </row>
    <row r="354" spans="1:5" ht="15" customHeight="1" x14ac:dyDescent="0.25">
      <c r="A354" t="s">
        <v>1047</v>
      </c>
      <c r="B354" t="s">
        <v>1273</v>
      </c>
      <c r="C354">
        <v>2016</v>
      </c>
      <c r="E354" s="1" t="s">
        <v>3191</v>
      </c>
    </row>
    <row r="355" spans="1:5" ht="15" customHeight="1" x14ac:dyDescent="0.25">
      <c r="A355" t="s">
        <v>1047</v>
      </c>
      <c r="B355" t="s">
        <v>1517</v>
      </c>
      <c r="C355">
        <v>2016</v>
      </c>
      <c r="E355" s="1" t="s">
        <v>2983</v>
      </c>
    </row>
    <row r="356" spans="1:5" ht="15" customHeight="1" x14ac:dyDescent="0.25">
      <c r="A356" t="s">
        <v>1047</v>
      </c>
      <c r="B356" t="s">
        <v>1772</v>
      </c>
      <c r="C356">
        <v>2016</v>
      </c>
      <c r="E356" s="1" t="s">
        <v>3192</v>
      </c>
    </row>
    <row r="357" spans="1:5" ht="15" customHeight="1" x14ac:dyDescent="0.25">
      <c r="A357" t="s">
        <v>1047</v>
      </c>
      <c r="B357" t="s">
        <v>1878</v>
      </c>
      <c r="C357">
        <v>2016</v>
      </c>
      <c r="E357" s="1" t="s">
        <v>3193</v>
      </c>
    </row>
    <row r="358" spans="1:5" ht="15" customHeight="1" x14ac:dyDescent="0.25">
      <c r="A358" t="s">
        <v>1047</v>
      </c>
      <c r="B358" t="s">
        <v>1942</v>
      </c>
      <c r="C358">
        <v>2016</v>
      </c>
      <c r="E358" s="11" t="s">
        <v>3194</v>
      </c>
    </row>
    <row r="359" spans="1:5" ht="15" customHeight="1" x14ac:dyDescent="0.25">
      <c r="A359" t="s">
        <v>1047</v>
      </c>
      <c r="B359" t="s">
        <v>2057</v>
      </c>
      <c r="C359">
        <v>2016</v>
      </c>
      <c r="E359" s="1" t="s">
        <v>3195</v>
      </c>
    </row>
    <row r="360" spans="1:5" ht="15" customHeight="1" x14ac:dyDescent="0.25">
      <c r="A360" t="s">
        <v>1047</v>
      </c>
      <c r="B360" t="s">
        <v>2268</v>
      </c>
      <c r="C360">
        <v>2016</v>
      </c>
      <c r="E360" s="1" t="s">
        <v>2983</v>
      </c>
    </row>
    <row r="361" spans="1:5" ht="15" customHeight="1" x14ac:dyDescent="0.25">
      <c r="A361" t="s">
        <v>1047</v>
      </c>
      <c r="B361" t="s">
        <v>2538</v>
      </c>
      <c r="C361">
        <v>2016</v>
      </c>
      <c r="E361" s="11" t="s">
        <v>3011</v>
      </c>
    </row>
    <row r="362" spans="1:5" ht="15" customHeight="1" x14ac:dyDescent="0.25">
      <c r="A362" t="s">
        <v>1047</v>
      </c>
      <c r="B362" t="s">
        <v>2676</v>
      </c>
      <c r="C362">
        <v>2016</v>
      </c>
      <c r="E362" s="1" t="s">
        <v>3196</v>
      </c>
    </row>
    <row r="363" spans="1:5" ht="15" customHeight="1" x14ac:dyDescent="0.25">
      <c r="A363" t="s">
        <v>1047</v>
      </c>
      <c r="B363" t="s">
        <v>2699</v>
      </c>
      <c r="C363">
        <v>2016</v>
      </c>
      <c r="E363" s="1" t="s">
        <v>3197</v>
      </c>
    </row>
    <row r="364" spans="1:5" ht="15" customHeight="1" x14ac:dyDescent="0.25">
      <c r="A364" t="s">
        <v>1047</v>
      </c>
      <c r="B364" t="s">
        <v>2712</v>
      </c>
      <c r="C364">
        <v>2016</v>
      </c>
      <c r="E364" s="1" t="s">
        <v>3198</v>
      </c>
    </row>
    <row r="365" spans="1:5" ht="15" customHeight="1" x14ac:dyDescent="0.25">
      <c r="A365" t="s">
        <v>1056</v>
      </c>
      <c r="B365" t="s">
        <v>1058</v>
      </c>
      <c r="C365">
        <v>2015</v>
      </c>
      <c r="D365" t="s">
        <v>187</v>
      </c>
      <c r="E365" s="1"/>
    </row>
    <row r="366" spans="1:5" ht="15" customHeight="1" x14ac:dyDescent="0.25">
      <c r="A366" t="s">
        <v>1081</v>
      </c>
      <c r="B366" t="s">
        <v>935</v>
      </c>
      <c r="C366">
        <v>1990</v>
      </c>
      <c r="D366" t="s">
        <v>187</v>
      </c>
      <c r="E366" s="11" t="s">
        <v>3199</v>
      </c>
    </row>
    <row r="367" spans="1:5" ht="15" customHeight="1" x14ac:dyDescent="0.25">
      <c r="A367" t="s">
        <v>1090</v>
      </c>
      <c r="B367" t="s">
        <v>181</v>
      </c>
      <c r="C367">
        <v>2021</v>
      </c>
      <c r="D367" t="s">
        <v>187</v>
      </c>
      <c r="E367" s="1"/>
    </row>
    <row r="368" spans="1:5" ht="15" customHeight="1" x14ac:dyDescent="0.25">
      <c r="A368" t="s">
        <v>1090</v>
      </c>
      <c r="B368" t="s">
        <v>1109</v>
      </c>
      <c r="C368">
        <v>2021</v>
      </c>
      <c r="E368" t="s">
        <v>2983</v>
      </c>
    </row>
    <row r="369" spans="1:5" ht="15" customHeight="1" x14ac:dyDescent="0.25">
      <c r="A369" t="s">
        <v>1090</v>
      </c>
      <c r="B369" t="s">
        <v>1508</v>
      </c>
      <c r="C369">
        <v>2021</v>
      </c>
      <c r="D369" t="s">
        <v>187</v>
      </c>
      <c r="E369" s="1"/>
    </row>
    <row r="370" spans="1:5" ht="15" customHeight="1" x14ac:dyDescent="0.25">
      <c r="A370" t="s">
        <v>1094</v>
      </c>
      <c r="B370" t="s">
        <v>584</v>
      </c>
      <c r="C370">
        <v>2007</v>
      </c>
      <c r="D370" t="s">
        <v>187</v>
      </c>
      <c r="E370" s="1"/>
    </row>
    <row r="371" spans="1:5" ht="15" customHeight="1" x14ac:dyDescent="0.25">
      <c r="A371" t="s">
        <v>1101</v>
      </c>
      <c r="B371" t="s">
        <v>563</v>
      </c>
      <c r="C371">
        <v>2022</v>
      </c>
      <c r="E371" s="1" t="s">
        <v>566</v>
      </c>
    </row>
    <row r="372" spans="1:5" ht="15" customHeight="1" x14ac:dyDescent="0.25">
      <c r="A372" t="s">
        <v>1116</v>
      </c>
      <c r="B372" t="s">
        <v>1120</v>
      </c>
      <c r="C372">
        <v>2018</v>
      </c>
      <c r="D372" t="s">
        <v>187</v>
      </c>
      <c r="E372" s="1"/>
    </row>
    <row r="373" spans="1:5" ht="15" customHeight="1" x14ac:dyDescent="0.25">
      <c r="A373" t="s">
        <v>1116</v>
      </c>
      <c r="B373" t="s">
        <v>1527</v>
      </c>
      <c r="C373">
        <v>2018</v>
      </c>
      <c r="E373" s="1" t="s">
        <v>3056</v>
      </c>
    </row>
    <row r="374" spans="1:5" ht="15" customHeight="1" x14ac:dyDescent="0.25">
      <c r="A374" t="s">
        <v>1116</v>
      </c>
      <c r="B374" t="s">
        <v>2245</v>
      </c>
      <c r="C374">
        <v>2018</v>
      </c>
      <c r="E374" s="11" t="s">
        <v>3093</v>
      </c>
    </row>
    <row r="375" spans="1:5" ht="15" customHeight="1" x14ac:dyDescent="0.25">
      <c r="A375" t="s">
        <v>1124</v>
      </c>
      <c r="B375" t="s">
        <v>276</v>
      </c>
      <c r="C375">
        <v>2020</v>
      </c>
      <c r="D375" t="s">
        <v>187</v>
      </c>
    </row>
    <row r="376" spans="1:5" ht="15" customHeight="1" x14ac:dyDescent="0.25">
      <c r="A376" t="s">
        <v>1130</v>
      </c>
      <c r="B376" t="s">
        <v>851</v>
      </c>
      <c r="C376">
        <v>2022</v>
      </c>
      <c r="E376" t="s">
        <v>2983</v>
      </c>
    </row>
    <row r="377" spans="1:5" ht="15" customHeight="1" x14ac:dyDescent="0.25">
      <c r="A377" t="s">
        <v>1145</v>
      </c>
      <c r="B377" t="s">
        <v>221</v>
      </c>
      <c r="C377">
        <v>2012</v>
      </c>
      <c r="E377" s="11" t="s">
        <v>3200</v>
      </c>
    </row>
    <row r="378" spans="1:5" ht="15" customHeight="1" x14ac:dyDescent="0.25">
      <c r="A378" t="s">
        <v>1145</v>
      </c>
      <c r="B378" t="s">
        <v>283</v>
      </c>
      <c r="C378">
        <v>2018</v>
      </c>
      <c r="E378" s="1" t="s">
        <v>3201</v>
      </c>
    </row>
    <row r="379" spans="1:5" ht="15" customHeight="1" x14ac:dyDescent="0.25">
      <c r="A379" t="s">
        <v>1145</v>
      </c>
      <c r="B379" t="s">
        <v>484</v>
      </c>
      <c r="C379">
        <v>2012</v>
      </c>
      <c r="E379" s="1" t="s">
        <v>3202</v>
      </c>
    </row>
    <row r="380" spans="1:5" ht="15" customHeight="1" x14ac:dyDescent="0.25">
      <c r="A380" t="s">
        <v>1145</v>
      </c>
      <c r="B380" t="s">
        <v>493</v>
      </c>
      <c r="C380">
        <v>2012</v>
      </c>
      <c r="E380" s="1" t="s">
        <v>2983</v>
      </c>
    </row>
    <row r="381" spans="1:5" ht="15" customHeight="1" x14ac:dyDescent="0.25">
      <c r="A381" t="s">
        <v>1145</v>
      </c>
      <c r="B381" t="s">
        <v>639</v>
      </c>
      <c r="C381">
        <v>2012</v>
      </c>
      <c r="E381" s="1" t="s">
        <v>642</v>
      </c>
    </row>
    <row r="382" spans="1:5" ht="15" customHeight="1" x14ac:dyDescent="0.25">
      <c r="A382" t="s">
        <v>1145</v>
      </c>
      <c r="B382" t="s">
        <v>685</v>
      </c>
      <c r="C382">
        <v>2012</v>
      </c>
      <c r="E382" s="1" t="s">
        <v>3203</v>
      </c>
    </row>
    <row r="383" spans="1:5" ht="15" customHeight="1" x14ac:dyDescent="0.25">
      <c r="A383" t="s">
        <v>1145</v>
      </c>
      <c r="B383" t="s">
        <v>713</v>
      </c>
      <c r="C383">
        <v>2012</v>
      </c>
      <c r="E383" s="1" t="s">
        <v>3204</v>
      </c>
    </row>
    <row r="384" spans="1:5" ht="15" customHeight="1" x14ac:dyDescent="0.25">
      <c r="A384" t="s">
        <v>1145</v>
      </c>
      <c r="B384" t="s">
        <v>786</v>
      </c>
      <c r="C384">
        <v>2012</v>
      </c>
      <c r="E384" s="1" t="s">
        <v>2983</v>
      </c>
    </row>
    <row r="385" spans="1:5" ht="15" customHeight="1" x14ac:dyDescent="0.25">
      <c r="A385" t="s">
        <v>1145</v>
      </c>
      <c r="B385" t="s">
        <v>791</v>
      </c>
      <c r="C385">
        <v>2012</v>
      </c>
      <c r="E385" s="11" t="s">
        <v>3205</v>
      </c>
    </row>
    <row r="386" spans="1:5" ht="15" customHeight="1" x14ac:dyDescent="0.25">
      <c r="A386" t="s">
        <v>1145</v>
      </c>
      <c r="B386" t="s">
        <v>813</v>
      </c>
      <c r="C386">
        <v>2012</v>
      </c>
      <c r="E386" s="1" t="s">
        <v>3102</v>
      </c>
    </row>
    <row r="387" spans="1:5" ht="15" customHeight="1" x14ac:dyDescent="0.25">
      <c r="A387" t="s">
        <v>1145</v>
      </c>
      <c r="B387" t="s">
        <v>866</v>
      </c>
      <c r="C387">
        <v>2012</v>
      </c>
      <c r="E387" s="1" t="s">
        <v>3206</v>
      </c>
    </row>
    <row r="388" spans="1:5" ht="15" customHeight="1" x14ac:dyDescent="0.25">
      <c r="A388" t="s">
        <v>1145</v>
      </c>
      <c r="B388" t="s">
        <v>1124</v>
      </c>
      <c r="C388">
        <v>2012</v>
      </c>
      <c r="E388" s="11" t="s">
        <v>3207</v>
      </c>
    </row>
    <row r="389" spans="1:5" ht="15" customHeight="1" x14ac:dyDescent="0.25">
      <c r="A389" t="s">
        <v>1145</v>
      </c>
      <c r="B389" t="s">
        <v>1307</v>
      </c>
      <c r="C389">
        <v>2012</v>
      </c>
      <c r="E389" s="1" t="s">
        <v>3208</v>
      </c>
    </row>
    <row r="390" spans="1:5" ht="15" customHeight="1" x14ac:dyDescent="0.25">
      <c r="A390" t="s">
        <v>1145</v>
      </c>
      <c r="B390" t="s">
        <v>1321</v>
      </c>
      <c r="C390">
        <v>2012</v>
      </c>
      <c r="E390" s="1" t="s">
        <v>3209</v>
      </c>
    </row>
    <row r="391" spans="1:5" ht="15" customHeight="1" x14ac:dyDescent="0.25">
      <c r="A391" t="s">
        <v>1145</v>
      </c>
      <c r="B391" t="s">
        <v>1440</v>
      </c>
      <c r="C391">
        <v>2012</v>
      </c>
      <c r="E391" s="1" t="s">
        <v>3092</v>
      </c>
    </row>
    <row r="392" spans="1:5" ht="15" customHeight="1" x14ac:dyDescent="0.25">
      <c r="A392" t="s">
        <v>1145</v>
      </c>
      <c r="B392" t="s">
        <v>1444</v>
      </c>
      <c r="C392">
        <v>2012</v>
      </c>
      <c r="D392" t="s">
        <v>187</v>
      </c>
      <c r="E392" s="1" t="s">
        <v>3210</v>
      </c>
    </row>
    <row r="393" spans="1:5" ht="15" customHeight="1" x14ac:dyDescent="0.25">
      <c r="A393" t="s">
        <v>1145</v>
      </c>
      <c r="B393" t="s">
        <v>1546</v>
      </c>
      <c r="C393">
        <v>2012</v>
      </c>
      <c r="E393" s="1" t="s">
        <v>3014</v>
      </c>
    </row>
    <row r="394" spans="1:5" ht="15" customHeight="1" x14ac:dyDescent="0.25">
      <c r="A394" t="s">
        <v>1145</v>
      </c>
      <c r="B394" t="s">
        <v>1701</v>
      </c>
      <c r="C394">
        <v>2012</v>
      </c>
      <c r="E394" s="1" t="s">
        <v>3211</v>
      </c>
    </row>
    <row r="395" spans="1:5" ht="15" customHeight="1" x14ac:dyDescent="0.25">
      <c r="A395" t="s">
        <v>1145</v>
      </c>
      <c r="B395" t="s">
        <v>1848</v>
      </c>
      <c r="C395">
        <v>2012</v>
      </c>
      <c r="E395" s="1" t="s">
        <v>3212</v>
      </c>
    </row>
    <row r="396" spans="1:5" ht="15" customHeight="1" x14ac:dyDescent="0.25">
      <c r="A396" t="s">
        <v>1145</v>
      </c>
      <c r="B396" t="s">
        <v>1896</v>
      </c>
      <c r="C396">
        <v>2012</v>
      </c>
      <c r="E396" s="1" t="s">
        <v>3213</v>
      </c>
    </row>
    <row r="397" spans="1:5" ht="15" customHeight="1" x14ac:dyDescent="0.25">
      <c r="A397" t="s">
        <v>1145</v>
      </c>
      <c r="B397" t="s">
        <v>1912</v>
      </c>
      <c r="C397">
        <v>2012</v>
      </c>
      <c r="E397" s="11" t="s">
        <v>3214</v>
      </c>
    </row>
    <row r="398" spans="1:5" ht="15" customHeight="1" x14ac:dyDescent="0.25">
      <c r="A398" t="s">
        <v>1145</v>
      </c>
      <c r="B398" t="s">
        <v>2081</v>
      </c>
      <c r="C398">
        <v>2012</v>
      </c>
      <c r="E398" s="11" t="s">
        <v>3215</v>
      </c>
    </row>
    <row r="399" spans="1:5" ht="15" customHeight="1" x14ac:dyDescent="0.25">
      <c r="A399" t="s">
        <v>1145</v>
      </c>
      <c r="B399" t="s">
        <v>2145</v>
      </c>
      <c r="C399">
        <v>2012</v>
      </c>
      <c r="E399" s="1" t="s">
        <v>3151</v>
      </c>
    </row>
    <row r="400" spans="1:5" ht="15" customHeight="1" x14ac:dyDescent="0.25">
      <c r="A400" t="s">
        <v>1145</v>
      </c>
      <c r="B400" t="s">
        <v>2188</v>
      </c>
      <c r="C400">
        <v>2012</v>
      </c>
      <c r="E400" s="11" t="s">
        <v>3018</v>
      </c>
    </row>
    <row r="401" spans="1:5" ht="15" customHeight="1" x14ac:dyDescent="0.25">
      <c r="A401" t="s">
        <v>1145</v>
      </c>
      <c r="B401" t="s">
        <v>2282</v>
      </c>
      <c r="C401">
        <v>2012</v>
      </c>
      <c r="E401" s="1" t="s">
        <v>3216</v>
      </c>
    </row>
    <row r="402" spans="1:5" ht="15" customHeight="1" x14ac:dyDescent="0.25">
      <c r="A402" t="s">
        <v>1145</v>
      </c>
      <c r="B402" t="s">
        <v>90</v>
      </c>
      <c r="C402">
        <v>2012</v>
      </c>
      <c r="E402" s="1" t="s">
        <v>3217</v>
      </c>
    </row>
    <row r="403" spans="1:5" ht="15" customHeight="1" x14ac:dyDescent="0.25">
      <c r="A403" t="s">
        <v>1145</v>
      </c>
      <c r="B403" t="s">
        <v>2362</v>
      </c>
      <c r="C403">
        <v>2012</v>
      </c>
      <c r="E403" s="1" t="s">
        <v>2983</v>
      </c>
    </row>
    <row r="404" spans="1:5" ht="15" customHeight="1" x14ac:dyDescent="0.25">
      <c r="A404" t="s">
        <v>1145</v>
      </c>
      <c r="B404" t="s">
        <v>2390</v>
      </c>
      <c r="C404">
        <v>2012</v>
      </c>
      <c r="E404" s="11" t="s">
        <v>3218</v>
      </c>
    </row>
    <row r="405" spans="1:5" ht="15" customHeight="1" x14ac:dyDescent="0.25">
      <c r="A405" t="s">
        <v>1145</v>
      </c>
      <c r="B405" t="s">
        <v>2503</v>
      </c>
      <c r="C405">
        <v>2012</v>
      </c>
      <c r="E405" s="1" t="s">
        <v>3204</v>
      </c>
    </row>
    <row r="406" spans="1:5" ht="15" customHeight="1" x14ac:dyDescent="0.25">
      <c r="A406" t="s">
        <v>1145</v>
      </c>
      <c r="B406" t="s">
        <v>2531</v>
      </c>
      <c r="C406">
        <v>2012</v>
      </c>
      <c r="E406" s="1" t="s">
        <v>3219</v>
      </c>
    </row>
    <row r="407" spans="1:5" ht="15" customHeight="1" x14ac:dyDescent="0.25">
      <c r="A407" t="s">
        <v>1145</v>
      </c>
      <c r="B407" t="s">
        <v>2606</v>
      </c>
      <c r="C407">
        <v>2012</v>
      </c>
      <c r="E407" s="1" t="s">
        <v>2983</v>
      </c>
    </row>
    <row r="408" spans="1:5" ht="15" customHeight="1" x14ac:dyDescent="0.25">
      <c r="A408" t="s">
        <v>1145</v>
      </c>
      <c r="B408" t="s">
        <v>2752</v>
      </c>
      <c r="C408">
        <v>2012</v>
      </c>
      <c r="E408" s="1" t="s">
        <v>2983</v>
      </c>
    </row>
    <row r="409" spans="1:5" ht="15" customHeight="1" x14ac:dyDescent="0.25">
      <c r="A409" t="s">
        <v>1145</v>
      </c>
      <c r="B409" t="s">
        <v>2758</v>
      </c>
      <c r="C409">
        <v>2012</v>
      </c>
      <c r="E409" s="1" t="s">
        <v>2983</v>
      </c>
    </row>
    <row r="410" spans="1:5" ht="15" customHeight="1" x14ac:dyDescent="0.25">
      <c r="A410" t="s">
        <v>1145</v>
      </c>
      <c r="B410" t="s">
        <v>2825</v>
      </c>
      <c r="C410">
        <v>2012</v>
      </c>
      <c r="E410" s="1" t="s">
        <v>3220</v>
      </c>
    </row>
    <row r="411" spans="1:5" ht="15" customHeight="1" x14ac:dyDescent="0.25">
      <c r="A411" t="s">
        <v>1145</v>
      </c>
      <c r="B411" t="s">
        <v>2833</v>
      </c>
      <c r="C411">
        <v>2012</v>
      </c>
      <c r="E411" s="1" t="s">
        <v>3181</v>
      </c>
    </row>
    <row r="412" spans="1:5" ht="15" customHeight="1" x14ac:dyDescent="0.25">
      <c r="A412" t="s">
        <v>1145</v>
      </c>
      <c r="B412" t="s">
        <v>2855</v>
      </c>
      <c r="C412">
        <v>2012</v>
      </c>
      <c r="E412" s="1" t="s">
        <v>3066</v>
      </c>
    </row>
    <row r="413" spans="1:5" ht="15" customHeight="1" x14ac:dyDescent="0.25">
      <c r="A413" t="s">
        <v>1156</v>
      </c>
      <c r="B413" t="s">
        <v>327</v>
      </c>
      <c r="C413">
        <v>2010</v>
      </c>
      <c r="D413" t="s">
        <v>187</v>
      </c>
    </row>
    <row r="414" spans="1:5" ht="15" customHeight="1" x14ac:dyDescent="0.25">
      <c r="A414" t="s">
        <v>1156</v>
      </c>
      <c r="B414" t="s">
        <v>1662</v>
      </c>
      <c r="C414">
        <v>2010</v>
      </c>
      <c r="D414" t="s">
        <v>187</v>
      </c>
    </row>
    <row r="415" spans="1:5" ht="15" customHeight="1" x14ac:dyDescent="0.25">
      <c r="A415" t="s">
        <v>1156</v>
      </c>
      <c r="B415" t="s">
        <v>1747</v>
      </c>
      <c r="C415">
        <v>2010</v>
      </c>
      <c r="D415" t="s">
        <v>187</v>
      </c>
    </row>
    <row r="416" spans="1:5" ht="15" customHeight="1" x14ac:dyDescent="0.25">
      <c r="A416" t="s">
        <v>1156</v>
      </c>
      <c r="B416" t="s">
        <v>2243</v>
      </c>
      <c r="C416">
        <v>2010</v>
      </c>
      <c r="D416" t="s">
        <v>187</v>
      </c>
    </row>
    <row r="417" spans="1:5" ht="15" customHeight="1" x14ac:dyDescent="0.25">
      <c r="A417" t="s">
        <v>1158</v>
      </c>
      <c r="B417" t="s">
        <v>2729</v>
      </c>
      <c r="C417">
        <v>2014</v>
      </c>
      <c r="D417" t="s">
        <v>187</v>
      </c>
    </row>
    <row r="418" spans="1:5" ht="15" customHeight="1" x14ac:dyDescent="0.25">
      <c r="A418" t="s">
        <v>1172</v>
      </c>
      <c r="B418" t="s">
        <v>1175</v>
      </c>
      <c r="C418">
        <v>2002</v>
      </c>
      <c r="D418" t="s">
        <v>187</v>
      </c>
    </row>
    <row r="419" spans="1:5" ht="15" customHeight="1" x14ac:dyDescent="0.25">
      <c r="A419" t="s">
        <v>1175</v>
      </c>
      <c r="B419" t="s">
        <v>1178</v>
      </c>
      <c r="C419">
        <v>2007</v>
      </c>
      <c r="D419" t="s">
        <v>187</v>
      </c>
    </row>
    <row r="420" spans="1:5" ht="15" customHeight="1" x14ac:dyDescent="0.25">
      <c r="A420" t="s">
        <v>1181</v>
      </c>
      <c r="B420" t="s">
        <v>561</v>
      </c>
      <c r="C420">
        <v>2024</v>
      </c>
      <c r="D420" t="s">
        <v>187</v>
      </c>
      <c r="E420" s="1"/>
    </row>
    <row r="421" spans="1:5" ht="15" customHeight="1" x14ac:dyDescent="0.25">
      <c r="A421" t="s">
        <v>1181</v>
      </c>
      <c r="B421" t="s">
        <v>1185</v>
      </c>
      <c r="C421">
        <v>2024</v>
      </c>
      <c r="D421" t="s">
        <v>187</v>
      </c>
    </row>
    <row r="422" spans="1:5" ht="15" customHeight="1" x14ac:dyDescent="0.25">
      <c r="A422" t="s">
        <v>1188</v>
      </c>
      <c r="B422" t="s">
        <v>1192</v>
      </c>
      <c r="C422">
        <v>2020</v>
      </c>
      <c r="D422" t="s">
        <v>187</v>
      </c>
      <c r="E422" s="1"/>
    </row>
    <row r="423" spans="1:5" ht="15" customHeight="1" x14ac:dyDescent="0.25">
      <c r="A423" t="s">
        <v>1236</v>
      </c>
      <c r="B423" t="s">
        <v>1240</v>
      </c>
      <c r="C423">
        <v>2026</v>
      </c>
      <c r="D423" t="s">
        <v>187</v>
      </c>
      <c r="E423" s="1"/>
    </row>
    <row r="424" spans="1:5" ht="15" customHeight="1" x14ac:dyDescent="0.25">
      <c r="A424" t="s">
        <v>1256</v>
      </c>
      <c r="B424" t="s">
        <v>2966</v>
      </c>
      <c r="C424">
        <v>2020</v>
      </c>
      <c r="E424" s="1" t="s">
        <v>3221</v>
      </c>
    </row>
    <row r="425" spans="1:5" ht="15" customHeight="1" x14ac:dyDescent="0.25">
      <c r="A425" t="s">
        <v>1260</v>
      </c>
      <c r="B425" t="s">
        <v>1263</v>
      </c>
      <c r="C425">
        <v>2021</v>
      </c>
      <c r="D425" t="s">
        <v>187</v>
      </c>
    </row>
    <row r="426" spans="1:5" ht="15" customHeight="1" x14ac:dyDescent="0.25">
      <c r="A426" t="s">
        <v>1266</v>
      </c>
      <c r="B426" t="s">
        <v>795</v>
      </c>
      <c r="C426">
        <v>2015</v>
      </c>
      <c r="E426" s="1" t="s">
        <v>3101</v>
      </c>
    </row>
    <row r="427" spans="1:5" ht="15" customHeight="1" x14ac:dyDescent="0.25">
      <c r="A427" t="s">
        <v>1273</v>
      </c>
      <c r="B427" t="s">
        <v>488</v>
      </c>
      <c r="C427">
        <v>2020</v>
      </c>
      <c r="E427" s="1" t="s">
        <v>3222</v>
      </c>
    </row>
    <row r="428" spans="1:5" ht="15" customHeight="1" x14ac:dyDescent="0.25">
      <c r="A428" t="s">
        <v>1273</v>
      </c>
      <c r="B428" t="s">
        <v>744</v>
      </c>
      <c r="C428">
        <v>2020</v>
      </c>
      <c r="E428" s="1" t="s">
        <v>3223</v>
      </c>
    </row>
    <row r="429" spans="1:5" ht="15" customHeight="1" x14ac:dyDescent="0.25">
      <c r="A429" t="s">
        <v>1273</v>
      </c>
      <c r="B429" t="s">
        <v>2147</v>
      </c>
      <c r="C429">
        <v>2020</v>
      </c>
      <c r="E429" s="1" t="s">
        <v>3125</v>
      </c>
    </row>
    <row r="430" spans="1:5" ht="15" customHeight="1" x14ac:dyDescent="0.25">
      <c r="A430" t="s">
        <v>1273</v>
      </c>
      <c r="B430" t="s">
        <v>2813</v>
      </c>
      <c r="C430">
        <v>2020</v>
      </c>
      <c r="E430" s="1" t="s">
        <v>3084</v>
      </c>
    </row>
    <row r="431" spans="1:5" ht="15" customHeight="1" x14ac:dyDescent="0.25">
      <c r="A431" t="s">
        <v>1277</v>
      </c>
      <c r="B431" t="s">
        <v>1281</v>
      </c>
      <c r="C431">
        <v>2022</v>
      </c>
      <c r="D431" t="s">
        <v>187</v>
      </c>
      <c r="E431" s="1"/>
    </row>
    <row r="432" spans="1:5" ht="15" customHeight="1" x14ac:dyDescent="0.25">
      <c r="A432" t="s">
        <v>1285</v>
      </c>
      <c r="B432" t="s">
        <v>256</v>
      </c>
      <c r="C432">
        <v>1984</v>
      </c>
      <c r="E432" s="1" t="s">
        <v>3224</v>
      </c>
    </row>
    <row r="433" spans="1:5" ht="15" customHeight="1" x14ac:dyDescent="0.25">
      <c r="A433" t="s">
        <v>1285</v>
      </c>
      <c r="B433" t="s">
        <v>1005</v>
      </c>
      <c r="C433">
        <v>1984</v>
      </c>
      <c r="E433" s="1" t="s">
        <v>3225</v>
      </c>
    </row>
    <row r="434" spans="1:5" ht="15" customHeight="1" x14ac:dyDescent="0.25">
      <c r="A434" t="s">
        <v>1285</v>
      </c>
      <c r="B434" t="s">
        <v>1172</v>
      </c>
      <c r="C434">
        <v>1984</v>
      </c>
      <c r="E434" s="11" t="s">
        <v>3226</v>
      </c>
    </row>
    <row r="435" spans="1:5" ht="15" customHeight="1" x14ac:dyDescent="0.25">
      <c r="A435" t="s">
        <v>1285</v>
      </c>
      <c r="B435" t="s">
        <v>1178</v>
      </c>
      <c r="C435">
        <v>1984</v>
      </c>
      <c r="E435" s="11" t="s">
        <v>2991</v>
      </c>
    </row>
    <row r="436" spans="1:5" ht="15" customHeight="1" x14ac:dyDescent="0.25">
      <c r="A436" t="s">
        <v>1285</v>
      </c>
      <c r="B436" t="s">
        <v>1573</v>
      </c>
      <c r="C436">
        <v>1984</v>
      </c>
      <c r="E436" s="1" t="s">
        <v>3227</v>
      </c>
    </row>
    <row r="437" spans="1:5" ht="15" customHeight="1" x14ac:dyDescent="0.25">
      <c r="A437" t="s">
        <v>1285</v>
      </c>
      <c r="B437" t="s">
        <v>1796</v>
      </c>
      <c r="C437">
        <v>1984</v>
      </c>
      <c r="E437" s="1" t="s">
        <v>3228</v>
      </c>
    </row>
    <row r="438" spans="1:5" ht="15" customHeight="1" x14ac:dyDescent="0.25">
      <c r="A438" t="s">
        <v>1288</v>
      </c>
      <c r="B438" t="s">
        <v>2963</v>
      </c>
      <c r="C438">
        <v>2022</v>
      </c>
      <c r="E438" s="1" t="s">
        <v>3007</v>
      </c>
    </row>
    <row r="439" spans="1:5" ht="15" customHeight="1" x14ac:dyDescent="0.25">
      <c r="A439" t="s">
        <v>1295</v>
      </c>
      <c r="B439" t="s">
        <v>175</v>
      </c>
      <c r="C439">
        <v>2019</v>
      </c>
      <c r="E439" s="1" t="s">
        <v>3014</v>
      </c>
    </row>
    <row r="440" spans="1:5" ht="15" customHeight="1" x14ac:dyDescent="0.25">
      <c r="A440" t="s">
        <v>1295</v>
      </c>
      <c r="B440" t="s">
        <v>253</v>
      </c>
      <c r="C440">
        <v>2019</v>
      </c>
      <c r="E440" s="11" t="s">
        <v>3114</v>
      </c>
    </row>
    <row r="441" spans="1:5" ht="15" customHeight="1" x14ac:dyDescent="0.25">
      <c r="A441" t="s">
        <v>1295</v>
      </c>
      <c r="B441" t="s">
        <v>303</v>
      </c>
      <c r="C441">
        <v>2019</v>
      </c>
      <c r="E441" s="1" t="s">
        <v>3229</v>
      </c>
    </row>
    <row r="442" spans="1:5" ht="15" customHeight="1" x14ac:dyDescent="0.25">
      <c r="A442" t="s">
        <v>1295</v>
      </c>
      <c r="B442" t="s">
        <v>310</v>
      </c>
      <c r="C442">
        <v>2019</v>
      </c>
      <c r="E442" s="1" t="s">
        <v>3079</v>
      </c>
    </row>
    <row r="443" spans="1:5" ht="15" customHeight="1" x14ac:dyDescent="0.25">
      <c r="A443" t="s">
        <v>1295</v>
      </c>
      <c r="B443" t="s">
        <v>387</v>
      </c>
      <c r="C443">
        <v>2019</v>
      </c>
      <c r="E443" s="1" t="s">
        <v>3116</v>
      </c>
    </row>
    <row r="444" spans="1:5" ht="15" customHeight="1" x14ac:dyDescent="0.25">
      <c r="A444" t="s">
        <v>1295</v>
      </c>
      <c r="B444" t="s">
        <v>428</v>
      </c>
      <c r="C444">
        <v>2019</v>
      </c>
      <c r="E444" s="11" t="s">
        <v>3022</v>
      </c>
    </row>
    <row r="445" spans="1:5" ht="15" customHeight="1" x14ac:dyDescent="0.25">
      <c r="A445" t="s">
        <v>1295</v>
      </c>
      <c r="B445" t="s">
        <v>447</v>
      </c>
      <c r="C445">
        <v>2019</v>
      </c>
      <c r="E445" s="1" t="s">
        <v>2983</v>
      </c>
    </row>
    <row r="446" spans="1:5" ht="15" customHeight="1" x14ac:dyDescent="0.25">
      <c r="A446" t="s">
        <v>1295</v>
      </c>
      <c r="B446" t="s">
        <v>488</v>
      </c>
      <c r="C446">
        <v>2019</v>
      </c>
      <c r="E446" s="1" t="s">
        <v>3222</v>
      </c>
    </row>
    <row r="447" spans="1:5" ht="15" customHeight="1" x14ac:dyDescent="0.25">
      <c r="A447" t="s">
        <v>1295</v>
      </c>
      <c r="B447" t="s">
        <v>602</v>
      </c>
      <c r="C447">
        <v>2019</v>
      </c>
      <c r="E447" s="1" t="s">
        <v>2983</v>
      </c>
    </row>
    <row r="448" spans="1:5" ht="15" customHeight="1" x14ac:dyDescent="0.25">
      <c r="A448" t="s">
        <v>1295</v>
      </c>
      <c r="B448" t="s">
        <v>709</v>
      </c>
      <c r="C448">
        <v>2019</v>
      </c>
      <c r="E448" s="1" t="s">
        <v>3117</v>
      </c>
    </row>
    <row r="449" spans="1:5" ht="15" customHeight="1" x14ac:dyDescent="0.25">
      <c r="A449" t="s">
        <v>1295</v>
      </c>
      <c r="B449" t="s">
        <v>744</v>
      </c>
      <c r="C449">
        <v>2019</v>
      </c>
      <c r="E449" s="1" t="s">
        <v>3223</v>
      </c>
    </row>
    <row r="450" spans="1:5" ht="15" customHeight="1" x14ac:dyDescent="0.25">
      <c r="A450" t="s">
        <v>1295</v>
      </c>
      <c r="B450" t="s">
        <v>778</v>
      </c>
      <c r="C450">
        <v>2019</v>
      </c>
      <c r="E450" s="1" t="s">
        <v>3230</v>
      </c>
    </row>
    <row r="451" spans="1:5" ht="15" customHeight="1" x14ac:dyDescent="0.25">
      <c r="A451" t="s">
        <v>1295</v>
      </c>
      <c r="B451" t="s">
        <v>821</v>
      </c>
      <c r="C451">
        <v>2019</v>
      </c>
      <c r="E451" s="1" t="s">
        <v>3088</v>
      </c>
    </row>
    <row r="452" spans="1:5" ht="15" customHeight="1" x14ac:dyDescent="0.25">
      <c r="A452" t="s">
        <v>1295</v>
      </c>
      <c r="B452" t="s">
        <v>949</v>
      </c>
      <c r="C452">
        <v>2019</v>
      </c>
      <c r="E452" s="1" t="s">
        <v>3119</v>
      </c>
    </row>
    <row r="453" spans="1:5" ht="15" customHeight="1" x14ac:dyDescent="0.25">
      <c r="A453" t="s">
        <v>1295</v>
      </c>
      <c r="B453" t="s">
        <v>1003</v>
      </c>
      <c r="C453">
        <v>2019</v>
      </c>
      <c r="E453" s="1" t="s">
        <v>3120</v>
      </c>
    </row>
    <row r="454" spans="1:5" ht="15" customHeight="1" x14ac:dyDescent="0.25">
      <c r="A454" t="s">
        <v>1295</v>
      </c>
      <c r="B454" t="s">
        <v>1030</v>
      </c>
      <c r="C454">
        <v>2019</v>
      </c>
      <c r="E454" s="1" t="s">
        <v>2983</v>
      </c>
    </row>
    <row r="455" spans="1:5" ht="15" customHeight="1" x14ac:dyDescent="0.25">
      <c r="A455" t="s">
        <v>1295</v>
      </c>
      <c r="B455" t="s">
        <v>1130</v>
      </c>
      <c r="C455">
        <v>2019</v>
      </c>
      <c r="E455" s="1" t="s">
        <v>3231</v>
      </c>
    </row>
    <row r="456" spans="1:5" ht="15" customHeight="1" x14ac:dyDescent="0.25">
      <c r="A456" t="s">
        <v>1295</v>
      </c>
      <c r="B456" t="s">
        <v>1167</v>
      </c>
      <c r="C456">
        <v>2019</v>
      </c>
      <c r="E456" s="1" t="s">
        <v>3091</v>
      </c>
    </row>
    <row r="457" spans="1:5" ht="15" customHeight="1" x14ac:dyDescent="0.25">
      <c r="A457" t="s">
        <v>1295</v>
      </c>
      <c r="B457" t="s">
        <v>1220</v>
      </c>
      <c r="C457">
        <v>2019</v>
      </c>
      <c r="E457" s="1" t="s">
        <v>2983</v>
      </c>
    </row>
    <row r="458" spans="1:5" ht="15" customHeight="1" x14ac:dyDescent="0.25">
      <c r="A458" t="s">
        <v>1295</v>
      </c>
      <c r="B458" t="s">
        <v>1299</v>
      </c>
      <c r="C458">
        <v>2019</v>
      </c>
      <c r="D458" t="s">
        <v>187</v>
      </c>
      <c r="E458" s="1"/>
    </row>
    <row r="459" spans="1:5" ht="15" customHeight="1" x14ac:dyDescent="0.25">
      <c r="A459" t="s">
        <v>1295</v>
      </c>
      <c r="B459" t="s">
        <v>1327</v>
      </c>
      <c r="C459">
        <v>2019</v>
      </c>
      <c r="E459" s="1" t="s">
        <v>3232</v>
      </c>
    </row>
    <row r="460" spans="1:5" ht="15" customHeight="1" x14ac:dyDescent="0.25">
      <c r="A460" t="s">
        <v>1295</v>
      </c>
      <c r="B460" t="s">
        <v>1345</v>
      </c>
      <c r="C460">
        <v>2019</v>
      </c>
      <c r="E460" s="1" t="s">
        <v>3106</v>
      </c>
    </row>
    <row r="461" spans="1:5" ht="15" customHeight="1" x14ac:dyDescent="0.25">
      <c r="A461" t="s">
        <v>1295</v>
      </c>
      <c r="B461" t="s">
        <v>1349</v>
      </c>
      <c r="C461">
        <v>2019</v>
      </c>
      <c r="E461" s="11" t="s">
        <v>3233</v>
      </c>
    </row>
    <row r="462" spans="1:5" ht="15" customHeight="1" x14ac:dyDescent="0.25">
      <c r="A462" t="s">
        <v>1295</v>
      </c>
      <c r="B462" t="s">
        <v>1358</v>
      </c>
      <c r="C462">
        <v>2019</v>
      </c>
      <c r="E462" s="1" t="s">
        <v>3234</v>
      </c>
    </row>
    <row r="463" spans="1:5" ht="15" customHeight="1" x14ac:dyDescent="0.25">
      <c r="A463" t="s">
        <v>1295</v>
      </c>
      <c r="B463" t="s">
        <v>1493</v>
      </c>
      <c r="C463">
        <v>2019</v>
      </c>
      <c r="E463" s="1" t="s">
        <v>3089</v>
      </c>
    </row>
    <row r="464" spans="1:5" ht="15" customHeight="1" x14ac:dyDescent="0.25">
      <c r="A464" t="s">
        <v>1295</v>
      </c>
      <c r="B464" t="s">
        <v>1571</v>
      </c>
      <c r="C464">
        <v>2019</v>
      </c>
      <c r="E464" s="1" t="s">
        <v>3235</v>
      </c>
    </row>
    <row r="465" spans="1:5" ht="15" customHeight="1" x14ac:dyDescent="0.25">
      <c r="A465" t="s">
        <v>1295</v>
      </c>
      <c r="B465" t="s">
        <v>1607</v>
      </c>
      <c r="C465">
        <v>2019</v>
      </c>
      <c r="E465" s="11" t="s">
        <v>3236</v>
      </c>
    </row>
    <row r="466" spans="1:5" ht="15" customHeight="1" x14ac:dyDescent="0.25">
      <c r="A466" t="s">
        <v>1295</v>
      </c>
      <c r="B466" t="s">
        <v>1799</v>
      </c>
      <c r="C466">
        <v>2019</v>
      </c>
      <c r="E466" s="11" t="s">
        <v>3094</v>
      </c>
    </row>
    <row r="467" spans="1:5" ht="15" customHeight="1" x14ac:dyDescent="0.25">
      <c r="A467" t="s">
        <v>1295</v>
      </c>
      <c r="B467" t="s">
        <v>1802</v>
      </c>
      <c r="C467">
        <v>2019</v>
      </c>
      <c r="E467" t="s">
        <v>3014</v>
      </c>
    </row>
    <row r="468" spans="1:5" ht="15" customHeight="1" x14ac:dyDescent="0.25">
      <c r="A468" t="s">
        <v>1295</v>
      </c>
      <c r="B468" t="s">
        <v>1860</v>
      </c>
      <c r="C468">
        <v>2019</v>
      </c>
      <c r="E468" s="1" t="s">
        <v>3014</v>
      </c>
    </row>
    <row r="469" spans="1:5" ht="15" customHeight="1" x14ac:dyDescent="0.25">
      <c r="A469" t="s">
        <v>1295</v>
      </c>
      <c r="B469" t="s">
        <v>2032</v>
      </c>
      <c r="C469">
        <v>2019</v>
      </c>
      <c r="E469" s="1" t="s">
        <v>3237</v>
      </c>
    </row>
    <row r="470" spans="1:5" ht="15" customHeight="1" x14ac:dyDescent="0.25">
      <c r="A470" t="s">
        <v>1295</v>
      </c>
      <c r="B470" t="s">
        <v>2070</v>
      </c>
      <c r="C470">
        <v>2019</v>
      </c>
      <c r="E470" s="1" t="s">
        <v>2983</v>
      </c>
    </row>
    <row r="471" spans="1:5" ht="15" customHeight="1" x14ac:dyDescent="0.25">
      <c r="A471" t="s">
        <v>1295</v>
      </c>
      <c r="B471" t="s">
        <v>2072</v>
      </c>
      <c r="C471">
        <v>2019</v>
      </c>
      <c r="E471" s="1" t="s">
        <v>3238</v>
      </c>
    </row>
    <row r="472" spans="1:5" ht="15" customHeight="1" x14ac:dyDescent="0.25">
      <c r="A472" t="s">
        <v>1295</v>
      </c>
      <c r="B472" t="s">
        <v>2274</v>
      </c>
      <c r="C472">
        <v>2019</v>
      </c>
      <c r="E472" s="13" t="s">
        <v>2983</v>
      </c>
    </row>
    <row r="473" spans="1:5" ht="15" customHeight="1" x14ac:dyDescent="0.25">
      <c r="A473" t="s">
        <v>1295</v>
      </c>
      <c r="B473" t="s">
        <v>2289</v>
      </c>
      <c r="C473">
        <v>2019</v>
      </c>
      <c r="E473" s="1" t="s">
        <v>2983</v>
      </c>
    </row>
    <row r="474" spans="1:5" ht="15" customHeight="1" x14ac:dyDescent="0.25">
      <c r="A474" t="s">
        <v>1295</v>
      </c>
      <c r="B474" t="s">
        <v>2398</v>
      </c>
      <c r="C474">
        <v>2019</v>
      </c>
      <c r="E474" s="1" t="s">
        <v>3239</v>
      </c>
    </row>
    <row r="475" spans="1:5" ht="15" customHeight="1" x14ac:dyDescent="0.25">
      <c r="A475" t="s">
        <v>1295</v>
      </c>
      <c r="B475" t="s">
        <v>2440</v>
      </c>
      <c r="C475">
        <v>2019</v>
      </c>
      <c r="E475" s="1" t="s">
        <v>2983</v>
      </c>
    </row>
    <row r="476" spans="1:5" ht="15" customHeight="1" x14ac:dyDescent="0.25">
      <c r="A476" t="s">
        <v>1295</v>
      </c>
      <c r="B476" t="s">
        <v>2468</v>
      </c>
      <c r="C476">
        <v>2019</v>
      </c>
      <c r="E476" s="1" t="s">
        <v>3240</v>
      </c>
    </row>
    <row r="477" spans="1:5" ht="15" customHeight="1" x14ac:dyDescent="0.25">
      <c r="A477" t="s">
        <v>1295</v>
      </c>
      <c r="B477" t="s">
        <v>2515</v>
      </c>
      <c r="C477">
        <v>2019</v>
      </c>
      <c r="E477" s="1" t="s">
        <v>3178</v>
      </c>
    </row>
    <row r="478" spans="1:5" ht="15" customHeight="1" x14ac:dyDescent="0.25">
      <c r="A478" t="s">
        <v>1295</v>
      </c>
      <c r="B478" t="s">
        <v>2551</v>
      </c>
      <c r="C478">
        <v>2019</v>
      </c>
      <c r="E478" s="1" t="s">
        <v>3241</v>
      </c>
    </row>
    <row r="479" spans="1:5" ht="15" customHeight="1" x14ac:dyDescent="0.25">
      <c r="A479" t="s">
        <v>1295</v>
      </c>
      <c r="B479" t="s">
        <v>2591</v>
      </c>
      <c r="C479">
        <v>2019</v>
      </c>
      <c r="E479" s="1" t="s">
        <v>3242</v>
      </c>
    </row>
    <row r="480" spans="1:5" ht="15" customHeight="1" x14ac:dyDescent="0.25">
      <c r="A480" t="s">
        <v>1295</v>
      </c>
      <c r="B480" t="s">
        <v>2600</v>
      </c>
      <c r="C480">
        <v>2019</v>
      </c>
      <c r="E480" s="1" t="s">
        <v>3243</v>
      </c>
    </row>
    <row r="481" spans="1:5" ht="15" customHeight="1" x14ac:dyDescent="0.25">
      <c r="A481" t="s">
        <v>1295</v>
      </c>
      <c r="B481" t="s">
        <v>2676</v>
      </c>
      <c r="C481">
        <v>2019</v>
      </c>
      <c r="E481" s="1" t="s">
        <v>3196</v>
      </c>
    </row>
    <row r="482" spans="1:5" ht="15" customHeight="1" x14ac:dyDescent="0.25">
      <c r="A482" t="s">
        <v>1295</v>
      </c>
      <c r="B482" t="s">
        <v>2699</v>
      </c>
      <c r="C482">
        <v>2019</v>
      </c>
      <c r="E482" s="1" t="s">
        <v>3197</v>
      </c>
    </row>
    <row r="483" spans="1:5" ht="15" customHeight="1" x14ac:dyDescent="0.25">
      <c r="A483" t="s">
        <v>1295</v>
      </c>
      <c r="B483" t="s">
        <v>2813</v>
      </c>
      <c r="C483">
        <v>2019</v>
      </c>
      <c r="E483" s="1" t="s">
        <v>3084</v>
      </c>
    </row>
    <row r="484" spans="1:5" ht="15" customHeight="1" x14ac:dyDescent="0.25">
      <c r="A484" t="s">
        <v>1295</v>
      </c>
      <c r="B484" t="s">
        <v>2932</v>
      </c>
      <c r="C484">
        <v>2019</v>
      </c>
      <c r="E484" s="1" t="s">
        <v>3014</v>
      </c>
    </row>
    <row r="485" spans="1:5" ht="15" customHeight="1" x14ac:dyDescent="0.25">
      <c r="A485" t="s">
        <v>1295</v>
      </c>
      <c r="B485" t="s">
        <v>2951</v>
      </c>
      <c r="C485">
        <v>2019</v>
      </c>
      <c r="E485" s="1" t="s">
        <v>2983</v>
      </c>
    </row>
    <row r="486" spans="1:5" ht="15" customHeight="1" x14ac:dyDescent="0.25">
      <c r="A486" t="s">
        <v>1303</v>
      </c>
      <c r="B486" t="s">
        <v>394</v>
      </c>
      <c r="C486">
        <v>2023</v>
      </c>
      <c r="E486" s="11" t="s">
        <v>3058</v>
      </c>
    </row>
    <row r="487" spans="1:5" ht="15" customHeight="1" x14ac:dyDescent="0.25">
      <c r="A487" t="s">
        <v>1303</v>
      </c>
      <c r="B487" t="s">
        <v>1349</v>
      </c>
      <c r="C487">
        <v>2023</v>
      </c>
      <c r="E487" s="11" t="s">
        <v>3244</v>
      </c>
    </row>
    <row r="488" spans="1:5" ht="15" customHeight="1" x14ac:dyDescent="0.25">
      <c r="A488" t="s">
        <v>1303</v>
      </c>
      <c r="B488" t="s">
        <v>1464</v>
      </c>
      <c r="C488">
        <v>2023</v>
      </c>
      <c r="E488" s="1" t="s">
        <v>3130</v>
      </c>
    </row>
    <row r="489" spans="1:5" ht="15" customHeight="1" x14ac:dyDescent="0.25">
      <c r="A489" t="s">
        <v>1307</v>
      </c>
      <c r="B489" t="s">
        <v>1311</v>
      </c>
      <c r="C489">
        <v>2014</v>
      </c>
      <c r="E489" s="1"/>
    </row>
    <row r="490" spans="1:5" ht="15" customHeight="1" x14ac:dyDescent="0.25">
      <c r="A490" t="s">
        <v>1307</v>
      </c>
      <c r="B490" t="s">
        <v>1313</v>
      </c>
      <c r="C490">
        <v>2014</v>
      </c>
      <c r="D490" t="s">
        <v>187</v>
      </c>
    </row>
    <row r="491" spans="1:5" ht="15" customHeight="1" x14ac:dyDescent="0.25">
      <c r="A491" t="s">
        <v>1307</v>
      </c>
      <c r="B491" t="s">
        <v>1433</v>
      </c>
      <c r="C491">
        <v>2014</v>
      </c>
      <c r="E491" t="s">
        <v>2983</v>
      </c>
    </row>
    <row r="492" spans="1:5" ht="15" customHeight="1" x14ac:dyDescent="0.25">
      <c r="A492" t="s">
        <v>1366</v>
      </c>
      <c r="B492" t="s">
        <v>1051</v>
      </c>
      <c r="C492">
        <v>2018</v>
      </c>
      <c r="E492" s="1" t="s">
        <v>3105</v>
      </c>
    </row>
    <row r="493" spans="1:5" ht="15" customHeight="1" x14ac:dyDescent="0.25">
      <c r="A493" t="s">
        <v>1366</v>
      </c>
      <c r="B493" t="s">
        <v>1370</v>
      </c>
      <c r="C493">
        <v>2018</v>
      </c>
      <c r="D493" t="s">
        <v>187</v>
      </c>
      <c r="E493" s="1"/>
    </row>
    <row r="494" spans="1:5" ht="15" customHeight="1" x14ac:dyDescent="0.25">
      <c r="A494" t="s">
        <v>1366</v>
      </c>
      <c r="B494" t="s">
        <v>2743</v>
      </c>
      <c r="C494">
        <v>2018</v>
      </c>
      <c r="E494" s="1" t="s">
        <v>2983</v>
      </c>
    </row>
    <row r="495" spans="1:5" ht="15" customHeight="1" x14ac:dyDescent="0.25">
      <c r="A495" t="s">
        <v>1386</v>
      </c>
      <c r="B495" t="s">
        <v>1401</v>
      </c>
      <c r="C495">
        <v>2013</v>
      </c>
      <c r="E495" s="11" t="s">
        <v>2992</v>
      </c>
    </row>
    <row r="496" spans="1:5" ht="15" customHeight="1" x14ac:dyDescent="0.25">
      <c r="A496" t="s">
        <v>1386</v>
      </c>
      <c r="B496" t="s">
        <v>1444</v>
      </c>
      <c r="C496">
        <v>2013</v>
      </c>
      <c r="E496" s="1" t="s">
        <v>3245</v>
      </c>
    </row>
    <row r="497" spans="1:5" ht="15" customHeight="1" x14ac:dyDescent="0.25">
      <c r="A497" t="s">
        <v>1421</v>
      </c>
      <c r="B497" t="s">
        <v>2635</v>
      </c>
      <c r="C497">
        <v>2007</v>
      </c>
      <c r="E497" s="1" t="s">
        <v>3005</v>
      </c>
    </row>
    <row r="498" spans="1:5" ht="15" customHeight="1" x14ac:dyDescent="0.25">
      <c r="A498" t="s">
        <v>1436</v>
      </c>
      <c r="B498" t="s">
        <v>346</v>
      </c>
      <c r="C498">
        <v>2021</v>
      </c>
      <c r="E498" s="1" t="s">
        <v>2983</v>
      </c>
    </row>
    <row r="499" spans="1:5" ht="15" customHeight="1" x14ac:dyDescent="0.25">
      <c r="A499" t="s">
        <v>1436</v>
      </c>
      <c r="B499" t="s">
        <v>428</v>
      </c>
      <c r="C499">
        <v>2021</v>
      </c>
      <c r="E499" s="11" t="s">
        <v>3022</v>
      </c>
    </row>
    <row r="500" spans="1:5" ht="15" customHeight="1" x14ac:dyDescent="0.25">
      <c r="A500" t="s">
        <v>1436</v>
      </c>
      <c r="B500" t="s">
        <v>619</v>
      </c>
      <c r="C500">
        <v>2021</v>
      </c>
      <c r="E500" s="1" t="s">
        <v>3246</v>
      </c>
    </row>
    <row r="501" spans="1:5" ht="15" customHeight="1" x14ac:dyDescent="0.25">
      <c r="A501" t="s">
        <v>1436</v>
      </c>
      <c r="B501" t="s">
        <v>730</v>
      </c>
      <c r="C501">
        <v>2021</v>
      </c>
      <c r="E501" s="1" t="s">
        <v>3027</v>
      </c>
    </row>
    <row r="502" spans="1:5" ht="15" customHeight="1" x14ac:dyDescent="0.25">
      <c r="A502" t="s">
        <v>1436</v>
      </c>
      <c r="B502" t="s">
        <v>864</v>
      </c>
      <c r="C502">
        <v>2021</v>
      </c>
      <c r="E502" s="1" t="s">
        <v>3029</v>
      </c>
    </row>
    <row r="503" spans="1:5" ht="15" customHeight="1" x14ac:dyDescent="0.25">
      <c r="A503" t="s">
        <v>1436</v>
      </c>
      <c r="B503" t="s">
        <v>1138</v>
      </c>
      <c r="C503">
        <v>2021</v>
      </c>
      <c r="E503" s="1" t="s">
        <v>3247</v>
      </c>
    </row>
    <row r="504" spans="1:5" ht="15" customHeight="1" x14ac:dyDescent="0.25">
      <c r="A504" t="s">
        <v>1436</v>
      </c>
      <c r="B504" t="s">
        <v>1433</v>
      </c>
      <c r="C504">
        <v>2021</v>
      </c>
      <c r="E504" t="s">
        <v>2983</v>
      </c>
    </row>
    <row r="505" spans="1:5" ht="15" customHeight="1" x14ac:dyDescent="0.25">
      <c r="A505" t="s">
        <v>1436</v>
      </c>
      <c r="B505" t="s">
        <v>1611</v>
      </c>
      <c r="C505">
        <v>2021</v>
      </c>
      <c r="E505" s="11" t="s">
        <v>3248</v>
      </c>
    </row>
    <row r="506" spans="1:5" ht="15" customHeight="1" x14ac:dyDescent="0.25">
      <c r="A506" t="s">
        <v>1436</v>
      </c>
      <c r="B506" t="s">
        <v>1757</v>
      </c>
      <c r="C506">
        <v>2021</v>
      </c>
      <c r="E506" s="1" t="s">
        <v>2983</v>
      </c>
    </row>
    <row r="507" spans="1:5" ht="15" customHeight="1" x14ac:dyDescent="0.25">
      <c r="A507" t="s">
        <v>1436</v>
      </c>
      <c r="B507" t="s">
        <v>1985</v>
      </c>
      <c r="C507">
        <v>2021</v>
      </c>
      <c r="E507" s="1" t="s">
        <v>3249</v>
      </c>
    </row>
    <row r="508" spans="1:5" ht="15" customHeight="1" x14ac:dyDescent="0.25">
      <c r="A508" t="s">
        <v>1436</v>
      </c>
      <c r="B508" t="s">
        <v>2019</v>
      </c>
      <c r="C508">
        <v>2021</v>
      </c>
      <c r="E508" s="1" t="s">
        <v>3250</v>
      </c>
    </row>
    <row r="509" spans="1:5" ht="15" customHeight="1" x14ac:dyDescent="0.25">
      <c r="A509" t="s">
        <v>1436</v>
      </c>
      <c r="B509" t="s">
        <v>2668</v>
      </c>
      <c r="C509">
        <v>2021</v>
      </c>
      <c r="E509" s="1" t="s">
        <v>2986</v>
      </c>
    </row>
    <row r="510" spans="1:5" ht="15" customHeight="1" x14ac:dyDescent="0.25">
      <c r="A510" t="s">
        <v>1444</v>
      </c>
      <c r="B510" t="s">
        <v>249</v>
      </c>
      <c r="C510">
        <v>2018</v>
      </c>
      <c r="E510" s="1" t="s">
        <v>3251</v>
      </c>
    </row>
    <row r="511" spans="1:5" ht="15" customHeight="1" x14ac:dyDescent="0.25">
      <c r="A511" t="s">
        <v>1444</v>
      </c>
      <c r="B511" t="s">
        <v>276</v>
      </c>
      <c r="C511">
        <v>2018</v>
      </c>
      <c r="E511" t="s">
        <v>3014</v>
      </c>
    </row>
    <row r="512" spans="1:5" ht="15" customHeight="1" x14ac:dyDescent="0.25">
      <c r="A512" t="s">
        <v>1444</v>
      </c>
      <c r="B512" t="s">
        <v>346</v>
      </c>
      <c r="C512">
        <v>2018</v>
      </c>
      <c r="E512" s="1" t="s">
        <v>3252</v>
      </c>
    </row>
    <row r="513" spans="1:5" ht="15" customHeight="1" x14ac:dyDescent="0.25">
      <c r="A513" t="s">
        <v>1444</v>
      </c>
      <c r="B513" t="s">
        <v>561</v>
      </c>
      <c r="C513">
        <v>2018</v>
      </c>
      <c r="E513" t="s">
        <v>2983</v>
      </c>
    </row>
    <row r="514" spans="1:5" ht="15" customHeight="1" x14ac:dyDescent="0.25">
      <c r="A514" t="s">
        <v>1444</v>
      </c>
      <c r="B514" t="s">
        <v>671</v>
      </c>
      <c r="C514">
        <v>2018</v>
      </c>
      <c r="E514" s="1" t="s">
        <v>2983</v>
      </c>
    </row>
    <row r="515" spans="1:5" ht="15" customHeight="1" x14ac:dyDescent="0.25">
      <c r="A515" t="s">
        <v>1444</v>
      </c>
      <c r="B515" t="s">
        <v>771</v>
      </c>
      <c r="C515">
        <v>2018</v>
      </c>
      <c r="E515" s="11" t="s">
        <v>3253</v>
      </c>
    </row>
    <row r="516" spans="1:5" ht="15" customHeight="1" x14ac:dyDescent="0.25">
      <c r="A516" t="s">
        <v>1444</v>
      </c>
      <c r="B516" t="s">
        <v>786</v>
      </c>
      <c r="C516">
        <v>2018</v>
      </c>
      <c r="E516" s="1" t="s">
        <v>2983</v>
      </c>
    </row>
    <row r="517" spans="1:5" ht="15" customHeight="1" x14ac:dyDescent="0.25">
      <c r="A517" t="s">
        <v>1444</v>
      </c>
      <c r="B517" t="s">
        <v>866</v>
      </c>
      <c r="C517">
        <v>2018</v>
      </c>
      <c r="E517" s="1" t="s">
        <v>3206</v>
      </c>
    </row>
    <row r="518" spans="1:5" ht="15" customHeight="1" x14ac:dyDescent="0.25">
      <c r="A518" t="s">
        <v>1444</v>
      </c>
      <c r="B518" t="s">
        <v>972</v>
      </c>
      <c r="C518">
        <v>2018</v>
      </c>
      <c r="E518" t="s">
        <v>2983</v>
      </c>
    </row>
    <row r="519" spans="1:5" ht="15" customHeight="1" x14ac:dyDescent="0.25">
      <c r="A519" t="s">
        <v>1444</v>
      </c>
      <c r="B519" t="s">
        <v>1090</v>
      </c>
      <c r="C519">
        <v>2018</v>
      </c>
      <c r="E519" s="1" t="s">
        <v>3254</v>
      </c>
    </row>
    <row r="520" spans="1:5" ht="15" customHeight="1" x14ac:dyDescent="0.25">
      <c r="A520" t="s">
        <v>1444</v>
      </c>
      <c r="B520" t="s">
        <v>1109</v>
      </c>
      <c r="C520">
        <v>2018</v>
      </c>
      <c r="E520" s="11" t="s">
        <v>3255</v>
      </c>
    </row>
    <row r="521" spans="1:5" ht="15" customHeight="1" x14ac:dyDescent="0.25">
      <c r="A521" t="s">
        <v>1444</v>
      </c>
      <c r="B521" t="s">
        <v>1611</v>
      </c>
      <c r="C521">
        <v>2018</v>
      </c>
      <c r="E521" s="11" t="s">
        <v>3248</v>
      </c>
    </row>
    <row r="522" spans="1:5" ht="15" customHeight="1" x14ac:dyDescent="0.25">
      <c r="A522" t="s">
        <v>1444</v>
      </c>
      <c r="B522" t="s">
        <v>1638</v>
      </c>
      <c r="C522">
        <v>2018</v>
      </c>
      <c r="E522" s="1" t="s">
        <v>3256</v>
      </c>
    </row>
    <row r="523" spans="1:5" ht="15" customHeight="1" x14ac:dyDescent="0.25">
      <c r="A523" t="s">
        <v>1444</v>
      </c>
      <c r="B523" t="s">
        <v>1948</v>
      </c>
      <c r="C523">
        <v>2018</v>
      </c>
      <c r="E523" s="1" t="s">
        <v>3257</v>
      </c>
    </row>
    <row r="524" spans="1:5" ht="15" customHeight="1" x14ac:dyDescent="0.25">
      <c r="A524" t="s">
        <v>1444</v>
      </c>
      <c r="B524" t="s">
        <v>2188</v>
      </c>
      <c r="C524">
        <v>2018</v>
      </c>
      <c r="E524" s="11" t="s">
        <v>3018</v>
      </c>
    </row>
    <row r="525" spans="1:5" ht="15" customHeight="1" x14ac:dyDescent="0.25">
      <c r="A525" t="s">
        <v>1444</v>
      </c>
      <c r="B525" t="s">
        <v>2319</v>
      </c>
      <c r="C525">
        <v>2018</v>
      </c>
      <c r="E525" s="1" t="s">
        <v>3090</v>
      </c>
    </row>
    <row r="526" spans="1:5" ht="15" customHeight="1" x14ac:dyDescent="0.25">
      <c r="A526" t="s">
        <v>1444</v>
      </c>
      <c r="B526" t="s">
        <v>2415</v>
      </c>
      <c r="C526">
        <v>2018</v>
      </c>
      <c r="E526" s="1" t="s">
        <v>3258</v>
      </c>
    </row>
    <row r="527" spans="1:5" ht="15" customHeight="1" x14ac:dyDescent="0.25">
      <c r="A527" t="s">
        <v>1444</v>
      </c>
      <c r="B527" t="s">
        <v>2547</v>
      </c>
      <c r="C527">
        <v>2018</v>
      </c>
      <c r="E527" s="1" t="s">
        <v>2983</v>
      </c>
    </row>
    <row r="528" spans="1:5" ht="15" customHeight="1" x14ac:dyDescent="0.25">
      <c r="A528" t="s">
        <v>1444</v>
      </c>
      <c r="B528" t="s">
        <v>2649</v>
      </c>
      <c r="C528">
        <v>2018</v>
      </c>
      <c r="E528" s="1" t="s">
        <v>3057</v>
      </c>
    </row>
    <row r="529" spans="1:5" ht="15" customHeight="1" x14ac:dyDescent="0.25">
      <c r="A529" t="s">
        <v>1444</v>
      </c>
      <c r="B529" t="s">
        <v>2660</v>
      </c>
      <c r="C529">
        <v>2018</v>
      </c>
      <c r="E529" s="1" t="s">
        <v>3259</v>
      </c>
    </row>
    <row r="530" spans="1:5" ht="15" customHeight="1" x14ac:dyDescent="0.25">
      <c r="A530" t="s">
        <v>1455</v>
      </c>
      <c r="B530" t="s">
        <v>540</v>
      </c>
      <c r="C530">
        <v>2001</v>
      </c>
      <c r="E530" s="11" t="s">
        <v>3260</v>
      </c>
    </row>
    <row r="531" spans="1:5" ht="15" customHeight="1" x14ac:dyDescent="0.25">
      <c r="A531" t="s">
        <v>1461</v>
      </c>
      <c r="B531" t="s">
        <v>1458</v>
      </c>
      <c r="C531">
        <v>2006</v>
      </c>
      <c r="D531" t="s">
        <v>187</v>
      </c>
      <c r="E531" s="1"/>
    </row>
    <row r="532" spans="1:5" ht="15" customHeight="1" x14ac:dyDescent="0.25">
      <c r="A532" t="s">
        <v>1497</v>
      </c>
      <c r="B532" t="s">
        <v>905</v>
      </c>
      <c r="C532">
        <v>2016</v>
      </c>
      <c r="E532" s="1" t="s">
        <v>2983</v>
      </c>
    </row>
    <row r="533" spans="1:5" ht="15" customHeight="1" x14ac:dyDescent="0.25">
      <c r="A533" t="s">
        <v>1497</v>
      </c>
      <c r="B533" t="s">
        <v>953</v>
      </c>
      <c r="C533">
        <v>2016</v>
      </c>
      <c r="E533" s="1" t="s">
        <v>3261</v>
      </c>
    </row>
    <row r="534" spans="1:5" ht="15" customHeight="1" x14ac:dyDescent="0.25">
      <c r="A534" t="s">
        <v>1497</v>
      </c>
      <c r="B534" t="s">
        <v>2062</v>
      </c>
      <c r="C534">
        <v>2016</v>
      </c>
      <c r="E534" s="1" t="s">
        <v>3014</v>
      </c>
    </row>
    <row r="535" spans="1:5" ht="15" customHeight="1" x14ac:dyDescent="0.25">
      <c r="A535" t="s">
        <v>1517</v>
      </c>
      <c r="B535" t="s">
        <v>1880</v>
      </c>
      <c r="C535">
        <v>2024</v>
      </c>
      <c r="D535" t="s">
        <v>187</v>
      </c>
    </row>
    <row r="536" spans="1:5" ht="15" customHeight="1" x14ac:dyDescent="0.25">
      <c r="A536" t="s">
        <v>1539</v>
      </c>
      <c r="B536" t="s">
        <v>965</v>
      </c>
      <c r="C536">
        <v>1995</v>
      </c>
      <c r="E536" s="1" t="s">
        <v>3262</v>
      </c>
    </row>
    <row r="537" spans="1:5" ht="15" customHeight="1" x14ac:dyDescent="0.25">
      <c r="A537" t="s">
        <v>1539</v>
      </c>
      <c r="B537" t="s">
        <v>1142</v>
      </c>
      <c r="C537">
        <v>1995</v>
      </c>
      <c r="E537" s="11" t="s">
        <v>2990</v>
      </c>
    </row>
    <row r="538" spans="1:5" ht="15" customHeight="1" x14ac:dyDescent="0.25">
      <c r="A538" t="s">
        <v>1539</v>
      </c>
      <c r="B538" t="s">
        <v>2024</v>
      </c>
      <c r="C538">
        <v>1995</v>
      </c>
      <c r="E538" s="11" t="s">
        <v>2995</v>
      </c>
    </row>
    <row r="539" spans="1:5" ht="15" customHeight="1" x14ac:dyDescent="0.25">
      <c r="A539" t="s">
        <v>1539</v>
      </c>
      <c r="B539" t="s">
        <v>2490</v>
      </c>
      <c r="C539">
        <v>1995</v>
      </c>
      <c r="E539" s="1" t="s">
        <v>3263</v>
      </c>
    </row>
    <row r="540" spans="1:5" ht="15" customHeight="1" x14ac:dyDescent="0.25">
      <c r="A540" t="s">
        <v>1550</v>
      </c>
      <c r="B540" t="s">
        <v>2240</v>
      </c>
      <c r="C540">
        <v>2021</v>
      </c>
      <c r="E540" s="11" t="s">
        <v>2242</v>
      </c>
    </row>
    <row r="541" spans="1:5" ht="15" customHeight="1" x14ac:dyDescent="0.25">
      <c r="A541" t="s">
        <v>1550</v>
      </c>
      <c r="B541" t="s">
        <v>2515</v>
      </c>
      <c r="C541">
        <v>2021</v>
      </c>
      <c r="E541" s="1" t="s">
        <v>3178</v>
      </c>
    </row>
    <row r="542" spans="1:5" ht="15" customHeight="1" x14ac:dyDescent="0.25">
      <c r="A542" t="s">
        <v>1550</v>
      </c>
      <c r="B542" t="s">
        <v>2897</v>
      </c>
      <c r="C542">
        <v>2021</v>
      </c>
      <c r="E542" s="1" t="s">
        <v>3264</v>
      </c>
    </row>
    <row r="543" spans="1:5" ht="15" customHeight="1" x14ac:dyDescent="0.25">
      <c r="A543" t="s">
        <v>1566</v>
      </c>
      <c r="B543" t="s">
        <v>2370</v>
      </c>
      <c r="C543">
        <v>2023</v>
      </c>
      <c r="E543" s="11" t="s">
        <v>3265</v>
      </c>
    </row>
    <row r="544" spans="1:5" ht="15" customHeight="1" x14ac:dyDescent="0.25">
      <c r="A544" t="s">
        <v>1573</v>
      </c>
      <c r="B544" t="s">
        <v>1408</v>
      </c>
      <c r="C544">
        <v>2001</v>
      </c>
      <c r="E544" s="1" t="s">
        <v>3174</v>
      </c>
    </row>
    <row r="545" spans="1:5" ht="15" customHeight="1" x14ac:dyDescent="0.25">
      <c r="A545" t="s">
        <v>1577</v>
      </c>
      <c r="B545" t="s">
        <v>346</v>
      </c>
      <c r="C545">
        <v>2021</v>
      </c>
      <c r="E545" s="1" t="s">
        <v>2983</v>
      </c>
    </row>
    <row r="546" spans="1:5" ht="15" customHeight="1" x14ac:dyDescent="0.25">
      <c r="A546" t="s">
        <v>1577</v>
      </c>
      <c r="B546" t="s">
        <v>353</v>
      </c>
      <c r="C546">
        <v>2021</v>
      </c>
      <c r="E546" s="1" t="s">
        <v>3266</v>
      </c>
    </row>
    <row r="547" spans="1:5" ht="15" customHeight="1" x14ac:dyDescent="0.25">
      <c r="A547" t="s">
        <v>1577</v>
      </c>
      <c r="B547" t="s">
        <v>364</v>
      </c>
      <c r="C547">
        <v>2021</v>
      </c>
      <c r="E547" s="1" t="s">
        <v>2983</v>
      </c>
    </row>
    <row r="548" spans="1:5" ht="15" customHeight="1" x14ac:dyDescent="0.25">
      <c r="A548" t="s">
        <v>1577</v>
      </c>
      <c r="B548" t="s">
        <v>421</v>
      </c>
      <c r="C548">
        <v>2021</v>
      </c>
      <c r="E548" s="1" t="s">
        <v>2983</v>
      </c>
    </row>
    <row r="549" spans="1:5" ht="15" customHeight="1" x14ac:dyDescent="0.25">
      <c r="A549" t="s">
        <v>1577</v>
      </c>
      <c r="B549" t="s">
        <v>493</v>
      </c>
      <c r="C549">
        <v>2021</v>
      </c>
      <c r="E549" s="1" t="s">
        <v>2983</v>
      </c>
    </row>
    <row r="550" spans="1:5" ht="15" customHeight="1" x14ac:dyDescent="0.25">
      <c r="A550" t="s">
        <v>1577</v>
      </c>
      <c r="B550" t="s">
        <v>528</v>
      </c>
      <c r="C550">
        <v>2021</v>
      </c>
      <c r="E550" s="1" t="s">
        <v>3267</v>
      </c>
    </row>
    <row r="551" spans="1:5" ht="15" customHeight="1" x14ac:dyDescent="0.25">
      <c r="A551" t="s">
        <v>7711</v>
      </c>
      <c r="B551" t="s">
        <v>7714</v>
      </c>
      <c r="C551">
        <v>2021</v>
      </c>
      <c r="E551" s="11" t="s">
        <v>7710</v>
      </c>
    </row>
    <row r="552" spans="1:5" ht="15" customHeight="1" x14ac:dyDescent="0.25">
      <c r="A552" t="s">
        <v>1577</v>
      </c>
      <c r="B552" t="s">
        <v>667</v>
      </c>
      <c r="C552">
        <v>2021</v>
      </c>
      <c r="E552" s="1" t="s">
        <v>2983</v>
      </c>
    </row>
    <row r="553" spans="1:5" ht="15" customHeight="1" x14ac:dyDescent="0.25">
      <c r="A553" t="s">
        <v>1577</v>
      </c>
      <c r="B553" t="s">
        <v>717</v>
      </c>
      <c r="C553">
        <v>2021</v>
      </c>
      <c r="E553" s="11" t="s">
        <v>3268</v>
      </c>
    </row>
    <row r="554" spans="1:5" ht="15" customHeight="1" x14ac:dyDescent="0.25">
      <c r="A554" t="s">
        <v>1577</v>
      </c>
      <c r="B554" t="s">
        <v>897</v>
      </c>
      <c r="C554">
        <v>2021</v>
      </c>
      <c r="E554" s="1" t="s">
        <v>3269</v>
      </c>
    </row>
    <row r="555" spans="1:5" ht="15" customHeight="1" x14ac:dyDescent="0.25">
      <c r="A555" t="s">
        <v>1577</v>
      </c>
      <c r="B555" t="s">
        <v>989</v>
      </c>
      <c r="C555">
        <v>2021</v>
      </c>
      <c r="E555" s="1" t="s">
        <v>2983</v>
      </c>
    </row>
    <row r="556" spans="1:5" ht="15" customHeight="1" x14ac:dyDescent="0.25">
      <c r="A556" t="s">
        <v>1577</v>
      </c>
      <c r="B556" t="s">
        <v>1039</v>
      </c>
      <c r="C556">
        <v>2021</v>
      </c>
      <c r="E556" s="1" t="s">
        <v>3014</v>
      </c>
    </row>
    <row r="557" spans="1:5" ht="15" customHeight="1" x14ac:dyDescent="0.25">
      <c r="A557" t="s">
        <v>1577</v>
      </c>
      <c r="B557" t="s">
        <v>1581</v>
      </c>
      <c r="C557">
        <v>2021</v>
      </c>
      <c r="E557" s="1" t="s">
        <v>3014</v>
      </c>
    </row>
    <row r="558" spans="1:5" ht="15" customHeight="1" x14ac:dyDescent="0.25">
      <c r="A558" t="s">
        <v>1577</v>
      </c>
      <c r="B558" t="s">
        <v>1812</v>
      </c>
      <c r="C558">
        <v>2021</v>
      </c>
      <c r="E558" s="1" t="s">
        <v>2983</v>
      </c>
    </row>
    <row r="559" spans="1:5" ht="15" customHeight="1" x14ac:dyDescent="0.25">
      <c r="A559" t="s">
        <v>1577</v>
      </c>
      <c r="B559" t="s">
        <v>1894</v>
      </c>
      <c r="C559">
        <v>2021</v>
      </c>
      <c r="E559" s="1" t="s">
        <v>3037</v>
      </c>
    </row>
    <row r="560" spans="1:5" ht="15" customHeight="1" x14ac:dyDescent="0.25">
      <c r="A560" t="s">
        <v>1577</v>
      </c>
      <c r="B560" t="s">
        <v>1981</v>
      </c>
      <c r="C560">
        <v>2021</v>
      </c>
      <c r="E560" s="1" t="s">
        <v>3270</v>
      </c>
    </row>
    <row r="561" spans="1:5" ht="15" customHeight="1" x14ac:dyDescent="0.25">
      <c r="A561" t="s">
        <v>1577</v>
      </c>
      <c r="B561" t="s">
        <v>2223</v>
      </c>
      <c r="C561">
        <v>2021</v>
      </c>
      <c r="E561" s="11" t="s">
        <v>3044</v>
      </c>
    </row>
    <row r="562" spans="1:5" ht="15" customHeight="1" x14ac:dyDescent="0.25">
      <c r="A562" t="s">
        <v>1577</v>
      </c>
      <c r="B562" t="s">
        <v>2233</v>
      </c>
      <c r="C562">
        <v>2021</v>
      </c>
      <c r="E562" s="1" t="s">
        <v>3271</v>
      </c>
    </row>
    <row r="563" spans="1:5" ht="15" customHeight="1" x14ac:dyDescent="0.25">
      <c r="A563" t="s">
        <v>1577</v>
      </c>
      <c r="B563" t="s">
        <v>2370</v>
      </c>
      <c r="C563">
        <v>2021</v>
      </c>
      <c r="E563" s="11" t="s">
        <v>3265</v>
      </c>
    </row>
    <row r="564" spans="1:5" ht="15" customHeight="1" x14ac:dyDescent="0.25">
      <c r="A564" t="s">
        <v>1577</v>
      </c>
      <c r="B564" t="s">
        <v>2432</v>
      </c>
      <c r="C564">
        <v>2021</v>
      </c>
      <c r="E564" s="1" t="s">
        <v>2983</v>
      </c>
    </row>
    <row r="565" spans="1:5" ht="15" customHeight="1" x14ac:dyDescent="0.25">
      <c r="A565" t="s">
        <v>1577</v>
      </c>
      <c r="B565" t="s">
        <v>2476</v>
      </c>
      <c r="C565">
        <v>2021</v>
      </c>
      <c r="E565" s="1" t="s">
        <v>3051</v>
      </c>
    </row>
    <row r="566" spans="1:5" ht="15" customHeight="1" x14ac:dyDescent="0.25">
      <c r="A566" t="s">
        <v>1577</v>
      </c>
      <c r="B566" t="s">
        <v>2523</v>
      </c>
      <c r="C566">
        <v>2021</v>
      </c>
      <c r="E566" s="1" t="s">
        <v>3272</v>
      </c>
    </row>
    <row r="567" spans="1:5" ht="15" customHeight="1" x14ac:dyDescent="0.25">
      <c r="A567" t="s">
        <v>1593</v>
      </c>
      <c r="B567" t="s">
        <v>2805</v>
      </c>
      <c r="C567">
        <v>2019</v>
      </c>
      <c r="E567" s="1" t="s">
        <v>3273</v>
      </c>
    </row>
    <row r="568" spans="1:5" ht="15" customHeight="1" x14ac:dyDescent="0.25">
      <c r="A568" t="s">
        <v>1595</v>
      </c>
      <c r="B568" t="s">
        <v>319</v>
      </c>
      <c r="C568">
        <v>2023</v>
      </c>
      <c r="E568" s="1" t="s">
        <v>2983</v>
      </c>
    </row>
    <row r="569" spans="1:5" ht="15" customHeight="1" x14ac:dyDescent="0.25">
      <c r="A569" t="s">
        <v>1622</v>
      </c>
      <c r="B569" t="s">
        <v>7715</v>
      </c>
      <c r="C569">
        <v>2025</v>
      </c>
      <c r="E569" s="11" t="s">
        <v>7718</v>
      </c>
    </row>
    <row r="570" spans="1:5" ht="15" customHeight="1" x14ac:dyDescent="0.25">
      <c r="A570" t="s">
        <v>1656</v>
      </c>
      <c r="B570" t="s">
        <v>1533</v>
      </c>
      <c r="C570">
        <v>2024</v>
      </c>
      <c r="D570" t="s">
        <v>187</v>
      </c>
      <c r="E570" s="1"/>
    </row>
    <row r="571" spans="1:5" ht="15" customHeight="1" x14ac:dyDescent="0.25">
      <c r="A571" t="s">
        <v>1660</v>
      </c>
      <c r="B571" t="s">
        <v>2732</v>
      </c>
      <c r="C571">
        <v>2012</v>
      </c>
      <c r="D571" t="s">
        <v>187</v>
      </c>
    </row>
    <row r="572" spans="1:5" ht="15" customHeight="1" x14ac:dyDescent="0.25">
      <c r="A572" t="s">
        <v>1662</v>
      </c>
      <c r="B572" t="s">
        <v>1158</v>
      </c>
      <c r="C572">
        <v>2011</v>
      </c>
      <c r="D572" t="s">
        <v>187</v>
      </c>
    </row>
    <row r="573" spans="1:5" ht="15" customHeight="1" x14ac:dyDescent="0.25">
      <c r="A573" t="s">
        <v>1662</v>
      </c>
      <c r="B573" t="s">
        <v>1660</v>
      </c>
      <c r="C573">
        <v>2011</v>
      </c>
      <c r="D573" t="s">
        <v>187</v>
      </c>
    </row>
    <row r="574" spans="1:5" ht="15" customHeight="1" x14ac:dyDescent="0.25">
      <c r="A574" t="s">
        <v>1677</v>
      </c>
      <c r="B574" t="s">
        <v>972</v>
      </c>
      <c r="C574">
        <v>2002</v>
      </c>
      <c r="E574" t="s">
        <v>2983</v>
      </c>
    </row>
    <row r="575" spans="1:5" ht="15" customHeight="1" x14ac:dyDescent="0.25">
      <c r="A575" t="s">
        <v>1677</v>
      </c>
      <c r="B575" t="s">
        <v>1680</v>
      </c>
      <c r="C575">
        <v>2002</v>
      </c>
      <c r="D575" t="s">
        <v>187</v>
      </c>
    </row>
    <row r="576" spans="1:5" ht="15" customHeight="1" x14ac:dyDescent="0.25">
      <c r="A576" t="s">
        <v>1683</v>
      </c>
      <c r="B576" t="s">
        <v>1685</v>
      </c>
      <c r="C576">
        <v>2022</v>
      </c>
      <c r="D576" t="s">
        <v>187</v>
      </c>
      <c r="E576" s="1"/>
    </row>
    <row r="577" spans="1:5" ht="15" customHeight="1" x14ac:dyDescent="0.25">
      <c r="A577" t="s">
        <v>1687</v>
      </c>
      <c r="B577" t="s">
        <v>795</v>
      </c>
      <c r="C577">
        <v>2017</v>
      </c>
      <c r="E577" s="1" t="s">
        <v>3101</v>
      </c>
    </row>
    <row r="578" spans="1:5" ht="15" customHeight="1" x14ac:dyDescent="0.25">
      <c r="A578" t="s">
        <v>1691</v>
      </c>
      <c r="B578" t="s">
        <v>673</v>
      </c>
      <c r="C578">
        <v>2020</v>
      </c>
      <c r="E578" s="1" t="s">
        <v>2983</v>
      </c>
    </row>
    <row r="579" spans="1:5" ht="15" customHeight="1" x14ac:dyDescent="0.25">
      <c r="A579" t="s">
        <v>1691</v>
      </c>
      <c r="B579" t="s">
        <v>864</v>
      </c>
      <c r="C579">
        <v>2020</v>
      </c>
      <c r="E579" s="1" t="s">
        <v>3029</v>
      </c>
    </row>
    <row r="580" spans="1:5" ht="15" customHeight="1" x14ac:dyDescent="0.25">
      <c r="A580" t="s">
        <v>1691</v>
      </c>
      <c r="B580" t="s">
        <v>866</v>
      </c>
      <c r="C580">
        <v>2020</v>
      </c>
      <c r="E580" s="1" t="s">
        <v>3206</v>
      </c>
    </row>
    <row r="581" spans="1:5" ht="15" customHeight="1" x14ac:dyDescent="0.25">
      <c r="A581" t="s">
        <v>1691</v>
      </c>
      <c r="B581" t="s">
        <v>1429</v>
      </c>
      <c r="C581">
        <v>2020</v>
      </c>
      <c r="D581" t="s">
        <v>187</v>
      </c>
    </row>
    <row r="582" spans="1:5" ht="15" customHeight="1" x14ac:dyDescent="0.25">
      <c r="A582" t="s">
        <v>1691</v>
      </c>
      <c r="B582" t="s">
        <v>1436</v>
      </c>
      <c r="C582">
        <v>2020</v>
      </c>
      <c r="E582" s="11" t="s">
        <v>3274</v>
      </c>
    </row>
    <row r="583" spans="1:5" ht="15" customHeight="1" x14ac:dyDescent="0.25">
      <c r="A583" t="s">
        <v>1691</v>
      </c>
      <c r="B583" t="s">
        <v>1611</v>
      </c>
      <c r="C583">
        <v>2020</v>
      </c>
      <c r="E583" s="11" t="s">
        <v>3248</v>
      </c>
    </row>
    <row r="584" spans="1:5" ht="15" customHeight="1" x14ac:dyDescent="0.25">
      <c r="A584" t="s">
        <v>1691</v>
      </c>
      <c r="B584" t="s">
        <v>1695</v>
      </c>
      <c r="C584">
        <v>2020</v>
      </c>
      <c r="D584" t="s">
        <v>187</v>
      </c>
      <c r="E584" s="1"/>
    </row>
    <row r="585" spans="1:5" ht="15" customHeight="1" x14ac:dyDescent="0.25">
      <c r="A585" t="s">
        <v>1691</v>
      </c>
      <c r="B585" t="s">
        <v>2159</v>
      </c>
      <c r="C585">
        <v>2020</v>
      </c>
      <c r="E585" s="1" t="s">
        <v>2984</v>
      </c>
    </row>
    <row r="586" spans="1:5" ht="15" customHeight="1" x14ac:dyDescent="0.25">
      <c r="A586" t="s">
        <v>1691</v>
      </c>
      <c r="B586" t="s">
        <v>2289</v>
      </c>
      <c r="C586">
        <v>2020</v>
      </c>
      <c r="E586" s="1" t="s">
        <v>2983</v>
      </c>
    </row>
    <row r="587" spans="1:5" ht="15" customHeight="1" x14ac:dyDescent="0.25">
      <c r="A587" t="s">
        <v>1691</v>
      </c>
      <c r="B587" t="s">
        <v>2668</v>
      </c>
      <c r="C587">
        <v>2020</v>
      </c>
      <c r="E587" s="1" t="s">
        <v>2986</v>
      </c>
    </row>
    <row r="588" spans="1:5" ht="15" customHeight="1" x14ac:dyDescent="0.25">
      <c r="A588" t="s">
        <v>1691</v>
      </c>
      <c r="B588" t="s">
        <v>2739</v>
      </c>
      <c r="C588">
        <v>2020</v>
      </c>
      <c r="E588" s="1" t="s">
        <v>2983</v>
      </c>
    </row>
    <row r="589" spans="1:5" ht="15" customHeight="1" x14ac:dyDescent="0.25">
      <c r="A589" t="s">
        <v>1691</v>
      </c>
      <c r="B589" t="s">
        <v>2891</v>
      </c>
      <c r="C589">
        <v>2020</v>
      </c>
      <c r="E589" s="1" t="s">
        <v>3078</v>
      </c>
    </row>
    <row r="590" spans="1:5" ht="15" customHeight="1" x14ac:dyDescent="0.25">
      <c r="A590" t="s">
        <v>1708</v>
      </c>
      <c r="B590" t="s">
        <v>469</v>
      </c>
      <c r="C590">
        <v>2016</v>
      </c>
      <c r="D590" t="s">
        <v>187</v>
      </c>
      <c r="E590" s="1"/>
    </row>
    <row r="591" spans="1:5" ht="15" customHeight="1" x14ac:dyDescent="0.25">
      <c r="A591" t="s">
        <v>1714</v>
      </c>
      <c r="B591" t="s">
        <v>1607</v>
      </c>
      <c r="C591">
        <v>2018</v>
      </c>
      <c r="E591" s="11" t="s">
        <v>3236</v>
      </c>
    </row>
    <row r="592" spans="1:5" ht="15" customHeight="1" x14ac:dyDescent="0.25">
      <c r="A592" t="s">
        <v>1714</v>
      </c>
      <c r="B592" t="s">
        <v>1718</v>
      </c>
      <c r="C592">
        <v>2018</v>
      </c>
      <c r="D592" t="s">
        <v>187</v>
      </c>
      <c r="E592" s="1"/>
    </row>
    <row r="593" spans="1:5" ht="15" customHeight="1" x14ac:dyDescent="0.25">
      <c r="A593" t="s">
        <v>1726</v>
      </c>
      <c r="B593" t="s">
        <v>260</v>
      </c>
      <c r="C593">
        <v>1983</v>
      </c>
      <c r="E593" s="1" t="s">
        <v>3275</v>
      </c>
    </row>
    <row r="594" spans="1:5" ht="15" customHeight="1" x14ac:dyDescent="0.25">
      <c r="A594" t="s">
        <v>1726</v>
      </c>
      <c r="B594" t="s">
        <v>848</v>
      </c>
      <c r="C594">
        <v>1983</v>
      </c>
      <c r="E594" s="11" t="s">
        <v>3003</v>
      </c>
    </row>
    <row r="595" spans="1:5" ht="15" customHeight="1" x14ac:dyDescent="0.25">
      <c r="A595" t="s">
        <v>1726</v>
      </c>
      <c r="B595" t="s">
        <v>2024</v>
      </c>
      <c r="C595">
        <v>1983</v>
      </c>
      <c r="E595" s="11" t="s">
        <v>2995</v>
      </c>
    </row>
    <row r="596" spans="1:5" ht="15" customHeight="1" x14ac:dyDescent="0.25">
      <c r="A596" t="s">
        <v>1739</v>
      </c>
      <c r="B596" t="s">
        <v>1743</v>
      </c>
      <c r="C596">
        <v>2018</v>
      </c>
      <c r="D596" t="s">
        <v>187</v>
      </c>
      <c r="E596" s="1"/>
    </row>
    <row r="597" spans="1:5" ht="15" customHeight="1" x14ac:dyDescent="0.25">
      <c r="A597" t="s">
        <v>1747</v>
      </c>
      <c r="B597" t="s">
        <v>1158</v>
      </c>
      <c r="C597">
        <v>2011</v>
      </c>
      <c r="D597" t="s">
        <v>187</v>
      </c>
    </row>
    <row r="598" spans="1:5" ht="15" customHeight="1" x14ac:dyDescent="0.25">
      <c r="A598" t="s">
        <v>1753</v>
      </c>
      <c r="B598" t="s">
        <v>1562</v>
      </c>
      <c r="C598">
        <v>2021</v>
      </c>
      <c r="E598" s="1" t="s">
        <v>3276</v>
      </c>
    </row>
    <row r="599" spans="1:5" ht="15" customHeight="1" x14ac:dyDescent="0.25">
      <c r="A599" t="s">
        <v>1762</v>
      </c>
      <c r="B599" t="s">
        <v>178</v>
      </c>
      <c r="C599">
        <v>1995</v>
      </c>
      <c r="E599" s="1" t="s">
        <v>3277</v>
      </c>
    </row>
    <row r="600" spans="1:5" ht="15" customHeight="1" x14ac:dyDescent="0.25">
      <c r="A600" t="s">
        <v>1762</v>
      </c>
      <c r="B600" t="s">
        <v>972</v>
      </c>
      <c r="C600">
        <v>1995</v>
      </c>
      <c r="E600" t="s">
        <v>2983</v>
      </c>
    </row>
    <row r="601" spans="1:5" ht="15" customHeight="1" x14ac:dyDescent="0.25">
      <c r="A601" t="s">
        <v>1762</v>
      </c>
      <c r="B601" t="s">
        <v>1389</v>
      </c>
      <c r="C601">
        <v>1995</v>
      </c>
      <c r="E601" s="1" t="s">
        <v>3278</v>
      </c>
    </row>
    <row r="602" spans="1:5" ht="15" customHeight="1" x14ac:dyDescent="0.25">
      <c r="A602" t="s">
        <v>1762</v>
      </c>
      <c r="B602" t="s">
        <v>1900</v>
      </c>
      <c r="C602">
        <v>1995</v>
      </c>
      <c r="E602" s="11" t="s">
        <v>3279</v>
      </c>
    </row>
    <row r="603" spans="1:5" ht="15" customHeight="1" x14ac:dyDescent="0.25">
      <c r="A603" t="s">
        <v>1762</v>
      </c>
      <c r="B603" t="s">
        <v>2296</v>
      </c>
      <c r="C603">
        <v>1995</v>
      </c>
      <c r="D603" t="s">
        <v>187</v>
      </c>
      <c r="E603" s="1"/>
    </row>
    <row r="604" spans="1:5" ht="15" customHeight="1" x14ac:dyDescent="0.25">
      <c r="A604" t="s">
        <v>1762</v>
      </c>
      <c r="B604" t="s">
        <v>2305</v>
      </c>
      <c r="C604">
        <v>1995</v>
      </c>
      <c r="D604" t="s">
        <v>187</v>
      </c>
      <c r="E604" s="1"/>
    </row>
    <row r="605" spans="1:5" ht="15" customHeight="1" x14ac:dyDescent="0.25">
      <c r="A605" t="s">
        <v>1762</v>
      </c>
      <c r="B605" t="s">
        <v>2370</v>
      </c>
      <c r="C605">
        <v>1995</v>
      </c>
      <c r="E605" s="11" t="s">
        <v>3265</v>
      </c>
    </row>
    <row r="606" spans="1:5" ht="15" customHeight="1" x14ac:dyDescent="0.25">
      <c r="A606" t="s">
        <v>1762</v>
      </c>
      <c r="B606" t="s">
        <v>2579</v>
      </c>
      <c r="C606">
        <v>1995</v>
      </c>
      <c r="E606" s="1" t="s">
        <v>3280</v>
      </c>
    </row>
    <row r="607" spans="1:5" ht="15" customHeight="1" x14ac:dyDescent="0.25">
      <c r="A607" t="s">
        <v>1780</v>
      </c>
      <c r="B607" t="s">
        <v>394</v>
      </c>
      <c r="C607">
        <v>2022</v>
      </c>
      <c r="E607" s="11" t="s">
        <v>3058</v>
      </c>
    </row>
    <row r="608" spans="1:5" ht="15" customHeight="1" x14ac:dyDescent="0.25">
      <c r="A608" t="s">
        <v>1780</v>
      </c>
      <c r="B608" t="s">
        <v>1784</v>
      </c>
      <c r="C608">
        <v>2022</v>
      </c>
      <c r="D608" t="s">
        <v>187</v>
      </c>
      <c r="E608" s="1"/>
    </row>
    <row r="609" spans="1:5" ht="15" customHeight="1" x14ac:dyDescent="0.25">
      <c r="A609" t="s">
        <v>1788</v>
      </c>
      <c r="B609" t="s">
        <v>1792</v>
      </c>
      <c r="C609">
        <v>2019</v>
      </c>
      <c r="D609" t="s">
        <v>187</v>
      </c>
      <c r="E609" s="1"/>
    </row>
    <row r="610" spans="1:5" ht="15" customHeight="1" x14ac:dyDescent="0.25">
      <c r="A610" t="s">
        <v>1796</v>
      </c>
      <c r="B610" t="s">
        <v>375</v>
      </c>
      <c r="C610">
        <v>1987</v>
      </c>
      <c r="E610" s="1" t="s">
        <v>3281</v>
      </c>
    </row>
    <row r="611" spans="1:5" ht="15" customHeight="1" x14ac:dyDescent="0.25">
      <c r="A611" t="s">
        <v>1796</v>
      </c>
      <c r="B611" t="s">
        <v>807</v>
      </c>
      <c r="C611">
        <v>1987</v>
      </c>
      <c r="E611" s="1" t="s">
        <v>3282</v>
      </c>
    </row>
    <row r="612" spans="1:5" ht="15" customHeight="1" x14ac:dyDescent="0.25">
      <c r="A612" t="s">
        <v>1796</v>
      </c>
      <c r="B612" t="s">
        <v>848</v>
      </c>
      <c r="C612">
        <v>1987</v>
      </c>
      <c r="E612" s="11" t="s">
        <v>3003</v>
      </c>
    </row>
    <row r="613" spans="1:5" ht="15" customHeight="1" x14ac:dyDescent="0.25">
      <c r="A613" t="s">
        <v>1796</v>
      </c>
      <c r="B613" t="s">
        <v>941</v>
      </c>
      <c r="C613">
        <v>1987</v>
      </c>
      <c r="E613" s="1" t="s">
        <v>3283</v>
      </c>
    </row>
    <row r="614" spans="1:5" ht="15" customHeight="1" x14ac:dyDescent="0.25">
      <c r="A614" t="s">
        <v>1796</v>
      </c>
      <c r="B614" t="s">
        <v>995</v>
      </c>
      <c r="C614">
        <v>1987</v>
      </c>
      <c r="E614" s="1" t="s">
        <v>3284</v>
      </c>
    </row>
    <row r="615" spans="1:5" ht="15" customHeight="1" x14ac:dyDescent="0.25">
      <c r="A615" t="s">
        <v>1796</v>
      </c>
      <c r="B615" t="s">
        <v>1028</v>
      </c>
      <c r="C615">
        <v>1987</v>
      </c>
      <c r="E615" s="1"/>
    </row>
    <row r="616" spans="1:5" ht="15" customHeight="1" x14ac:dyDescent="0.25">
      <c r="A616" t="s">
        <v>1796</v>
      </c>
      <c r="B616" t="s">
        <v>1084</v>
      </c>
      <c r="C616">
        <v>1987</v>
      </c>
      <c r="E616" s="1" t="s">
        <v>3285</v>
      </c>
    </row>
    <row r="617" spans="1:5" ht="15" customHeight="1" x14ac:dyDescent="0.25">
      <c r="A617" t="s">
        <v>1796</v>
      </c>
      <c r="B617" t="s">
        <v>1142</v>
      </c>
      <c r="C617">
        <v>1987</v>
      </c>
      <c r="E617" s="11" t="s">
        <v>2990</v>
      </c>
    </row>
    <row r="618" spans="1:5" ht="15" customHeight="1" x14ac:dyDescent="0.25">
      <c r="A618" t="s">
        <v>1796</v>
      </c>
      <c r="B618" t="s">
        <v>1198</v>
      </c>
      <c r="C618">
        <v>1987</v>
      </c>
      <c r="E618" s="1" t="s">
        <v>3286</v>
      </c>
    </row>
    <row r="619" spans="1:5" ht="15" customHeight="1" x14ac:dyDescent="0.25">
      <c r="A619" t="s">
        <v>1796</v>
      </c>
      <c r="B619" t="s">
        <v>1318</v>
      </c>
      <c r="C619">
        <v>1987</v>
      </c>
      <c r="E619" s="1" t="s">
        <v>3287</v>
      </c>
    </row>
    <row r="620" spans="1:5" ht="15" customHeight="1" x14ac:dyDescent="0.25">
      <c r="A620" t="s">
        <v>1796</v>
      </c>
      <c r="B620" t="s">
        <v>1401</v>
      </c>
      <c r="C620">
        <v>1987</v>
      </c>
      <c r="E620" s="11" t="s">
        <v>2992</v>
      </c>
    </row>
    <row r="621" spans="1:5" ht="15" customHeight="1" x14ac:dyDescent="0.25">
      <c r="A621" t="s">
        <v>1796</v>
      </c>
      <c r="B621" t="s">
        <v>1421</v>
      </c>
      <c r="C621">
        <v>1987</v>
      </c>
      <c r="E621" s="1" t="s">
        <v>2993</v>
      </c>
    </row>
    <row r="622" spans="1:5" ht="15" customHeight="1" x14ac:dyDescent="0.25">
      <c r="A622" t="s">
        <v>1796</v>
      </c>
      <c r="B622" t="s">
        <v>1455</v>
      </c>
      <c r="C622">
        <v>1987</v>
      </c>
      <c r="E622" s="1" t="s">
        <v>3288</v>
      </c>
    </row>
    <row r="623" spans="1:5" ht="15" customHeight="1" x14ac:dyDescent="0.25">
      <c r="A623" t="s">
        <v>1796</v>
      </c>
      <c r="B623" t="s">
        <v>1483</v>
      </c>
      <c r="C623">
        <v>1987</v>
      </c>
      <c r="E623" s="1" t="s">
        <v>2983</v>
      </c>
    </row>
    <row r="624" spans="1:5" ht="15" customHeight="1" x14ac:dyDescent="0.25">
      <c r="A624" t="s">
        <v>1796</v>
      </c>
      <c r="B624" t="s">
        <v>1521</v>
      </c>
      <c r="C624">
        <v>1987</v>
      </c>
      <c r="E624" s="11" t="s">
        <v>2994</v>
      </c>
    </row>
    <row r="625" spans="1:5" ht="15" customHeight="1" x14ac:dyDescent="0.25">
      <c r="A625" t="s">
        <v>1796</v>
      </c>
      <c r="B625" t="s">
        <v>1539</v>
      </c>
      <c r="C625">
        <v>1987</v>
      </c>
      <c r="E625" s="1" t="s">
        <v>3289</v>
      </c>
    </row>
    <row r="626" spans="1:5" ht="15" customHeight="1" x14ac:dyDescent="0.25">
      <c r="A626" t="s">
        <v>1796</v>
      </c>
      <c r="B626" t="s">
        <v>1564</v>
      </c>
      <c r="C626">
        <v>1987</v>
      </c>
      <c r="E626" s="1" t="s">
        <v>2983</v>
      </c>
    </row>
    <row r="627" spans="1:5" ht="15" customHeight="1" x14ac:dyDescent="0.25">
      <c r="A627" t="s">
        <v>1796</v>
      </c>
      <c r="B627" t="s">
        <v>1720</v>
      </c>
      <c r="C627">
        <v>1987</v>
      </c>
      <c r="E627" s="1" t="s">
        <v>2983</v>
      </c>
    </row>
    <row r="628" spans="1:5" ht="15" customHeight="1" x14ac:dyDescent="0.25">
      <c r="A628" t="s">
        <v>3290</v>
      </c>
      <c r="B628" t="s">
        <v>1919</v>
      </c>
      <c r="C628">
        <v>1987</v>
      </c>
      <c r="E628" t="s">
        <v>2983</v>
      </c>
    </row>
    <row r="629" spans="1:5" ht="15" customHeight="1" x14ac:dyDescent="0.25">
      <c r="A629" t="s">
        <v>1796</v>
      </c>
      <c r="B629" t="s">
        <v>1945</v>
      </c>
      <c r="C629">
        <v>1987</v>
      </c>
      <c r="E629" s="1" t="s">
        <v>3291</v>
      </c>
    </row>
    <row r="630" spans="1:5" ht="15" customHeight="1" x14ac:dyDescent="0.25">
      <c r="A630" t="s">
        <v>1796</v>
      </c>
      <c r="B630" t="s">
        <v>2024</v>
      </c>
      <c r="C630">
        <v>1987</v>
      </c>
      <c r="E630" s="1" t="s">
        <v>3292</v>
      </c>
    </row>
    <row r="631" spans="1:5" ht="15" customHeight="1" x14ac:dyDescent="0.25">
      <c r="A631" t="s">
        <v>1796</v>
      </c>
      <c r="B631" t="s">
        <v>2054</v>
      </c>
      <c r="C631">
        <v>1987</v>
      </c>
      <c r="E631" s="1" t="s">
        <v>3293</v>
      </c>
    </row>
    <row r="632" spans="1:5" ht="15" customHeight="1" x14ac:dyDescent="0.25">
      <c r="A632" t="s">
        <v>1796</v>
      </c>
      <c r="B632" t="s">
        <v>2108</v>
      </c>
      <c r="C632">
        <v>1987</v>
      </c>
      <c r="E632" s="11" t="s">
        <v>3142</v>
      </c>
    </row>
    <row r="633" spans="1:5" ht="15" customHeight="1" x14ac:dyDescent="0.25">
      <c r="A633" t="s">
        <v>1796</v>
      </c>
      <c r="B633" t="s">
        <v>2349</v>
      </c>
      <c r="C633">
        <v>1987</v>
      </c>
      <c r="E633" s="1" t="s">
        <v>3294</v>
      </c>
    </row>
    <row r="634" spans="1:5" ht="15" customHeight="1" x14ac:dyDescent="0.25">
      <c r="A634" t="s">
        <v>1796</v>
      </c>
      <c r="B634" t="s">
        <v>2429</v>
      </c>
      <c r="C634">
        <v>1987</v>
      </c>
      <c r="E634" s="1" t="s">
        <v>3295</v>
      </c>
    </row>
    <row r="635" spans="1:5" ht="15" customHeight="1" x14ac:dyDescent="0.25">
      <c r="A635" t="s">
        <v>1796</v>
      </c>
      <c r="B635" t="s">
        <v>2490</v>
      </c>
      <c r="C635">
        <v>1987</v>
      </c>
      <c r="E635" s="1" t="s">
        <v>3263</v>
      </c>
    </row>
    <row r="636" spans="1:5" ht="15" customHeight="1" x14ac:dyDescent="0.25">
      <c r="A636" t="s">
        <v>1796</v>
      </c>
      <c r="B636" t="s">
        <v>2544</v>
      </c>
      <c r="C636">
        <v>1987</v>
      </c>
      <c r="E636" s="1" t="s">
        <v>3296</v>
      </c>
    </row>
    <row r="637" spans="1:5" ht="15" customHeight="1" x14ac:dyDescent="0.25">
      <c r="A637" t="s">
        <v>1796</v>
      </c>
      <c r="B637" t="s">
        <v>2793</v>
      </c>
      <c r="C637">
        <v>1987</v>
      </c>
      <c r="E637" s="1" t="s">
        <v>3297</v>
      </c>
    </row>
    <row r="638" spans="1:5" ht="15" customHeight="1" x14ac:dyDescent="0.25">
      <c r="A638" t="s">
        <v>1796</v>
      </c>
      <c r="B638" t="s">
        <v>2867</v>
      </c>
      <c r="C638">
        <v>1987</v>
      </c>
      <c r="E638" s="1" t="s">
        <v>3298</v>
      </c>
    </row>
    <row r="639" spans="1:5" ht="15" customHeight="1" x14ac:dyDescent="0.25">
      <c r="A639" t="s">
        <v>1814</v>
      </c>
      <c r="B639" t="s">
        <v>1812</v>
      </c>
      <c r="C639">
        <v>2024</v>
      </c>
      <c r="D639" t="s">
        <v>187</v>
      </c>
      <c r="E639" s="1"/>
    </row>
    <row r="640" spans="1:5" ht="15" customHeight="1" x14ac:dyDescent="0.25">
      <c r="A640" t="s">
        <v>1818</v>
      </c>
      <c r="B640" t="s">
        <v>604</v>
      </c>
      <c r="C640">
        <v>2019</v>
      </c>
      <c r="E640" s="1" t="s">
        <v>3299</v>
      </c>
    </row>
    <row r="641" spans="1:5" ht="15" customHeight="1" x14ac:dyDescent="0.25">
      <c r="A641" t="s">
        <v>1818</v>
      </c>
      <c r="B641" t="s">
        <v>1595</v>
      </c>
      <c r="C641">
        <v>2019</v>
      </c>
      <c r="E641" s="1" t="s">
        <v>3300</v>
      </c>
    </row>
    <row r="642" spans="1:5" ht="15" customHeight="1" x14ac:dyDescent="0.25">
      <c r="A642" t="s">
        <v>1818</v>
      </c>
      <c r="B642" t="s">
        <v>1942</v>
      </c>
      <c r="C642">
        <v>2019</v>
      </c>
      <c r="E642" s="11" t="s">
        <v>3301</v>
      </c>
    </row>
    <row r="643" spans="1:5" ht="15" customHeight="1" x14ac:dyDescent="0.25">
      <c r="A643" t="s">
        <v>1818</v>
      </c>
      <c r="B643" t="s">
        <v>2027</v>
      </c>
      <c r="C643">
        <v>2019</v>
      </c>
      <c r="E643" s="1" t="s">
        <v>3302</v>
      </c>
    </row>
    <row r="644" spans="1:5" ht="15" customHeight="1" x14ac:dyDescent="0.25">
      <c r="A644" t="s">
        <v>1818</v>
      </c>
      <c r="B644" t="s">
        <v>2497</v>
      </c>
      <c r="C644">
        <v>2019</v>
      </c>
      <c r="E644" s="1" t="s">
        <v>3303</v>
      </c>
    </row>
    <row r="645" spans="1:5" ht="15" customHeight="1" x14ac:dyDescent="0.25">
      <c r="A645" t="s">
        <v>1852</v>
      </c>
      <c r="B645" t="s">
        <v>730</v>
      </c>
      <c r="C645">
        <v>2024</v>
      </c>
      <c r="E645" s="1" t="s">
        <v>3027</v>
      </c>
    </row>
    <row r="646" spans="1:5" ht="15" customHeight="1" x14ac:dyDescent="0.25">
      <c r="A646" t="s">
        <v>1852</v>
      </c>
      <c r="B646" t="s">
        <v>1956</v>
      </c>
      <c r="C646">
        <v>2024</v>
      </c>
      <c r="E646" s="11" t="s">
        <v>3039</v>
      </c>
    </row>
    <row r="647" spans="1:5" ht="15" customHeight="1" x14ac:dyDescent="0.25">
      <c r="A647" t="s">
        <v>1856</v>
      </c>
      <c r="B647" t="s">
        <v>245</v>
      </c>
      <c r="C647">
        <v>2015</v>
      </c>
      <c r="E647" s="1" t="s">
        <v>3186</v>
      </c>
    </row>
    <row r="648" spans="1:5" ht="15" customHeight="1" x14ac:dyDescent="0.25">
      <c r="A648" t="s">
        <v>1856</v>
      </c>
      <c r="B648" t="s">
        <v>319</v>
      </c>
      <c r="C648">
        <v>2015</v>
      </c>
      <c r="E648" s="1" t="s">
        <v>2983</v>
      </c>
    </row>
    <row r="649" spans="1:5" ht="15" customHeight="1" x14ac:dyDescent="0.25">
      <c r="A649" t="s">
        <v>1856</v>
      </c>
      <c r="B649" t="s">
        <v>333</v>
      </c>
      <c r="C649">
        <v>2015</v>
      </c>
      <c r="E649" s="1" t="s">
        <v>3188</v>
      </c>
    </row>
    <row r="650" spans="1:5" ht="15" customHeight="1" x14ac:dyDescent="0.25">
      <c r="A650" t="s">
        <v>1856</v>
      </c>
      <c r="B650" t="s">
        <v>431</v>
      </c>
      <c r="C650">
        <v>2015</v>
      </c>
      <c r="E650" s="1" t="s">
        <v>2983</v>
      </c>
    </row>
    <row r="651" spans="1:5" ht="15" customHeight="1" x14ac:dyDescent="0.25">
      <c r="A651" t="s">
        <v>1856</v>
      </c>
      <c r="B651" t="s">
        <v>629</v>
      </c>
      <c r="C651">
        <v>2015</v>
      </c>
      <c r="E651" s="1" t="s">
        <v>3304</v>
      </c>
    </row>
    <row r="652" spans="1:5" ht="15" customHeight="1" x14ac:dyDescent="0.25">
      <c r="A652" t="s">
        <v>1856</v>
      </c>
      <c r="B652" t="s">
        <v>763</v>
      </c>
      <c r="C652">
        <v>2015</v>
      </c>
      <c r="E652" s="1" t="s">
        <v>3305</v>
      </c>
    </row>
    <row r="653" spans="1:5" ht="15" customHeight="1" x14ac:dyDescent="0.25">
      <c r="A653" t="s">
        <v>1856</v>
      </c>
      <c r="B653" t="s">
        <v>1047</v>
      </c>
      <c r="C653">
        <v>2015</v>
      </c>
      <c r="E653" s="1" t="s">
        <v>3306</v>
      </c>
    </row>
    <row r="654" spans="1:5" ht="15" customHeight="1" x14ac:dyDescent="0.25">
      <c r="A654" t="s">
        <v>1856</v>
      </c>
      <c r="B654" t="s">
        <v>1236</v>
      </c>
      <c r="C654">
        <v>2015</v>
      </c>
      <c r="E654" s="1" t="s">
        <v>3307</v>
      </c>
    </row>
    <row r="655" spans="1:5" ht="15" customHeight="1" x14ac:dyDescent="0.25">
      <c r="A655" t="s">
        <v>1856</v>
      </c>
      <c r="B655" t="s">
        <v>1318</v>
      </c>
      <c r="C655">
        <v>2015</v>
      </c>
      <c r="E655" s="1" t="s">
        <v>3010</v>
      </c>
    </row>
    <row r="656" spans="1:5" ht="15" customHeight="1" x14ac:dyDescent="0.25">
      <c r="A656" t="s">
        <v>1856</v>
      </c>
      <c r="B656" t="s">
        <v>1542</v>
      </c>
      <c r="C656">
        <v>2015</v>
      </c>
      <c r="E656" s="1" t="s">
        <v>3161</v>
      </c>
    </row>
    <row r="657" spans="1:5" ht="15" customHeight="1" x14ac:dyDescent="0.25">
      <c r="A657" t="s">
        <v>1856</v>
      </c>
      <c r="B657" t="s">
        <v>1772</v>
      </c>
      <c r="C657">
        <v>2015</v>
      </c>
      <c r="E657" s="1" t="s">
        <v>3192</v>
      </c>
    </row>
    <row r="658" spans="1:5" ht="15" customHeight="1" x14ac:dyDescent="0.25">
      <c r="A658" t="s">
        <v>1856</v>
      </c>
      <c r="B658" t="s">
        <v>1878</v>
      </c>
      <c r="C658">
        <v>2015</v>
      </c>
      <c r="E658" s="1" t="s">
        <v>3193</v>
      </c>
    </row>
    <row r="659" spans="1:5" ht="15" customHeight="1" x14ac:dyDescent="0.25">
      <c r="A659" t="s">
        <v>1856</v>
      </c>
      <c r="B659" t="s">
        <v>1880</v>
      </c>
      <c r="C659">
        <v>2015</v>
      </c>
      <c r="E659" s="11" t="s">
        <v>3308</v>
      </c>
    </row>
    <row r="660" spans="1:5" ht="15" customHeight="1" x14ac:dyDescent="0.25">
      <c r="A660" t="s">
        <v>1856</v>
      </c>
      <c r="B660" t="s">
        <v>1896</v>
      </c>
      <c r="C660">
        <v>2015</v>
      </c>
      <c r="E660" s="1" t="s">
        <v>3213</v>
      </c>
    </row>
    <row r="661" spans="1:5" ht="15" customHeight="1" x14ac:dyDescent="0.25">
      <c r="A661" t="s">
        <v>1856</v>
      </c>
      <c r="B661" t="s">
        <v>2057</v>
      </c>
      <c r="C661">
        <v>2015</v>
      </c>
      <c r="E661" s="1" t="s">
        <v>3195</v>
      </c>
    </row>
    <row r="662" spans="1:5" ht="15" customHeight="1" x14ac:dyDescent="0.25">
      <c r="A662" t="s">
        <v>1856</v>
      </c>
      <c r="B662" t="s">
        <v>2085</v>
      </c>
      <c r="C662">
        <v>2015</v>
      </c>
      <c r="E662" s="1" t="s">
        <v>2983</v>
      </c>
    </row>
    <row r="663" spans="1:5" ht="15" customHeight="1" x14ac:dyDescent="0.25">
      <c r="A663" t="s">
        <v>1856</v>
      </c>
      <c r="B663" t="s">
        <v>2147</v>
      </c>
      <c r="C663">
        <v>2015</v>
      </c>
      <c r="E663" s="1" t="s">
        <v>3125</v>
      </c>
    </row>
    <row r="664" spans="1:5" ht="15" customHeight="1" x14ac:dyDescent="0.25">
      <c r="A664" t="s">
        <v>1856</v>
      </c>
      <c r="B664" t="s">
        <v>2151</v>
      </c>
      <c r="C664">
        <v>2015</v>
      </c>
      <c r="E664" s="1" t="s">
        <v>2983</v>
      </c>
    </row>
    <row r="665" spans="1:5" ht="15" customHeight="1" x14ac:dyDescent="0.25">
      <c r="A665" t="s">
        <v>1856</v>
      </c>
      <c r="B665" t="s">
        <v>2493</v>
      </c>
      <c r="C665">
        <v>2015</v>
      </c>
      <c r="E665" s="1" t="s">
        <v>2496</v>
      </c>
    </row>
    <row r="666" spans="1:5" ht="15" customHeight="1" x14ac:dyDescent="0.25">
      <c r="A666" t="s">
        <v>1856</v>
      </c>
      <c r="B666" t="s">
        <v>2699</v>
      </c>
      <c r="C666">
        <v>2015</v>
      </c>
      <c r="E666" s="1" t="s">
        <v>3197</v>
      </c>
    </row>
    <row r="667" spans="1:5" ht="15" customHeight="1" x14ac:dyDescent="0.25">
      <c r="A667" t="s">
        <v>1856</v>
      </c>
      <c r="B667" t="s">
        <v>2835</v>
      </c>
      <c r="C667">
        <v>2015</v>
      </c>
      <c r="E667" s="1" t="s">
        <v>3309</v>
      </c>
    </row>
    <row r="668" spans="1:5" ht="15" customHeight="1" x14ac:dyDescent="0.25">
      <c r="A668" t="s">
        <v>1883</v>
      </c>
      <c r="B668" t="s">
        <v>1421</v>
      </c>
      <c r="C668">
        <v>1987</v>
      </c>
      <c r="E668" s="1" t="s">
        <v>2993</v>
      </c>
    </row>
    <row r="669" spans="1:5" ht="15" customHeight="1" x14ac:dyDescent="0.25">
      <c r="A669" t="s">
        <v>1883</v>
      </c>
      <c r="B669" t="s">
        <v>2277</v>
      </c>
      <c r="C669">
        <v>1987</v>
      </c>
      <c r="E669" s="11" t="s">
        <v>2997</v>
      </c>
    </row>
    <row r="670" spans="1:5" ht="15" customHeight="1" x14ac:dyDescent="0.25">
      <c r="A670" t="s">
        <v>1883</v>
      </c>
      <c r="B670" t="s">
        <v>2793</v>
      </c>
      <c r="C670">
        <v>1987</v>
      </c>
      <c r="E670" s="1" t="s">
        <v>3297</v>
      </c>
    </row>
    <row r="671" spans="1:5" ht="15" customHeight="1" x14ac:dyDescent="0.25">
      <c r="A671" t="s">
        <v>1886</v>
      </c>
      <c r="B671" t="s">
        <v>1892</v>
      </c>
      <c r="C671">
        <v>2015</v>
      </c>
      <c r="D671" t="s">
        <v>187</v>
      </c>
    </row>
    <row r="672" spans="1:5" ht="15" customHeight="1" x14ac:dyDescent="0.25">
      <c r="A672" t="s">
        <v>1892</v>
      </c>
      <c r="B672" t="s">
        <v>1888</v>
      </c>
      <c r="C672">
        <v>2017</v>
      </c>
      <c r="D672" t="s">
        <v>187</v>
      </c>
    </row>
    <row r="673" spans="1:5" ht="15" customHeight="1" x14ac:dyDescent="0.25">
      <c r="A673" t="s">
        <v>1900</v>
      </c>
      <c r="B673" t="s">
        <v>1759</v>
      </c>
      <c r="C673">
        <v>2014</v>
      </c>
      <c r="D673" t="s">
        <v>187</v>
      </c>
      <c r="E673" s="11"/>
    </row>
    <row r="674" spans="1:5" ht="15" customHeight="1" x14ac:dyDescent="0.25">
      <c r="A674" t="s">
        <v>1934</v>
      </c>
      <c r="B674" t="s">
        <v>1476</v>
      </c>
      <c r="C674">
        <v>2021</v>
      </c>
      <c r="E674" s="1" t="s">
        <v>2983</v>
      </c>
    </row>
    <row r="675" spans="1:5" ht="15" customHeight="1" x14ac:dyDescent="0.25">
      <c r="A675" t="s">
        <v>1948</v>
      </c>
      <c r="B675" t="s">
        <v>2660</v>
      </c>
      <c r="C675">
        <v>2021</v>
      </c>
      <c r="E675" s="1" t="s">
        <v>3259</v>
      </c>
    </row>
    <row r="676" spans="1:5" ht="15" customHeight="1" x14ac:dyDescent="0.25">
      <c r="A676" t="s">
        <v>1952</v>
      </c>
      <c r="B676" t="s">
        <v>299</v>
      </c>
      <c r="C676">
        <v>2022</v>
      </c>
      <c r="E676" s="1" t="s">
        <v>3310</v>
      </c>
    </row>
    <row r="677" spans="1:5" ht="15" customHeight="1" x14ac:dyDescent="0.25">
      <c r="A677" t="s">
        <v>1952</v>
      </c>
      <c r="B677" t="s">
        <v>706</v>
      </c>
      <c r="C677">
        <v>2022</v>
      </c>
      <c r="E677" s="11" t="s">
        <v>3026</v>
      </c>
    </row>
    <row r="678" spans="1:5" ht="15" customHeight="1" x14ac:dyDescent="0.25">
      <c r="A678" t="s">
        <v>1952</v>
      </c>
      <c r="B678" t="s">
        <v>961</v>
      </c>
      <c r="C678">
        <v>2022</v>
      </c>
      <c r="E678" s="1" t="s">
        <v>3147</v>
      </c>
    </row>
    <row r="679" spans="1:5" ht="15" customHeight="1" x14ac:dyDescent="0.25">
      <c r="A679" t="s">
        <v>1952</v>
      </c>
      <c r="B679" t="s">
        <v>1956</v>
      </c>
      <c r="C679">
        <v>2022</v>
      </c>
      <c r="E679" s="11" t="s">
        <v>3039</v>
      </c>
    </row>
    <row r="680" spans="1:5" ht="15" customHeight="1" x14ac:dyDescent="0.25">
      <c r="A680" t="s">
        <v>1952</v>
      </c>
      <c r="B680" t="s">
        <v>2230</v>
      </c>
      <c r="C680">
        <v>2022</v>
      </c>
      <c r="E680" s="11" t="s">
        <v>3311</v>
      </c>
    </row>
    <row r="681" spans="1:5" ht="15" customHeight="1" x14ac:dyDescent="0.25">
      <c r="A681" t="s">
        <v>1952</v>
      </c>
      <c r="B681" t="s">
        <v>2476</v>
      </c>
      <c r="C681">
        <v>2022</v>
      </c>
      <c r="E681" s="1" t="s">
        <v>3051</v>
      </c>
    </row>
    <row r="682" spans="1:5" ht="15" customHeight="1" x14ac:dyDescent="0.25">
      <c r="A682" t="s">
        <v>1971</v>
      </c>
      <c r="B682" t="s">
        <v>1904</v>
      </c>
      <c r="C682">
        <v>2012</v>
      </c>
      <c r="E682" s="1" t="s">
        <v>3312</v>
      </c>
    </row>
    <row r="683" spans="1:5" ht="15" customHeight="1" x14ac:dyDescent="0.25">
      <c r="A683" t="s">
        <v>1971</v>
      </c>
      <c r="B683" t="s">
        <v>2287</v>
      </c>
      <c r="C683">
        <v>2012</v>
      </c>
      <c r="D683" t="s">
        <v>187</v>
      </c>
      <c r="E683" s="1"/>
    </row>
    <row r="684" spans="1:5" ht="15" customHeight="1" x14ac:dyDescent="0.25">
      <c r="A684" t="s">
        <v>1996</v>
      </c>
      <c r="B684" t="s">
        <v>1999</v>
      </c>
      <c r="C684">
        <v>2021</v>
      </c>
      <c r="E684" s="1"/>
    </row>
    <row r="685" spans="1:5" ht="15" customHeight="1" x14ac:dyDescent="0.25">
      <c r="A685" t="s">
        <v>2005</v>
      </c>
      <c r="B685" t="s">
        <v>2002</v>
      </c>
      <c r="C685">
        <v>2007</v>
      </c>
      <c r="D685" t="s">
        <v>187</v>
      </c>
      <c r="E685" s="1"/>
    </row>
    <row r="686" spans="1:5" ht="15" customHeight="1" x14ac:dyDescent="0.25">
      <c r="A686" t="s">
        <v>2010</v>
      </c>
      <c r="B686" t="s">
        <v>1926</v>
      </c>
      <c r="C686">
        <v>2005</v>
      </c>
      <c r="E686" s="1" t="s">
        <v>3313</v>
      </c>
    </row>
    <row r="687" spans="1:5" ht="15" customHeight="1" x14ac:dyDescent="0.25">
      <c r="A687" t="s">
        <v>2010</v>
      </c>
      <c r="B687" t="s">
        <v>2005</v>
      </c>
      <c r="C687">
        <v>2005</v>
      </c>
      <c r="D687" t="s">
        <v>187</v>
      </c>
      <c r="E687" s="1"/>
    </row>
    <row r="688" spans="1:5" ht="15" customHeight="1" x14ac:dyDescent="0.25">
      <c r="A688" t="s">
        <v>2010</v>
      </c>
      <c r="B688" t="s">
        <v>2008</v>
      </c>
      <c r="C688">
        <v>2005</v>
      </c>
      <c r="D688" t="s">
        <v>187</v>
      </c>
      <c r="E688" s="1"/>
    </row>
    <row r="689" spans="1:5" ht="15" customHeight="1" x14ac:dyDescent="0.25">
      <c r="A689" t="s">
        <v>2010</v>
      </c>
      <c r="B689" t="s">
        <v>2013</v>
      </c>
      <c r="C689">
        <v>2005</v>
      </c>
      <c r="D689" t="s">
        <v>187</v>
      </c>
      <c r="E689" s="1"/>
    </row>
    <row r="690" spans="1:5" ht="15" customHeight="1" x14ac:dyDescent="0.25">
      <c r="A690" t="s">
        <v>2010</v>
      </c>
      <c r="B690" t="s">
        <v>2015</v>
      </c>
      <c r="C690">
        <v>2005</v>
      </c>
      <c r="D690" t="s">
        <v>187</v>
      </c>
      <c r="E690" s="1"/>
    </row>
    <row r="691" spans="1:5" ht="15" customHeight="1" x14ac:dyDescent="0.25">
      <c r="A691" t="s">
        <v>2017</v>
      </c>
      <c r="B691" t="s">
        <v>1705</v>
      </c>
      <c r="C691">
        <v>2024</v>
      </c>
      <c r="E691" s="11" t="s">
        <v>2987</v>
      </c>
    </row>
    <row r="692" spans="1:5" ht="15" customHeight="1" x14ac:dyDescent="0.25">
      <c r="A692" t="s">
        <v>2017</v>
      </c>
      <c r="B692" t="s">
        <v>2019</v>
      </c>
      <c r="C692">
        <v>2024</v>
      </c>
      <c r="E692" s="1" t="s">
        <v>3250</v>
      </c>
    </row>
    <row r="693" spans="1:5" ht="15" customHeight="1" x14ac:dyDescent="0.25">
      <c r="A693" t="s">
        <v>2022</v>
      </c>
      <c r="B693" t="s">
        <v>233</v>
      </c>
      <c r="C693">
        <v>2020</v>
      </c>
      <c r="E693" s="1" t="s">
        <v>3314</v>
      </c>
    </row>
    <row r="694" spans="1:5" ht="15" customHeight="1" x14ac:dyDescent="0.25">
      <c r="A694" t="s">
        <v>2024</v>
      </c>
      <c r="B694" t="s">
        <v>178</v>
      </c>
      <c r="C694">
        <v>2003</v>
      </c>
      <c r="E694" s="1" t="s">
        <v>3277</v>
      </c>
    </row>
    <row r="695" spans="1:5" ht="15" customHeight="1" x14ac:dyDescent="0.25">
      <c r="A695" t="s">
        <v>2024</v>
      </c>
      <c r="B695" t="s">
        <v>540</v>
      </c>
      <c r="C695">
        <v>2003</v>
      </c>
      <c r="E695" s="11" t="s">
        <v>3260</v>
      </c>
    </row>
    <row r="696" spans="1:5" ht="15" customHeight="1" x14ac:dyDescent="0.25">
      <c r="A696" t="s">
        <v>2024</v>
      </c>
      <c r="B696" t="s">
        <v>1318</v>
      </c>
      <c r="C696">
        <v>2003</v>
      </c>
      <c r="E696" s="1" t="s">
        <v>3315</v>
      </c>
    </row>
    <row r="697" spans="1:5" ht="15" customHeight="1" x14ac:dyDescent="0.25">
      <c r="A697" t="s">
        <v>2024</v>
      </c>
      <c r="B697" t="s">
        <v>2635</v>
      </c>
      <c r="C697">
        <v>2003</v>
      </c>
      <c r="E697" s="1" t="s">
        <v>3005</v>
      </c>
    </row>
    <row r="698" spans="1:5" ht="15" customHeight="1" x14ac:dyDescent="0.25">
      <c r="A698" t="s">
        <v>2024</v>
      </c>
      <c r="B698" t="s">
        <v>2865</v>
      </c>
      <c r="C698">
        <v>2003</v>
      </c>
      <c r="E698" s="11" t="s">
        <v>3316</v>
      </c>
    </row>
    <row r="699" spans="1:5" ht="15" customHeight="1" x14ac:dyDescent="0.25">
      <c r="A699" t="s">
        <v>2054</v>
      </c>
      <c r="B699" t="s">
        <v>1401</v>
      </c>
      <c r="C699">
        <v>1992</v>
      </c>
      <c r="E699" s="11" t="s">
        <v>2992</v>
      </c>
    </row>
    <row r="700" spans="1:5" ht="15" customHeight="1" x14ac:dyDescent="0.25">
      <c r="A700" t="s">
        <v>2066</v>
      </c>
      <c r="B700" t="s">
        <v>2282</v>
      </c>
      <c r="C700">
        <v>2023</v>
      </c>
      <c r="E700" s="1" t="s">
        <v>3216</v>
      </c>
    </row>
    <row r="701" spans="1:5" ht="15" customHeight="1" x14ac:dyDescent="0.25">
      <c r="A701" t="s">
        <v>2074</v>
      </c>
      <c r="B701" t="s">
        <v>198</v>
      </c>
      <c r="C701">
        <v>2010</v>
      </c>
      <c r="E701" s="1" t="s">
        <v>2983</v>
      </c>
    </row>
    <row r="702" spans="1:5" ht="15" customHeight="1" x14ac:dyDescent="0.25">
      <c r="A702" t="s">
        <v>2074</v>
      </c>
      <c r="B702" t="s">
        <v>2568</v>
      </c>
      <c r="C702">
        <v>2010</v>
      </c>
      <c r="E702" s="1" t="s">
        <v>2983</v>
      </c>
    </row>
    <row r="703" spans="1:5" ht="15" customHeight="1" x14ac:dyDescent="0.25">
      <c r="A703" t="s">
        <v>2081</v>
      </c>
      <c r="B703" t="s">
        <v>2929</v>
      </c>
      <c r="C703">
        <v>2015</v>
      </c>
      <c r="E703" t="s">
        <v>2983</v>
      </c>
    </row>
    <row r="704" spans="1:5" ht="15" customHeight="1" x14ac:dyDescent="0.25">
      <c r="A704" t="s">
        <v>2096</v>
      </c>
      <c r="B704" t="s">
        <v>741</v>
      </c>
      <c r="C704">
        <v>2023</v>
      </c>
      <c r="E704" s="11" t="s">
        <v>3317</v>
      </c>
    </row>
    <row r="705" spans="1:5" ht="15" customHeight="1" x14ac:dyDescent="0.25">
      <c r="A705" t="s">
        <v>2096</v>
      </c>
      <c r="B705" t="s">
        <v>2525</v>
      </c>
      <c r="C705">
        <v>2023</v>
      </c>
      <c r="E705" s="1" t="s">
        <v>3318</v>
      </c>
    </row>
    <row r="706" spans="1:5" ht="15" customHeight="1" x14ac:dyDescent="0.25">
      <c r="A706" t="s">
        <v>2108</v>
      </c>
      <c r="B706" t="s">
        <v>1938</v>
      </c>
      <c r="C706">
        <v>2020</v>
      </c>
      <c r="E706" s="1" t="s">
        <v>1941</v>
      </c>
    </row>
    <row r="707" spans="1:5" ht="15" customHeight="1" x14ac:dyDescent="0.25">
      <c r="A707" t="s">
        <v>2108</v>
      </c>
      <c r="B707" t="s">
        <v>2112</v>
      </c>
      <c r="C707">
        <v>2020</v>
      </c>
      <c r="D707" t="s">
        <v>187</v>
      </c>
      <c r="E707" s="1"/>
    </row>
    <row r="708" spans="1:5" ht="15" customHeight="1" x14ac:dyDescent="0.25">
      <c r="A708" t="s">
        <v>2112</v>
      </c>
      <c r="B708" t="s">
        <v>2116</v>
      </c>
      <c r="C708">
        <v>2024</v>
      </c>
      <c r="D708" t="s">
        <v>187</v>
      </c>
      <c r="E708" s="1"/>
    </row>
    <row r="709" spans="1:5" ht="15" customHeight="1" x14ac:dyDescent="0.25">
      <c r="A709" t="s">
        <v>2123</v>
      </c>
      <c r="B709" t="s">
        <v>2897</v>
      </c>
      <c r="C709">
        <v>2020</v>
      </c>
      <c r="D709" t="s">
        <v>187</v>
      </c>
      <c r="E709" s="1"/>
    </row>
    <row r="710" spans="1:5" ht="15" customHeight="1" x14ac:dyDescent="0.25">
      <c r="A710" t="s">
        <v>2131</v>
      </c>
      <c r="B710" t="s">
        <v>2255</v>
      </c>
      <c r="C710">
        <v>2017</v>
      </c>
      <c r="E710" s="1" t="s">
        <v>2983</v>
      </c>
    </row>
    <row r="711" spans="1:5" ht="15" customHeight="1" x14ac:dyDescent="0.25">
      <c r="A711" t="s">
        <v>2133</v>
      </c>
      <c r="B711" t="s">
        <v>759</v>
      </c>
      <c r="C711">
        <v>2013</v>
      </c>
      <c r="E711" s="1" t="s">
        <v>3319</v>
      </c>
    </row>
    <row r="712" spans="1:5" ht="15" customHeight="1" x14ac:dyDescent="0.25">
      <c r="A712" t="s">
        <v>2133</v>
      </c>
      <c r="B712" t="s">
        <v>1418</v>
      </c>
      <c r="C712">
        <v>2013</v>
      </c>
      <c r="E712" s="11" t="s">
        <v>3320</v>
      </c>
    </row>
    <row r="713" spans="1:5" ht="15" customHeight="1" x14ac:dyDescent="0.25">
      <c r="A713" t="s">
        <v>2133</v>
      </c>
      <c r="B713" t="s">
        <v>2032</v>
      </c>
      <c r="C713">
        <v>2013</v>
      </c>
      <c r="E713" s="1" t="s">
        <v>3237</v>
      </c>
    </row>
    <row r="714" spans="1:5" ht="15" customHeight="1" x14ac:dyDescent="0.25">
      <c r="A714" t="s">
        <v>2133</v>
      </c>
      <c r="B714" t="s">
        <v>2137</v>
      </c>
      <c r="C714">
        <v>2013</v>
      </c>
      <c r="D714" t="s">
        <v>187</v>
      </c>
      <c r="E714" s="1"/>
    </row>
    <row r="715" spans="1:5" ht="15" customHeight="1" x14ac:dyDescent="0.25">
      <c r="A715" t="s">
        <v>2133</v>
      </c>
      <c r="B715" t="s">
        <v>2141</v>
      </c>
      <c r="C715">
        <v>2013</v>
      </c>
      <c r="D715" t="s">
        <v>187</v>
      </c>
      <c r="E715" s="1"/>
    </row>
    <row r="716" spans="1:5" ht="15" customHeight="1" x14ac:dyDescent="0.25">
      <c r="A716" t="s">
        <v>2133</v>
      </c>
      <c r="B716" t="s">
        <v>2282</v>
      </c>
      <c r="C716">
        <v>2013</v>
      </c>
      <c r="E716" s="1" t="s">
        <v>3216</v>
      </c>
    </row>
    <row r="717" spans="1:5" ht="15" customHeight="1" x14ac:dyDescent="0.25">
      <c r="A717" t="s">
        <v>2133</v>
      </c>
      <c r="B717" t="s">
        <v>2557</v>
      </c>
      <c r="C717">
        <v>2013</v>
      </c>
      <c r="E717" s="1" t="s">
        <v>3321</v>
      </c>
    </row>
    <row r="718" spans="1:5" ht="15" customHeight="1" x14ac:dyDescent="0.25">
      <c r="A718" t="s">
        <v>2133</v>
      </c>
      <c r="B718" t="s">
        <v>2891</v>
      </c>
      <c r="C718">
        <v>2013</v>
      </c>
      <c r="E718" s="1" t="s">
        <v>3078</v>
      </c>
    </row>
    <row r="719" spans="1:5" ht="15" customHeight="1" x14ac:dyDescent="0.25">
      <c r="A719" t="s">
        <v>2137</v>
      </c>
      <c r="B719" t="s">
        <v>741</v>
      </c>
      <c r="C719">
        <v>2020</v>
      </c>
      <c r="E719" s="11" t="s">
        <v>3136</v>
      </c>
    </row>
    <row r="720" spans="1:5" ht="15" customHeight="1" x14ac:dyDescent="0.25">
      <c r="A720" t="s">
        <v>2137</v>
      </c>
      <c r="B720" t="s">
        <v>1043</v>
      </c>
      <c r="C720">
        <v>2020</v>
      </c>
      <c r="E720" s="1" t="s">
        <v>3322</v>
      </c>
    </row>
    <row r="721" spans="1:5" ht="15" customHeight="1" x14ac:dyDescent="0.25">
      <c r="A721" t="s">
        <v>2137</v>
      </c>
      <c r="B721" t="s">
        <v>1060</v>
      </c>
      <c r="C721">
        <v>2020</v>
      </c>
      <c r="E721" s="1" t="s">
        <v>2983</v>
      </c>
    </row>
    <row r="722" spans="1:5" ht="15" customHeight="1" x14ac:dyDescent="0.25">
      <c r="A722" t="s">
        <v>2137</v>
      </c>
      <c r="B722" t="s">
        <v>1169</v>
      </c>
      <c r="C722">
        <v>2020</v>
      </c>
      <c r="E722" s="1" t="s">
        <v>3014</v>
      </c>
    </row>
    <row r="723" spans="1:5" ht="15" customHeight="1" x14ac:dyDescent="0.25">
      <c r="A723" t="s">
        <v>2137</v>
      </c>
      <c r="B723" t="s">
        <v>1562</v>
      </c>
      <c r="C723">
        <v>2020</v>
      </c>
      <c r="E723" s="1" t="s">
        <v>3276</v>
      </c>
    </row>
    <row r="724" spans="1:5" ht="15" customHeight="1" x14ac:dyDescent="0.25">
      <c r="A724" t="s">
        <v>2137</v>
      </c>
      <c r="B724" t="s">
        <v>1622</v>
      </c>
      <c r="C724">
        <v>2020</v>
      </c>
      <c r="E724" s="1" t="s">
        <v>2983</v>
      </c>
    </row>
    <row r="725" spans="1:5" ht="15" customHeight="1" x14ac:dyDescent="0.25">
      <c r="A725" t="s">
        <v>2137</v>
      </c>
      <c r="B725" t="s">
        <v>1724</v>
      </c>
      <c r="C725">
        <v>2020</v>
      </c>
      <c r="E725" s="1" t="s">
        <v>2983</v>
      </c>
    </row>
    <row r="726" spans="1:5" ht="15" customHeight="1" x14ac:dyDescent="0.25">
      <c r="A726" t="s">
        <v>2137</v>
      </c>
      <c r="B726" t="s">
        <v>1753</v>
      </c>
      <c r="C726">
        <v>2020</v>
      </c>
      <c r="E726" s="1" t="s">
        <v>3323</v>
      </c>
    </row>
    <row r="727" spans="1:5" ht="15" customHeight="1" x14ac:dyDescent="0.25">
      <c r="A727" t="s">
        <v>2137</v>
      </c>
      <c r="B727" t="s">
        <v>2017</v>
      </c>
      <c r="C727">
        <v>2020</v>
      </c>
      <c r="E727" s="1" t="s">
        <v>2983</v>
      </c>
    </row>
    <row r="728" spans="1:5" ht="15" customHeight="1" x14ac:dyDescent="0.25">
      <c r="A728" t="s">
        <v>2137</v>
      </c>
      <c r="B728" t="s">
        <v>2274</v>
      </c>
      <c r="C728">
        <v>2020</v>
      </c>
      <c r="E728" t="s">
        <v>2983</v>
      </c>
    </row>
    <row r="729" spans="1:5" ht="15" customHeight="1" x14ac:dyDescent="0.25">
      <c r="A729" t="s">
        <v>2137</v>
      </c>
      <c r="B729" t="s">
        <v>2284</v>
      </c>
      <c r="C729">
        <v>2020</v>
      </c>
      <c r="E729" s="11" t="s">
        <v>3072</v>
      </c>
    </row>
    <row r="730" spans="1:5" ht="15" customHeight="1" x14ac:dyDescent="0.25">
      <c r="A730" t="s">
        <v>2137</v>
      </c>
      <c r="B730" t="s">
        <v>2525</v>
      </c>
      <c r="C730">
        <v>2020</v>
      </c>
      <c r="E730" s="1" t="s">
        <v>3318</v>
      </c>
    </row>
    <row r="731" spans="1:5" ht="15" customHeight="1" x14ac:dyDescent="0.25">
      <c r="A731" t="s">
        <v>2137</v>
      </c>
      <c r="B731" t="s">
        <v>2597</v>
      </c>
      <c r="C731">
        <v>2020</v>
      </c>
      <c r="E731" s="11" t="s">
        <v>3324</v>
      </c>
    </row>
    <row r="732" spans="1:5" ht="15" customHeight="1" x14ac:dyDescent="0.25">
      <c r="A732" t="s">
        <v>2137</v>
      </c>
      <c r="B732" t="s">
        <v>2613</v>
      </c>
      <c r="C732">
        <v>2020</v>
      </c>
      <c r="E732" s="1" t="s">
        <v>3325</v>
      </c>
    </row>
    <row r="733" spans="1:5" ht="15" customHeight="1" x14ac:dyDescent="0.25">
      <c r="A733" t="s">
        <v>2137</v>
      </c>
      <c r="B733" t="s">
        <v>2813</v>
      </c>
      <c r="C733">
        <v>2020</v>
      </c>
      <c r="E733" s="1" t="s">
        <v>3084</v>
      </c>
    </row>
    <row r="734" spans="1:5" ht="15" customHeight="1" x14ac:dyDescent="0.25">
      <c r="A734" t="s">
        <v>2147</v>
      </c>
      <c r="B734" t="s">
        <v>488</v>
      </c>
      <c r="C734">
        <v>2020</v>
      </c>
      <c r="E734" s="1" t="s">
        <v>3222</v>
      </c>
    </row>
    <row r="735" spans="1:5" ht="15" customHeight="1" x14ac:dyDescent="0.25">
      <c r="A735" t="s">
        <v>2147</v>
      </c>
      <c r="B735" t="s">
        <v>2525</v>
      </c>
      <c r="C735">
        <v>2020</v>
      </c>
      <c r="E735" s="1" t="s">
        <v>3318</v>
      </c>
    </row>
    <row r="736" spans="1:5" ht="15" customHeight="1" x14ac:dyDescent="0.25">
      <c r="A736" t="s">
        <v>2155</v>
      </c>
      <c r="B736" t="s">
        <v>205</v>
      </c>
      <c r="C736">
        <v>1980</v>
      </c>
      <c r="E736" s="1" t="s">
        <v>3326</v>
      </c>
    </row>
    <row r="737" spans="1:5" ht="15" customHeight="1" x14ac:dyDescent="0.25">
      <c r="A737" t="s">
        <v>2155</v>
      </c>
      <c r="B737" t="s">
        <v>490</v>
      </c>
      <c r="C737">
        <v>1980</v>
      </c>
      <c r="E737" s="1" t="s">
        <v>3327</v>
      </c>
    </row>
    <row r="738" spans="1:5" ht="15" customHeight="1" x14ac:dyDescent="0.25">
      <c r="A738" t="s">
        <v>2155</v>
      </c>
      <c r="B738" t="s">
        <v>522</v>
      </c>
      <c r="C738">
        <v>1980</v>
      </c>
      <c r="E738" s="1"/>
    </row>
    <row r="739" spans="1:5" ht="15" customHeight="1" x14ac:dyDescent="0.25">
      <c r="A739" t="s">
        <v>2155</v>
      </c>
      <c r="B739" t="s">
        <v>546</v>
      </c>
      <c r="C739">
        <v>1980</v>
      </c>
      <c r="E739" s="1" t="s">
        <v>3328</v>
      </c>
    </row>
    <row r="740" spans="1:5" ht="15" customHeight="1" x14ac:dyDescent="0.25">
      <c r="A740" t="s">
        <v>2155</v>
      </c>
      <c r="B740" t="s">
        <v>689</v>
      </c>
      <c r="C740">
        <v>1980</v>
      </c>
      <c r="E740" s="1" t="s">
        <v>3329</v>
      </c>
    </row>
    <row r="741" spans="1:5" ht="15" customHeight="1" x14ac:dyDescent="0.25">
      <c r="A741" t="s">
        <v>2155</v>
      </c>
      <c r="B741" t="s">
        <v>1081</v>
      </c>
      <c r="C741">
        <v>1980</v>
      </c>
      <c r="E741" s="1" t="s">
        <v>3330</v>
      </c>
    </row>
    <row r="742" spans="1:5" ht="15" customHeight="1" x14ac:dyDescent="0.25">
      <c r="A742" t="s">
        <v>2155</v>
      </c>
      <c r="B742" t="s">
        <v>1228</v>
      </c>
      <c r="C742">
        <v>1980</v>
      </c>
      <c r="E742" s="1" t="s">
        <v>3331</v>
      </c>
    </row>
    <row r="743" spans="1:5" ht="15" customHeight="1" x14ac:dyDescent="0.25">
      <c r="A743" t="s">
        <v>2155</v>
      </c>
      <c r="B743" t="s">
        <v>1285</v>
      </c>
      <c r="C743">
        <v>1980</v>
      </c>
      <c r="E743" s="1"/>
    </row>
    <row r="744" spans="1:5" ht="15" customHeight="1" x14ac:dyDescent="0.25">
      <c r="A744" t="s">
        <v>2155</v>
      </c>
      <c r="B744" t="s">
        <v>1401</v>
      </c>
      <c r="C744">
        <v>1980</v>
      </c>
      <c r="E744" s="11" t="s">
        <v>2992</v>
      </c>
    </row>
    <row r="745" spans="1:5" ht="15" customHeight="1" x14ac:dyDescent="0.25">
      <c r="A745" t="s">
        <v>2155</v>
      </c>
      <c r="B745" t="s">
        <v>1426</v>
      </c>
      <c r="C745">
        <v>1980</v>
      </c>
      <c r="E745" s="1" t="s">
        <v>2983</v>
      </c>
    </row>
    <row r="746" spans="1:5" ht="15" customHeight="1" x14ac:dyDescent="0.25">
      <c r="A746" t="s">
        <v>2155</v>
      </c>
      <c r="B746" t="s">
        <v>1524</v>
      </c>
      <c r="C746">
        <v>1980</v>
      </c>
      <c r="E746" s="1" t="s">
        <v>3332</v>
      </c>
    </row>
    <row r="747" spans="1:5" ht="15" customHeight="1" x14ac:dyDescent="0.25">
      <c r="A747" t="s">
        <v>2155</v>
      </c>
      <c r="B747" t="s">
        <v>1664</v>
      </c>
      <c r="C747">
        <v>1980</v>
      </c>
      <c r="E747" t="s">
        <v>3014</v>
      </c>
    </row>
    <row r="748" spans="1:5" ht="15" customHeight="1" x14ac:dyDescent="0.25">
      <c r="A748" t="s">
        <v>2155</v>
      </c>
      <c r="B748" t="s">
        <v>1726</v>
      </c>
      <c r="C748">
        <v>1980</v>
      </c>
      <c r="E748" s="1" t="s">
        <v>3333</v>
      </c>
    </row>
    <row r="749" spans="1:5" ht="15" customHeight="1" x14ac:dyDescent="0.25">
      <c r="A749" t="s">
        <v>2155</v>
      </c>
      <c r="B749" t="s">
        <v>2036</v>
      </c>
      <c r="C749">
        <v>1980</v>
      </c>
      <c r="E749" s="1" t="s">
        <v>3155</v>
      </c>
    </row>
    <row r="750" spans="1:5" ht="15" customHeight="1" x14ac:dyDescent="0.25">
      <c r="A750" t="s">
        <v>2155</v>
      </c>
      <c r="B750" t="s">
        <v>2054</v>
      </c>
      <c r="C750">
        <v>1980</v>
      </c>
      <c r="E750" s="1" t="s">
        <v>3293</v>
      </c>
    </row>
    <row r="751" spans="1:5" ht="15" customHeight="1" x14ac:dyDescent="0.25">
      <c r="A751" t="s">
        <v>2155</v>
      </c>
      <c r="B751" t="s">
        <v>2078</v>
      </c>
      <c r="C751">
        <v>1980</v>
      </c>
      <c r="E751" s="11" t="s">
        <v>3334</v>
      </c>
    </row>
    <row r="752" spans="1:5" ht="15" customHeight="1" x14ac:dyDescent="0.25">
      <c r="A752" t="s">
        <v>2155</v>
      </c>
      <c r="B752" t="s">
        <v>2167</v>
      </c>
      <c r="C752">
        <v>1980</v>
      </c>
      <c r="E752" s="11" t="s">
        <v>3335</v>
      </c>
    </row>
    <row r="753" spans="1:5" ht="15" customHeight="1" x14ac:dyDescent="0.25">
      <c r="A753" t="s">
        <v>2155</v>
      </c>
      <c r="B753" t="s">
        <v>2201</v>
      </c>
      <c r="C753">
        <v>1980</v>
      </c>
      <c r="E753" s="1" t="s">
        <v>3063</v>
      </c>
    </row>
    <row r="754" spans="1:5" ht="15" customHeight="1" x14ac:dyDescent="0.25">
      <c r="A754" t="s">
        <v>2155</v>
      </c>
      <c r="B754" t="s">
        <v>2205</v>
      </c>
      <c r="C754">
        <v>1980</v>
      </c>
      <c r="E754" s="1" t="s">
        <v>3336</v>
      </c>
    </row>
    <row r="755" spans="1:5" ht="15" customHeight="1" x14ac:dyDescent="0.25">
      <c r="A755" t="s">
        <v>2155</v>
      </c>
      <c r="B755" t="s">
        <v>2544</v>
      </c>
      <c r="C755">
        <v>1980</v>
      </c>
      <c r="E755" s="1" t="s">
        <v>3296</v>
      </c>
    </row>
    <row r="756" spans="1:5" ht="15" customHeight="1" x14ac:dyDescent="0.25">
      <c r="A756" t="s">
        <v>2155</v>
      </c>
      <c r="B756" t="s">
        <v>2626</v>
      </c>
      <c r="C756">
        <v>1980</v>
      </c>
      <c r="E756" s="11" t="s">
        <v>3335</v>
      </c>
    </row>
    <row r="757" spans="1:5" ht="15" customHeight="1" x14ac:dyDescent="0.25">
      <c r="A757" t="s">
        <v>2155</v>
      </c>
      <c r="B757" t="s">
        <v>2707</v>
      </c>
      <c r="C757">
        <v>1980</v>
      </c>
      <c r="E757" s="1" t="s">
        <v>3337</v>
      </c>
    </row>
    <row r="758" spans="1:5" ht="15" customHeight="1" x14ac:dyDescent="0.25">
      <c r="A758" t="s">
        <v>2155</v>
      </c>
      <c r="B758" t="s">
        <v>2722</v>
      </c>
      <c r="C758">
        <v>1980</v>
      </c>
      <c r="E758" s="1" t="s">
        <v>3338</v>
      </c>
    </row>
    <row r="759" spans="1:5" ht="15" customHeight="1" x14ac:dyDescent="0.25">
      <c r="A759" t="s">
        <v>2174</v>
      </c>
      <c r="B759" t="s">
        <v>689</v>
      </c>
      <c r="C759">
        <v>2013</v>
      </c>
      <c r="E759" s="1" t="s">
        <v>3329</v>
      </c>
    </row>
    <row r="760" spans="1:5" ht="15" customHeight="1" x14ac:dyDescent="0.25">
      <c r="A760" t="s">
        <v>2174</v>
      </c>
      <c r="B760" t="s">
        <v>759</v>
      </c>
      <c r="C760">
        <v>2013</v>
      </c>
      <c r="E760" s="1" t="s">
        <v>3339</v>
      </c>
    </row>
    <row r="761" spans="1:5" ht="15" customHeight="1" x14ac:dyDescent="0.25">
      <c r="A761" t="s">
        <v>2174</v>
      </c>
      <c r="B761" t="s">
        <v>1003</v>
      </c>
      <c r="C761">
        <v>2013</v>
      </c>
      <c r="E761" s="1" t="s">
        <v>3120</v>
      </c>
    </row>
    <row r="762" spans="1:5" ht="15" customHeight="1" x14ac:dyDescent="0.25">
      <c r="A762" t="s">
        <v>2174</v>
      </c>
      <c r="B762" t="s">
        <v>1105</v>
      </c>
      <c r="C762">
        <v>2013</v>
      </c>
      <c r="E762" s="1" t="s">
        <v>3340</v>
      </c>
    </row>
    <row r="763" spans="1:5" ht="15" customHeight="1" x14ac:dyDescent="0.25">
      <c r="A763" t="s">
        <v>2174</v>
      </c>
      <c r="B763" t="s">
        <v>1152</v>
      </c>
      <c r="C763">
        <v>2013</v>
      </c>
      <c r="E763" s="1" t="s">
        <v>3121</v>
      </c>
    </row>
    <row r="764" spans="1:5" ht="15" customHeight="1" x14ac:dyDescent="0.25">
      <c r="A764" t="s">
        <v>2174</v>
      </c>
      <c r="B764" t="s">
        <v>1414</v>
      </c>
      <c r="C764">
        <v>2013</v>
      </c>
      <c r="E764" s="1" t="s">
        <v>3341</v>
      </c>
    </row>
    <row r="765" spans="1:5" ht="15" customHeight="1" x14ac:dyDescent="0.25">
      <c r="A765" t="s">
        <v>2174</v>
      </c>
      <c r="B765" t="s">
        <v>1714</v>
      </c>
      <c r="C765">
        <v>2013</v>
      </c>
      <c r="E765" s="1" t="s">
        <v>3342</v>
      </c>
    </row>
    <row r="766" spans="1:5" ht="15" customHeight="1" x14ac:dyDescent="0.25">
      <c r="A766" t="s">
        <v>2174</v>
      </c>
      <c r="B766" t="s">
        <v>2170</v>
      </c>
      <c r="C766">
        <v>2013</v>
      </c>
      <c r="E766" s="1" t="s">
        <v>3343</v>
      </c>
    </row>
    <row r="767" spans="1:5" ht="15" customHeight="1" x14ac:dyDescent="0.25">
      <c r="A767" t="s">
        <v>2174</v>
      </c>
      <c r="B767" t="s">
        <v>2178</v>
      </c>
      <c r="C767">
        <v>2013</v>
      </c>
      <c r="D767" t="s">
        <v>187</v>
      </c>
      <c r="E767" s="1"/>
    </row>
    <row r="768" spans="1:5" ht="15" customHeight="1" x14ac:dyDescent="0.25">
      <c r="A768" t="s">
        <v>2174</v>
      </c>
      <c r="B768" t="s">
        <v>2404</v>
      </c>
      <c r="C768">
        <v>2013</v>
      </c>
      <c r="E768" s="1" t="s">
        <v>3126</v>
      </c>
    </row>
    <row r="769" spans="1:5" ht="15" customHeight="1" x14ac:dyDescent="0.25">
      <c r="A769" t="s">
        <v>2174</v>
      </c>
      <c r="B769" t="s">
        <v>2499</v>
      </c>
      <c r="C769">
        <v>2013</v>
      </c>
      <c r="E769" s="1" t="s">
        <v>3344</v>
      </c>
    </row>
    <row r="770" spans="1:5" ht="15" customHeight="1" x14ac:dyDescent="0.25">
      <c r="A770" t="s">
        <v>2174</v>
      </c>
      <c r="B770" t="s">
        <v>2783</v>
      </c>
      <c r="C770">
        <v>2013</v>
      </c>
      <c r="E770" s="1" t="s">
        <v>3128</v>
      </c>
    </row>
    <row r="771" spans="1:5" ht="15" customHeight="1" x14ac:dyDescent="0.25">
      <c r="A771" t="s">
        <v>2186</v>
      </c>
      <c r="B771" t="s">
        <v>1834</v>
      </c>
      <c r="C771">
        <v>2022</v>
      </c>
      <c r="E771" s="1" t="s">
        <v>2983</v>
      </c>
    </row>
    <row r="772" spans="1:5" ht="15" customHeight="1" x14ac:dyDescent="0.25">
      <c r="A772" t="s">
        <v>2186</v>
      </c>
      <c r="B772" t="s">
        <v>2737</v>
      </c>
      <c r="C772">
        <v>2022</v>
      </c>
      <c r="E772" s="1" t="s">
        <v>3345</v>
      </c>
    </row>
    <row r="773" spans="1:5" ht="15" customHeight="1" x14ac:dyDescent="0.25">
      <c r="A773" t="s">
        <v>2197</v>
      </c>
      <c r="B773" t="s">
        <v>866</v>
      </c>
      <c r="C773">
        <v>2021</v>
      </c>
      <c r="E773" s="1" t="s">
        <v>3206</v>
      </c>
    </row>
    <row r="774" spans="1:5" ht="15" customHeight="1" x14ac:dyDescent="0.25">
      <c r="A774" t="s">
        <v>2197</v>
      </c>
      <c r="B774" t="s">
        <v>2672</v>
      </c>
      <c r="C774">
        <v>2021</v>
      </c>
      <c r="E774" s="1" t="s">
        <v>3346</v>
      </c>
    </row>
    <row r="775" spans="1:5" ht="15" customHeight="1" x14ac:dyDescent="0.25">
      <c r="A775" t="s">
        <v>2212</v>
      </c>
      <c r="B775" t="s">
        <v>2216</v>
      </c>
      <c r="C775">
        <v>2021</v>
      </c>
      <c r="E775" s="1" t="s">
        <v>3043</v>
      </c>
    </row>
    <row r="776" spans="1:5" ht="15" customHeight="1" x14ac:dyDescent="0.25">
      <c r="A776" t="s">
        <v>2255</v>
      </c>
      <c r="B776" t="s">
        <v>1160</v>
      </c>
      <c r="C776">
        <v>2020</v>
      </c>
      <c r="E776" s="1" t="s">
        <v>2983</v>
      </c>
    </row>
    <row r="777" spans="1:5" ht="15" customHeight="1" x14ac:dyDescent="0.25">
      <c r="A777" t="s">
        <v>2255</v>
      </c>
      <c r="B777" t="s">
        <v>1880</v>
      </c>
      <c r="C777">
        <v>2020</v>
      </c>
      <c r="E777" s="11" t="s">
        <v>3308</v>
      </c>
    </row>
    <row r="778" spans="1:5" ht="15" customHeight="1" x14ac:dyDescent="0.25">
      <c r="A778" t="s">
        <v>2270</v>
      </c>
      <c r="B778" t="s">
        <v>209</v>
      </c>
      <c r="C778">
        <v>2022</v>
      </c>
      <c r="D778" t="s">
        <v>187</v>
      </c>
      <c r="E778" s="1"/>
    </row>
    <row r="779" spans="1:5" ht="15" customHeight="1" x14ac:dyDescent="0.25">
      <c r="A779" t="s">
        <v>2287</v>
      </c>
      <c r="B779" t="s">
        <v>1566</v>
      </c>
      <c r="C779">
        <v>2014</v>
      </c>
      <c r="E779" s="11" t="s">
        <v>3132</v>
      </c>
    </row>
    <row r="780" spans="1:5" ht="15" customHeight="1" x14ac:dyDescent="0.25">
      <c r="A780" t="s">
        <v>2293</v>
      </c>
      <c r="B780" t="s">
        <v>2299</v>
      </c>
      <c r="C780">
        <v>2008</v>
      </c>
      <c r="D780" t="s">
        <v>187</v>
      </c>
      <c r="E780" s="1"/>
    </row>
    <row r="781" spans="1:5" ht="15" customHeight="1" x14ac:dyDescent="0.25">
      <c r="A781" t="s">
        <v>2296</v>
      </c>
      <c r="B781" t="s">
        <v>2293</v>
      </c>
      <c r="C781">
        <v>2000</v>
      </c>
      <c r="D781" t="s">
        <v>187</v>
      </c>
      <c r="E781" s="1"/>
    </row>
    <row r="782" spans="1:5" ht="15" customHeight="1" x14ac:dyDescent="0.25">
      <c r="A782" t="s">
        <v>2296</v>
      </c>
      <c r="B782" t="s">
        <v>2302</v>
      </c>
      <c r="C782">
        <v>2000</v>
      </c>
      <c r="D782" t="s">
        <v>187</v>
      </c>
      <c r="E782" s="1"/>
    </row>
    <row r="783" spans="1:5" ht="15" customHeight="1" x14ac:dyDescent="0.25">
      <c r="A783" t="s">
        <v>2299</v>
      </c>
      <c r="B783" t="s">
        <v>2315</v>
      </c>
      <c r="C783">
        <v>2010</v>
      </c>
      <c r="D783" t="s">
        <v>187</v>
      </c>
      <c r="E783" s="1"/>
    </row>
    <row r="784" spans="1:5" ht="15" customHeight="1" x14ac:dyDescent="0.25">
      <c r="A784" t="s">
        <v>2305</v>
      </c>
      <c r="B784" t="s">
        <v>2308</v>
      </c>
      <c r="C784">
        <v>1996</v>
      </c>
      <c r="D784" t="s">
        <v>187</v>
      </c>
      <c r="E784" s="1"/>
    </row>
    <row r="785" spans="1:5" ht="15" customHeight="1" x14ac:dyDescent="0.25">
      <c r="A785" t="s">
        <v>2315</v>
      </c>
      <c r="B785" t="s">
        <v>2311</v>
      </c>
      <c r="C785">
        <v>2010</v>
      </c>
      <c r="D785" t="s">
        <v>187</v>
      </c>
      <c r="E785" s="1"/>
    </row>
    <row r="786" spans="1:5" ht="15" customHeight="1" x14ac:dyDescent="0.25">
      <c r="A786" t="s">
        <v>2319</v>
      </c>
      <c r="B786" t="s">
        <v>2687</v>
      </c>
      <c r="C786">
        <v>2023</v>
      </c>
      <c r="E786" s="1" t="s">
        <v>2983</v>
      </c>
    </row>
    <row r="787" spans="1:5" ht="15" customHeight="1" x14ac:dyDescent="0.25">
      <c r="A787" t="s">
        <v>2323</v>
      </c>
      <c r="B787" t="s">
        <v>1856</v>
      </c>
      <c r="C787">
        <v>2010</v>
      </c>
      <c r="E787" s="1" t="s">
        <v>3347</v>
      </c>
    </row>
    <row r="788" spans="1:5" ht="15" customHeight="1" x14ac:dyDescent="0.25">
      <c r="A788" t="s">
        <v>2325</v>
      </c>
      <c r="B788" t="s">
        <v>421</v>
      </c>
      <c r="C788">
        <v>2022</v>
      </c>
      <c r="E788" s="1" t="s">
        <v>2983</v>
      </c>
    </row>
    <row r="789" spans="1:5" ht="15" customHeight="1" x14ac:dyDescent="0.25">
      <c r="A789" t="s">
        <v>2325</v>
      </c>
      <c r="B789" t="s">
        <v>571</v>
      </c>
      <c r="C789">
        <v>2022</v>
      </c>
      <c r="E789" s="11" t="s">
        <v>3087</v>
      </c>
    </row>
    <row r="790" spans="1:5" ht="15" customHeight="1" x14ac:dyDescent="0.25">
      <c r="A790" t="s">
        <v>2325</v>
      </c>
      <c r="B790" t="s">
        <v>2660</v>
      </c>
      <c r="C790">
        <v>2022</v>
      </c>
      <c r="E790" s="1" t="s">
        <v>3259</v>
      </c>
    </row>
    <row r="791" spans="1:5" ht="15" customHeight="1" x14ac:dyDescent="0.25">
      <c r="A791" t="s">
        <v>2336</v>
      </c>
      <c r="B791" t="s">
        <v>2072</v>
      </c>
      <c r="C791">
        <v>2020</v>
      </c>
      <c r="E791" s="1" t="s">
        <v>3238</v>
      </c>
    </row>
    <row r="792" spans="1:5" ht="15" customHeight="1" x14ac:dyDescent="0.25">
      <c r="A792" t="s">
        <v>2349</v>
      </c>
      <c r="B792" t="s">
        <v>1288</v>
      </c>
      <c r="C792">
        <v>2006</v>
      </c>
      <c r="E792" s="1" t="s">
        <v>3348</v>
      </c>
    </row>
    <row r="793" spans="1:5" ht="15" customHeight="1" x14ac:dyDescent="0.25">
      <c r="A793" t="s">
        <v>90</v>
      </c>
      <c r="B793" t="s">
        <v>209</v>
      </c>
      <c r="C793">
        <v>2017</v>
      </c>
      <c r="E793" s="1" t="s">
        <v>3349</v>
      </c>
    </row>
    <row r="794" spans="1:5" ht="15" customHeight="1" x14ac:dyDescent="0.25">
      <c r="A794" t="s">
        <v>90</v>
      </c>
      <c r="B794" t="s">
        <v>215</v>
      </c>
      <c r="C794">
        <v>2017</v>
      </c>
      <c r="E794" s="1" t="s">
        <v>2983</v>
      </c>
    </row>
    <row r="795" spans="1:5" ht="15" customHeight="1" x14ac:dyDescent="0.25">
      <c r="A795" t="s">
        <v>90</v>
      </c>
      <c r="B795" t="s">
        <v>233</v>
      </c>
      <c r="C795">
        <v>2017</v>
      </c>
      <c r="E795" s="1" t="s">
        <v>3314</v>
      </c>
    </row>
    <row r="796" spans="1:5" ht="15" customHeight="1" x14ac:dyDescent="0.25">
      <c r="A796" t="s">
        <v>90</v>
      </c>
      <c r="B796" t="s">
        <v>237</v>
      </c>
      <c r="C796">
        <v>2017</v>
      </c>
      <c r="E796" s="1" t="s">
        <v>3350</v>
      </c>
    </row>
    <row r="797" spans="1:5" ht="15" customHeight="1" x14ac:dyDescent="0.25">
      <c r="A797" t="s">
        <v>90</v>
      </c>
      <c r="B797" t="s">
        <v>249</v>
      </c>
      <c r="C797">
        <v>2017</v>
      </c>
      <c r="E797" s="1" t="s">
        <v>3251</v>
      </c>
    </row>
    <row r="798" spans="1:5" ht="15" customHeight="1" x14ac:dyDescent="0.25">
      <c r="A798" t="s">
        <v>90</v>
      </c>
      <c r="B798" t="s">
        <v>283</v>
      </c>
      <c r="C798">
        <v>2017</v>
      </c>
      <c r="E798" s="1" t="s">
        <v>3201</v>
      </c>
    </row>
    <row r="799" spans="1:5" ht="15" customHeight="1" x14ac:dyDescent="0.25">
      <c r="A799" t="s">
        <v>90</v>
      </c>
      <c r="B799" t="s">
        <v>287</v>
      </c>
      <c r="C799">
        <v>2017</v>
      </c>
      <c r="E799" s="11" t="s">
        <v>3144</v>
      </c>
    </row>
    <row r="800" spans="1:5" ht="15" customHeight="1" x14ac:dyDescent="0.25">
      <c r="A800" t="s">
        <v>90</v>
      </c>
      <c r="B800" t="s">
        <v>299</v>
      </c>
      <c r="C800">
        <v>2017</v>
      </c>
      <c r="E800" s="1" t="s">
        <v>3310</v>
      </c>
    </row>
    <row r="801" spans="1:5" ht="15" customHeight="1" x14ac:dyDescent="0.25">
      <c r="A801" t="s">
        <v>90</v>
      </c>
      <c r="B801" t="s">
        <v>301</v>
      </c>
      <c r="C801">
        <v>2017</v>
      </c>
      <c r="E801" s="1" t="s">
        <v>2983</v>
      </c>
    </row>
    <row r="802" spans="1:5" ht="15" customHeight="1" x14ac:dyDescent="0.25">
      <c r="A802" t="s">
        <v>90</v>
      </c>
      <c r="B802" t="s">
        <v>310</v>
      </c>
      <c r="C802">
        <v>2017</v>
      </c>
      <c r="E802" s="1" t="s">
        <v>3351</v>
      </c>
    </row>
    <row r="803" spans="1:5" ht="15" customHeight="1" x14ac:dyDescent="0.25">
      <c r="A803" t="s">
        <v>90</v>
      </c>
      <c r="B803" t="s">
        <v>314</v>
      </c>
      <c r="C803">
        <v>2017</v>
      </c>
      <c r="E803" s="1" t="s">
        <v>3352</v>
      </c>
    </row>
    <row r="804" spans="1:5" ht="15" customHeight="1" x14ac:dyDescent="0.25">
      <c r="A804" t="s">
        <v>90</v>
      </c>
      <c r="B804" t="s">
        <v>333</v>
      </c>
      <c r="C804">
        <v>2017</v>
      </c>
      <c r="E804" s="1" t="s">
        <v>3188</v>
      </c>
    </row>
    <row r="805" spans="1:5" ht="15" customHeight="1" x14ac:dyDescent="0.25">
      <c r="A805" t="s">
        <v>90</v>
      </c>
      <c r="B805" t="s">
        <v>346</v>
      </c>
      <c r="C805">
        <v>2017</v>
      </c>
      <c r="E805" s="1" t="s">
        <v>3252</v>
      </c>
    </row>
    <row r="806" spans="1:5" ht="15" customHeight="1" x14ac:dyDescent="0.25">
      <c r="A806" t="s">
        <v>90</v>
      </c>
      <c r="B806" t="s">
        <v>368</v>
      </c>
      <c r="C806">
        <v>2017</v>
      </c>
      <c r="E806" s="1" t="s">
        <v>3014</v>
      </c>
    </row>
    <row r="807" spans="1:5" ht="15" customHeight="1" x14ac:dyDescent="0.25">
      <c r="A807" t="s">
        <v>90</v>
      </c>
      <c r="B807" t="s">
        <v>372</v>
      </c>
      <c r="C807">
        <v>2017</v>
      </c>
      <c r="E807" s="11" t="s">
        <v>3017</v>
      </c>
    </row>
    <row r="808" spans="1:5" ht="15" customHeight="1" x14ac:dyDescent="0.25">
      <c r="A808" t="s">
        <v>90</v>
      </c>
      <c r="B808" t="s">
        <v>403</v>
      </c>
      <c r="C808">
        <v>2017</v>
      </c>
      <c r="E808" s="1" t="s">
        <v>3353</v>
      </c>
    </row>
    <row r="809" spans="1:5" ht="15" customHeight="1" x14ac:dyDescent="0.25">
      <c r="A809" t="s">
        <v>90</v>
      </c>
      <c r="B809" t="s">
        <v>411</v>
      </c>
      <c r="C809">
        <v>2017</v>
      </c>
      <c r="E809" s="1" t="s">
        <v>3354</v>
      </c>
    </row>
    <row r="810" spans="1:5" ht="15" customHeight="1" x14ac:dyDescent="0.25">
      <c r="A810" t="s">
        <v>90</v>
      </c>
      <c r="B810" t="s">
        <v>428</v>
      </c>
      <c r="C810">
        <v>2017</v>
      </c>
      <c r="E810" s="11" t="s">
        <v>3022</v>
      </c>
    </row>
    <row r="811" spans="1:5" ht="15" customHeight="1" x14ac:dyDescent="0.25">
      <c r="A811" t="s">
        <v>90</v>
      </c>
      <c r="B811" t="s">
        <v>464</v>
      </c>
      <c r="C811">
        <v>2017</v>
      </c>
      <c r="E811" s="1" t="s">
        <v>2983</v>
      </c>
    </row>
    <row r="812" spans="1:5" ht="15" customHeight="1" x14ac:dyDescent="0.25">
      <c r="A812" t="s">
        <v>90</v>
      </c>
      <c r="B812" t="s">
        <v>477</v>
      </c>
      <c r="C812">
        <v>2017</v>
      </c>
      <c r="E812" s="1" t="s">
        <v>2983</v>
      </c>
    </row>
    <row r="813" spans="1:5" ht="15" customHeight="1" x14ac:dyDescent="0.25">
      <c r="A813" t="s">
        <v>90</v>
      </c>
      <c r="B813" t="s">
        <v>480</v>
      </c>
      <c r="C813">
        <v>2017</v>
      </c>
      <c r="E813" s="1" t="s">
        <v>3355</v>
      </c>
    </row>
    <row r="814" spans="1:5" ht="15" customHeight="1" x14ac:dyDescent="0.25">
      <c r="A814" t="s">
        <v>90</v>
      </c>
      <c r="B814" t="s">
        <v>484</v>
      </c>
      <c r="C814">
        <v>2017</v>
      </c>
      <c r="E814" s="1" t="s">
        <v>3202</v>
      </c>
    </row>
    <row r="815" spans="1:5" ht="15" customHeight="1" x14ac:dyDescent="0.25">
      <c r="A815" t="s">
        <v>90</v>
      </c>
      <c r="B815" t="s">
        <v>493</v>
      </c>
      <c r="C815">
        <v>2017</v>
      </c>
      <c r="E815" s="1" t="s">
        <v>2983</v>
      </c>
    </row>
    <row r="816" spans="1:5" ht="15" customHeight="1" x14ac:dyDescent="0.25">
      <c r="A816" t="s">
        <v>90</v>
      </c>
      <c r="B816" t="s">
        <v>567</v>
      </c>
      <c r="C816">
        <v>2017</v>
      </c>
      <c r="E816" s="1" t="s">
        <v>3356</v>
      </c>
    </row>
    <row r="817" spans="1:5" ht="15" customHeight="1" x14ac:dyDescent="0.25">
      <c r="A817" t="s">
        <v>90</v>
      </c>
      <c r="B817" t="s">
        <v>571</v>
      </c>
      <c r="C817">
        <v>2017</v>
      </c>
      <c r="E817" s="11" t="s">
        <v>3357</v>
      </c>
    </row>
    <row r="818" spans="1:5" ht="15" customHeight="1" x14ac:dyDescent="0.25">
      <c r="A818" t="s">
        <v>90</v>
      </c>
      <c r="B818" t="s">
        <v>598</v>
      </c>
      <c r="C818">
        <v>2017</v>
      </c>
      <c r="E818" s="1" t="s">
        <v>2983</v>
      </c>
    </row>
    <row r="819" spans="1:5" ht="15" customHeight="1" x14ac:dyDescent="0.25">
      <c r="A819" t="s">
        <v>90</v>
      </c>
      <c r="B819" t="s">
        <v>610</v>
      </c>
      <c r="C819">
        <v>2017</v>
      </c>
      <c r="E819" s="11" t="s">
        <v>3068</v>
      </c>
    </row>
    <row r="820" spans="1:5" ht="15" customHeight="1" x14ac:dyDescent="0.25">
      <c r="A820" t="s">
        <v>90</v>
      </c>
      <c r="B820" t="s">
        <v>619</v>
      </c>
      <c r="C820">
        <v>2017</v>
      </c>
      <c r="E820" s="1" t="s">
        <v>3246</v>
      </c>
    </row>
    <row r="821" spans="1:5" ht="15" customHeight="1" x14ac:dyDescent="0.25">
      <c r="A821" t="s">
        <v>90</v>
      </c>
      <c r="B821" t="s">
        <v>633</v>
      </c>
      <c r="C821">
        <v>2017</v>
      </c>
      <c r="E821" s="1" t="s">
        <v>3358</v>
      </c>
    </row>
    <row r="822" spans="1:5" ht="15" customHeight="1" x14ac:dyDescent="0.25">
      <c r="A822" t="s">
        <v>90</v>
      </c>
      <c r="B822" t="s">
        <v>643</v>
      </c>
      <c r="C822">
        <v>2017</v>
      </c>
      <c r="E822" s="1" t="s">
        <v>3359</v>
      </c>
    </row>
    <row r="823" spans="1:5" ht="15" customHeight="1" x14ac:dyDescent="0.25">
      <c r="A823" t="s">
        <v>90</v>
      </c>
      <c r="B823" t="s">
        <v>671</v>
      </c>
      <c r="C823">
        <v>2017</v>
      </c>
      <c r="E823" s="1" t="s">
        <v>2983</v>
      </c>
    </row>
    <row r="824" spans="1:5" ht="15" customHeight="1" x14ac:dyDescent="0.25">
      <c r="A824" t="s">
        <v>90</v>
      </c>
      <c r="B824" t="s">
        <v>681</v>
      </c>
      <c r="C824">
        <v>2017</v>
      </c>
      <c r="E824" s="1" t="s">
        <v>3360</v>
      </c>
    </row>
    <row r="825" spans="1:5" ht="15" customHeight="1" x14ac:dyDescent="0.25">
      <c r="A825" t="s">
        <v>90</v>
      </c>
      <c r="B825" t="s">
        <v>730</v>
      </c>
      <c r="C825">
        <v>2017</v>
      </c>
      <c r="E825" s="1" t="s">
        <v>3027</v>
      </c>
    </row>
    <row r="826" spans="1:5" ht="15" customHeight="1" x14ac:dyDescent="0.25">
      <c r="A826" t="s">
        <v>90</v>
      </c>
      <c r="B826" t="s">
        <v>795</v>
      </c>
      <c r="C826">
        <v>2017</v>
      </c>
      <c r="E826" s="1" t="s">
        <v>3101</v>
      </c>
    </row>
    <row r="827" spans="1:5" ht="15" customHeight="1" x14ac:dyDescent="0.25">
      <c r="A827" t="s">
        <v>90</v>
      </c>
      <c r="B827" t="s">
        <v>799</v>
      </c>
      <c r="C827">
        <v>2017</v>
      </c>
      <c r="E827" s="1" t="s">
        <v>3361</v>
      </c>
    </row>
    <row r="828" spans="1:5" ht="15" customHeight="1" x14ac:dyDescent="0.25">
      <c r="A828" t="s">
        <v>90</v>
      </c>
      <c r="B828" t="s">
        <v>803</v>
      </c>
      <c r="C828">
        <v>2017</v>
      </c>
      <c r="E828" s="1" t="s">
        <v>2983</v>
      </c>
    </row>
    <row r="829" spans="1:5" ht="15" customHeight="1" x14ac:dyDescent="0.25">
      <c r="A829" t="s">
        <v>90</v>
      </c>
      <c r="B829" t="s">
        <v>815</v>
      </c>
      <c r="C829">
        <v>2017</v>
      </c>
      <c r="E829" s="1" t="s">
        <v>3362</v>
      </c>
    </row>
    <row r="830" spans="1:5" ht="15" customHeight="1" x14ac:dyDescent="0.25">
      <c r="A830" t="s">
        <v>90</v>
      </c>
      <c r="B830" t="s">
        <v>828</v>
      </c>
      <c r="C830">
        <v>2017</v>
      </c>
      <c r="E830" s="1" t="s">
        <v>2983</v>
      </c>
    </row>
    <row r="831" spans="1:5" ht="15" customHeight="1" x14ac:dyDescent="0.25">
      <c r="A831" t="s">
        <v>90</v>
      </c>
      <c r="B831" t="s">
        <v>851</v>
      </c>
      <c r="C831">
        <v>2017</v>
      </c>
      <c r="E831" s="11" t="s">
        <v>3363</v>
      </c>
    </row>
    <row r="832" spans="1:5" ht="15" customHeight="1" x14ac:dyDescent="0.25">
      <c r="A832" t="s">
        <v>90</v>
      </c>
      <c r="B832" t="s">
        <v>857</v>
      </c>
      <c r="C832">
        <v>2017</v>
      </c>
      <c r="E832" s="11" t="s">
        <v>3364</v>
      </c>
    </row>
    <row r="833" spans="1:5" ht="15" customHeight="1" x14ac:dyDescent="0.25">
      <c r="A833" t="s">
        <v>90</v>
      </c>
      <c r="B833" t="s">
        <v>864</v>
      </c>
      <c r="C833">
        <v>2017</v>
      </c>
      <c r="E833" s="1" t="s">
        <v>3029</v>
      </c>
    </row>
    <row r="834" spans="1:5" ht="15" customHeight="1" x14ac:dyDescent="0.25">
      <c r="A834" t="s">
        <v>90</v>
      </c>
      <c r="B834" t="s">
        <v>866</v>
      </c>
      <c r="C834">
        <v>2017</v>
      </c>
      <c r="E834" s="1" t="s">
        <v>3206</v>
      </c>
    </row>
    <row r="835" spans="1:5" ht="15" customHeight="1" x14ac:dyDescent="0.25">
      <c r="A835" t="s">
        <v>90</v>
      </c>
      <c r="B835" t="s">
        <v>870</v>
      </c>
      <c r="C835">
        <v>2017</v>
      </c>
      <c r="E835" t="s">
        <v>2983</v>
      </c>
    </row>
    <row r="836" spans="1:5" ht="15" customHeight="1" x14ac:dyDescent="0.25">
      <c r="A836" t="s">
        <v>90</v>
      </c>
      <c r="B836" t="s">
        <v>878</v>
      </c>
      <c r="C836">
        <v>2017</v>
      </c>
      <c r="E836" s="1" t="s">
        <v>3103</v>
      </c>
    </row>
    <row r="837" spans="1:5" ht="15" customHeight="1" x14ac:dyDescent="0.25">
      <c r="A837" t="s">
        <v>90</v>
      </c>
      <c r="B837" t="s">
        <v>880</v>
      </c>
      <c r="C837">
        <v>2017</v>
      </c>
      <c r="E837" s="1" t="s">
        <v>3365</v>
      </c>
    </row>
    <row r="838" spans="1:5" ht="15" customHeight="1" x14ac:dyDescent="0.25">
      <c r="A838" t="s">
        <v>90</v>
      </c>
      <c r="B838" t="s">
        <v>888</v>
      </c>
      <c r="C838">
        <v>2017</v>
      </c>
      <c r="E838" s="1" t="s">
        <v>2983</v>
      </c>
    </row>
    <row r="839" spans="1:5" ht="15" customHeight="1" x14ac:dyDescent="0.25">
      <c r="A839" t="s">
        <v>90</v>
      </c>
      <c r="B839" t="s">
        <v>899</v>
      </c>
      <c r="C839">
        <v>2017</v>
      </c>
      <c r="E839" s="1" t="s">
        <v>3146</v>
      </c>
    </row>
    <row r="840" spans="1:5" ht="15" customHeight="1" x14ac:dyDescent="0.25">
      <c r="A840" t="s">
        <v>90</v>
      </c>
      <c r="B840" t="s">
        <v>961</v>
      </c>
      <c r="C840">
        <v>2017</v>
      </c>
      <c r="E840" s="1" t="s">
        <v>3147</v>
      </c>
    </row>
    <row r="841" spans="1:5" ht="15" customHeight="1" x14ac:dyDescent="0.25">
      <c r="A841" t="s">
        <v>90</v>
      </c>
      <c r="B841" t="s">
        <v>1030</v>
      </c>
      <c r="C841">
        <v>2017</v>
      </c>
      <c r="E841" s="1" t="s">
        <v>2983</v>
      </c>
    </row>
    <row r="842" spans="1:5" ht="15" customHeight="1" x14ac:dyDescent="0.25">
      <c r="A842" t="s">
        <v>90</v>
      </c>
      <c r="B842" t="s">
        <v>1035</v>
      </c>
      <c r="C842">
        <v>2017</v>
      </c>
      <c r="E842" s="1" t="s">
        <v>3366</v>
      </c>
    </row>
    <row r="843" spans="1:5" ht="15" customHeight="1" x14ac:dyDescent="0.25">
      <c r="A843" t="s">
        <v>90</v>
      </c>
      <c r="B843" t="s">
        <v>1060</v>
      </c>
      <c r="C843">
        <v>2017</v>
      </c>
      <c r="E843" s="1" t="s">
        <v>2983</v>
      </c>
    </row>
    <row r="844" spans="1:5" ht="15" customHeight="1" x14ac:dyDescent="0.25">
      <c r="A844" t="s">
        <v>90</v>
      </c>
      <c r="B844" t="s">
        <v>1090</v>
      </c>
      <c r="C844">
        <v>2017</v>
      </c>
      <c r="E844" s="1" t="s">
        <v>3254</v>
      </c>
    </row>
    <row r="845" spans="1:5" ht="15" customHeight="1" x14ac:dyDescent="0.25">
      <c r="A845" t="s">
        <v>90</v>
      </c>
      <c r="B845" t="s">
        <v>1109</v>
      </c>
      <c r="C845">
        <v>2017</v>
      </c>
      <c r="E845" s="11" t="s">
        <v>3255</v>
      </c>
    </row>
    <row r="846" spans="1:5" ht="15" customHeight="1" x14ac:dyDescent="0.25">
      <c r="A846" t="s">
        <v>90</v>
      </c>
      <c r="B846" t="s">
        <v>1124</v>
      </c>
      <c r="C846">
        <v>2017</v>
      </c>
      <c r="E846" s="11" t="s">
        <v>3207</v>
      </c>
    </row>
    <row r="847" spans="1:5" ht="15" customHeight="1" x14ac:dyDescent="0.25">
      <c r="A847" t="s">
        <v>90</v>
      </c>
      <c r="B847" t="s">
        <v>1130</v>
      </c>
      <c r="C847">
        <v>2017</v>
      </c>
      <c r="E847" s="1" t="s">
        <v>3231</v>
      </c>
    </row>
    <row r="848" spans="1:5" ht="15" customHeight="1" x14ac:dyDescent="0.25">
      <c r="A848" t="s">
        <v>90</v>
      </c>
      <c r="B848" t="s">
        <v>1232</v>
      </c>
      <c r="C848">
        <v>2022</v>
      </c>
      <c r="E848" s="1" t="s">
        <v>3367</v>
      </c>
    </row>
    <row r="849" spans="1:5" ht="15" customHeight="1" x14ac:dyDescent="0.25">
      <c r="A849" t="s">
        <v>90</v>
      </c>
      <c r="B849" t="s">
        <v>1246</v>
      </c>
      <c r="C849">
        <v>2017</v>
      </c>
      <c r="E849" s="11" t="s">
        <v>3368</v>
      </c>
    </row>
    <row r="850" spans="1:5" ht="15" customHeight="1" x14ac:dyDescent="0.25">
      <c r="A850" t="s">
        <v>90</v>
      </c>
      <c r="B850" t="s">
        <v>1256</v>
      </c>
      <c r="C850">
        <v>2017</v>
      </c>
      <c r="E850" s="1" t="s">
        <v>3369</v>
      </c>
    </row>
    <row r="851" spans="1:5" ht="15" customHeight="1" x14ac:dyDescent="0.25">
      <c r="A851" t="s">
        <v>90</v>
      </c>
      <c r="B851" t="s">
        <v>1291</v>
      </c>
      <c r="C851">
        <v>2017</v>
      </c>
      <c r="E851" s="1"/>
    </row>
    <row r="852" spans="1:5" ht="15" customHeight="1" x14ac:dyDescent="0.25">
      <c r="A852" t="s">
        <v>90</v>
      </c>
      <c r="B852" t="s">
        <v>1349</v>
      </c>
      <c r="C852">
        <v>2017</v>
      </c>
      <c r="E852" s="11" t="s">
        <v>3370</v>
      </c>
    </row>
    <row r="853" spans="1:5" ht="15" customHeight="1" x14ac:dyDescent="0.25">
      <c r="A853" t="s">
        <v>90</v>
      </c>
      <c r="B853" t="s">
        <v>1354</v>
      </c>
      <c r="C853">
        <v>2017</v>
      </c>
      <c r="E853" s="1" t="s">
        <v>3059</v>
      </c>
    </row>
    <row r="854" spans="1:5" ht="15" customHeight="1" x14ac:dyDescent="0.25">
      <c r="A854" t="s">
        <v>90</v>
      </c>
      <c r="B854" t="s">
        <v>1377</v>
      </c>
      <c r="C854">
        <v>2017</v>
      </c>
      <c r="E854" s="1" t="s">
        <v>2983</v>
      </c>
    </row>
    <row r="855" spans="1:5" ht="15" customHeight="1" x14ac:dyDescent="0.25">
      <c r="A855" t="s">
        <v>90</v>
      </c>
      <c r="B855" t="s">
        <v>1395</v>
      </c>
      <c r="C855">
        <v>2017</v>
      </c>
      <c r="E855" s="1" t="s">
        <v>3034</v>
      </c>
    </row>
    <row r="856" spans="1:5" ht="15" customHeight="1" x14ac:dyDescent="0.25">
      <c r="A856" t="s">
        <v>90</v>
      </c>
      <c r="B856" t="s">
        <v>1436</v>
      </c>
      <c r="C856">
        <v>2017</v>
      </c>
      <c r="E856" s="11" t="s">
        <v>3274</v>
      </c>
    </row>
    <row r="857" spans="1:5" ht="15" customHeight="1" x14ac:dyDescent="0.25">
      <c r="A857" t="s">
        <v>90</v>
      </c>
      <c r="B857" t="s">
        <v>1448</v>
      </c>
      <c r="C857">
        <v>2017</v>
      </c>
      <c r="E857" t="s">
        <v>2983</v>
      </c>
    </row>
    <row r="858" spans="1:5" ht="15" customHeight="1" x14ac:dyDescent="0.25">
      <c r="A858" t="s">
        <v>90</v>
      </c>
      <c r="B858" t="s">
        <v>1451</v>
      </c>
      <c r="C858">
        <v>2017</v>
      </c>
      <c r="E858" s="1" t="s">
        <v>3107</v>
      </c>
    </row>
    <row r="859" spans="1:5" ht="15" customHeight="1" x14ac:dyDescent="0.25">
      <c r="A859" t="s">
        <v>90</v>
      </c>
      <c r="B859" t="s">
        <v>1476</v>
      </c>
      <c r="C859">
        <v>2017</v>
      </c>
      <c r="E859" s="1" t="s">
        <v>3371</v>
      </c>
    </row>
    <row r="860" spans="1:5" ht="15" customHeight="1" x14ac:dyDescent="0.25">
      <c r="A860" t="s">
        <v>90</v>
      </c>
      <c r="B860" t="s">
        <v>1512</v>
      </c>
      <c r="C860">
        <v>2017</v>
      </c>
      <c r="E860" s="1" t="s">
        <v>2983</v>
      </c>
    </row>
    <row r="861" spans="1:5" ht="15" customHeight="1" x14ac:dyDescent="0.25">
      <c r="A861" s="2" t="s">
        <v>90</v>
      </c>
      <c r="B861" s="3" t="s">
        <v>1527</v>
      </c>
      <c r="C861" s="3">
        <v>2017</v>
      </c>
      <c r="D861" s="3"/>
      <c r="E861" s="1" t="s">
        <v>3056</v>
      </c>
    </row>
    <row r="862" spans="1:5" ht="15" customHeight="1" x14ac:dyDescent="0.25">
      <c r="A862" t="s">
        <v>90</v>
      </c>
      <c r="B862" t="s">
        <v>1566</v>
      </c>
      <c r="C862">
        <v>2017</v>
      </c>
      <c r="E862" s="11" t="s">
        <v>3132</v>
      </c>
    </row>
    <row r="863" spans="1:5" ht="15" customHeight="1" x14ac:dyDescent="0.25">
      <c r="A863" s="2" t="s">
        <v>90</v>
      </c>
      <c r="B863" s="3" t="s">
        <v>1569</v>
      </c>
      <c r="C863" s="3">
        <v>2017</v>
      </c>
      <c r="D863" s="3"/>
      <c r="E863" s="1" t="s">
        <v>3372</v>
      </c>
    </row>
    <row r="864" spans="1:5" ht="15" customHeight="1" x14ac:dyDescent="0.25">
      <c r="A864" t="s">
        <v>90</v>
      </c>
      <c r="B864" t="s">
        <v>1575</v>
      </c>
      <c r="C864">
        <v>2017</v>
      </c>
      <c r="E864" s="1" t="s">
        <v>2983</v>
      </c>
    </row>
    <row r="865" spans="1:5" ht="15" customHeight="1" x14ac:dyDescent="0.25">
      <c r="A865" t="s">
        <v>90</v>
      </c>
      <c r="B865" t="s">
        <v>1577</v>
      </c>
      <c r="C865">
        <v>2017</v>
      </c>
      <c r="E865" s="1" t="s">
        <v>3373</v>
      </c>
    </row>
    <row r="866" spans="1:5" ht="15" customHeight="1" x14ac:dyDescent="0.25">
      <c r="A866" t="s">
        <v>90</v>
      </c>
      <c r="B866" t="s">
        <v>1595</v>
      </c>
      <c r="C866">
        <v>2017</v>
      </c>
      <c r="E866" s="1" t="s">
        <v>3300</v>
      </c>
    </row>
    <row r="867" spans="1:5" ht="15" customHeight="1" x14ac:dyDescent="0.25">
      <c r="A867" t="s">
        <v>90</v>
      </c>
      <c r="B867" t="s">
        <v>1611</v>
      </c>
      <c r="C867">
        <v>2017</v>
      </c>
      <c r="E867" s="11" t="s">
        <v>3248</v>
      </c>
    </row>
    <row r="868" spans="1:5" ht="15" customHeight="1" x14ac:dyDescent="0.25">
      <c r="A868" t="s">
        <v>90</v>
      </c>
      <c r="B868" t="s">
        <v>1626</v>
      </c>
      <c r="C868">
        <v>2017</v>
      </c>
      <c r="E868" s="1" t="s">
        <v>3374</v>
      </c>
    </row>
    <row r="869" spans="1:5" ht="15" customHeight="1" x14ac:dyDescent="0.25">
      <c r="A869" t="s">
        <v>90</v>
      </c>
      <c r="B869" t="s">
        <v>1628</v>
      </c>
      <c r="C869">
        <v>2017</v>
      </c>
      <c r="E869" s="1" t="s">
        <v>3375</v>
      </c>
    </row>
    <row r="870" spans="1:5" ht="15" customHeight="1" x14ac:dyDescent="0.25">
      <c r="A870" t="s">
        <v>90</v>
      </c>
      <c r="B870" t="s">
        <v>1673</v>
      </c>
      <c r="C870">
        <v>2017</v>
      </c>
      <c r="E870" s="1" t="s">
        <v>3376</v>
      </c>
    </row>
    <row r="871" spans="1:5" ht="15" customHeight="1" x14ac:dyDescent="0.25">
      <c r="A871" t="s">
        <v>90</v>
      </c>
      <c r="B871" t="s">
        <v>1691</v>
      </c>
      <c r="C871">
        <v>2017</v>
      </c>
      <c r="E871" s="1" t="s">
        <v>3014</v>
      </c>
    </row>
    <row r="872" spans="1:5" ht="15" customHeight="1" x14ac:dyDescent="0.25">
      <c r="A872" t="s">
        <v>90</v>
      </c>
      <c r="B872" t="s">
        <v>1705</v>
      </c>
      <c r="C872">
        <v>2017</v>
      </c>
      <c r="E872" s="11" t="s">
        <v>3377</v>
      </c>
    </row>
    <row r="873" spans="1:5" ht="15" customHeight="1" x14ac:dyDescent="0.25">
      <c r="A873" t="s">
        <v>90</v>
      </c>
      <c r="B873" t="s">
        <v>1729</v>
      </c>
      <c r="C873">
        <v>2017</v>
      </c>
      <c r="E873" s="1" t="s">
        <v>3378</v>
      </c>
    </row>
    <row r="874" spans="1:5" ht="15" customHeight="1" x14ac:dyDescent="0.25">
      <c r="A874" t="s">
        <v>90</v>
      </c>
      <c r="B874" t="s">
        <v>1735</v>
      </c>
      <c r="C874">
        <v>2017</v>
      </c>
      <c r="E874" s="1" t="s">
        <v>2983</v>
      </c>
    </row>
    <row r="875" spans="1:5" ht="15" customHeight="1" x14ac:dyDescent="0.25">
      <c r="A875" t="s">
        <v>90</v>
      </c>
      <c r="B875" t="s">
        <v>1769</v>
      </c>
      <c r="C875">
        <v>2017</v>
      </c>
      <c r="E875" s="11" t="s">
        <v>3108</v>
      </c>
    </row>
    <row r="876" spans="1:5" ht="15" customHeight="1" x14ac:dyDescent="0.25">
      <c r="A876" t="s">
        <v>90</v>
      </c>
      <c r="B876" t="s">
        <v>1812</v>
      </c>
      <c r="C876">
        <v>2017</v>
      </c>
      <c r="E876" s="1" t="s">
        <v>2983</v>
      </c>
    </row>
    <row r="877" spans="1:5" ht="15" customHeight="1" x14ac:dyDescent="0.25">
      <c r="A877" t="s">
        <v>90</v>
      </c>
      <c r="B877" t="s">
        <v>1834</v>
      </c>
      <c r="C877">
        <v>2017</v>
      </c>
      <c r="E877" s="1" t="s">
        <v>2983</v>
      </c>
    </row>
    <row r="878" spans="1:5" ht="15" customHeight="1" x14ac:dyDescent="0.25">
      <c r="A878" t="s">
        <v>90</v>
      </c>
      <c r="B878" t="s">
        <v>1868</v>
      </c>
      <c r="C878">
        <v>2017</v>
      </c>
      <c r="E878" s="11" t="s">
        <v>3379</v>
      </c>
    </row>
    <row r="879" spans="1:5" ht="15" customHeight="1" x14ac:dyDescent="0.25">
      <c r="A879" t="s">
        <v>90</v>
      </c>
      <c r="B879" t="s">
        <v>1896</v>
      </c>
      <c r="C879">
        <v>2017</v>
      </c>
      <c r="E879" s="1" t="s">
        <v>3213</v>
      </c>
    </row>
    <row r="880" spans="1:5" ht="15" customHeight="1" x14ac:dyDescent="0.25">
      <c r="A880" t="s">
        <v>90</v>
      </c>
      <c r="B880" t="s">
        <v>1922</v>
      </c>
      <c r="C880">
        <v>2017</v>
      </c>
      <c r="E880" s="1" t="s">
        <v>3014</v>
      </c>
    </row>
    <row r="881" spans="1:5" ht="15" customHeight="1" x14ac:dyDescent="0.25">
      <c r="A881" t="s">
        <v>90</v>
      </c>
      <c r="B881" t="s">
        <v>1948</v>
      </c>
      <c r="C881">
        <v>2017</v>
      </c>
      <c r="E881" s="1" t="s">
        <v>3257</v>
      </c>
    </row>
    <row r="882" spans="1:5" ht="15" customHeight="1" x14ac:dyDescent="0.25">
      <c r="A882" t="s">
        <v>90</v>
      </c>
      <c r="B882" t="s">
        <v>1952</v>
      </c>
      <c r="C882">
        <v>2017</v>
      </c>
      <c r="E882" s="1" t="s">
        <v>3380</v>
      </c>
    </row>
    <row r="883" spans="1:5" ht="15" customHeight="1" x14ac:dyDescent="0.25">
      <c r="A883" t="s">
        <v>90</v>
      </c>
      <c r="B883" t="s">
        <v>1983</v>
      </c>
      <c r="C883">
        <v>2017</v>
      </c>
      <c r="E883" s="1" t="s">
        <v>2983</v>
      </c>
    </row>
    <row r="884" spans="1:5" ht="15" customHeight="1" x14ac:dyDescent="0.25">
      <c r="A884" t="s">
        <v>90</v>
      </c>
      <c r="B884" t="s">
        <v>1993</v>
      </c>
      <c r="C884">
        <v>2017</v>
      </c>
      <c r="E884" s="1" t="s">
        <v>3381</v>
      </c>
    </row>
    <row r="885" spans="1:5" ht="15" customHeight="1" x14ac:dyDescent="0.25">
      <c r="A885" t="s">
        <v>90</v>
      </c>
      <c r="B885" t="s">
        <v>1999</v>
      </c>
      <c r="C885">
        <v>2017</v>
      </c>
      <c r="E885" s="1"/>
    </row>
    <row r="886" spans="1:5" ht="15" customHeight="1" x14ac:dyDescent="0.25">
      <c r="A886" t="s">
        <v>90</v>
      </c>
      <c r="B886" t="s">
        <v>2019</v>
      </c>
      <c r="C886">
        <v>2017</v>
      </c>
      <c r="E886" s="1" t="s">
        <v>3250</v>
      </c>
    </row>
    <row r="887" spans="1:5" ht="15" customHeight="1" x14ac:dyDescent="0.25">
      <c r="A887" t="s">
        <v>90</v>
      </c>
      <c r="B887" t="s">
        <v>2062</v>
      </c>
      <c r="C887">
        <v>2017</v>
      </c>
      <c r="E887" s="1" t="s">
        <v>3014</v>
      </c>
    </row>
    <row r="888" spans="1:5" ht="15" customHeight="1" x14ac:dyDescent="0.25">
      <c r="A888" t="s">
        <v>90</v>
      </c>
      <c r="B888" t="s">
        <v>2089</v>
      </c>
      <c r="C888">
        <v>2017</v>
      </c>
      <c r="E888" s="11" t="s">
        <v>3041</v>
      </c>
    </row>
    <row r="889" spans="1:5" ht="15" customHeight="1" x14ac:dyDescent="0.25">
      <c r="A889" t="s">
        <v>90</v>
      </c>
      <c r="B889" t="s">
        <v>2119</v>
      </c>
      <c r="C889">
        <v>2017</v>
      </c>
      <c r="E889" s="1" t="s">
        <v>3382</v>
      </c>
    </row>
    <row r="890" spans="1:5" ht="15" customHeight="1" x14ac:dyDescent="0.25">
      <c r="A890" t="s">
        <v>90</v>
      </c>
      <c r="B890" t="s">
        <v>2123</v>
      </c>
      <c r="C890">
        <v>2017</v>
      </c>
      <c r="E890" s="1" t="s">
        <v>3383</v>
      </c>
    </row>
    <row r="891" spans="1:5" ht="15" customHeight="1" x14ac:dyDescent="0.25">
      <c r="A891" t="s">
        <v>90</v>
      </c>
      <c r="B891" t="s">
        <v>2159</v>
      </c>
      <c r="C891">
        <v>2017</v>
      </c>
      <c r="E891" s="1" t="s">
        <v>2984</v>
      </c>
    </row>
    <row r="892" spans="1:5" ht="15" customHeight="1" x14ac:dyDescent="0.25">
      <c r="A892" t="s">
        <v>90</v>
      </c>
      <c r="B892" t="s">
        <v>2182</v>
      </c>
      <c r="C892">
        <v>2017</v>
      </c>
      <c r="E892" s="1"/>
    </row>
    <row r="893" spans="1:5" ht="15" customHeight="1" x14ac:dyDescent="0.25">
      <c r="A893" t="s">
        <v>90</v>
      </c>
      <c r="B893" t="s">
        <v>2188</v>
      </c>
      <c r="C893">
        <v>2017</v>
      </c>
      <c r="E893" s="11" t="s">
        <v>3018</v>
      </c>
    </row>
    <row r="894" spans="1:5" ht="15" customHeight="1" x14ac:dyDescent="0.25">
      <c r="A894" t="s">
        <v>90</v>
      </c>
      <c r="B894" t="s">
        <v>2197</v>
      </c>
      <c r="C894">
        <v>2017</v>
      </c>
      <c r="E894" s="1" t="s">
        <v>3384</v>
      </c>
    </row>
    <row r="895" spans="1:5" ht="15" customHeight="1" x14ac:dyDescent="0.25">
      <c r="A895" t="s">
        <v>90</v>
      </c>
      <c r="B895" t="s">
        <v>2203</v>
      </c>
      <c r="C895">
        <v>2017</v>
      </c>
      <c r="E895" s="1" t="s">
        <v>3042</v>
      </c>
    </row>
    <row r="896" spans="1:5" ht="15" customHeight="1" x14ac:dyDescent="0.25">
      <c r="A896" t="s">
        <v>90</v>
      </c>
      <c r="B896" t="s">
        <v>2223</v>
      </c>
      <c r="C896">
        <v>2017</v>
      </c>
      <c r="E896" s="11" t="s">
        <v>3044</v>
      </c>
    </row>
    <row r="897" spans="1:5" ht="15" customHeight="1" x14ac:dyDescent="0.25">
      <c r="A897" t="s">
        <v>90</v>
      </c>
      <c r="B897" t="s">
        <v>2237</v>
      </c>
      <c r="C897">
        <v>2017</v>
      </c>
      <c r="E897" s="11" t="s">
        <v>3046</v>
      </c>
    </row>
    <row r="898" spans="1:5" ht="15" customHeight="1" x14ac:dyDescent="0.25">
      <c r="A898" t="s">
        <v>90</v>
      </c>
      <c r="B898" t="s">
        <v>2240</v>
      </c>
      <c r="C898">
        <v>2017</v>
      </c>
      <c r="E898" s="11" t="s">
        <v>2242</v>
      </c>
    </row>
    <row r="899" spans="1:5" ht="15" customHeight="1" x14ac:dyDescent="0.25">
      <c r="A899" t="s">
        <v>90</v>
      </c>
      <c r="B899" t="s">
        <v>2265</v>
      </c>
      <c r="C899">
        <v>2017</v>
      </c>
      <c r="E899" s="1" t="s">
        <v>3385</v>
      </c>
    </row>
    <row r="900" spans="1:5" ht="15" customHeight="1" x14ac:dyDescent="0.25">
      <c r="A900" t="s">
        <v>90</v>
      </c>
      <c r="B900" t="s">
        <v>2280</v>
      </c>
      <c r="C900">
        <v>2017</v>
      </c>
      <c r="E900" s="1" t="s">
        <v>3109</v>
      </c>
    </row>
    <row r="901" spans="1:5" ht="15" customHeight="1" x14ac:dyDescent="0.25">
      <c r="A901" t="s">
        <v>90</v>
      </c>
      <c r="B901" t="s">
        <v>2319</v>
      </c>
      <c r="C901">
        <v>2017</v>
      </c>
      <c r="E901" s="1" t="s">
        <v>3090</v>
      </c>
    </row>
    <row r="902" spans="1:5" ht="15" customHeight="1" x14ac:dyDescent="0.25">
      <c r="A902" t="s">
        <v>90</v>
      </c>
      <c r="B902" t="s">
        <v>38</v>
      </c>
      <c r="C902">
        <v>2017</v>
      </c>
      <c r="D902" t="s">
        <v>187</v>
      </c>
      <c r="E902" s="1"/>
    </row>
    <row r="903" spans="1:5" ht="15" customHeight="1" x14ac:dyDescent="0.25">
      <c r="A903" t="s">
        <v>90</v>
      </c>
      <c r="B903" t="s">
        <v>2362</v>
      </c>
      <c r="C903">
        <v>2017</v>
      </c>
      <c r="E903" s="1" t="s">
        <v>2983</v>
      </c>
    </row>
    <row r="904" spans="1:5" ht="15" customHeight="1" x14ac:dyDescent="0.25">
      <c r="A904" t="s">
        <v>90</v>
      </c>
      <c r="B904" t="s">
        <v>2370</v>
      </c>
      <c r="C904">
        <v>2017</v>
      </c>
      <c r="E904" s="11" t="s">
        <v>3265</v>
      </c>
    </row>
    <row r="905" spans="1:5" ht="15" customHeight="1" x14ac:dyDescent="0.25">
      <c r="A905" t="s">
        <v>90</v>
      </c>
      <c r="B905" t="s">
        <v>2372</v>
      </c>
      <c r="C905">
        <v>2017</v>
      </c>
      <c r="E905" s="1" t="s">
        <v>3048</v>
      </c>
    </row>
    <row r="906" spans="1:5" ht="15" customHeight="1" x14ac:dyDescent="0.25">
      <c r="A906" t="s">
        <v>90</v>
      </c>
      <c r="B906" t="s">
        <v>2417</v>
      </c>
      <c r="C906">
        <v>2017</v>
      </c>
      <c r="E906" s="1" t="s">
        <v>2983</v>
      </c>
    </row>
    <row r="907" spans="1:5" ht="15" customHeight="1" x14ac:dyDescent="0.25">
      <c r="A907" t="s">
        <v>90</v>
      </c>
      <c r="B907" t="s">
        <v>2432</v>
      </c>
      <c r="C907">
        <v>2017</v>
      </c>
      <c r="E907" s="1" t="s">
        <v>2983</v>
      </c>
    </row>
    <row r="908" spans="1:5" ht="15" customHeight="1" x14ac:dyDescent="0.25">
      <c r="A908" t="s">
        <v>90</v>
      </c>
      <c r="B908" t="s">
        <v>2440</v>
      </c>
      <c r="C908">
        <v>2017</v>
      </c>
      <c r="E908" s="1" t="s">
        <v>2983</v>
      </c>
    </row>
    <row r="909" spans="1:5" ht="15" customHeight="1" x14ac:dyDescent="0.25">
      <c r="A909" t="s">
        <v>90</v>
      </c>
      <c r="B909" t="s">
        <v>2472</v>
      </c>
      <c r="C909">
        <v>2017</v>
      </c>
      <c r="E909" s="1" t="s">
        <v>3386</v>
      </c>
    </row>
    <row r="910" spans="1:5" ht="15" customHeight="1" x14ac:dyDescent="0.25">
      <c r="A910" t="s">
        <v>90</v>
      </c>
      <c r="B910" t="s">
        <v>2561</v>
      </c>
      <c r="C910">
        <v>2017</v>
      </c>
      <c r="E910" s="1" t="s">
        <v>3387</v>
      </c>
    </row>
    <row r="911" spans="1:5" ht="15" customHeight="1" x14ac:dyDescent="0.25">
      <c r="A911" t="s">
        <v>90</v>
      </c>
      <c r="B911" t="s">
        <v>2564</v>
      </c>
      <c r="C911">
        <v>2017</v>
      </c>
      <c r="E911" s="1" t="s">
        <v>3388</v>
      </c>
    </row>
    <row r="912" spans="1:5" ht="15" customHeight="1" x14ac:dyDescent="0.25">
      <c r="A912" t="s">
        <v>90</v>
      </c>
      <c r="B912" t="s">
        <v>2576</v>
      </c>
      <c r="C912">
        <v>2017</v>
      </c>
      <c r="E912" s="11" t="s">
        <v>3389</v>
      </c>
    </row>
    <row r="913" spans="1:5" ht="15" customHeight="1" x14ac:dyDescent="0.25">
      <c r="A913" t="s">
        <v>90</v>
      </c>
      <c r="B913" t="s">
        <v>2591</v>
      </c>
      <c r="C913">
        <v>2017</v>
      </c>
      <c r="E913" s="1" t="s">
        <v>3242</v>
      </c>
    </row>
    <row r="914" spans="1:5" ht="15" customHeight="1" x14ac:dyDescent="0.25">
      <c r="A914" t="s">
        <v>90</v>
      </c>
      <c r="B914" t="s">
        <v>2644</v>
      </c>
      <c r="C914">
        <v>2017</v>
      </c>
      <c r="E914" s="1" t="s">
        <v>3390</v>
      </c>
    </row>
    <row r="915" spans="1:5" ht="15" customHeight="1" x14ac:dyDescent="0.25">
      <c r="A915" t="s">
        <v>90</v>
      </c>
      <c r="B915" t="s">
        <v>2649</v>
      </c>
      <c r="C915">
        <v>2017</v>
      </c>
      <c r="E915" s="1" t="s">
        <v>3057</v>
      </c>
    </row>
    <row r="916" spans="1:5" ht="15" customHeight="1" x14ac:dyDescent="0.25">
      <c r="A916" t="s">
        <v>90</v>
      </c>
      <c r="B916" t="s">
        <v>2660</v>
      </c>
      <c r="C916">
        <v>2017</v>
      </c>
      <c r="E916" s="1" t="s">
        <v>3259</v>
      </c>
    </row>
    <row r="917" spans="1:5" ht="15" customHeight="1" x14ac:dyDescent="0.25">
      <c r="A917" t="s">
        <v>90</v>
      </c>
      <c r="B917" t="s">
        <v>2668</v>
      </c>
      <c r="C917">
        <v>2017</v>
      </c>
      <c r="E917" s="1" t="s">
        <v>2986</v>
      </c>
    </row>
    <row r="918" spans="1:5" ht="15" customHeight="1" x14ac:dyDescent="0.25">
      <c r="A918" t="s">
        <v>90</v>
      </c>
      <c r="B918" t="s">
        <v>2672</v>
      </c>
      <c r="C918">
        <v>2017</v>
      </c>
      <c r="E918" s="1" t="s">
        <v>2983</v>
      </c>
    </row>
    <row r="919" spans="1:5" ht="15" customHeight="1" x14ac:dyDescent="0.25">
      <c r="A919" t="s">
        <v>90</v>
      </c>
      <c r="B919" t="s">
        <v>2687</v>
      </c>
      <c r="C919">
        <v>2017</v>
      </c>
      <c r="E919" s="1" t="s">
        <v>2983</v>
      </c>
    </row>
    <row r="920" spans="1:5" ht="15" customHeight="1" x14ac:dyDescent="0.25">
      <c r="A920" t="s">
        <v>90</v>
      </c>
      <c r="B920" t="s">
        <v>2735</v>
      </c>
      <c r="C920">
        <v>2017</v>
      </c>
      <c r="E920" s="1" t="s">
        <v>3391</v>
      </c>
    </row>
    <row r="921" spans="1:5" ht="15" customHeight="1" x14ac:dyDescent="0.25">
      <c r="A921" t="s">
        <v>90</v>
      </c>
      <c r="B921" t="s">
        <v>2739</v>
      </c>
      <c r="C921">
        <v>2017</v>
      </c>
      <c r="E921" s="1" t="s">
        <v>2983</v>
      </c>
    </row>
    <row r="922" spans="1:5" ht="15" customHeight="1" x14ac:dyDescent="0.25">
      <c r="A922" t="s">
        <v>90</v>
      </c>
      <c r="B922" t="s">
        <v>2752</v>
      </c>
      <c r="C922">
        <v>2017</v>
      </c>
      <c r="E922" s="1" t="s">
        <v>2983</v>
      </c>
    </row>
    <row r="923" spans="1:5" ht="15" customHeight="1" x14ac:dyDescent="0.25">
      <c r="A923" t="s">
        <v>90</v>
      </c>
      <c r="B923" t="s">
        <v>2783</v>
      </c>
      <c r="C923">
        <v>2017</v>
      </c>
      <c r="E923" s="1" t="s">
        <v>3128</v>
      </c>
    </row>
    <row r="924" spans="1:5" ht="15" customHeight="1" x14ac:dyDescent="0.25">
      <c r="A924" t="s">
        <v>90</v>
      </c>
      <c r="B924" t="s">
        <v>2809</v>
      </c>
      <c r="C924">
        <v>2017</v>
      </c>
      <c r="E924" s="1" t="s">
        <v>3392</v>
      </c>
    </row>
    <row r="925" spans="1:5" ht="15" customHeight="1" x14ac:dyDescent="0.25">
      <c r="A925" t="s">
        <v>90</v>
      </c>
      <c r="B925" t="s">
        <v>2819</v>
      </c>
      <c r="C925">
        <v>2017</v>
      </c>
      <c r="E925" s="1" t="s">
        <v>3159</v>
      </c>
    </row>
    <row r="926" spans="1:5" ht="15" customHeight="1" x14ac:dyDescent="0.25">
      <c r="A926" t="s">
        <v>90</v>
      </c>
      <c r="B926" t="s">
        <v>2823</v>
      </c>
      <c r="C926">
        <v>2017</v>
      </c>
      <c r="E926" s="1" t="s">
        <v>2983</v>
      </c>
    </row>
    <row r="927" spans="1:5" ht="15" customHeight="1" x14ac:dyDescent="0.25">
      <c r="A927" t="s">
        <v>90</v>
      </c>
      <c r="B927" t="s">
        <v>2857</v>
      </c>
      <c r="C927">
        <v>2017</v>
      </c>
      <c r="E927" s="1" t="s">
        <v>3393</v>
      </c>
    </row>
    <row r="928" spans="1:5" ht="15" customHeight="1" x14ac:dyDescent="0.25">
      <c r="A928" t="s">
        <v>90</v>
      </c>
      <c r="B928" t="s">
        <v>2891</v>
      </c>
      <c r="C928">
        <v>2017</v>
      </c>
      <c r="E928" s="1" t="s">
        <v>3078</v>
      </c>
    </row>
    <row r="929" spans="1:5" ht="15" customHeight="1" x14ac:dyDescent="0.25">
      <c r="A929" t="s">
        <v>90</v>
      </c>
      <c r="B929" t="s">
        <v>2897</v>
      </c>
      <c r="C929">
        <v>2017</v>
      </c>
      <c r="E929" s="1" t="s">
        <v>3394</v>
      </c>
    </row>
    <row r="930" spans="1:5" ht="15" customHeight="1" x14ac:dyDescent="0.25">
      <c r="A930" t="s">
        <v>90</v>
      </c>
      <c r="B930" t="s">
        <v>2905</v>
      </c>
      <c r="C930">
        <v>2017</v>
      </c>
      <c r="E930" s="1" t="s">
        <v>3395</v>
      </c>
    </row>
    <row r="931" spans="1:5" ht="15" customHeight="1" x14ac:dyDescent="0.25">
      <c r="A931" t="s">
        <v>90</v>
      </c>
      <c r="B931" t="s">
        <v>2925</v>
      </c>
      <c r="C931">
        <v>2017</v>
      </c>
      <c r="E931" s="1" t="s">
        <v>3396</v>
      </c>
    </row>
    <row r="932" spans="1:5" ht="15" customHeight="1" x14ac:dyDescent="0.25">
      <c r="A932" t="s">
        <v>90</v>
      </c>
      <c r="B932" t="s">
        <v>2938</v>
      </c>
      <c r="C932">
        <v>2017</v>
      </c>
      <c r="E932" s="1" t="s">
        <v>3014</v>
      </c>
    </row>
    <row r="933" spans="1:5" ht="15" customHeight="1" x14ac:dyDescent="0.25">
      <c r="A933" t="s">
        <v>90</v>
      </c>
      <c r="B933" t="s">
        <v>2951</v>
      </c>
      <c r="C933">
        <v>2017</v>
      </c>
      <c r="E933" s="1" t="s">
        <v>2983</v>
      </c>
    </row>
    <row r="934" spans="1:5" ht="15" customHeight="1" x14ac:dyDescent="0.25">
      <c r="A934" t="s">
        <v>90</v>
      </c>
      <c r="B934" t="s">
        <v>2966</v>
      </c>
      <c r="C934">
        <v>2017</v>
      </c>
      <c r="E934" s="1" t="s">
        <v>3221</v>
      </c>
    </row>
    <row r="935" spans="1:5" ht="15" customHeight="1" x14ac:dyDescent="0.25">
      <c r="A935" t="s">
        <v>2362</v>
      </c>
      <c r="B935" t="s">
        <v>543</v>
      </c>
      <c r="C935">
        <v>2018</v>
      </c>
      <c r="E935" s="1" t="s">
        <v>3023</v>
      </c>
    </row>
    <row r="936" spans="1:5" ht="15" customHeight="1" x14ac:dyDescent="0.25">
      <c r="A936" t="s">
        <v>2362</v>
      </c>
      <c r="B936" t="s">
        <v>1575</v>
      </c>
      <c r="C936">
        <v>2018</v>
      </c>
      <c r="E936" s="1" t="s">
        <v>2983</v>
      </c>
    </row>
    <row r="937" spans="1:5" ht="15" customHeight="1" x14ac:dyDescent="0.25">
      <c r="A937" t="s">
        <v>2366</v>
      </c>
      <c r="B937" t="s">
        <v>2340</v>
      </c>
      <c r="C937">
        <v>2023</v>
      </c>
      <c r="E937" s="1" t="s">
        <v>2983</v>
      </c>
    </row>
    <row r="938" spans="1:5" ht="15" customHeight="1" x14ac:dyDescent="0.25">
      <c r="A938" t="s">
        <v>2378</v>
      </c>
      <c r="B938" t="s">
        <v>563</v>
      </c>
      <c r="C938">
        <v>2021</v>
      </c>
      <c r="E938" s="1" t="s">
        <v>566</v>
      </c>
    </row>
    <row r="939" spans="1:5" ht="15" customHeight="1" x14ac:dyDescent="0.25">
      <c r="A939" t="s">
        <v>2378</v>
      </c>
      <c r="B939" t="s">
        <v>1101</v>
      </c>
      <c r="C939">
        <v>2021</v>
      </c>
      <c r="E939" s="1" t="s">
        <v>3014</v>
      </c>
    </row>
    <row r="940" spans="1:5" ht="15" customHeight="1" x14ac:dyDescent="0.25">
      <c r="A940" t="s">
        <v>2378</v>
      </c>
      <c r="B940" t="s">
        <v>1472</v>
      </c>
      <c r="C940">
        <v>2021</v>
      </c>
      <c r="E940" s="1" t="s">
        <v>3014</v>
      </c>
    </row>
    <row r="941" spans="1:5" ht="15" customHeight="1" x14ac:dyDescent="0.25">
      <c r="A941" t="s">
        <v>2378</v>
      </c>
      <c r="B941" t="s">
        <v>1542</v>
      </c>
      <c r="C941">
        <v>2021</v>
      </c>
      <c r="E941" s="1" t="s">
        <v>3161</v>
      </c>
    </row>
    <row r="942" spans="1:5" ht="15" customHeight="1" x14ac:dyDescent="0.25">
      <c r="A942" t="s">
        <v>2378</v>
      </c>
      <c r="B942" t="s">
        <v>1812</v>
      </c>
      <c r="C942">
        <v>2021</v>
      </c>
      <c r="E942" s="1" t="s">
        <v>2983</v>
      </c>
    </row>
    <row r="943" spans="1:5" ht="15" customHeight="1" x14ac:dyDescent="0.25">
      <c r="A943" t="s">
        <v>2378</v>
      </c>
      <c r="B943" t="s">
        <v>2456</v>
      </c>
      <c r="C943">
        <v>2021</v>
      </c>
      <c r="E943" s="1" t="s">
        <v>2983</v>
      </c>
    </row>
    <row r="944" spans="1:5" ht="15" customHeight="1" x14ac:dyDescent="0.25">
      <c r="A944" t="s">
        <v>2394</v>
      </c>
      <c r="B944" t="s">
        <v>2396</v>
      </c>
      <c r="C944">
        <v>2022</v>
      </c>
      <c r="D944" t="s">
        <v>187</v>
      </c>
      <c r="E944" s="1"/>
    </row>
    <row r="945" spans="1:5" ht="15" customHeight="1" x14ac:dyDescent="0.25">
      <c r="A945" t="s">
        <v>2404</v>
      </c>
      <c r="B945" t="s">
        <v>497</v>
      </c>
      <c r="C945">
        <v>2019</v>
      </c>
      <c r="D945" t="s">
        <v>187</v>
      </c>
      <c r="E945" s="1"/>
    </row>
    <row r="946" spans="1:5" ht="15" customHeight="1" x14ac:dyDescent="0.25">
      <c r="A946" t="s">
        <v>2421</v>
      </c>
      <c r="B946" t="s">
        <v>2425</v>
      </c>
      <c r="C946">
        <v>2012</v>
      </c>
      <c r="D946" t="s">
        <v>187</v>
      </c>
      <c r="E946" s="1"/>
    </row>
    <row r="947" spans="1:5" ht="15" customHeight="1" x14ac:dyDescent="0.25">
      <c r="A947" t="s">
        <v>2429</v>
      </c>
      <c r="B947" t="s">
        <v>213</v>
      </c>
      <c r="C947">
        <v>2008</v>
      </c>
      <c r="E947" s="1" t="s">
        <v>3397</v>
      </c>
    </row>
    <row r="948" spans="1:5" ht="15" customHeight="1" x14ac:dyDescent="0.25">
      <c r="A948" t="s">
        <v>2429</v>
      </c>
      <c r="B948" t="s">
        <v>375</v>
      </c>
      <c r="C948">
        <v>2008</v>
      </c>
      <c r="E948" s="1" t="s">
        <v>3281</v>
      </c>
    </row>
    <row r="949" spans="1:5" ht="15" customHeight="1" x14ac:dyDescent="0.25">
      <c r="A949" t="s">
        <v>2429</v>
      </c>
      <c r="B949" t="s">
        <v>431</v>
      </c>
      <c r="C949">
        <v>2008</v>
      </c>
      <c r="E949" s="1" t="s">
        <v>2983</v>
      </c>
    </row>
    <row r="950" spans="1:5" ht="15" customHeight="1" x14ac:dyDescent="0.25">
      <c r="A950" t="s">
        <v>2429</v>
      </c>
      <c r="B950" t="s">
        <v>540</v>
      </c>
      <c r="C950">
        <v>2008</v>
      </c>
      <c r="E950" s="11" t="s">
        <v>3260</v>
      </c>
    </row>
    <row r="951" spans="1:5" x14ac:dyDescent="0.25">
      <c r="A951" t="s">
        <v>2429</v>
      </c>
      <c r="B951" t="s">
        <v>549</v>
      </c>
      <c r="C951">
        <v>2008</v>
      </c>
      <c r="E951" s="1" t="s">
        <v>3398</v>
      </c>
    </row>
    <row r="952" spans="1:5" x14ac:dyDescent="0.25">
      <c r="A952" t="s">
        <v>2429</v>
      </c>
      <c r="B952" t="s">
        <v>604</v>
      </c>
      <c r="C952">
        <v>2008</v>
      </c>
      <c r="E952" s="11" t="s">
        <v>3148</v>
      </c>
    </row>
    <row r="953" spans="1:5" x14ac:dyDescent="0.25">
      <c r="A953" t="s">
        <v>2429</v>
      </c>
      <c r="B953" t="s">
        <v>625</v>
      </c>
      <c r="C953">
        <v>2008</v>
      </c>
      <c r="E953" s="1" t="s">
        <v>3399</v>
      </c>
    </row>
    <row r="954" spans="1:5" x14ac:dyDescent="0.25">
      <c r="A954" t="s">
        <v>2429</v>
      </c>
      <c r="B954" t="s">
        <v>689</v>
      </c>
      <c r="C954">
        <v>2008</v>
      </c>
      <c r="E954" s="1" t="s">
        <v>3329</v>
      </c>
    </row>
    <row r="955" spans="1:5" x14ac:dyDescent="0.25">
      <c r="A955" t="s">
        <v>2429</v>
      </c>
      <c r="B955" t="s">
        <v>866</v>
      </c>
      <c r="C955">
        <v>2008</v>
      </c>
      <c r="E955" s="1" t="s">
        <v>3206</v>
      </c>
    </row>
    <row r="956" spans="1:5" x14ac:dyDescent="0.25">
      <c r="A956" t="s">
        <v>2429</v>
      </c>
      <c r="B956" t="s">
        <v>931</v>
      </c>
      <c r="C956">
        <v>2008</v>
      </c>
      <c r="E956" s="1" t="s">
        <v>3400</v>
      </c>
    </row>
    <row r="957" spans="1:5" x14ac:dyDescent="0.25">
      <c r="A957" t="s">
        <v>2429</v>
      </c>
      <c r="B957" t="s">
        <v>1003</v>
      </c>
      <c r="C957">
        <v>2008</v>
      </c>
      <c r="E957" s="1" t="s">
        <v>3120</v>
      </c>
    </row>
    <row r="958" spans="1:5" x14ac:dyDescent="0.25">
      <c r="A958" t="s">
        <v>2429</v>
      </c>
      <c r="B958" t="s">
        <v>1015</v>
      </c>
      <c r="C958">
        <v>2008</v>
      </c>
      <c r="E958" s="11" t="s">
        <v>3401</v>
      </c>
    </row>
    <row r="959" spans="1:5" x14ac:dyDescent="0.25">
      <c r="A959" t="s">
        <v>2429</v>
      </c>
      <c r="B959" t="s">
        <v>1047</v>
      </c>
      <c r="C959">
        <v>2008</v>
      </c>
      <c r="E959" s="1" t="s">
        <v>3306</v>
      </c>
    </row>
    <row r="960" spans="1:5" x14ac:dyDescent="0.25">
      <c r="A960" t="s">
        <v>2429</v>
      </c>
      <c r="B960" t="s">
        <v>1086</v>
      </c>
      <c r="C960">
        <v>2008</v>
      </c>
      <c r="E960" s="1" t="s">
        <v>1089</v>
      </c>
    </row>
    <row r="961" spans="1:5" x14ac:dyDescent="0.25">
      <c r="A961" t="s">
        <v>2429</v>
      </c>
      <c r="B961" t="s">
        <v>1105</v>
      </c>
      <c r="C961">
        <v>2008</v>
      </c>
      <c r="E961" s="1" t="s">
        <v>3340</v>
      </c>
    </row>
    <row r="962" spans="1:5" x14ac:dyDescent="0.25">
      <c r="A962" t="s">
        <v>2429</v>
      </c>
      <c r="B962" t="s">
        <v>1145</v>
      </c>
      <c r="C962">
        <v>2008</v>
      </c>
      <c r="E962" s="1" t="s">
        <v>3402</v>
      </c>
    </row>
    <row r="963" spans="1:5" x14ac:dyDescent="0.25">
      <c r="A963" t="s">
        <v>2429</v>
      </c>
      <c r="B963" t="s">
        <v>1220</v>
      </c>
      <c r="C963">
        <v>2008</v>
      </c>
      <c r="E963" s="1" t="s">
        <v>2983</v>
      </c>
    </row>
    <row r="964" spans="1:5" x14ac:dyDescent="0.25">
      <c r="A964" t="s">
        <v>2429</v>
      </c>
      <c r="B964" t="s">
        <v>1236</v>
      </c>
      <c r="C964">
        <v>2008</v>
      </c>
      <c r="E964" s="1" t="s">
        <v>3307</v>
      </c>
    </row>
    <row r="965" spans="1:5" x14ac:dyDescent="0.25">
      <c r="A965" t="s">
        <v>2429</v>
      </c>
      <c r="B965" t="s">
        <v>1554</v>
      </c>
      <c r="C965">
        <v>2008</v>
      </c>
      <c r="E965" s="1" t="s">
        <v>3162</v>
      </c>
    </row>
    <row r="966" spans="1:5" x14ac:dyDescent="0.25">
      <c r="A966" t="s">
        <v>2429</v>
      </c>
      <c r="B966" t="s">
        <v>1603</v>
      </c>
      <c r="C966">
        <v>2008</v>
      </c>
      <c r="E966" s="1" t="s">
        <v>3403</v>
      </c>
    </row>
    <row r="967" spans="1:5" x14ac:dyDescent="0.25">
      <c r="A967" t="s">
        <v>2429</v>
      </c>
      <c r="B967" t="s">
        <v>1701</v>
      </c>
      <c r="C967">
        <v>2008</v>
      </c>
      <c r="E967" s="1" t="s">
        <v>3211</v>
      </c>
    </row>
    <row r="968" spans="1:5" x14ac:dyDescent="0.25">
      <c r="A968" t="s">
        <v>2429</v>
      </c>
      <c r="B968" t="s">
        <v>1749</v>
      </c>
      <c r="C968">
        <v>2008</v>
      </c>
      <c r="E968" s="1" t="s">
        <v>3404</v>
      </c>
    </row>
    <row r="969" spans="1:5" x14ac:dyDescent="0.25">
      <c r="A969" t="s">
        <v>2429</v>
      </c>
      <c r="B969" t="s">
        <v>1818</v>
      </c>
      <c r="C969">
        <v>2008</v>
      </c>
      <c r="E969" s="1" t="s">
        <v>2983</v>
      </c>
    </row>
    <row r="970" spans="1:5" x14ac:dyDescent="0.25">
      <c r="A970" t="s">
        <v>2429</v>
      </c>
      <c r="B970" t="s">
        <v>2078</v>
      </c>
      <c r="C970">
        <v>2008</v>
      </c>
      <c r="E970" s="11" t="s">
        <v>3334</v>
      </c>
    </row>
    <row r="971" spans="1:5" x14ac:dyDescent="0.25">
      <c r="A971" t="s">
        <v>2429</v>
      </c>
      <c r="B971" t="s">
        <v>2174</v>
      </c>
      <c r="C971">
        <v>2008</v>
      </c>
      <c r="E971" s="1" t="s">
        <v>3405</v>
      </c>
    </row>
    <row r="972" spans="1:5" x14ac:dyDescent="0.25">
      <c r="A972" t="s">
        <v>2429</v>
      </c>
      <c r="B972" t="s">
        <v>2329</v>
      </c>
      <c r="C972">
        <v>2008</v>
      </c>
      <c r="E972" s="1" t="s">
        <v>3164</v>
      </c>
    </row>
    <row r="973" spans="1:5" x14ac:dyDescent="0.25">
      <c r="A973" t="s">
        <v>2429</v>
      </c>
      <c r="B973" t="s">
        <v>2342</v>
      </c>
      <c r="C973">
        <v>2008</v>
      </c>
      <c r="E973" t="s">
        <v>2983</v>
      </c>
    </row>
    <row r="974" spans="1:5" x14ac:dyDescent="0.25">
      <c r="A974" t="s">
        <v>2429</v>
      </c>
      <c r="B974" t="s">
        <v>2421</v>
      </c>
      <c r="C974">
        <v>2008</v>
      </c>
      <c r="D974" t="s">
        <v>187</v>
      </c>
      <c r="E974" s="1"/>
    </row>
    <row r="975" spans="1:5" x14ac:dyDescent="0.25">
      <c r="A975" t="s">
        <v>2429</v>
      </c>
      <c r="B975" t="s">
        <v>2444</v>
      </c>
      <c r="C975">
        <v>2008</v>
      </c>
      <c r="E975" s="1" t="s">
        <v>2447</v>
      </c>
    </row>
    <row r="976" spans="1:5" x14ac:dyDescent="0.25">
      <c r="A976" t="s">
        <v>2429</v>
      </c>
      <c r="B976" t="s">
        <v>2486</v>
      </c>
      <c r="C976">
        <v>2008</v>
      </c>
      <c r="E976" s="11" t="s">
        <v>3406</v>
      </c>
    </row>
    <row r="977" spans="1:5" x14ac:dyDescent="0.25">
      <c r="A977" t="s">
        <v>2429</v>
      </c>
      <c r="B977" t="s">
        <v>2493</v>
      </c>
      <c r="C977">
        <v>2008</v>
      </c>
      <c r="E977" s="1" t="s">
        <v>3407</v>
      </c>
    </row>
    <row r="978" spans="1:5" x14ac:dyDescent="0.25">
      <c r="A978" t="s">
        <v>2429</v>
      </c>
      <c r="B978" t="s">
        <v>2531</v>
      </c>
      <c r="C978">
        <v>2008</v>
      </c>
      <c r="E978" s="1" t="s">
        <v>3219</v>
      </c>
    </row>
    <row r="979" spans="1:5" x14ac:dyDescent="0.25">
      <c r="A979" t="s">
        <v>2429</v>
      </c>
      <c r="B979" t="s">
        <v>160</v>
      </c>
      <c r="C979">
        <v>2008</v>
      </c>
      <c r="E979" s="1" t="s">
        <v>3133</v>
      </c>
    </row>
    <row r="980" spans="1:5" x14ac:dyDescent="0.25">
      <c r="A980" t="s">
        <v>2429</v>
      </c>
      <c r="B980" t="s">
        <v>2761</v>
      </c>
      <c r="C980">
        <v>2008</v>
      </c>
      <c r="E980" s="11" t="s">
        <v>3166</v>
      </c>
    </row>
    <row r="981" spans="1:5" x14ac:dyDescent="0.25">
      <c r="A981" t="s">
        <v>2429</v>
      </c>
      <c r="B981" t="s">
        <v>2797</v>
      </c>
      <c r="C981">
        <v>2018</v>
      </c>
      <c r="E981" s="1" t="s">
        <v>3172</v>
      </c>
    </row>
    <row r="982" spans="1:5" x14ac:dyDescent="0.25">
      <c r="A982" t="s">
        <v>2429</v>
      </c>
      <c r="B982" t="s">
        <v>2891</v>
      </c>
      <c r="C982">
        <v>2008</v>
      </c>
      <c r="E982" s="1" t="s">
        <v>3078</v>
      </c>
    </row>
    <row r="983" spans="1:5" x14ac:dyDescent="0.25">
      <c r="A983" t="s">
        <v>2444</v>
      </c>
      <c r="B983" t="s">
        <v>457</v>
      </c>
      <c r="C983">
        <v>2019</v>
      </c>
      <c r="D983" t="s">
        <v>187</v>
      </c>
    </row>
    <row r="984" spans="1:5" x14ac:dyDescent="0.25">
      <c r="A984" t="s">
        <v>2448</v>
      </c>
      <c r="B984" t="s">
        <v>2942</v>
      </c>
      <c r="C984">
        <v>2014</v>
      </c>
      <c r="E984" s="1" t="s">
        <v>3408</v>
      </c>
    </row>
    <row r="985" spans="1:5" x14ac:dyDescent="0.25">
      <c r="A985" t="s">
        <v>2460</v>
      </c>
      <c r="B985" t="s">
        <v>2255</v>
      </c>
      <c r="C985">
        <v>2017</v>
      </c>
      <c r="E985" s="1" t="s">
        <v>2983</v>
      </c>
    </row>
    <row r="986" spans="1:5" x14ac:dyDescent="0.25">
      <c r="A986" t="s">
        <v>2482</v>
      </c>
      <c r="B986" t="s">
        <v>1051</v>
      </c>
      <c r="C986">
        <v>2020</v>
      </c>
      <c r="E986" s="11" t="s">
        <v>3060</v>
      </c>
    </row>
    <row r="987" spans="1:5" x14ac:dyDescent="0.25">
      <c r="A987" t="s">
        <v>2490</v>
      </c>
      <c r="B987" t="s">
        <v>2875</v>
      </c>
      <c r="C987">
        <v>2002</v>
      </c>
      <c r="D987" t="s">
        <v>187</v>
      </c>
      <c r="E987" s="1"/>
    </row>
    <row r="988" spans="1:5" x14ac:dyDescent="0.25">
      <c r="A988" t="s">
        <v>2499</v>
      </c>
      <c r="B988" t="s">
        <v>198</v>
      </c>
      <c r="C988">
        <v>2017</v>
      </c>
      <c r="D988" t="s">
        <v>187</v>
      </c>
      <c r="E988" s="1"/>
    </row>
    <row r="989" spans="1:5" x14ac:dyDescent="0.25">
      <c r="A989" t="s">
        <v>2503</v>
      </c>
      <c r="B989" t="s">
        <v>713</v>
      </c>
      <c r="C989">
        <v>2015</v>
      </c>
      <c r="D989" t="s">
        <v>187</v>
      </c>
      <c r="E989" s="1"/>
    </row>
    <row r="990" spans="1:5" x14ac:dyDescent="0.25">
      <c r="A990" t="s">
        <v>2507</v>
      </c>
      <c r="B990" t="s">
        <v>344</v>
      </c>
      <c r="C990">
        <v>2021</v>
      </c>
      <c r="E990" s="1" t="s">
        <v>2983</v>
      </c>
    </row>
    <row r="991" spans="1:5" x14ac:dyDescent="0.25">
      <c r="A991" t="s">
        <v>2507</v>
      </c>
      <c r="B991" t="s">
        <v>730</v>
      </c>
      <c r="C991">
        <v>2021</v>
      </c>
      <c r="E991" s="1" t="s">
        <v>3027</v>
      </c>
    </row>
    <row r="992" spans="1:5" x14ac:dyDescent="0.25">
      <c r="A992" t="s">
        <v>2507</v>
      </c>
      <c r="B992" t="s">
        <v>1072</v>
      </c>
      <c r="C992">
        <v>2021</v>
      </c>
      <c r="E992" s="1" t="s">
        <v>3014</v>
      </c>
    </row>
    <row r="993" spans="1:5" x14ac:dyDescent="0.25">
      <c r="A993" t="s">
        <v>2507</v>
      </c>
      <c r="B993" t="s">
        <v>1476</v>
      </c>
      <c r="C993">
        <v>2021</v>
      </c>
      <c r="E993" s="1" t="s">
        <v>2983</v>
      </c>
    </row>
    <row r="994" spans="1:5" x14ac:dyDescent="0.25">
      <c r="A994" t="s">
        <v>2507</v>
      </c>
      <c r="B994" t="s">
        <v>1504</v>
      </c>
      <c r="C994">
        <v>2021</v>
      </c>
      <c r="E994" s="1" t="s">
        <v>3012</v>
      </c>
    </row>
    <row r="995" spans="1:5" x14ac:dyDescent="0.25">
      <c r="A995" t="s">
        <v>2507</v>
      </c>
      <c r="B995" t="s">
        <v>1588</v>
      </c>
      <c r="C995">
        <v>2021</v>
      </c>
      <c r="E995" s="1" t="s">
        <v>2983</v>
      </c>
    </row>
    <row r="996" spans="1:5" x14ac:dyDescent="0.25">
      <c r="A996" t="s">
        <v>2507</v>
      </c>
      <c r="B996" t="s">
        <v>1634</v>
      </c>
      <c r="C996">
        <v>2021</v>
      </c>
      <c r="E996" s="1" t="s">
        <v>2983</v>
      </c>
    </row>
    <row r="997" spans="1:5" x14ac:dyDescent="0.25">
      <c r="A997" t="s">
        <v>2507</v>
      </c>
      <c r="B997" t="s">
        <v>1852</v>
      </c>
      <c r="C997">
        <v>2021</v>
      </c>
      <c r="E997" s="1" t="s">
        <v>2983</v>
      </c>
    </row>
    <row r="998" spans="1:5" x14ac:dyDescent="0.25">
      <c r="A998" t="s">
        <v>2507</v>
      </c>
      <c r="B998" t="s">
        <v>1864</v>
      </c>
      <c r="C998">
        <v>2021</v>
      </c>
      <c r="E998" s="1" t="s">
        <v>2983</v>
      </c>
    </row>
    <row r="999" spans="1:5" x14ac:dyDescent="0.25">
      <c r="A999" t="s">
        <v>2507</v>
      </c>
      <c r="B999" t="s">
        <v>2223</v>
      </c>
      <c r="C999">
        <v>2021</v>
      </c>
      <c r="E999" s="11" t="s">
        <v>3044</v>
      </c>
    </row>
    <row r="1000" spans="1:5" x14ac:dyDescent="0.25">
      <c r="A1000" t="s">
        <v>2507</v>
      </c>
      <c r="B1000" t="s">
        <v>2696</v>
      </c>
      <c r="C1000">
        <v>2021</v>
      </c>
      <c r="E1000" s="11" t="s">
        <v>2985</v>
      </c>
    </row>
    <row r="1001" spans="1:5" x14ac:dyDescent="0.25">
      <c r="A1001" t="s">
        <v>2519</v>
      </c>
      <c r="B1001" t="s">
        <v>1236</v>
      </c>
      <c r="C1001">
        <v>2013</v>
      </c>
      <c r="E1001" s="1" t="s">
        <v>3307</v>
      </c>
    </row>
    <row r="1002" spans="1:5" x14ac:dyDescent="0.25">
      <c r="A1002" t="s">
        <v>2523</v>
      </c>
      <c r="B1002" t="s">
        <v>1812</v>
      </c>
      <c r="C1002">
        <v>2025</v>
      </c>
      <c r="E1002" s="1" t="s">
        <v>2983</v>
      </c>
    </row>
    <row r="1003" spans="1:5" x14ac:dyDescent="0.25">
      <c r="A1003" t="s">
        <v>2535</v>
      </c>
      <c r="B1003" t="s">
        <v>2191</v>
      </c>
      <c r="C1003">
        <v>1982</v>
      </c>
      <c r="E1003" s="11" t="s">
        <v>3175</v>
      </c>
    </row>
    <row r="1004" spans="1:5" x14ac:dyDescent="0.25">
      <c r="A1004" t="s">
        <v>2538</v>
      </c>
      <c r="B1004" t="s">
        <v>2541</v>
      </c>
      <c r="C1004">
        <v>2021</v>
      </c>
      <c r="D1004" t="s">
        <v>187</v>
      </c>
    </row>
    <row r="1005" spans="1:5" x14ac:dyDescent="0.25">
      <c r="A1005" t="s">
        <v>2557</v>
      </c>
      <c r="B1005" t="s">
        <v>2555</v>
      </c>
      <c r="C1005">
        <v>2018</v>
      </c>
      <c r="D1005" t="s">
        <v>187</v>
      </c>
      <c r="E1005" s="1"/>
    </row>
    <row r="1006" spans="1:5" x14ac:dyDescent="0.25">
      <c r="A1006" t="s">
        <v>2572</v>
      </c>
      <c r="B1006" t="s">
        <v>517</v>
      </c>
      <c r="C1006">
        <v>1998</v>
      </c>
      <c r="E1006" s="11" t="s">
        <v>3153</v>
      </c>
    </row>
    <row r="1007" spans="1:5" x14ac:dyDescent="0.25">
      <c r="A1007" t="s">
        <v>2572</v>
      </c>
      <c r="B1007" t="s">
        <v>985</v>
      </c>
      <c r="C1007">
        <v>1998</v>
      </c>
      <c r="E1007" s="11" t="s">
        <v>2989</v>
      </c>
    </row>
    <row r="1008" spans="1:5" x14ac:dyDescent="0.25">
      <c r="A1008" t="s">
        <v>2572</v>
      </c>
      <c r="B1008" t="s">
        <v>1421</v>
      </c>
      <c r="C1008">
        <v>1998</v>
      </c>
      <c r="E1008" s="1" t="s">
        <v>2993</v>
      </c>
    </row>
    <row r="1009" spans="1:5" x14ac:dyDescent="0.25">
      <c r="A1009" t="s">
        <v>2572</v>
      </c>
      <c r="B1009" t="s">
        <v>1514</v>
      </c>
      <c r="C1009">
        <v>1998</v>
      </c>
      <c r="E1009" s="1" t="s">
        <v>3061</v>
      </c>
    </row>
    <row r="1010" spans="1:5" x14ac:dyDescent="0.25">
      <c r="A1010" t="s">
        <v>2572</v>
      </c>
      <c r="B1010" t="s">
        <v>1938</v>
      </c>
      <c r="C1010">
        <v>1998</v>
      </c>
      <c r="E1010" s="1" t="s">
        <v>1941</v>
      </c>
    </row>
    <row r="1011" spans="1:5" x14ac:dyDescent="0.25">
      <c r="A1011" t="s">
        <v>2572</v>
      </c>
      <c r="B1011" t="s">
        <v>2108</v>
      </c>
      <c r="C1011">
        <v>1998</v>
      </c>
      <c r="E1011" s="11" t="s">
        <v>3142</v>
      </c>
    </row>
    <row r="1012" spans="1:5" x14ac:dyDescent="0.25">
      <c r="A1012" t="s">
        <v>2572</v>
      </c>
      <c r="B1012" t="s">
        <v>2161</v>
      </c>
      <c r="C1012">
        <v>1998</v>
      </c>
      <c r="E1012" s="1" t="s">
        <v>2996</v>
      </c>
    </row>
    <row r="1013" spans="1:5" x14ac:dyDescent="0.25">
      <c r="A1013" t="s">
        <v>2572</v>
      </c>
      <c r="B1013" t="s">
        <v>2579</v>
      </c>
      <c r="C1013">
        <v>1998</v>
      </c>
      <c r="E1013" s="1" t="s">
        <v>3173</v>
      </c>
    </row>
    <row r="1014" spans="1:5" x14ac:dyDescent="0.25">
      <c r="A1014" t="s">
        <v>2579</v>
      </c>
      <c r="B1014" t="s">
        <v>1514</v>
      </c>
      <c r="C1014">
        <v>2017</v>
      </c>
      <c r="E1014" s="1" t="s">
        <v>3061</v>
      </c>
    </row>
    <row r="1015" spans="1:5" x14ac:dyDescent="0.25">
      <c r="A1015" t="s">
        <v>2595</v>
      </c>
      <c r="B1015" t="s">
        <v>1009</v>
      </c>
      <c r="C1015">
        <v>2019</v>
      </c>
      <c r="E1015" s="1" t="s">
        <v>2983</v>
      </c>
    </row>
    <row r="1016" spans="1:5" x14ac:dyDescent="0.25">
      <c r="A1016" t="s">
        <v>2595</v>
      </c>
      <c r="B1016" t="s">
        <v>1504</v>
      </c>
      <c r="C1016">
        <v>2019</v>
      </c>
      <c r="E1016" s="1" t="s">
        <v>3012</v>
      </c>
    </row>
    <row r="1017" spans="1:5" x14ac:dyDescent="0.25">
      <c r="A1017" t="s">
        <v>2595</v>
      </c>
      <c r="B1017" t="s">
        <v>2265</v>
      </c>
      <c r="C1017">
        <v>2019</v>
      </c>
      <c r="E1017" s="1" t="s">
        <v>3385</v>
      </c>
    </row>
    <row r="1018" spans="1:5" x14ac:dyDescent="0.25">
      <c r="A1018" t="s">
        <v>2595</v>
      </c>
      <c r="B1018" t="s">
        <v>2615</v>
      </c>
      <c r="C1018">
        <v>2019</v>
      </c>
      <c r="E1018" s="1" t="s">
        <v>3158</v>
      </c>
    </row>
    <row r="1019" spans="1:5" x14ac:dyDescent="0.25">
      <c r="A1019" t="s">
        <v>2595</v>
      </c>
      <c r="B1019" t="s">
        <v>2696</v>
      </c>
      <c r="C1019">
        <v>2019</v>
      </c>
      <c r="E1019" s="11" t="s">
        <v>2985</v>
      </c>
    </row>
    <row r="1020" spans="1:5" x14ac:dyDescent="0.25">
      <c r="A1020" t="s">
        <v>2615</v>
      </c>
      <c r="B1020" t="s">
        <v>1864</v>
      </c>
      <c r="C1020">
        <v>2025</v>
      </c>
      <c r="E1020" s="1" t="s">
        <v>2983</v>
      </c>
    </row>
    <row r="1021" spans="1:5" x14ac:dyDescent="0.25">
      <c r="A1021" t="s">
        <v>2615</v>
      </c>
      <c r="B1021" t="s">
        <v>2764</v>
      </c>
      <c r="C1021">
        <v>2025</v>
      </c>
      <c r="E1021" s="1" t="s">
        <v>3015</v>
      </c>
    </row>
    <row r="1022" spans="1:5" x14ac:dyDescent="0.25">
      <c r="A1022" t="s">
        <v>160</v>
      </c>
      <c r="B1022" t="s">
        <v>190</v>
      </c>
      <c r="C1022">
        <v>2011</v>
      </c>
      <c r="E1022" s="1" t="s">
        <v>3085</v>
      </c>
    </row>
    <row r="1023" spans="1:5" x14ac:dyDescent="0.25">
      <c r="A1023" t="s">
        <v>160</v>
      </c>
      <c r="B1023" t="s">
        <v>213</v>
      </c>
      <c r="C1023">
        <v>2011</v>
      </c>
      <c r="E1023" s="1" t="s">
        <v>3397</v>
      </c>
    </row>
    <row r="1024" spans="1:5" x14ac:dyDescent="0.25">
      <c r="A1024" t="s">
        <v>160</v>
      </c>
      <c r="B1024" t="s">
        <v>217</v>
      </c>
      <c r="C1024">
        <v>2011</v>
      </c>
      <c r="E1024" s="1" t="s">
        <v>3409</v>
      </c>
    </row>
    <row r="1025" spans="1:5" x14ac:dyDescent="0.25">
      <c r="A1025" t="s">
        <v>160</v>
      </c>
      <c r="B1025" t="s">
        <v>253</v>
      </c>
      <c r="C1025">
        <v>2011</v>
      </c>
      <c r="E1025" s="11" t="s">
        <v>3114</v>
      </c>
    </row>
    <row r="1026" spans="1:5" x14ac:dyDescent="0.25">
      <c r="A1026" t="s">
        <v>160</v>
      </c>
      <c r="B1026" t="s">
        <v>308</v>
      </c>
      <c r="C1026">
        <v>2011</v>
      </c>
      <c r="E1026" s="1" t="s">
        <v>3187</v>
      </c>
    </row>
    <row r="1027" spans="1:5" x14ac:dyDescent="0.25">
      <c r="A1027" t="s">
        <v>160</v>
      </c>
      <c r="B1027" t="s">
        <v>415</v>
      </c>
      <c r="C1027">
        <v>2011</v>
      </c>
      <c r="E1027" s="1" t="s">
        <v>3189</v>
      </c>
    </row>
    <row r="1028" spans="1:5" x14ac:dyDescent="0.25">
      <c r="A1028" t="s">
        <v>160</v>
      </c>
      <c r="B1028" t="s">
        <v>431</v>
      </c>
      <c r="C1028">
        <v>2011</v>
      </c>
      <c r="E1028" s="1" t="s">
        <v>2983</v>
      </c>
    </row>
    <row r="1029" spans="1:5" x14ac:dyDescent="0.25">
      <c r="A1029" t="s">
        <v>160</v>
      </c>
      <c r="B1029" t="s">
        <v>501</v>
      </c>
      <c r="C1029">
        <v>2011</v>
      </c>
      <c r="E1029" s="1" t="s">
        <v>3190</v>
      </c>
    </row>
    <row r="1030" spans="1:5" x14ac:dyDescent="0.25">
      <c r="A1030" t="s">
        <v>160</v>
      </c>
      <c r="B1030" t="s">
        <v>557</v>
      </c>
      <c r="C1030">
        <v>2011</v>
      </c>
      <c r="E1030" s="1" t="s">
        <v>3410</v>
      </c>
    </row>
    <row r="1031" spans="1:5" x14ac:dyDescent="0.25">
      <c r="A1031" t="s">
        <v>160</v>
      </c>
      <c r="B1031" t="s">
        <v>610</v>
      </c>
      <c r="C1031">
        <v>2011</v>
      </c>
      <c r="E1031" s="11" t="s">
        <v>3068</v>
      </c>
    </row>
    <row r="1032" spans="1:5" x14ac:dyDescent="0.25">
      <c r="A1032" t="s">
        <v>160</v>
      </c>
      <c r="B1032" t="s">
        <v>635</v>
      </c>
      <c r="C1032">
        <v>2011</v>
      </c>
      <c r="E1032" s="1" t="s">
        <v>3411</v>
      </c>
    </row>
    <row r="1033" spans="1:5" x14ac:dyDescent="0.25">
      <c r="A1033" t="s">
        <v>160</v>
      </c>
      <c r="B1033" t="s">
        <v>689</v>
      </c>
      <c r="C1033">
        <v>2011</v>
      </c>
      <c r="E1033" s="1" t="s">
        <v>3329</v>
      </c>
    </row>
    <row r="1034" spans="1:5" x14ac:dyDescent="0.25">
      <c r="A1034" t="s">
        <v>160</v>
      </c>
      <c r="B1034" t="s">
        <v>709</v>
      </c>
      <c r="C1034">
        <v>2011</v>
      </c>
      <c r="E1034" s="1" t="s">
        <v>3117</v>
      </c>
    </row>
    <row r="1035" spans="1:5" x14ac:dyDescent="0.25">
      <c r="A1035" t="s">
        <v>160</v>
      </c>
      <c r="B1035" t="s">
        <v>759</v>
      </c>
      <c r="C1035">
        <v>2011</v>
      </c>
      <c r="E1035" s="1" t="s">
        <v>3319</v>
      </c>
    </row>
    <row r="1036" spans="1:5" x14ac:dyDescent="0.25">
      <c r="A1036" t="s">
        <v>160</v>
      </c>
      <c r="B1036" t="s">
        <v>763</v>
      </c>
      <c r="C1036">
        <v>2011</v>
      </c>
      <c r="E1036" s="1" t="s">
        <v>3412</v>
      </c>
    </row>
    <row r="1037" spans="1:5" x14ac:dyDescent="0.25">
      <c r="A1037" t="s">
        <v>160</v>
      </c>
      <c r="B1037" t="s">
        <v>846</v>
      </c>
      <c r="C1037">
        <v>2011</v>
      </c>
      <c r="E1037" s="1" t="s">
        <v>3118</v>
      </c>
    </row>
    <row r="1038" spans="1:5" x14ac:dyDescent="0.25">
      <c r="A1038" t="s">
        <v>160</v>
      </c>
      <c r="B1038" t="s">
        <v>855</v>
      </c>
      <c r="C1038">
        <v>2011</v>
      </c>
      <c r="E1038" s="1" t="s">
        <v>3413</v>
      </c>
    </row>
    <row r="1039" spans="1:5" x14ac:dyDescent="0.25">
      <c r="A1039" t="s">
        <v>160</v>
      </c>
      <c r="B1039" t="s">
        <v>949</v>
      </c>
      <c r="C1039">
        <v>2011</v>
      </c>
      <c r="E1039" s="1" t="s">
        <v>3119</v>
      </c>
    </row>
    <row r="1040" spans="1:5" x14ac:dyDescent="0.25">
      <c r="A1040" t="s">
        <v>160</v>
      </c>
      <c r="B1040" t="s">
        <v>993</v>
      </c>
      <c r="C1040">
        <v>2011</v>
      </c>
      <c r="E1040" s="1" t="s">
        <v>2983</v>
      </c>
    </row>
    <row r="1041" spans="1:5" x14ac:dyDescent="0.25">
      <c r="A1041" t="s">
        <v>160</v>
      </c>
      <c r="B1041" t="s">
        <v>1030</v>
      </c>
      <c r="C1041">
        <v>2011</v>
      </c>
      <c r="E1041" s="1" t="s">
        <v>2983</v>
      </c>
    </row>
    <row r="1042" spans="1:5" x14ac:dyDescent="0.25">
      <c r="A1042" t="s">
        <v>160</v>
      </c>
      <c r="B1042" t="s">
        <v>1047</v>
      </c>
      <c r="C1042">
        <v>2011</v>
      </c>
      <c r="E1042" s="1" t="s">
        <v>3306</v>
      </c>
    </row>
    <row r="1043" spans="1:5" x14ac:dyDescent="0.25">
      <c r="A1043" t="s">
        <v>160</v>
      </c>
      <c r="B1043" t="s">
        <v>1134</v>
      </c>
      <c r="C1043">
        <v>2011</v>
      </c>
      <c r="E1043" s="1" t="s">
        <v>3014</v>
      </c>
    </row>
    <row r="1044" spans="1:5" x14ac:dyDescent="0.25">
      <c r="A1044" t="s">
        <v>160</v>
      </c>
      <c r="B1044" t="s">
        <v>1149</v>
      </c>
      <c r="C1044">
        <v>2011</v>
      </c>
      <c r="E1044" s="11" t="s">
        <v>3414</v>
      </c>
    </row>
    <row r="1045" spans="1:5" x14ac:dyDescent="0.25">
      <c r="A1045" t="s">
        <v>160</v>
      </c>
      <c r="B1045" t="s">
        <v>1220</v>
      </c>
      <c r="C1045">
        <v>2011</v>
      </c>
      <c r="E1045" s="1" t="s">
        <v>2983</v>
      </c>
    </row>
    <row r="1046" spans="1:5" x14ac:dyDescent="0.25">
      <c r="A1046" t="s">
        <v>160</v>
      </c>
      <c r="B1046" t="s">
        <v>1228</v>
      </c>
      <c r="C1046">
        <v>2011</v>
      </c>
      <c r="E1046" s="1" t="s">
        <v>3331</v>
      </c>
    </row>
    <row r="1047" spans="1:5" x14ac:dyDescent="0.25">
      <c r="A1047" t="s">
        <v>160</v>
      </c>
      <c r="B1047" t="s">
        <v>1321</v>
      </c>
      <c r="C1047">
        <v>2011</v>
      </c>
      <c r="E1047" s="1" t="s">
        <v>3209</v>
      </c>
    </row>
    <row r="1048" spans="1:5" x14ac:dyDescent="0.25">
      <c r="A1048" t="s">
        <v>160</v>
      </c>
      <c r="B1048" t="s">
        <v>1517</v>
      </c>
      <c r="C1048">
        <v>2011</v>
      </c>
      <c r="E1048" s="1" t="s">
        <v>2983</v>
      </c>
    </row>
    <row r="1049" spans="1:5" x14ac:dyDescent="0.25">
      <c r="A1049" t="s">
        <v>160</v>
      </c>
      <c r="B1049" t="s">
        <v>1564</v>
      </c>
      <c r="C1049">
        <v>2011</v>
      </c>
      <c r="E1049" s="1" t="s">
        <v>2983</v>
      </c>
    </row>
    <row r="1050" spans="1:5" x14ac:dyDescent="0.25">
      <c r="A1050" t="s">
        <v>160</v>
      </c>
      <c r="B1050" t="s">
        <v>1595</v>
      </c>
      <c r="C1050">
        <v>2011</v>
      </c>
      <c r="E1050" s="1" t="s">
        <v>3300</v>
      </c>
    </row>
    <row r="1051" spans="1:5" x14ac:dyDescent="0.25">
      <c r="A1051" t="s">
        <v>160</v>
      </c>
      <c r="B1051" t="s">
        <v>1603</v>
      </c>
      <c r="C1051">
        <v>2011</v>
      </c>
      <c r="E1051" s="1" t="s">
        <v>3403</v>
      </c>
    </row>
    <row r="1052" spans="1:5" x14ac:dyDescent="0.25">
      <c r="A1052" t="s">
        <v>160</v>
      </c>
      <c r="B1052" t="s">
        <v>1607</v>
      </c>
      <c r="C1052">
        <v>2011</v>
      </c>
      <c r="E1052" s="11" t="s">
        <v>3236</v>
      </c>
    </row>
    <row r="1053" spans="1:5" x14ac:dyDescent="0.25">
      <c r="A1053" t="s">
        <v>160</v>
      </c>
      <c r="B1053" t="s">
        <v>1650</v>
      </c>
      <c r="C1053">
        <v>2011</v>
      </c>
      <c r="D1053" t="s">
        <v>187</v>
      </c>
      <c r="E1053" s="1"/>
    </row>
    <row r="1054" spans="1:5" x14ac:dyDescent="0.25">
      <c r="A1054" t="s">
        <v>160</v>
      </c>
      <c r="B1054" t="s">
        <v>1701</v>
      </c>
      <c r="C1054">
        <v>2011</v>
      </c>
      <c r="E1054" s="1" t="s">
        <v>3211</v>
      </c>
    </row>
    <row r="1055" spans="1:5" x14ac:dyDescent="0.25">
      <c r="A1055" t="s">
        <v>160</v>
      </c>
      <c r="B1055" t="s">
        <v>1714</v>
      </c>
      <c r="C1055">
        <v>2011</v>
      </c>
      <c r="E1055" s="1" t="s">
        <v>3342</v>
      </c>
    </row>
    <row r="1056" spans="1:5" x14ac:dyDescent="0.25">
      <c r="A1056" t="s">
        <v>160</v>
      </c>
      <c r="B1056" t="s">
        <v>1788</v>
      </c>
      <c r="C1056">
        <v>2011</v>
      </c>
      <c r="E1056" s="1" t="s">
        <v>2983</v>
      </c>
    </row>
    <row r="1057" spans="1:5" x14ac:dyDescent="0.25">
      <c r="A1057" t="s">
        <v>160</v>
      </c>
      <c r="B1057" t="s">
        <v>1826</v>
      </c>
      <c r="C1057">
        <v>2011</v>
      </c>
      <c r="E1057" s="1" t="s">
        <v>1829</v>
      </c>
    </row>
    <row r="1058" spans="1:5" x14ac:dyDescent="0.25">
      <c r="A1058" t="s">
        <v>160</v>
      </c>
      <c r="B1058" t="s">
        <v>1844</v>
      </c>
      <c r="C1058">
        <v>2011</v>
      </c>
      <c r="E1058" s="1" t="s">
        <v>3415</v>
      </c>
    </row>
    <row r="1059" spans="1:5" x14ac:dyDescent="0.25">
      <c r="A1059" t="s">
        <v>160</v>
      </c>
      <c r="B1059" t="s">
        <v>1852</v>
      </c>
      <c r="C1059">
        <v>2011</v>
      </c>
      <c r="E1059" s="1" t="s">
        <v>2983</v>
      </c>
    </row>
    <row r="1060" spans="1:5" x14ac:dyDescent="0.25">
      <c r="A1060" t="s">
        <v>160</v>
      </c>
      <c r="B1060" t="s">
        <v>1868</v>
      </c>
      <c r="C1060">
        <v>2011</v>
      </c>
      <c r="E1060" s="11" t="s">
        <v>3379</v>
      </c>
    </row>
    <row r="1061" spans="1:5" x14ac:dyDescent="0.25">
      <c r="A1061" t="s">
        <v>160</v>
      </c>
      <c r="B1061" t="s">
        <v>1912</v>
      </c>
      <c r="C1061">
        <v>2011</v>
      </c>
      <c r="E1061" s="11" t="s">
        <v>3214</v>
      </c>
    </row>
    <row r="1062" spans="1:5" x14ac:dyDescent="0.25">
      <c r="A1062" t="s">
        <v>160</v>
      </c>
      <c r="B1062" t="s">
        <v>1928</v>
      </c>
      <c r="C1062">
        <v>2011</v>
      </c>
      <c r="E1062" s="1" t="s">
        <v>2983</v>
      </c>
    </row>
    <row r="1063" spans="1:5" x14ac:dyDescent="0.25">
      <c r="A1063" t="s">
        <v>160</v>
      </c>
      <c r="B1063" t="s">
        <v>1934</v>
      </c>
      <c r="C1063">
        <v>2011</v>
      </c>
      <c r="E1063" s="1" t="s">
        <v>3416</v>
      </c>
    </row>
    <row r="1064" spans="1:5" x14ac:dyDescent="0.25">
      <c r="A1064" t="s">
        <v>160</v>
      </c>
      <c r="B1064" t="s">
        <v>1942</v>
      </c>
      <c r="C1064">
        <v>2011</v>
      </c>
      <c r="E1064" s="11" t="s">
        <v>3417</v>
      </c>
    </row>
    <row r="1065" spans="1:5" x14ac:dyDescent="0.25">
      <c r="A1065" t="s">
        <v>160</v>
      </c>
      <c r="B1065" t="s">
        <v>7715</v>
      </c>
      <c r="C1065">
        <v>2011</v>
      </c>
      <c r="E1065" s="11" t="s">
        <v>7718</v>
      </c>
    </row>
    <row r="1066" spans="1:5" x14ac:dyDescent="0.25">
      <c r="A1066" t="s">
        <v>160</v>
      </c>
      <c r="B1066" t="s">
        <v>2029</v>
      </c>
      <c r="C1066">
        <v>2011</v>
      </c>
      <c r="E1066" s="1" t="s">
        <v>3418</v>
      </c>
    </row>
    <row r="1067" spans="1:5" x14ac:dyDescent="0.25">
      <c r="A1067" t="s">
        <v>160</v>
      </c>
      <c r="B1067" t="s">
        <v>2059</v>
      </c>
      <c r="C1067">
        <v>2011</v>
      </c>
      <c r="E1067" s="11" t="s">
        <v>3419</v>
      </c>
    </row>
    <row r="1068" spans="1:5" x14ac:dyDescent="0.25">
      <c r="A1068" t="s">
        <v>160</v>
      </c>
      <c r="B1068" t="s">
        <v>2100</v>
      </c>
      <c r="C1068">
        <v>2011</v>
      </c>
      <c r="E1068" s="1" t="s">
        <v>3420</v>
      </c>
    </row>
    <row r="1069" spans="1:5" x14ac:dyDescent="0.25">
      <c r="A1069" t="s">
        <v>160</v>
      </c>
      <c r="B1069" t="s">
        <v>2174</v>
      </c>
      <c r="C1069">
        <v>2011</v>
      </c>
      <c r="E1069" s="1" t="s">
        <v>3405</v>
      </c>
    </row>
    <row r="1070" spans="1:5" x14ac:dyDescent="0.25">
      <c r="A1070" t="s">
        <v>160</v>
      </c>
      <c r="B1070" t="s">
        <v>2252</v>
      </c>
      <c r="C1070">
        <v>2011</v>
      </c>
      <c r="E1070" t="s">
        <v>2983</v>
      </c>
    </row>
    <row r="1071" spans="1:5" x14ac:dyDescent="0.25">
      <c r="A1071" t="s">
        <v>160</v>
      </c>
      <c r="B1071" t="s">
        <v>2289</v>
      </c>
      <c r="C1071">
        <v>2011</v>
      </c>
      <c r="E1071" s="1" t="s">
        <v>2983</v>
      </c>
    </row>
    <row r="1072" spans="1:5" x14ac:dyDescent="0.25">
      <c r="A1072" t="s">
        <v>160</v>
      </c>
      <c r="B1072" t="s">
        <v>90</v>
      </c>
      <c r="C1072">
        <v>2011</v>
      </c>
      <c r="E1072" s="1" t="s">
        <v>3169</v>
      </c>
    </row>
    <row r="1073" spans="1:5" x14ac:dyDescent="0.25">
      <c r="A1073" t="s">
        <v>160</v>
      </c>
      <c r="B1073" t="s">
        <v>2404</v>
      </c>
      <c r="C1073">
        <v>2011</v>
      </c>
      <c r="E1073" s="1" t="s">
        <v>3126</v>
      </c>
    </row>
    <row r="1074" spans="1:5" x14ac:dyDescent="0.25">
      <c r="A1074" t="s">
        <v>160</v>
      </c>
      <c r="B1074" t="s">
        <v>2460</v>
      </c>
      <c r="C1074">
        <v>2011</v>
      </c>
      <c r="E1074" s="1" t="s">
        <v>3421</v>
      </c>
    </row>
    <row r="1075" spans="1:5" x14ac:dyDescent="0.25">
      <c r="A1075" t="s">
        <v>160</v>
      </c>
      <c r="B1075" t="s">
        <v>2493</v>
      </c>
      <c r="C1075">
        <v>2011</v>
      </c>
      <c r="E1075" s="1" t="s">
        <v>3407</v>
      </c>
    </row>
    <row r="1076" spans="1:5" x14ac:dyDescent="0.25">
      <c r="A1076" t="s">
        <v>160</v>
      </c>
      <c r="B1076" t="s">
        <v>2531</v>
      </c>
      <c r="C1076">
        <v>2011</v>
      </c>
      <c r="E1076" s="1" t="s">
        <v>3219</v>
      </c>
    </row>
    <row r="1077" spans="1:5" x14ac:dyDescent="0.25">
      <c r="A1077" t="s">
        <v>160</v>
      </c>
      <c r="B1077" t="s">
        <v>2568</v>
      </c>
      <c r="C1077">
        <v>2011</v>
      </c>
      <c r="E1077" s="1" t="s">
        <v>2983</v>
      </c>
    </row>
    <row r="1078" spans="1:5" x14ac:dyDescent="0.25">
      <c r="A1078" t="s">
        <v>160</v>
      </c>
      <c r="B1078" t="s">
        <v>2620</v>
      </c>
      <c r="C1078">
        <v>2011</v>
      </c>
      <c r="D1078" t="s">
        <v>187</v>
      </c>
      <c r="E1078" s="1"/>
    </row>
    <row r="1079" spans="1:5" x14ac:dyDescent="0.25">
      <c r="A1079" t="s">
        <v>160</v>
      </c>
      <c r="B1079" t="s">
        <v>2646</v>
      </c>
      <c r="C1079">
        <v>2011</v>
      </c>
      <c r="E1079" s="11" t="s">
        <v>3422</v>
      </c>
    </row>
    <row r="1080" spans="1:5" x14ac:dyDescent="0.25">
      <c r="A1080" t="s">
        <v>160</v>
      </c>
      <c r="B1080" t="s">
        <v>2653</v>
      </c>
      <c r="C1080">
        <v>2011</v>
      </c>
      <c r="D1080" t="s">
        <v>187</v>
      </c>
      <c r="E1080" s="1"/>
    </row>
    <row r="1081" spans="1:5" x14ac:dyDescent="0.25">
      <c r="A1081" t="s">
        <v>160</v>
      </c>
      <c r="B1081" t="s">
        <v>2680</v>
      </c>
      <c r="C1081">
        <v>2011</v>
      </c>
      <c r="E1081" s="1" t="s">
        <v>3423</v>
      </c>
    </row>
    <row r="1082" spans="1:5" x14ac:dyDescent="0.25">
      <c r="A1082" t="s">
        <v>160</v>
      </c>
      <c r="B1082" t="s">
        <v>2699</v>
      </c>
      <c r="C1082">
        <v>2011</v>
      </c>
      <c r="E1082" s="1" t="s">
        <v>3197</v>
      </c>
    </row>
    <row r="1083" spans="1:5" x14ac:dyDescent="0.25">
      <c r="A1083" t="s">
        <v>160</v>
      </c>
      <c r="B1083" t="s">
        <v>2712</v>
      </c>
      <c r="C1083">
        <v>2011</v>
      </c>
      <c r="E1083" s="1" t="s">
        <v>3198</v>
      </c>
    </row>
    <row r="1084" spans="1:5" x14ac:dyDescent="0.25">
      <c r="A1084" t="s">
        <v>160</v>
      </c>
      <c r="B1084" t="s">
        <v>2748</v>
      </c>
      <c r="C1084">
        <v>2011</v>
      </c>
      <c r="E1084" s="1" t="s">
        <v>3424</v>
      </c>
    </row>
    <row r="1085" spans="1:5" x14ac:dyDescent="0.25">
      <c r="A1085" t="s">
        <v>160</v>
      </c>
      <c r="B1085" t="s">
        <v>2761</v>
      </c>
      <c r="C1085">
        <v>2011</v>
      </c>
      <c r="E1085" s="11" t="s">
        <v>3166</v>
      </c>
    </row>
    <row r="1086" spans="1:5" x14ac:dyDescent="0.25">
      <c r="A1086" t="s">
        <v>160</v>
      </c>
      <c r="B1086" t="s">
        <v>2770</v>
      </c>
      <c r="C1086">
        <v>2011</v>
      </c>
      <c r="E1086" s="1" t="s">
        <v>3180</v>
      </c>
    </row>
    <row r="1087" spans="1:5" x14ac:dyDescent="0.25">
      <c r="A1087" t="s">
        <v>160</v>
      </c>
      <c r="B1087" t="s">
        <v>2783</v>
      </c>
      <c r="C1087">
        <v>2011</v>
      </c>
      <c r="E1087" s="1" t="s">
        <v>3128</v>
      </c>
    </row>
    <row r="1088" spans="1:5" x14ac:dyDescent="0.25">
      <c r="A1088" t="s">
        <v>160</v>
      </c>
      <c r="B1088" t="s">
        <v>2891</v>
      </c>
      <c r="C1088">
        <v>2011</v>
      </c>
      <c r="E1088" s="1" t="s">
        <v>3078</v>
      </c>
    </row>
    <row r="1089" spans="1:5" x14ac:dyDescent="0.25">
      <c r="A1089" t="s">
        <v>160</v>
      </c>
      <c r="B1089" t="s">
        <v>2915</v>
      </c>
      <c r="C1089">
        <v>2011</v>
      </c>
      <c r="E1089" s="1" t="s">
        <v>2983</v>
      </c>
    </row>
    <row r="1090" spans="1:5" x14ac:dyDescent="0.25">
      <c r="A1090" t="s">
        <v>2626</v>
      </c>
      <c r="B1090" t="s">
        <v>1053</v>
      </c>
      <c r="C1090">
        <v>2000</v>
      </c>
      <c r="D1090" t="s">
        <v>187</v>
      </c>
      <c r="E1090" s="11" t="s">
        <v>3335</v>
      </c>
    </row>
    <row r="1091" spans="1:5" x14ac:dyDescent="0.25">
      <c r="A1091" t="s">
        <v>2626</v>
      </c>
      <c r="B1091" t="s">
        <v>2167</v>
      </c>
      <c r="C1091">
        <v>2000</v>
      </c>
      <c r="D1091" t="s">
        <v>187</v>
      </c>
    </row>
    <row r="1092" spans="1:5" x14ac:dyDescent="0.25">
      <c r="A1092" t="s">
        <v>2635</v>
      </c>
      <c r="B1092" t="s">
        <v>2963</v>
      </c>
      <c r="C1092">
        <v>2014</v>
      </c>
      <c r="E1092" s="1" t="s">
        <v>3007</v>
      </c>
    </row>
    <row r="1093" spans="1:5" x14ac:dyDescent="0.25">
      <c r="A1093" t="s">
        <v>2653</v>
      </c>
      <c r="B1093" t="s">
        <v>501</v>
      </c>
      <c r="C1093">
        <v>2019</v>
      </c>
      <c r="E1093" s="1" t="s">
        <v>3190</v>
      </c>
    </row>
    <row r="1094" spans="1:5" x14ac:dyDescent="0.25">
      <c r="A1094" t="s">
        <v>2653</v>
      </c>
      <c r="B1094" t="s">
        <v>2029</v>
      </c>
      <c r="C1094">
        <v>2019</v>
      </c>
      <c r="E1094" s="1" t="s">
        <v>3425</v>
      </c>
    </row>
    <row r="1095" spans="1:5" x14ac:dyDescent="0.25">
      <c r="A1095" t="s">
        <v>2676</v>
      </c>
      <c r="B1095" t="s">
        <v>394</v>
      </c>
      <c r="C1095">
        <v>2022</v>
      </c>
      <c r="E1095" s="11" t="s">
        <v>3058</v>
      </c>
    </row>
    <row r="1096" spans="1:5" x14ac:dyDescent="0.25">
      <c r="A1096" t="s">
        <v>2696</v>
      </c>
      <c r="B1096" t="s">
        <v>2333</v>
      </c>
      <c r="C1096">
        <v>2025</v>
      </c>
      <c r="D1096" t="s">
        <v>187</v>
      </c>
    </row>
    <row r="1097" spans="1:5" x14ac:dyDescent="0.25">
      <c r="A1097" t="s">
        <v>2699</v>
      </c>
      <c r="B1097" t="s">
        <v>2646</v>
      </c>
      <c r="C1097">
        <v>2022</v>
      </c>
      <c r="E1097" s="11" t="s">
        <v>3422</v>
      </c>
    </row>
    <row r="1098" spans="1:5" x14ac:dyDescent="0.25">
      <c r="A1098" t="s">
        <v>2707</v>
      </c>
      <c r="B1098" t="s">
        <v>358</v>
      </c>
      <c r="C1098">
        <v>1991</v>
      </c>
      <c r="E1098" s="1" t="s">
        <v>3426</v>
      </c>
    </row>
    <row r="1099" spans="1:5" x14ac:dyDescent="0.25">
      <c r="A1099" t="s">
        <v>2707</v>
      </c>
      <c r="B1099" t="s">
        <v>2710</v>
      </c>
      <c r="C1099">
        <v>1991</v>
      </c>
      <c r="D1099" t="s">
        <v>187</v>
      </c>
      <c r="E1099" s="1"/>
    </row>
    <row r="1100" spans="1:5" x14ac:dyDescent="0.25">
      <c r="A1100" t="s">
        <v>2716</v>
      </c>
      <c r="B1100" t="s">
        <v>1156</v>
      </c>
      <c r="C1100">
        <v>1999</v>
      </c>
      <c r="E1100" s="11" t="s">
        <v>3427</v>
      </c>
    </row>
    <row r="1101" spans="1:5" x14ac:dyDescent="0.25">
      <c r="A1101" t="s">
        <v>2716</v>
      </c>
      <c r="B1101" t="s">
        <v>2719</v>
      </c>
      <c r="C1101">
        <v>1999</v>
      </c>
      <c r="D1101" t="s">
        <v>187</v>
      </c>
      <c r="E1101" s="1"/>
    </row>
    <row r="1102" spans="1:5" x14ac:dyDescent="0.25">
      <c r="A1102" t="s">
        <v>2722</v>
      </c>
      <c r="B1102" t="s">
        <v>341</v>
      </c>
      <c r="C1102">
        <v>1993</v>
      </c>
      <c r="E1102" s="1" t="s">
        <v>3014</v>
      </c>
    </row>
    <row r="1103" spans="1:5" x14ac:dyDescent="0.25">
      <c r="A1103" t="s">
        <v>2722</v>
      </c>
      <c r="B1103" t="s">
        <v>379</v>
      </c>
      <c r="C1103">
        <v>1993</v>
      </c>
      <c r="E1103" s="1" t="s">
        <v>3428</v>
      </c>
    </row>
    <row r="1104" spans="1:5" x14ac:dyDescent="0.25">
      <c r="A1104" t="s">
        <v>2722</v>
      </c>
      <c r="B1104" t="s">
        <v>581</v>
      </c>
      <c r="C1104">
        <v>1993</v>
      </c>
      <c r="D1104" t="s">
        <v>187</v>
      </c>
      <c r="E1104" s="1" t="s">
        <v>3034</v>
      </c>
    </row>
    <row r="1105" spans="1:5" x14ac:dyDescent="0.25">
      <c r="A1105" t="s">
        <v>2722</v>
      </c>
      <c r="B1105" t="s">
        <v>754</v>
      </c>
      <c r="C1105">
        <v>1993</v>
      </c>
      <c r="E1105" s="1" t="s">
        <v>3429</v>
      </c>
    </row>
    <row r="1106" spans="1:5" x14ac:dyDescent="0.25">
      <c r="A1106" t="s">
        <v>2722</v>
      </c>
      <c r="B1106" t="s">
        <v>938</v>
      </c>
      <c r="C1106">
        <v>1993</v>
      </c>
      <c r="D1106" t="s">
        <v>187</v>
      </c>
      <c r="E1106" s="1"/>
    </row>
    <row r="1107" spans="1:5" x14ac:dyDescent="0.25">
      <c r="A1107" t="s">
        <v>2722</v>
      </c>
      <c r="B1107" t="s">
        <v>972</v>
      </c>
      <c r="C1107">
        <v>1993</v>
      </c>
      <c r="E1107" t="s">
        <v>2983</v>
      </c>
    </row>
    <row r="1108" spans="1:5" x14ac:dyDescent="0.25">
      <c r="A1108" t="s">
        <v>2722</v>
      </c>
      <c r="B1108" t="s">
        <v>978</v>
      </c>
      <c r="C1108">
        <v>1993</v>
      </c>
      <c r="E1108" s="1" t="s">
        <v>3014</v>
      </c>
    </row>
    <row r="1109" spans="1:5" x14ac:dyDescent="0.25">
      <c r="A1109" t="s">
        <v>2722</v>
      </c>
      <c r="B1109" t="s">
        <v>1056</v>
      </c>
      <c r="C1109">
        <v>1993</v>
      </c>
      <c r="D1109" t="s">
        <v>187</v>
      </c>
      <c r="E1109" s="1"/>
    </row>
    <row r="1110" spans="1:5" x14ac:dyDescent="0.25">
      <c r="A1110" t="s">
        <v>2722</v>
      </c>
      <c r="B1110" t="s">
        <v>1383</v>
      </c>
      <c r="C1110">
        <v>1993</v>
      </c>
      <c r="E1110" t="s">
        <v>3014</v>
      </c>
    </row>
    <row r="1111" spans="1:5" x14ac:dyDescent="0.25">
      <c r="A1111" t="s">
        <v>2722</v>
      </c>
      <c r="B1111" t="s">
        <v>1389</v>
      </c>
      <c r="C1111">
        <v>1993</v>
      </c>
      <c r="E1111" s="1" t="s">
        <v>3278</v>
      </c>
    </row>
    <row r="1112" spans="1:5" x14ac:dyDescent="0.25">
      <c r="A1112" t="s">
        <v>2722</v>
      </c>
      <c r="B1112" t="s">
        <v>1461</v>
      </c>
      <c r="C1112">
        <v>1993</v>
      </c>
      <c r="E1112" s="1" t="s">
        <v>3014</v>
      </c>
    </row>
    <row r="1113" spans="1:5" x14ac:dyDescent="0.25">
      <c r="A1113" t="s">
        <v>2722</v>
      </c>
      <c r="B1113" t="s">
        <v>1667</v>
      </c>
      <c r="C1113">
        <v>1993</v>
      </c>
      <c r="E1113" s="1" t="s">
        <v>1670</v>
      </c>
    </row>
    <row r="1114" spans="1:5" x14ac:dyDescent="0.25">
      <c r="A1114" t="s">
        <v>2722</v>
      </c>
      <c r="B1114" t="s">
        <v>1677</v>
      </c>
      <c r="C1114">
        <v>1993</v>
      </c>
      <c r="E1114" t="s">
        <v>3014</v>
      </c>
    </row>
    <row r="1115" spans="1:5" x14ac:dyDescent="0.25">
      <c r="A1115" t="s">
        <v>2722</v>
      </c>
      <c r="B1115" t="s">
        <v>1683</v>
      </c>
      <c r="C1115">
        <v>1993</v>
      </c>
      <c r="E1115" s="1" t="s">
        <v>3430</v>
      </c>
    </row>
    <row r="1116" spans="1:5" x14ac:dyDescent="0.25">
      <c r="A1116" t="s">
        <v>2722</v>
      </c>
      <c r="B1116" t="s">
        <v>1762</v>
      </c>
      <c r="C1116">
        <v>1993</v>
      </c>
      <c r="D1116" t="s">
        <v>187</v>
      </c>
      <c r="E1116" s="1" t="s">
        <v>3034</v>
      </c>
    </row>
    <row r="1117" spans="1:5" x14ac:dyDescent="0.25">
      <c r="A1117" t="s">
        <v>2722</v>
      </c>
      <c r="B1117" t="s">
        <v>1886</v>
      </c>
      <c r="C1117">
        <v>1993</v>
      </c>
      <c r="D1117" t="s">
        <v>187</v>
      </c>
    </row>
    <row r="1118" spans="1:5" x14ac:dyDescent="0.25">
      <c r="A1118" t="s">
        <v>2722</v>
      </c>
      <c r="B1118" t="s">
        <v>1900</v>
      </c>
      <c r="C1118">
        <v>1993</v>
      </c>
      <c r="E1118" s="11" t="s">
        <v>3279</v>
      </c>
    </row>
    <row r="1119" spans="1:5" x14ac:dyDescent="0.25">
      <c r="A1119" t="s">
        <v>2722</v>
      </c>
      <c r="B1119" t="s">
        <v>2010</v>
      </c>
      <c r="C1119">
        <v>1993</v>
      </c>
      <c r="D1119" t="s">
        <v>187</v>
      </c>
      <c r="E1119" s="1"/>
    </row>
    <row r="1120" spans="1:5" x14ac:dyDescent="0.25">
      <c r="A1120" t="s">
        <v>2722</v>
      </c>
      <c r="B1120" t="s">
        <v>2626</v>
      </c>
      <c r="C1120">
        <v>1993</v>
      </c>
      <c r="E1120" s="11" t="s">
        <v>3431</v>
      </c>
    </row>
    <row r="1121" spans="1:5" x14ac:dyDescent="0.25">
      <c r="A1121" t="s">
        <v>2722</v>
      </c>
      <c r="B1121" t="s">
        <v>2657</v>
      </c>
      <c r="C1121">
        <v>1993</v>
      </c>
      <c r="D1121" t="s">
        <v>187</v>
      </c>
      <c r="E1121" s="1"/>
    </row>
    <row r="1122" spans="1:5" x14ac:dyDescent="0.25">
      <c r="A1122" t="s">
        <v>2722</v>
      </c>
      <c r="B1122" t="s">
        <v>2682</v>
      </c>
      <c r="C1122">
        <v>1993</v>
      </c>
      <c r="E1122" s="11" t="s">
        <v>3432</v>
      </c>
    </row>
    <row r="1123" spans="1:5" x14ac:dyDescent="0.25">
      <c r="A1123" t="s">
        <v>2722</v>
      </c>
      <c r="B1123" t="s">
        <v>2716</v>
      </c>
      <c r="C1123">
        <v>1993</v>
      </c>
      <c r="D1123" t="s">
        <v>187</v>
      </c>
      <c r="E1123" s="1"/>
    </row>
    <row r="1124" spans="1:5" x14ac:dyDescent="0.25">
      <c r="A1124" t="s">
        <v>2722</v>
      </c>
      <c r="B1124" t="s">
        <v>2819</v>
      </c>
      <c r="C1124">
        <v>1993</v>
      </c>
      <c r="E1124" s="1" t="s">
        <v>3159</v>
      </c>
    </row>
    <row r="1125" spans="1:5" x14ac:dyDescent="0.25">
      <c r="A1125" t="s">
        <v>2722</v>
      </c>
      <c r="B1125" t="s">
        <v>2844</v>
      </c>
      <c r="C1125">
        <v>1993</v>
      </c>
      <c r="E1125" t="s">
        <v>3014</v>
      </c>
    </row>
    <row r="1126" spans="1:5" x14ac:dyDescent="0.25">
      <c r="A1126" t="s">
        <v>2722</v>
      </c>
      <c r="B1126" t="s">
        <v>2944</v>
      </c>
      <c r="C1126">
        <v>1993</v>
      </c>
      <c r="E1126" s="1" t="s">
        <v>3433</v>
      </c>
    </row>
    <row r="1127" spans="1:5" x14ac:dyDescent="0.25">
      <c r="A1127" t="s">
        <v>2748</v>
      </c>
      <c r="B1127" t="s">
        <v>1739</v>
      </c>
      <c r="C1127">
        <v>2014</v>
      </c>
      <c r="D1127" t="s">
        <v>187</v>
      </c>
      <c r="E1127" s="1"/>
    </row>
    <row r="1128" spans="1:5" x14ac:dyDescent="0.25">
      <c r="A1128" t="s">
        <v>2752</v>
      </c>
      <c r="B1128" t="s">
        <v>477</v>
      </c>
      <c r="C1128">
        <v>2021</v>
      </c>
      <c r="D1128" t="s">
        <v>187</v>
      </c>
      <c r="E1128" s="1"/>
    </row>
    <row r="1129" spans="1:5" x14ac:dyDescent="0.25">
      <c r="A1129" t="s">
        <v>2783</v>
      </c>
      <c r="B1129" t="s">
        <v>2787</v>
      </c>
      <c r="C1129">
        <v>2019</v>
      </c>
      <c r="D1129" t="s">
        <v>187</v>
      </c>
      <c r="E1129" s="1"/>
    </row>
    <row r="1130" spans="1:5" x14ac:dyDescent="0.25">
      <c r="A1130" t="s">
        <v>2789</v>
      </c>
      <c r="B1130" t="s">
        <v>1720</v>
      </c>
      <c r="C1130">
        <v>2017</v>
      </c>
      <c r="E1130" s="1" t="s">
        <v>2983</v>
      </c>
    </row>
    <row r="1131" spans="1:5" x14ac:dyDescent="0.25">
      <c r="A1131" t="s">
        <v>2789</v>
      </c>
      <c r="B1131" t="s">
        <v>2791</v>
      </c>
      <c r="C1131">
        <v>2017</v>
      </c>
      <c r="D1131" t="s">
        <v>187</v>
      </c>
      <c r="E1131" s="1"/>
    </row>
    <row r="1132" spans="1:5" x14ac:dyDescent="0.25">
      <c r="A1132" t="s">
        <v>2793</v>
      </c>
      <c r="B1132" t="s">
        <v>2394</v>
      </c>
      <c r="C1132">
        <v>1992</v>
      </c>
      <c r="E1132" s="1" t="s">
        <v>2998</v>
      </c>
    </row>
    <row r="1133" spans="1:5" x14ac:dyDescent="0.25">
      <c r="A1133" t="s">
        <v>2805</v>
      </c>
      <c r="B1133" t="s">
        <v>185</v>
      </c>
      <c r="C1133">
        <v>2021</v>
      </c>
      <c r="E1133" s="1" t="s">
        <v>3014</v>
      </c>
    </row>
    <row r="1134" spans="1:5" x14ac:dyDescent="0.25">
      <c r="A1134" t="s">
        <v>2805</v>
      </c>
      <c r="B1134" t="s">
        <v>290</v>
      </c>
      <c r="C1134">
        <v>2021</v>
      </c>
      <c r="E1134" s="1" t="s">
        <v>3014</v>
      </c>
    </row>
    <row r="1135" spans="1:5" x14ac:dyDescent="0.25">
      <c r="A1135" t="s">
        <v>2805</v>
      </c>
      <c r="B1135" t="s">
        <v>294</v>
      </c>
      <c r="C1135">
        <v>2021</v>
      </c>
      <c r="E1135" s="11" t="s">
        <v>3067</v>
      </c>
    </row>
    <row r="1136" spans="1:5" x14ac:dyDescent="0.25">
      <c r="A1136" t="s">
        <v>2805</v>
      </c>
      <c r="B1136" t="s">
        <v>297</v>
      </c>
      <c r="C1136">
        <v>2021</v>
      </c>
      <c r="E1136" s="1" t="s">
        <v>2983</v>
      </c>
    </row>
    <row r="1137" spans="1:5" x14ac:dyDescent="0.25">
      <c r="A1137" t="s">
        <v>2805</v>
      </c>
      <c r="B1137" t="s">
        <v>303</v>
      </c>
      <c r="C1137">
        <v>2021</v>
      </c>
      <c r="E1137" s="1" t="s">
        <v>3014</v>
      </c>
    </row>
    <row r="1138" spans="1:5" x14ac:dyDescent="0.25">
      <c r="A1138" t="s">
        <v>2805</v>
      </c>
      <c r="B1138" t="s">
        <v>319</v>
      </c>
      <c r="C1138">
        <v>2021</v>
      </c>
      <c r="E1138" s="1" t="s">
        <v>2983</v>
      </c>
    </row>
    <row r="1139" spans="1:5" x14ac:dyDescent="0.25">
      <c r="A1139" t="s">
        <v>2805</v>
      </c>
      <c r="B1139" t="s">
        <v>360</v>
      </c>
      <c r="C1139">
        <v>2021</v>
      </c>
      <c r="E1139" s="1" t="s">
        <v>7719</v>
      </c>
    </row>
    <row r="1140" spans="1:5" x14ac:dyDescent="0.25">
      <c r="A1140" t="s">
        <v>2805</v>
      </c>
      <c r="B1140" t="s">
        <v>394</v>
      </c>
      <c r="C1140">
        <v>2021</v>
      </c>
      <c r="E1140" s="11" t="s">
        <v>3058</v>
      </c>
    </row>
    <row r="1141" spans="1:5" x14ac:dyDescent="0.25">
      <c r="A1141" t="s">
        <v>2805</v>
      </c>
      <c r="B1141" t="s">
        <v>425</v>
      </c>
      <c r="C1141">
        <v>2021</v>
      </c>
      <c r="E1141" s="11" t="s">
        <v>3014</v>
      </c>
    </row>
    <row r="1142" spans="1:5" x14ac:dyDescent="0.25">
      <c r="A1142" t="s">
        <v>2805</v>
      </c>
      <c r="B1142" t="s">
        <v>428</v>
      </c>
      <c r="C1142">
        <v>2021</v>
      </c>
      <c r="E1142" s="11" t="s">
        <v>3022</v>
      </c>
    </row>
    <row r="1143" spans="1:5" x14ac:dyDescent="0.25">
      <c r="A1143" t="s">
        <v>2805</v>
      </c>
      <c r="B1143" t="s">
        <v>447</v>
      </c>
      <c r="C1143">
        <v>2021</v>
      </c>
      <c r="E1143" s="1" t="s">
        <v>3014</v>
      </c>
    </row>
    <row r="1144" spans="1:5" x14ac:dyDescent="0.25">
      <c r="A1144" t="s">
        <v>2805</v>
      </c>
      <c r="B1144" t="s">
        <v>449</v>
      </c>
      <c r="C1144">
        <v>2021</v>
      </c>
      <c r="E1144" s="1" t="s">
        <v>3014</v>
      </c>
    </row>
    <row r="1145" spans="1:5" x14ac:dyDescent="0.25">
      <c r="A1145" t="s">
        <v>2805</v>
      </c>
      <c r="B1145" t="s">
        <v>457</v>
      </c>
      <c r="C1145">
        <v>2021</v>
      </c>
      <c r="E1145" s="1" t="s">
        <v>3014</v>
      </c>
    </row>
    <row r="1146" spans="1:5" x14ac:dyDescent="0.25">
      <c r="A1146" t="s">
        <v>2805</v>
      </c>
      <c r="B1146" t="s">
        <v>464</v>
      </c>
      <c r="C1146">
        <v>2021</v>
      </c>
      <c r="E1146" s="1" t="s">
        <v>3014</v>
      </c>
    </row>
    <row r="1147" spans="1:5" x14ac:dyDescent="0.25">
      <c r="A1147" t="s">
        <v>2805</v>
      </c>
      <c r="B1147" t="s">
        <v>497</v>
      </c>
      <c r="C1147">
        <v>2021</v>
      </c>
      <c r="E1147" s="1" t="s">
        <v>3014</v>
      </c>
    </row>
    <row r="1148" spans="1:5" x14ac:dyDescent="0.25">
      <c r="A1148" t="s">
        <v>2805</v>
      </c>
      <c r="B1148" t="s">
        <v>571</v>
      </c>
      <c r="C1148">
        <v>2021</v>
      </c>
      <c r="E1148" s="11" t="s">
        <v>3087</v>
      </c>
    </row>
    <row r="1149" spans="1:5" x14ac:dyDescent="0.25">
      <c r="A1149" t="s">
        <v>2805</v>
      </c>
      <c r="B1149" t="s">
        <v>586</v>
      </c>
      <c r="C1149">
        <v>2021</v>
      </c>
      <c r="E1149" s="1" t="s">
        <v>3014</v>
      </c>
    </row>
    <row r="1150" spans="1:5" x14ac:dyDescent="0.25">
      <c r="A1150" t="s">
        <v>2805</v>
      </c>
      <c r="B1150" t="s">
        <v>659</v>
      </c>
      <c r="C1150">
        <v>2021</v>
      </c>
      <c r="E1150" s="1" t="s">
        <v>3014</v>
      </c>
    </row>
    <row r="1151" spans="1:5" x14ac:dyDescent="0.25">
      <c r="A1151" t="s">
        <v>2805</v>
      </c>
      <c r="B1151" t="s">
        <v>741</v>
      </c>
      <c r="C1151">
        <v>2021</v>
      </c>
      <c r="E1151" s="11" t="s">
        <v>3434</v>
      </c>
    </row>
    <row r="1152" spans="1:5" x14ac:dyDescent="0.25">
      <c r="A1152" t="s">
        <v>2805</v>
      </c>
      <c r="B1152" t="s">
        <v>778</v>
      </c>
      <c r="C1152">
        <v>2021</v>
      </c>
      <c r="E1152" s="11" t="s">
        <v>3137</v>
      </c>
    </row>
    <row r="1153" spans="1:5" x14ac:dyDescent="0.25">
      <c r="A1153" t="s">
        <v>2805</v>
      </c>
      <c r="B1153" t="s">
        <v>811</v>
      </c>
      <c r="C1153">
        <v>2021</v>
      </c>
      <c r="E1153" s="1" t="s">
        <v>3014</v>
      </c>
    </row>
    <row r="1154" spans="1:5" x14ac:dyDescent="0.25">
      <c r="A1154" t="s">
        <v>2805</v>
      </c>
      <c r="B1154" t="s">
        <v>838</v>
      </c>
      <c r="C1154">
        <v>2021</v>
      </c>
      <c r="E1154" s="1" t="s">
        <v>3435</v>
      </c>
    </row>
    <row r="1155" spans="1:5" x14ac:dyDescent="0.25">
      <c r="A1155" t="s">
        <v>2805</v>
      </c>
      <c r="B1155" t="s">
        <v>890</v>
      </c>
      <c r="C1155">
        <v>2021</v>
      </c>
      <c r="E1155" s="1" t="s">
        <v>2983</v>
      </c>
    </row>
    <row r="1156" spans="1:5" x14ac:dyDescent="0.25">
      <c r="A1156" t="s">
        <v>2805</v>
      </c>
      <c r="B1156" t="s">
        <v>1018</v>
      </c>
      <c r="C1156">
        <v>2021</v>
      </c>
      <c r="E1156" s="1" t="s">
        <v>3014</v>
      </c>
    </row>
    <row r="1157" spans="1:5" x14ac:dyDescent="0.25">
      <c r="A1157" t="s">
        <v>2805</v>
      </c>
      <c r="B1157" t="s">
        <v>1022</v>
      </c>
      <c r="C1157">
        <v>2021</v>
      </c>
      <c r="E1157" t="s">
        <v>3014</v>
      </c>
    </row>
    <row r="1158" spans="1:5" x14ac:dyDescent="0.25">
      <c r="A1158" t="s">
        <v>2805</v>
      </c>
      <c r="B1158" t="s">
        <v>1097</v>
      </c>
      <c r="C1158">
        <v>2021</v>
      </c>
      <c r="E1158" s="1" t="s">
        <v>1100</v>
      </c>
    </row>
    <row r="1159" spans="1:5" x14ac:dyDescent="0.25">
      <c r="A1159" t="s">
        <v>2805</v>
      </c>
      <c r="B1159" t="s">
        <v>1181</v>
      </c>
      <c r="C1159">
        <v>2021</v>
      </c>
      <c r="E1159" t="s">
        <v>2983</v>
      </c>
    </row>
    <row r="1160" spans="1:5" x14ac:dyDescent="0.25">
      <c r="A1160" t="s">
        <v>2805</v>
      </c>
      <c r="B1160" t="s">
        <v>1196</v>
      </c>
      <c r="C1160">
        <v>2021</v>
      </c>
      <c r="E1160" s="1" t="s">
        <v>3436</v>
      </c>
    </row>
    <row r="1161" spans="1:5" x14ac:dyDescent="0.25">
      <c r="A1161" t="s">
        <v>2805</v>
      </c>
      <c r="B1161" t="s">
        <v>1212</v>
      </c>
      <c r="C1161">
        <v>2021</v>
      </c>
      <c r="E1161" s="1" t="s">
        <v>3014</v>
      </c>
    </row>
    <row r="1162" spans="1:5" x14ac:dyDescent="0.25">
      <c r="A1162" t="s">
        <v>2805</v>
      </c>
      <c r="B1162" t="s">
        <v>1244</v>
      </c>
      <c r="C1162">
        <v>2021</v>
      </c>
      <c r="E1162" s="1" t="s">
        <v>3014</v>
      </c>
    </row>
    <row r="1163" spans="1:5" x14ac:dyDescent="0.25">
      <c r="A1163" t="s">
        <v>2805</v>
      </c>
      <c r="B1163" t="s">
        <v>1252</v>
      </c>
      <c r="C1163">
        <v>2021</v>
      </c>
      <c r="E1163" s="1" t="s">
        <v>1255</v>
      </c>
    </row>
    <row r="1164" spans="1:5" x14ac:dyDescent="0.25">
      <c r="A1164" t="s">
        <v>2805</v>
      </c>
      <c r="B1164" t="s">
        <v>1277</v>
      </c>
      <c r="C1164">
        <v>2021</v>
      </c>
      <c r="E1164" s="1" t="s">
        <v>2983</v>
      </c>
    </row>
    <row r="1165" spans="1:5" x14ac:dyDescent="0.25">
      <c r="A1165" t="s">
        <v>2805</v>
      </c>
      <c r="B1165" t="s">
        <v>1303</v>
      </c>
      <c r="C1165">
        <v>2021</v>
      </c>
      <c r="E1165" s="1" t="s">
        <v>3014</v>
      </c>
    </row>
    <row r="1166" spans="1:5" x14ac:dyDescent="0.25">
      <c r="A1166" t="s">
        <v>2805</v>
      </c>
      <c r="B1166" t="s">
        <v>1349</v>
      </c>
      <c r="C1166">
        <v>2021</v>
      </c>
      <c r="E1166" s="11" t="s">
        <v>3244</v>
      </c>
    </row>
    <row r="1167" spans="1:5" x14ac:dyDescent="0.25">
      <c r="A1167" t="s">
        <v>2805</v>
      </c>
      <c r="B1167" t="s">
        <v>1362</v>
      </c>
      <c r="C1167">
        <v>2021</v>
      </c>
      <c r="E1167" s="1" t="s">
        <v>3014</v>
      </c>
    </row>
    <row r="1168" spans="1:5" x14ac:dyDescent="0.25">
      <c r="A1168" t="s">
        <v>2805</v>
      </c>
      <c r="B1168" t="s">
        <v>1379</v>
      </c>
      <c r="C1168">
        <v>2021</v>
      </c>
      <c r="E1168" s="1" t="s">
        <v>3014</v>
      </c>
    </row>
    <row r="1169" spans="1:5" x14ac:dyDescent="0.25">
      <c r="A1169" t="s">
        <v>2805</v>
      </c>
      <c r="B1169" t="s">
        <v>1397</v>
      </c>
      <c r="C1169">
        <v>2021</v>
      </c>
      <c r="E1169" s="1" t="s">
        <v>3014</v>
      </c>
    </row>
    <row r="1170" spans="1:5" x14ac:dyDescent="0.25">
      <c r="A1170" t="s">
        <v>2805</v>
      </c>
      <c r="B1170" t="s">
        <v>1404</v>
      </c>
      <c r="C1170">
        <v>2021</v>
      </c>
      <c r="E1170" s="1" t="s">
        <v>3014</v>
      </c>
    </row>
    <row r="1171" spans="1:5" x14ac:dyDescent="0.25">
      <c r="A1171" t="s">
        <v>2805</v>
      </c>
      <c r="B1171" t="s">
        <v>1410</v>
      </c>
      <c r="C1171">
        <v>2021</v>
      </c>
      <c r="E1171" s="1" t="s">
        <v>3437</v>
      </c>
    </row>
    <row r="1172" spans="1:5" x14ac:dyDescent="0.25">
      <c r="A1172" t="s">
        <v>2805</v>
      </c>
      <c r="B1172" t="s">
        <v>1464</v>
      </c>
      <c r="C1172">
        <v>2021</v>
      </c>
      <c r="E1172" s="1" t="s">
        <v>3130</v>
      </c>
    </row>
    <row r="1173" spans="1:5" x14ac:dyDescent="0.25">
      <c r="A1173" t="s">
        <v>2805</v>
      </c>
      <c r="B1173" t="s">
        <v>1487</v>
      </c>
      <c r="C1173">
        <v>2021</v>
      </c>
      <c r="E1173" s="1" t="s">
        <v>3014</v>
      </c>
    </row>
    <row r="1174" spans="1:5" x14ac:dyDescent="0.25">
      <c r="A1174" t="s">
        <v>2805</v>
      </c>
      <c r="B1174" t="s">
        <v>1493</v>
      </c>
      <c r="C1174">
        <v>2021</v>
      </c>
      <c r="E1174" s="1" t="s">
        <v>3089</v>
      </c>
    </row>
    <row r="1175" spans="1:5" x14ac:dyDescent="0.25">
      <c r="A1175" t="s">
        <v>2805</v>
      </c>
      <c r="B1175" t="s">
        <v>1501</v>
      </c>
      <c r="C1175">
        <v>2021</v>
      </c>
      <c r="E1175" s="1" t="s">
        <v>3014</v>
      </c>
    </row>
    <row r="1176" spans="1:5" x14ac:dyDescent="0.25">
      <c r="A1176" t="s">
        <v>2805</v>
      </c>
      <c r="B1176" t="s">
        <v>1531</v>
      </c>
      <c r="C1176">
        <v>2021</v>
      </c>
      <c r="E1176" s="1" t="s">
        <v>3014</v>
      </c>
    </row>
    <row r="1177" spans="1:5" x14ac:dyDescent="0.25">
      <c r="A1177" t="s">
        <v>2805</v>
      </c>
      <c r="B1177" t="s">
        <v>1614</v>
      </c>
      <c r="C1177">
        <v>2021</v>
      </c>
      <c r="E1177" s="1" t="s">
        <v>3438</v>
      </c>
    </row>
    <row r="1178" spans="1:5" x14ac:dyDescent="0.25">
      <c r="A1178" t="s">
        <v>2805</v>
      </c>
      <c r="B1178" t="s">
        <v>1622</v>
      </c>
      <c r="C1178">
        <v>2021</v>
      </c>
      <c r="E1178" s="1" t="s">
        <v>2983</v>
      </c>
    </row>
    <row r="1179" spans="1:5" x14ac:dyDescent="0.25">
      <c r="A1179" t="s">
        <v>2805</v>
      </c>
      <c r="B1179" t="s">
        <v>1671</v>
      </c>
      <c r="C1179">
        <v>2021</v>
      </c>
      <c r="E1179" s="1" t="s">
        <v>3014</v>
      </c>
    </row>
    <row r="1180" spans="1:5" x14ac:dyDescent="0.25">
      <c r="A1180" t="s">
        <v>2805</v>
      </c>
      <c r="B1180" t="s">
        <v>1697</v>
      </c>
      <c r="C1180">
        <v>2021</v>
      </c>
      <c r="E1180" s="1" t="s">
        <v>3149</v>
      </c>
    </row>
    <row r="1181" spans="1:5" x14ac:dyDescent="0.25">
      <c r="A1181" t="s">
        <v>2805</v>
      </c>
      <c r="B1181" t="s">
        <v>1735</v>
      </c>
      <c r="C1181">
        <v>2021</v>
      </c>
      <c r="E1181" s="1" t="s">
        <v>2983</v>
      </c>
    </row>
    <row r="1182" spans="1:5" x14ac:dyDescent="0.25">
      <c r="A1182" t="s">
        <v>2805</v>
      </c>
      <c r="B1182" t="s">
        <v>1765</v>
      </c>
      <c r="C1182">
        <v>2021</v>
      </c>
      <c r="E1182" s="1" t="s">
        <v>3014</v>
      </c>
    </row>
    <row r="1183" spans="1:5" x14ac:dyDescent="0.25">
      <c r="A1183" t="s">
        <v>2805</v>
      </c>
      <c r="B1183" t="s">
        <v>1794</v>
      </c>
      <c r="C1183">
        <v>2021</v>
      </c>
      <c r="E1183" s="1" t="s">
        <v>3014</v>
      </c>
    </row>
    <row r="1184" spans="1:5" x14ac:dyDescent="0.25">
      <c r="A1184" t="s">
        <v>2805</v>
      </c>
      <c r="B1184" t="s">
        <v>1805</v>
      </c>
      <c r="C1184">
        <v>2021</v>
      </c>
      <c r="E1184" s="1" t="s">
        <v>3014</v>
      </c>
    </row>
    <row r="1185" spans="1:5" x14ac:dyDescent="0.25">
      <c r="A1185" t="s">
        <v>2805</v>
      </c>
      <c r="B1185" t="s">
        <v>1810</v>
      </c>
      <c r="C1185">
        <v>2021</v>
      </c>
      <c r="E1185" s="1" t="s">
        <v>2983</v>
      </c>
    </row>
    <row r="1186" spans="1:5" x14ac:dyDescent="0.25">
      <c r="A1186" t="s">
        <v>2805</v>
      </c>
      <c r="B1186" t="s">
        <v>1822</v>
      </c>
      <c r="C1186">
        <v>2021</v>
      </c>
      <c r="E1186" s="1" t="s">
        <v>3014</v>
      </c>
    </row>
    <row r="1187" spans="1:5" x14ac:dyDescent="0.25">
      <c r="A1187" t="s">
        <v>2805</v>
      </c>
      <c r="B1187" t="s">
        <v>1830</v>
      </c>
      <c r="C1187">
        <v>2021</v>
      </c>
      <c r="E1187" s="1" t="s">
        <v>3014</v>
      </c>
    </row>
    <row r="1188" spans="1:5" x14ac:dyDescent="0.25">
      <c r="A1188" t="s">
        <v>2805</v>
      </c>
      <c r="B1188" t="s">
        <v>1838</v>
      </c>
      <c r="C1188">
        <v>2021</v>
      </c>
      <c r="E1188" s="1" t="s">
        <v>3014</v>
      </c>
    </row>
    <row r="1189" spans="1:5" x14ac:dyDescent="0.25">
      <c r="A1189" t="s">
        <v>2805</v>
      </c>
      <c r="B1189" t="s">
        <v>1852</v>
      </c>
      <c r="C1189">
        <v>2021</v>
      </c>
      <c r="E1189" s="1" t="s">
        <v>2983</v>
      </c>
    </row>
    <row r="1190" spans="1:5" x14ac:dyDescent="0.25">
      <c r="A1190" t="s">
        <v>2805</v>
      </c>
      <c r="B1190" t="s">
        <v>1959</v>
      </c>
      <c r="C1190">
        <v>2021</v>
      </c>
      <c r="E1190" s="1" t="s">
        <v>1962</v>
      </c>
    </row>
    <row r="1191" spans="1:5" x14ac:dyDescent="0.25">
      <c r="A1191" t="s">
        <v>2805</v>
      </c>
      <c r="B1191" t="s">
        <v>1963</v>
      </c>
      <c r="C1191">
        <v>2021</v>
      </c>
      <c r="E1191" s="1" t="s">
        <v>3014</v>
      </c>
    </row>
    <row r="1192" spans="1:5" x14ac:dyDescent="0.25">
      <c r="A1192" t="s">
        <v>2805</v>
      </c>
      <c r="B1192" t="s">
        <v>2092</v>
      </c>
      <c r="C1192">
        <v>2021</v>
      </c>
      <c r="E1192" s="1" t="s">
        <v>3014</v>
      </c>
    </row>
    <row r="1193" spans="1:5" x14ac:dyDescent="0.25">
      <c r="A1193" t="s">
        <v>2805</v>
      </c>
      <c r="B1193" t="s">
        <v>2104</v>
      </c>
      <c r="C1193">
        <v>2021</v>
      </c>
      <c r="E1193" s="1" t="s">
        <v>3014</v>
      </c>
    </row>
    <row r="1194" spans="1:5" x14ac:dyDescent="0.25">
      <c r="A1194" t="s">
        <v>2805</v>
      </c>
      <c r="B1194" t="s">
        <v>2163</v>
      </c>
      <c r="C1194">
        <v>2021</v>
      </c>
      <c r="E1194" s="1" t="s">
        <v>2983</v>
      </c>
    </row>
    <row r="1195" spans="1:5" x14ac:dyDescent="0.25">
      <c r="A1195" t="s">
        <v>2805</v>
      </c>
      <c r="B1195" t="s">
        <v>2193</v>
      </c>
      <c r="C1195">
        <v>2021</v>
      </c>
      <c r="E1195" s="1" t="s">
        <v>3014</v>
      </c>
    </row>
    <row r="1196" spans="1:5" x14ac:dyDescent="0.25">
      <c r="A1196" t="s">
        <v>2805</v>
      </c>
      <c r="B1196" t="s">
        <v>2248</v>
      </c>
      <c r="C1196">
        <v>2021</v>
      </c>
      <c r="E1196" s="1" t="s">
        <v>3014</v>
      </c>
    </row>
    <row r="1197" spans="1:5" x14ac:dyDescent="0.25">
      <c r="A1197" t="s">
        <v>2805</v>
      </c>
      <c r="B1197" t="s">
        <v>2259</v>
      </c>
      <c r="C1197">
        <v>2021</v>
      </c>
      <c r="E1197" s="1" t="s">
        <v>3014</v>
      </c>
    </row>
    <row r="1198" spans="1:5" x14ac:dyDescent="0.25">
      <c r="A1198" t="s">
        <v>2805</v>
      </c>
      <c r="B1198" t="s">
        <v>2366</v>
      </c>
      <c r="C1198">
        <v>2021</v>
      </c>
      <c r="E1198" s="1" t="s">
        <v>3014</v>
      </c>
    </row>
    <row r="1199" spans="1:5" x14ac:dyDescent="0.25">
      <c r="A1199" t="s">
        <v>2805</v>
      </c>
      <c r="B1199" t="s">
        <v>2382</v>
      </c>
      <c r="C1199">
        <v>2021</v>
      </c>
      <c r="E1199" s="1" t="s">
        <v>2983</v>
      </c>
    </row>
    <row r="1200" spans="1:5" x14ac:dyDescent="0.25">
      <c r="A1200" t="s">
        <v>2805</v>
      </c>
      <c r="B1200" t="s">
        <v>2398</v>
      </c>
      <c r="C1200">
        <v>2021</v>
      </c>
      <c r="E1200" s="1" t="s">
        <v>3239</v>
      </c>
    </row>
    <row r="1201" spans="1:5" x14ac:dyDescent="0.25">
      <c r="A1201" t="s">
        <v>2805</v>
      </c>
      <c r="B1201" t="s">
        <v>2411</v>
      </c>
      <c r="C1201">
        <v>2021</v>
      </c>
      <c r="E1201" s="1" t="s">
        <v>3014</v>
      </c>
    </row>
    <row r="1202" spans="1:5" x14ac:dyDescent="0.25">
      <c r="A1202" t="s">
        <v>2805</v>
      </c>
      <c r="B1202" t="s">
        <v>2436</v>
      </c>
      <c r="C1202">
        <v>2021</v>
      </c>
      <c r="E1202" s="1" t="s">
        <v>3014</v>
      </c>
    </row>
    <row r="1203" spans="1:5" x14ac:dyDescent="0.25">
      <c r="A1203" t="s">
        <v>2805</v>
      </c>
      <c r="B1203" t="s">
        <v>2464</v>
      </c>
      <c r="C1203">
        <v>2021</v>
      </c>
      <c r="E1203" s="1" t="s">
        <v>3439</v>
      </c>
    </row>
    <row r="1204" spans="1:5" x14ac:dyDescent="0.25">
      <c r="A1204" t="s">
        <v>2805</v>
      </c>
      <c r="B1204" t="s">
        <v>2527</v>
      </c>
      <c r="C1204">
        <v>2021</v>
      </c>
      <c r="E1204" s="1" t="s">
        <v>3440</v>
      </c>
    </row>
    <row r="1205" spans="1:5" x14ac:dyDescent="0.25">
      <c r="A1205" t="s">
        <v>2805</v>
      </c>
      <c r="B1205" t="s">
        <v>2604</v>
      </c>
      <c r="C1205">
        <v>2021</v>
      </c>
      <c r="E1205" s="1" t="s">
        <v>3014</v>
      </c>
    </row>
    <row r="1206" spans="1:5" x14ac:dyDescent="0.25">
      <c r="A1206" t="s">
        <v>2805</v>
      </c>
      <c r="B1206" t="s">
        <v>2610</v>
      </c>
      <c r="C1206">
        <v>2021</v>
      </c>
      <c r="E1206" s="11" t="s">
        <v>3441</v>
      </c>
    </row>
    <row r="1207" spans="1:5" x14ac:dyDescent="0.25">
      <c r="A1207" t="s">
        <v>2805</v>
      </c>
      <c r="B1207" t="s">
        <v>2670</v>
      </c>
      <c r="C1207">
        <v>2021</v>
      </c>
      <c r="E1207" s="1" t="s">
        <v>3014</v>
      </c>
    </row>
    <row r="1208" spans="1:5" x14ac:dyDescent="0.25">
      <c r="A1208" t="s">
        <v>2805</v>
      </c>
      <c r="B1208" t="s">
        <v>2689</v>
      </c>
      <c r="C1208">
        <v>2021</v>
      </c>
      <c r="E1208" s="11" t="s">
        <v>3442</v>
      </c>
    </row>
    <row r="1209" spans="1:5" x14ac:dyDescent="0.25">
      <c r="A1209" t="s">
        <v>2805</v>
      </c>
      <c r="B1209" t="s">
        <v>2692</v>
      </c>
      <c r="C1209">
        <v>2021</v>
      </c>
      <c r="E1209" s="1" t="s">
        <v>3014</v>
      </c>
    </row>
    <row r="1210" spans="1:5" x14ac:dyDescent="0.25">
      <c r="A1210" t="s">
        <v>2805</v>
      </c>
      <c r="B1210" t="s">
        <v>2699</v>
      </c>
      <c r="C1210">
        <v>2021</v>
      </c>
      <c r="E1210" s="1" t="s">
        <v>3197</v>
      </c>
    </row>
    <row r="1211" spans="1:5" x14ac:dyDescent="0.25">
      <c r="A1211" t="s">
        <v>2805</v>
      </c>
      <c r="B1211" t="s">
        <v>2743</v>
      </c>
      <c r="C1211">
        <v>2021</v>
      </c>
      <c r="E1211" s="1" t="s">
        <v>2983</v>
      </c>
    </row>
    <row r="1212" spans="1:5" x14ac:dyDescent="0.25">
      <c r="A1212" t="s">
        <v>2805</v>
      </c>
      <c r="B1212" t="s">
        <v>2799</v>
      </c>
      <c r="C1212">
        <v>2021</v>
      </c>
      <c r="D1212" t="s">
        <v>187</v>
      </c>
      <c r="E1212" s="1"/>
    </row>
    <row r="1213" spans="1:5" x14ac:dyDescent="0.25">
      <c r="A1213" t="s">
        <v>2805</v>
      </c>
      <c r="B1213" t="s">
        <v>2801</v>
      </c>
      <c r="C1213">
        <v>2021</v>
      </c>
      <c r="E1213" s="1" t="s">
        <v>2983</v>
      </c>
    </row>
    <row r="1214" spans="1:5" x14ac:dyDescent="0.25">
      <c r="A1214" t="s">
        <v>2805</v>
      </c>
      <c r="B1214" t="s">
        <v>2815</v>
      </c>
      <c r="C1214">
        <v>2021</v>
      </c>
      <c r="E1214" s="1" t="s">
        <v>2983</v>
      </c>
    </row>
    <row r="1215" spans="1:5" x14ac:dyDescent="0.25">
      <c r="A1215" t="s">
        <v>2805</v>
      </c>
      <c r="B1215" t="s">
        <v>2829</v>
      </c>
      <c r="C1215">
        <v>2021</v>
      </c>
      <c r="E1215" s="1" t="s">
        <v>2983</v>
      </c>
    </row>
    <row r="1216" spans="1:5" x14ac:dyDescent="0.25">
      <c r="A1216" t="s">
        <v>2805</v>
      </c>
      <c r="B1216" t="s">
        <v>2853</v>
      </c>
      <c r="C1216">
        <v>2021</v>
      </c>
      <c r="D1216" t="s">
        <v>187</v>
      </c>
      <c r="E1216" s="1" t="s">
        <v>3443</v>
      </c>
    </row>
    <row r="1217" spans="1:5" x14ac:dyDescent="0.25">
      <c r="A1217" t="s">
        <v>2805</v>
      </c>
      <c r="B1217" t="s">
        <v>2883</v>
      </c>
      <c r="C1217">
        <v>2021</v>
      </c>
      <c r="E1217" s="1" t="s">
        <v>3444</v>
      </c>
    </row>
    <row r="1218" spans="1:5" x14ac:dyDescent="0.25">
      <c r="A1218" t="s">
        <v>2805</v>
      </c>
      <c r="B1218" t="s">
        <v>2934</v>
      </c>
      <c r="C1218">
        <v>2021</v>
      </c>
      <c r="E1218" s="1" t="s">
        <v>3014</v>
      </c>
    </row>
    <row r="1219" spans="1:5" x14ac:dyDescent="0.25">
      <c r="A1219" t="s">
        <v>2819</v>
      </c>
      <c r="B1219" t="s">
        <v>2821</v>
      </c>
      <c r="C1219">
        <v>2021</v>
      </c>
      <c r="D1219" t="s">
        <v>187</v>
      </c>
      <c r="E1219" s="1"/>
    </row>
    <row r="1220" spans="1:5" x14ac:dyDescent="0.25">
      <c r="A1220" t="s">
        <v>2825</v>
      </c>
      <c r="B1220" t="s">
        <v>2887</v>
      </c>
      <c r="C1220">
        <v>2019</v>
      </c>
      <c r="D1220" t="s">
        <v>187</v>
      </c>
      <c r="E1220" s="1"/>
    </row>
    <row r="1221" spans="1:5" x14ac:dyDescent="0.25">
      <c r="A1221" t="s">
        <v>2829</v>
      </c>
      <c r="B1221" t="s">
        <v>2340</v>
      </c>
      <c r="C1221">
        <v>2022</v>
      </c>
      <c r="D1221" t="s">
        <v>187</v>
      </c>
      <c r="E1221" s="1"/>
    </row>
    <row r="1222" spans="1:5" x14ac:dyDescent="0.25">
      <c r="A1222" t="s">
        <v>2847</v>
      </c>
      <c r="B1222" t="s">
        <v>2851</v>
      </c>
      <c r="C1222">
        <v>2023</v>
      </c>
      <c r="D1222" t="s">
        <v>187</v>
      </c>
      <c r="E1222" s="1"/>
    </row>
    <row r="1223" spans="1:5" x14ac:dyDescent="0.25">
      <c r="A1223" t="s">
        <v>2875</v>
      </c>
      <c r="B1223" t="s">
        <v>1424</v>
      </c>
      <c r="C1223">
        <v>2005</v>
      </c>
      <c r="D1223" t="s">
        <v>187</v>
      </c>
      <c r="E1223" s="1"/>
    </row>
    <row r="1224" spans="1:5" x14ac:dyDescent="0.25">
      <c r="A1224" t="s">
        <v>2879</v>
      </c>
      <c r="B1224" t="s">
        <v>1352</v>
      </c>
      <c r="C1224">
        <v>2020</v>
      </c>
      <c r="D1224" t="s">
        <v>187</v>
      </c>
    </row>
    <row r="1225" spans="1:5" x14ac:dyDescent="0.25">
      <c r="A1225" t="s">
        <v>2891</v>
      </c>
      <c r="B1225" t="s">
        <v>803</v>
      </c>
      <c r="C1225">
        <v>2023</v>
      </c>
      <c r="E1225" s="1" t="s">
        <v>2983</v>
      </c>
    </row>
    <row r="1226" spans="1:5" x14ac:dyDescent="0.25">
      <c r="A1226" t="s">
        <v>2891</v>
      </c>
      <c r="B1226" t="s">
        <v>1395</v>
      </c>
      <c r="C1226">
        <v>2023</v>
      </c>
      <c r="E1226" s="1" t="s">
        <v>3034</v>
      </c>
    </row>
    <row r="1227" spans="1:5" x14ac:dyDescent="0.25">
      <c r="A1227" t="s">
        <v>2902</v>
      </c>
      <c r="B1227" t="s">
        <v>2841</v>
      </c>
      <c r="C1227">
        <v>2024</v>
      </c>
      <c r="E1227" s="1" t="s">
        <v>3445</v>
      </c>
    </row>
    <row r="1228" spans="1:5" x14ac:dyDescent="0.25">
      <c r="A1228" t="s">
        <v>2907</v>
      </c>
      <c r="B1228" t="s">
        <v>226</v>
      </c>
      <c r="C1228">
        <v>2018</v>
      </c>
      <c r="E1228" s="1" t="s">
        <v>3185</v>
      </c>
    </row>
    <row r="1229" spans="1:5" x14ac:dyDescent="0.25">
      <c r="A1229" t="s">
        <v>2907</v>
      </c>
      <c r="B1229" t="s">
        <v>310</v>
      </c>
      <c r="C1229">
        <v>2018</v>
      </c>
      <c r="E1229" s="1" t="s">
        <v>3079</v>
      </c>
    </row>
    <row r="1230" spans="1:5" x14ac:dyDescent="0.25">
      <c r="A1230" t="s">
        <v>2907</v>
      </c>
      <c r="B1230" t="s">
        <v>2032</v>
      </c>
      <c r="C1230">
        <v>2018</v>
      </c>
      <c r="E1230" s="1" t="s">
        <v>3237</v>
      </c>
    </row>
    <row r="1231" spans="1:5" x14ac:dyDescent="0.25">
      <c r="A1231" t="s">
        <v>2907</v>
      </c>
      <c r="B1231" t="s">
        <v>2911</v>
      </c>
      <c r="C1231">
        <v>2018</v>
      </c>
      <c r="D1231" t="s">
        <v>187</v>
      </c>
      <c r="E1231" s="1"/>
    </row>
    <row r="1232" spans="1:5" x14ac:dyDescent="0.25">
      <c r="A1232" t="s">
        <v>2944</v>
      </c>
      <c r="B1232" t="s">
        <v>2638</v>
      </c>
      <c r="C1232">
        <v>2010</v>
      </c>
      <c r="D1232" t="s">
        <v>187</v>
      </c>
      <c r="E1232" s="1" t="s">
        <v>3446</v>
      </c>
    </row>
    <row r="1233" spans="1:5" x14ac:dyDescent="0.25">
      <c r="A1233" t="s">
        <v>2948</v>
      </c>
      <c r="B1233" t="s">
        <v>698</v>
      </c>
      <c r="C1233">
        <v>1994</v>
      </c>
      <c r="E1233" s="11" t="s">
        <v>3447</v>
      </c>
    </row>
    <row r="1234" spans="1:5" x14ac:dyDescent="0.25">
      <c r="A1234" t="s">
        <v>2948</v>
      </c>
      <c r="B1234" t="s">
        <v>2572</v>
      </c>
      <c r="C1234">
        <v>1994</v>
      </c>
      <c r="E1234" s="1" t="s">
        <v>3448</v>
      </c>
    </row>
    <row r="1235" spans="1:5" x14ac:dyDescent="0.25">
      <c r="A1235" t="s">
        <v>2948</v>
      </c>
      <c r="B1235" t="s">
        <v>2963</v>
      </c>
      <c r="C1235">
        <v>1994</v>
      </c>
      <c r="E1235" s="1" t="s">
        <v>3007</v>
      </c>
    </row>
    <row r="1236" spans="1:5" x14ac:dyDescent="0.25">
      <c r="A1236" t="s">
        <v>2955</v>
      </c>
      <c r="B1236" t="s">
        <v>2813</v>
      </c>
      <c r="C1236">
        <v>2014</v>
      </c>
      <c r="E1236" s="1" t="s">
        <v>3084</v>
      </c>
    </row>
    <row r="1237" spans="1:5" x14ac:dyDescent="0.25">
      <c r="A1237" t="s">
        <v>2955</v>
      </c>
      <c r="B1237" t="s">
        <v>2959</v>
      </c>
      <c r="C1237">
        <v>2014</v>
      </c>
      <c r="D1237" t="s">
        <v>187</v>
      </c>
      <c r="E1237" s="1"/>
    </row>
    <row r="1238" spans="1:5" x14ac:dyDescent="0.25">
      <c r="A1238" t="s">
        <v>2966</v>
      </c>
      <c r="B1238" t="s">
        <v>2104</v>
      </c>
      <c r="C1238">
        <v>2023</v>
      </c>
      <c r="D1238" t="s">
        <v>187</v>
      </c>
      <c r="E1238" s="1"/>
    </row>
    <row r="1239" spans="1:5" x14ac:dyDescent="0.25">
      <c r="A1239" t="s">
        <v>1753</v>
      </c>
      <c r="B1239" t="s">
        <v>1622</v>
      </c>
      <c r="C1239">
        <v>2021</v>
      </c>
      <c r="D1239"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1" r:id="rId69" xr:uid="{00000000-0004-0000-0100-000044000000}"/>
    <hyperlink ref="E113" r:id="rId70" xr:uid="{00000000-0004-0000-0100-000045000000}"/>
    <hyperlink ref="E115" r:id="rId71" xr:uid="{00000000-0004-0000-0100-000046000000}"/>
    <hyperlink ref="E116" r:id="rId72" xr:uid="{00000000-0004-0000-0100-000047000000}"/>
    <hyperlink ref="E119" r:id="rId73" location=":~:text=The%20Last%20Spell's%20unique%20blend,build%20characters%20however%20they%20want." xr:uid="{00000000-0004-0000-0100-000048000000}"/>
    <hyperlink ref="E122" r:id="rId74" xr:uid="{00000000-0004-0000-0100-000049000000}"/>
    <hyperlink ref="E124" r:id="rId75" xr:uid="{00000000-0004-0000-0100-00004A000000}"/>
    <hyperlink ref="E126" r:id="rId76" xr:uid="{00000000-0004-0000-0100-00004B000000}"/>
    <hyperlink ref="E127" r:id="rId77" xr:uid="{00000000-0004-0000-0100-00004C000000}"/>
    <hyperlink ref="E129" r:id="rId78" xr:uid="{00000000-0004-0000-0100-00004D000000}"/>
    <hyperlink ref="E130" r:id="rId79" xr:uid="{00000000-0004-0000-0100-00004E000000}"/>
    <hyperlink ref="E131" r:id="rId80" location="c494631967651765393" xr:uid="{00000000-0004-0000-0100-00004F000000}"/>
    <hyperlink ref="E132" r:id="rId81" xr:uid="{00000000-0004-0000-0100-000050000000}"/>
    <hyperlink ref="E133" r:id="rId82" xr:uid="{00000000-0004-0000-0100-000051000000}"/>
    <hyperlink ref="E134" r:id="rId83" location="c735910198043297427" xr:uid="{00000000-0004-0000-0100-000052000000}"/>
    <hyperlink ref="E136" r:id="rId84" xr:uid="{00000000-0004-0000-0100-000053000000}"/>
    <hyperlink ref="E137" r:id="rId85" xr:uid="{00000000-0004-0000-0100-000054000000}"/>
    <hyperlink ref="E139" r:id="rId86" xr:uid="{00000000-0004-0000-0100-000055000000}"/>
    <hyperlink ref="E140" r:id="rId87" xr:uid="{00000000-0004-0000-0100-000056000000}"/>
    <hyperlink ref="E141" r:id="rId88" xr:uid="{00000000-0004-0000-0100-000057000000}"/>
    <hyperlink ref="E143" r:id="rId89" xr:uid="{00000000-0004-0000-0100-000058000000}"/>
    <hyperlink ref="E144" r:id="rId90" xr:uid="{00000000-0004-0000-0100-000059000000}"/>
    <hyperlink ref="E145" r:id="rId91" xr:uid="{00000000-0004-0000-0100-00005A000000}"/>
    <hyperlink ref="E146" r:id="rId92" xr:uid="{00000000-0004-0000-0100-00005B000000}"/>
    <hyperlink ref="E147" r:id="rId93" xr:uid="{00000000-0004-0000-0100-00005C000000}"/>
    <hyperlink ref="E150" r:id="rId94" xr:uid="{00000000-0004-0000-0100-00005D000000}"/>
    <hyperlink ref="E151" r:id="rId95" xr:uid="{00000000-0004-0000-0100-00005E000000}"/>
    <hyperlink ref="E152" r:id="rId96" xr:uid="{00000000-0004-0000-0100-00005F000000}"/>
    <hyperlink ref="E153" r:id="rId97" xr:uid="{00000000-0004-0000-0100-000060000000}"/>
    <hyperlink ref="E155" r:id="rId98" xr:uid="{00000000-0004-0000-0100-000061000000}"/>
    <hyperlink ref="E161" r:id="rId99" xr:uid="{00000000-0004-0000-0100-000062000000}"/>
    <hyperlink ref="E167" r:id="rId100" location=":~:text=*Mainframe%20Defenders*%20is%20a%20roguelite%20game%20available,**Earning%20Matter%20and%20drops**%20*%20**Upgrading%20mechs**" xr:uid="{00000000-0004-0000-0100-000063000000}"/>
    <hyperlink ref="E168" r:id="rId101" location="c5456682769558786398" xr:uid="{00000000-0004-0000-0100-000064000000}"/>
    <hyperlink ref="E170" r:id="rId102" xr:uid="{00000000-0004-0000-0100-000065000000}"/>
    <hyperlink ref="E171" r:id="rId103" location=":~:text=Vellum's%20Inspirations,chapter%20of%20the%20original%20series." xr:uid="{00000000-0004-0000-0100-000066000000}"/>
    <hyperlink ref="E172" r:id="rId104" xr:uid="{00000000-0004-0000-0100-000067000000}"/>
    <hyperlink ref="E173" r:id="rId105" location=":~:text=The%20game%20was%20inspired%20by,of%20the%20NecroDancer%20and%20Cuphead." xr:uid="{00000000-0004-0000-0100-000068000000}"/>
    <hyperlink ref="E174" r:id="rId106" xr:uid="{00000000-0004-0000-0100-000069000000}"/>
    <hyperlink ref="E175" r:id="rId107" xr:uid="{00000000-0004-0000-0100-00006A000000}"/>
    <hyperlink ref="E177" r:id="rId108" xr:uid="{00000000-0004-0000-0100-00006B000000}"/>
    <hyperlink ref="E180" r:id="rId109" xr:uid="{00000000-0004-0000-0100-00006C000000}"/>
    <hyperlink ref="E181" r:id="rId110" xr:uid="{00000000-0004-0000-0100-00006D000000}"/>
    <hyperlink ref="E182" r:id="rId111" xr:uid="{00000000-0004-0000-0100-00006E000000}"/>
    <hyperlink ref="E183" r:id="rId112" xr:uid="{00000000-0004-0000-0100-00006F000000}"/>
    <hyperlink ref="E184" r:id="rId113" xr:uid="{00000000-0004-0000-0100-000070000000}"/>
    <hyperlink ref="E185" r:id="rId114" xr:uid="{00000000-0004-0000-0100-000071000000}"/>
    <hyperlink ref="E186" r:id="rId115" xr:uid="{00000000-0004-0000-0100-000072000000}"/>
    <hyperlink ref="E188" r:id="rId116" xr:uid="{00000000-0004-0000-0100-000073000000}"/>
    <hyperlink ref="E190" r:id="rId117" xr:uid="{00000000-0004-0000-0100-000074000000}"/>
    <hyperlink ref="E192" r:id="rId118" xr:uid="{00000000-0004-0000-0100-000075000000}"/>
    <hyperlink ref="E194" r:id="rId119" xr:uid="{00000000-0004-0000-0100-000076000000}"/>
    <hyperlink ref="E196" r:id="rId120" xr:uid="{00000000-0004-0000-0100-000077000000}"/>
    <hyperlink ref="E197" r:id="rId121" xr:uid="{00000000-0004-0000-0100-000078000000}"/>
    <hyperlink ref="E198" r:id="rId122" xr:uid="{00000000-0004-0000-0100-000079000000}"/>
    <hyperlink ref="E199" r:id="rId123" location="c352788917764129482" xr:uid="{00000000-0004-0000-0100-00007A000000}"/>
    <hyperlink ref="E200" r:id="rId124" xr:uid="{00000000-0004-0000-0100-00007B000000}"/>
    <hyperlink ref="E201" r:id="rId125" xr:uid="{00000000-0004-0000-0100-00007C000000}"/>
    <hyperlink ref="E202" r:id="rId126" xr:uid="{00000000-0004-0000-0100-00007D000000}"/>
    <hyperlink ref="E205" r:id="rId127" xr:uid="{00000000-0004-0000-0100-00007E000000}"/>
    <hyperlink ref="E206" r:id="rId128" xr:uid="{00000000-0004-0000-0100-00007F000000}"/>
    <hyperlink ref="E208" r:id="rId129" xr:uid="{00000000-0004-0000-0100-000080000000}"/>
    <hyperlink ref="E209" r:id="rId130" xr:uid="{00000000-0004-0000-0100-000081000000}"/>
    <hyperlink ref="E210" r:id="rId131" xr:uid="{00000000-0004-0000-0100-000082000000}"/>
    <hyperlink ref="E212" r:id="rId132" xr:uid="{00000000-0004-0000-0100-000083000000}"/>
    <hyperlink ref="E213" r:id="rId133" xr:uid="{00000000-0004-0000-0100-000084000000}"/>
    <hyperlink ref="E214" r:id="rId134" xr:uid="{00000000-0004-0000-0100-000085000000}"/>
    <hyperlink ref="E216" r:id="rId135" xr:uid="{00000000-0004-0000-0100-000086000000}"/>
    <hyperlink ref="E218" r:id="rId136" xr:uid="{00000000-0004-0000-0100-000087000000}"/>
    <hyperlink ref="E219" r:id="rId137" xr:uid="{00000000-0004-0000-0100-000088000000}"/>
    <hyperlink ref="E223" r:id="rId138" location=":~:text=A%20big%20of%20Rogue%20Legacy%2C%20Spelunky%2C%20Hades.,kinda%20got%20inspiration%20from%20all%20of%20them." xr:uid="{00000000-0004-0000-0100-000089000000}"/>
    <hyperlink ref="E225" r:id="rId139" location=":~:text=Fury%20Unleashed%20was%20created%20by,like%20Contra%20and%20Metal%20Slug." xr:uid="{00000000-0004-0000-0100-00008A000000}"/>
    <hyperlink ref="E226" r:id="rId140" xr:uid="{00000000-0004-0000-0100-00008B000000}"/>
    <hyperlink ref="E227" r:id="rId141" xr:uid="{00000000-0004-0000-0100-00008C000000}"/>
    <hyperlink ref="E228" r:id="rId142" location=":~:text=Felix%20Soumpholphakdy:%20Dead%20Cells%20is%20a%20big,we%20wanted%20to%20craft%20a%20big%20world." xr:uid="{00000000-0004-0000-0100-00008D000000}"/>
    <hyperlink ref="E231" r:id="rId143" xr:uid="{00000000-0004-0000-0100-00008E000000}"/>
    <hyperlink ref="E233" r:id="rId144" xr:uid="{00000000-0004-0000-0100-00008F000000}"/>
    <hyperlink ref="E234" r:id="rId145" xr:uid="{00000000-0004-0000-0100-000090000000}"/>
    <hyperlink ref="E235" r:id="rId146" xr:uid="{00000000-0004-0000-0100-000091000000}"/>
    <hyperlink ref="E238" r:id="rId147" xr:uid="{00000000-0004-0000-0100-000092000000}"/>
    <hyperlink ref="E239" r:id="rId148" xr:uid="{00000000-0004-0000-0100-000093000000}"/>
    <hyperlink ref="E242" r:id="rId149" xr:uid="{00000000-0004-0000-0100-000094000000}"/>
    <hyperlink ref="E251" r:id="rId150" xr:uid="{00000000-0004-0000-0100-000095000000}"/>
    <hyperlink ref="E255" r:id="rId151" location="c758430178052462886" xr:uid="{00000000-0004-0000-0100-000096000000}"/>
    <hyperlink ref="E256" r:id="rId152" location="c353915309337431749" xr:uid="{00000000-0004-0000-0100-000097000000}"/>
    <hyperlink ref="E257" r:id="rId153" xr:uid="{00000000-0004-0000-0100-000098000000}"/>
    <hyperlink ref="E258" r:id="rId154" xr:uid="{00000000-0004-0000-0100-000099000000}"/>
    <hyperlink ref="E259" r:id="rId155" xr:uid="{00000000-0004-0000-0100-00009A000000}"/>
    <hyperlink ref="E260" r:id="rId156" xr:uid="{00000000-0004-0000-0100-00009B000000}"/>
    <hyperlink ref="E261" r:id="rId157" xr:uid="{00000000-0004-0000-0100-00009C000000}"/>
    <hyperlink ref="E262" r:id="rId158" xr:uid="{00000000-0004-0000-0100-00009D000000}"/>
    <hyperlink ref="E263" r:id="rId159" xr:uid="{00000000-0004-0000-0100-00009E000000}"/>
    <hyperlink ref="E264" r:id="rId160" xr:uid="{00000000-0004-0000-0100-00009F000000}"/>
    <hyperlink ref="E265" r:id="rId161" xr:uid="{00000000-0004-0000-0100-0000A0000000}"/>
    <hyperlink ref="E266" r:id="rId162" xr:uid="{00000000-0004-0000-0100-0000A1000000}"/>
    <hyperlink ref="E267" r:id="rId163" xr:uid="{00000000-0004-0000-0100-0000A2000000}"/>
    <hyperlink ref="E268" r:id="rId164" xr:uid="{00000000-0004-0000-0100-0000A3000000}"/>
    <hyperlink ref="E269" r:id="rId165" xr:uid="{00000000-0004-0000-0100-0000A4000000}"/>
    <hyperlink ref="E270" r:id="rId166" xr:uid="{00000000-0004-0000-0100-0000A5000000}"/>
    <hyperlink ref="E272" r:id="rId167" xr:uid="{00000000-0004-0000-0100-0000A6000000}"/>
    <hyperlink ref="E274" r:id="rId168" xr:uid="{00000000-0004-0000-0100-0000A7000000}"/>
    <hyperlink ref="E275" r:id="rId169" xr:uid="{00000000-0004-0000-0100-0000A8000000}"/>
    <hyperlink ref="E278" r:id="rId170" xr:uid="{00000000-0004-0000-0100-0000A9000000}"/>
    <hyperlink ref="E280" r:id="rId171" xr:uid="{00000000-0004-0000-0100-0000AA000000}"/>
    <hyperlink ref="E281" r:id="rId172" xr:uid="{00000000-0004-0000-0100-0000AB000000}"/>
    <hyperlink ref="E284" r:id="rId173" xr:uid="{00000000-0004-0000-0100-0000AC000000}"/>
    <hyperlink ref="E285" r:id="rId174" xr:uid="{00000000-0004-0000-0100-0000AD000000}"/>
    <hyperlink ref="E286" r:id="rId175" xr:uid="{00000000-0004-0000-0100-0000AE000000}"/>
    <hyperlink ref="E287" r:id="rId176" xr:uid="{00000000-0004-0000-0100-0000AF000000}"/>
    <hyperlink ref="E288" r:id="rId177" xr:uid="{00000000-0004-0000-0100-0000B0000000}"/>
    <hyperlink ref="E289" r:id="rId178" xr:uid="{00000000-0004-0000-0100-0000B1000000}"/>
    <hyperlink ref="E290" r:id="rId179" xr:uid="{00000000-0004-0000-0100-0000B2000000}"/>
    <hyperlink ref="E294" r:id="rId180" location="c494631967651765393" xr:uid="{00000000-0004-0000-0100-0000B3000000}"/>
    <hyperlink ref="E296" r:id="rId181" xr:uid="{00000000-0004-0000-0100-0000B4000000}"/>
    <hyperlink ref="E297" r:id="rId182" xr:uid="{00000000-0004-0000-0100-0000B5000000}"/>
    <hyperlink ref="E298" r:id="rId183" xr:uid="{00000000-0004-0000-0100-0000B6000000}"/>
    <hyperlink ref="E299" r:id="rId184" xr:uid="{00000000-0004-0000-0100-0000B7000000}"/>
    <hyperlink ref="E300" r:id="rId185" xr:uid="{00000000-0004-0000-0100-0000B8000000}"/>
    <hyperlink ref="E301" r:id="rId186" location=":~:text=As%20inspiration%20from%20different%20games,dangerous%20to%20go%20alone%22%20line." xr:uid="{00000000-0004-0000-0100-0000B9000000}"/>
    <hyperlink ref="E302" r:id="rId187" xr:uid="{00000000-0004-0000-0100-0000BA000000}"/>
    <hyperlink ref="E303" r:id="rId188" location="c1319962683447326488" xr:uid="{00000000-0004-0000-0100-0000BB000000}"/>
    <hyperlink ref="E305" r:id="rId189" xr:uid="{00000000-0004-0000-0100-0000BC000000}"/>
    <hyperlink ref="E306" r:id="rId190" xr:uid="{00000000-0004-0000-0100-0000BD000000}"/>
    <hyperlink ref="E307" r:id="rId191" xr:uid="{00000000-0004-0000-0100-0000BE000000}"/>
    <hyperlink ref="E308" r:id="rId192" xr:uid="{00000000-0004-0000-0100-0000BF000000}"/>
    <hyperlink ref="E309" r:id="rId193" xr:uid="{00000000-0004-0000-0100-0000C0000000}"/>
    <hyperlink ref="E310" r:id="rId194" xr:uid="{00000000-0004-0000-0100-0000C1000000}"/>
    <hyperlink ref="E311" r:id="rId195" xr:uid="{00000000-0004-0000-0100-0000C2000000}"/>
    <hyperlink ref="E313" r:id="rId196" xr:uid="{00000000-0004-0000-0100-0000C3000000}"/>
    <hyperlink ref="E314" r:id="rId197" location="msg5316" xr:uid="{00000000-0004-0000-0100-0000C4000000}"/>
    <hyperlink ref="E315" r:id="rId198" xr:uid="{00000000-0004-0000-0100-0000C5000000}"/>
    <hyperlink ref="E316" r:id="rId199" xr:uid="{00000000-0004-0000-0100-0000C6000000}"/>
    <hyperlink ref="E319" r:id="rId200" xr:uid="{00000000-0004-0000-0100-0000C7000000}"/>
    <hyperlink ref="E320" r:id="rId201" xr:uid="{00000000-0004-0000-0100-0000C8000000}"/>
    <hyperlink ref="E321" r:id="rId202" xr:uid="{00000000-0004-0000-0100-0000C9000000}"/>
    <hyperlink ref="E322" r:id="rId203" xr:uid="{00000000-0004-0000-0100-0000CA000000}"/>
    <hyperlink ref="E323" r:id="rId204" xr:uid="{00000000-0004-0000-0100-0000CB000000}"/>
    <hyperlink ref="E324" r:id="rId205" xr:uid="{00000000-0004-0000-0100-0000CC000000}"/>
    <hyperlink ref="E326" r:id="rId206" xr:uid="{00000000-0004-0000-0100-0000CD000000}"/>
    <hyperlink ref="E327" r:id="rId207" location="c5456682769558786398" xr:uid="{00000000-0004-0000-0100-0000CE000000}"/>
    <hyperlink ref="E329" r:id="rId208" xr:uid="{00000000-0004-0000-0100-0000CF000000}"/>
    <hyperlink ref="E330" r:id="rId209" location="c606068060818832019" xr:uid="{00000000-0004-0000-0100-0000D0000000}"/>
    <hyperlink ref="E331" r:id="rId210" location=":~:text=Escaped%20Lunatic-,Soulash%202%20%2D%20Adventures%20and%20Conquest%20in%20Procedural%20Fantasy%20Worlds,to%20the%20Roguelike%20design%20formula." xr:uid="{00000000-0004-0000-0100-0000D1000000}"/>
    <hyperlink ref="E332" r:id="rId211" xr:uid="{00000000-0004-0000-0100-0000D2000000}"/>
    <hyperlink ref="E334" r:id="rId212" xr:uid="{00000000-0004-0000-0100-0000D3000000}"/>
    <hyperlink ref="E335" r:id="rId213" xr:uid="{00000000-0004-0000-0100-0000D4000000}"/>
    <hyperlink ref="E336" r:id="rId214" xr:uid="{00000000-0004-0000-0100-0000D5000000}"/>
    <hyperlink ref="E337" r:id="rId215" xr:uid="{00000000-0004-0000-0100-0000D6000000}"/>
    <hyperlink ref="E338" r:id="rId216" xr:uid="{00000000-0004-0000-0100-0000D7000000}"/>
    <hyperlink ref="E339" r:id="rId217" xr:uid="{00000000-0004-0000-0100-0000D8000000}"/>
    <hyperlink ref="E341" r:id="rId218" location=":~:text=Vellum's%20Inspirations,chapter%20of%20the%20original%20series." xr:uid="{00000000-0004-0000-0100-0000D9000000}"/>
    <hyperlink ref="E342" r:id="rId219" xr:uid="{00000000-0004-0000-0100-0000DA000000}"/>
    <hyperlink ref="E343" r:id="rId220" xr:uid="{00000000-0004-0000-0100-0000DB000000}"/>
    <hyperlink ref="E346" r:id="rId221" location=":~:text=I%20got%20addicted%20to%20Stardew,simply%20stat%20upgrades%20or%20something)." xr:uid="{00000000-0004-0000-0100-0000DC000000}"/>
    <hyperlink ref="E347" r:id="rId222" xr:uid="{00000000-0004-0000-0100-0000DD000000}"/>
    <hyperlink ref="E350" r:id="rId223" xr:uid="{00000000-0004-0000-0100-0000DE000000}"/>
    <hyperlink ref="E352" r:id="rId224" xr:uid="{00000000-0004-0000-0100-0000DF000000}"/>
    <hyperlink ref="E354" r:id="rId225" location=":~:text=Gunfire%20Reborn%20is%20developed%20by,would%20be%20most%20beneficial%20design." xr:uid="{00000000-0004-0000-0100-0000E0000000}"/>
    <hyperlink ref="E356" r:id="rId226" xr:uid="{00000000-0004-0000-0100-0000E1000000}"/>
    <hyperlink ref="E357" r:id="rId227" location=":~:text=Odinfall%20Early%20Access%20on%20Steam&amp;text=According%20to%20Oscar%20Axelsson%20from,Throne%20and%20Enter%20the%20Gungeon." xr:uid="{00000000-0004-0000-0100-0000E2000000}"/>
    <hyperlink ref="E358" r:id="rId228" xr:uid="{00000000-0004-0000-0100-0000E3000000}"/>
    <hyperlink ref="E359" r:id="rId229" xr:uid="{00000000-0004-0000-0100-0000E4000000}"/>
    <hyperlink ref="E361" r:id="rId230" xr:uid="{00000000-0004-0000-0100-0000E5000000}"/>
    <hyperlink ref="E364" r:id="rId231" xr:uid="{00000000-0004-0000-0100-0000E6000000}"/>
    <hyperlink ref="E366" r:id="rId232" xr:uid="{00000000-0004-0000-0100-0000E7000000}"/>
    <hyperlink ref="E371" r:id="rId233" xr:uid="{00000000-0004-0000-0100-0000E8000000}"/>
    <hyperlink ref="E374" r:id="rId234" xr:uid="{00000000-0004-0000-0100-0000E9000000}"/>
    <hyperlink ref="E377" r:id="rId235" xr:uid="{00000000-0004-0000-0100-0000EA000000}"/>
    <hyperlink ref="E378" r:id="rId236" xr:uid="{00000000-0004-0000-0100-0000EB000000}"/>
    <hyperlink ref="E379" r:id="rId237" location="c6027566653452797874" xr:uid="{00000000-0004-0000-0100-0000EC000000}"/>
    <hyperlink ref="E381" r:id="rId238" xr:uid="{00000000-0004-0000-0100-0000ED000000}"/>
    <hyperlink ref="E382" r:id="rId239" xr:uid="{00000000-0004-0000-0100-0000EE000000}"/>
    <hyperlink ref="E383" r:id="rId240" xr:uid="{00000000-0004-0000-0100-0000EF000000}"/>
    <hyperlink ref="E385" r:id="rId241" location="c617320168065346307" xr:uid="{00000000-0004-0000-0100-0000F0000000}"/>
    <hyperlink ref="E386" r:id="rId242" xr:uid="{00000000-0004-0000-0100-0000F1000000}"/>
    <hyperlink ref="E388" r:id="rId243" xr:uid="{00000000-0004-0000-0100-0000F2000000}"/>
    <hyperlink ref="E389" r:id="rId244" xr:uid="{00000000-0004-0000-0100-0000F3000000}"/>
    <hyperlink ref="E390" r:id="rId245" xr:uid="{00000000-0004-0000-0100-0000F4000000}"/>
    <hyperlink ref="E391" r:id="rId246" xr:uid="{00000000-0004-0000-0100-0000F5000000}"/>
    <hyperlink ref="E394" r:id="rId247" xr:uid="{00000000-0004-0000-0100-0000F6000000}"/>
    <hyperlink ref="E395" r:id="rId248" location="c1675812484339955409" xr:uid="{00000000-0004-0000-0100-0000F7000000}"/>
    <hyperlink ref="E397" r:id="rId249" xr:uid="{00000000-0004-0000-0100-0000F8000000}"/>
    <hyperlink ref="E398" r:id="rId250" location="c483368526581048948" xr:uid="{00000000-0004-0000-0100-0000F9000000}"/>
    <hyperlink ref="E399" r:id="rId251" xr:uid="{00000000-0004-0000-0100-0000FA000000}"/>
    <hyperlink ref="E400" r:id="rId252" location="c4335355681661031211" xr:uid="{00000000-0004-0000-0100-0000FB000000}"/>
    <hyperlink ref="E401" r:id="rId253" location=":~:text=MOBAs%20were%20a%20key%20inspiration,like%20action%20roguelites%20in%20general." xr:uid="{00000000-0004-0000-0100-0000FC000000}"/>
    <hyperlink ref="E402" r:id="rId254" location=":~:text=Their%20initial%20goal%20was%20to,built%20on%20the%20libGDX%20framework." xr:uid="{00000000-0004-0000-0100-0000FD000000}"/>
    <hyperlink ref="E404" r:id="rId255" xr:uid="{00000000-0004-0000-0100-0000FE000000}"/>
    <hyperlink ref="E405" r:id="rId256" xr:uid="{00000000-0004-0000-0100-0000FF000000}"/>
    <hyperlink ref="E406" r:id="rId257" xr:uid="{00000000-0004-0000-0100-000000010000}"/>
    <hyperlink ref="E410" r:id="rId258" xr:uid="{00000000-0004-0000-0100-000001010000}"/>
    <hyperlink ref="E411" r:id="rId259" xr:uid="{00000000-0004-0000-0100-000002010000}"/>
    <hyperlink ref="E412" r:id="rId260" xr:uid="{00000000-0004-0000-0100-000003010000}"/>
    <hyperlink ref="E424" r:id="rId261" xr:uid="{00000000-0004-0000-0100-000004010000}"/>
    <hyperlink ref="E426" r:id="rId262" xr:uid="{00000000-0004-0000-0100-000005010000}"/>
    <hyperlink ref="E427" r:id="rId263" location=":~:text=JW%2C%20GF:%20What%20are%20some,us%20a%20lot%20of%20motivation." xr:uid="{00000000-0004-0000-0100-000006010000}"/>
    <hyperlink ref="E428" r:id="rId264" xr:uid="{00000000-0004-0000-0100-000007010000}"/>
    <hyperlink ref="E430" r:id="rId265" location=":~:text=Vellum's%20Inspirations,chapter%20of%20the%20original%20series." xr:uid="{00000000-0004-0000-0100-000008010000}"/>
    <hyperlink ref="E432" r:id="rId266" xr:uid="{00000000-0004-0000-0100-000009010000}"/>
    <hyperlink ref="E433" r:id="rId267" xr:uid="{00000000-0004-0000-0100-00000A010000}"/>
    <hyperlink ref="E434" r:id="rId268" xr:uid="{00000000-0004-0000-0100-00000B010000}"/>
    <hyperlink ref="E435" r:id="rId269" xr:uid="{00000000-0004-0000-0100-00000C010000}"/>
    <hyperlink ref="E437" r:id="rId270" xr:uid="{00000000-0004-0000-0100-00000D010000}"/>
    <hyperlink ref="E438" r:id="rId271" xr:uid="{00000000-0004-0000-0100-00000E010000}"/>
    <hyperlink ref="E440" r:id="rId272" xr:uid="{00000000-0004-0000-0100-00000F010000}"/>
    <hyperlink ref="E441" r:id="rId273" xr:uid="{00000000-0004-0000-0100-000010010000}"/>
    <hyperlink ref="E443" r:id="rId274" xr:uid="{00000000-0004-0000-0100-000011010000}"/>
    <hyperlink ref="E444" r:id="rId275" xr:uid="{00000000-0004-0000-0100-000012010000}"/>
    <hyperlink ref="E446" r:id="rId276" location=":~:text=JW%2C%20GF:%20What%20are%20some,us%20a%20lot%20of%20motivation." xr:uid="{00000000-0004-0000-0100-000013010000}"/>
    <hyperlink ref="E449" r:id="rId277" xr:uid="{00000000-0004-0000-0100-000014010000}"/>
    <hyperlink ref="E450" r:id="rId278" location=":~:text=Death%20Must%20Die%20opens%20up,appropriation%2C%20even%20a%20love%20letter." xr:uid="{00000000-0004-0000-0100-000015010000}"/>
    <hyperlink ref="E451" r:id="rId279" xr:uid="{00000000-0004-0000-0100-000016010000}"/>
    <hyperlink ref="E453" r:id="rId280" location=":~:text=A%20big%20of%20Rogue%20Legacy%2C%20Spelunky%2C%20Hades.,kinda%20got%20inspiration%20from%20all%20of%20them." xr:uid="{00000000-0004-0000-0100-000017010000}"/>
    <hyperlink ref="E455" r:id="rId281" xr:uid="{00000000-0004-0000-0100-000018010000}"/>
    <hyperlink ref="E456" r:id="rId282" xr:uid="{00000000-0004-0000-0100-000019010000}"/>
    <hyperlink ref="E459" r:id="rId283" location=":~:text=Have%20a%20Nice%20Death%20also,movies%2C%20shorts%2C%20and%20ads." xr:uid="{00000000-0004-0000-0100-00001A010000}"/>
    <hyperlink ref="E460" r:id="rId284" xr:uid="{00000000-0004-0000-0100-00001B010000}"/>
    <hyperlink ref="E461" r:id="rId285" xr:uid="{00000000-0004-0000-0100-00001C010000}"/>
    <hyperlink ref="E462" r:id="rId286" xr:uid="{00000000-0004-0000-0100-00001D010000}"/>
    <hyperlink ref="E464" r:id="rId287" xr:uid="{00000000-0004-0000-0100-00001E010000}"/>
    <hyperlink ref="E465" r:id="rId288" xr:uid="{00000000-0004-0000-0100-00001F010000}"/>
    <hyperlink ref="E466" r:id="rId289" xr:uid="{00000000-0004-0000-0100-000020010000}"/>
    <hyperlink ref="E471" r:id="rId290" xr:uid="{00000000-0004-0000-0100-000021010000}"/>
    <hyperlink ref="E474" r:id="rId291" xr:uid="{00000000-0004-0000-0100-000022010000}"/>
    <hyperlink ref="E476" r:id="rId292" xr:uid="{00000000-0004-0000-0100-000023010000}"/>
    <hyperlink ref="E477" r:id="rId293" xr:uid="{00000000-0004-0000-0100-000024010000}"/>
    <hyperlink ref="E478" r:id="rId294" xr:uid="{00000000-0004-0000-0100-000025010000}"/>
    <hyperlink ref="E479" r:id="rId295" location=":~:text=Tape%20to%20Tape%20is%20a,the%20Spire%20and%20NHL%2094!" xr:uid="{00000000-0004-0000-0100-000026010000}"/>
    <hyperlink ref="E480" r:id="rId296" xr:uid="{00000000-0004-0000-0100-000027010000}"/>
    <hyperlink ref="E483" r:id="rId297" location=":~:text=Vellum's%20Inspirations,chapter%20of%20the%20original%20series." xr:uid="{00000000-0004-0000-0100-000028010000}"/>
    <hyperlink ref="E486" r:id="rId298" xr:uid="{00000000-0004-0000-0100-000029010000}"/>
    <hyperlink ref="E487" r:id="rId299" xr:uid="{00000000-0004-0000-0100-00002A010000}"/>
    <hyperlink ref="E492" r:id="rId300" xr:uid="{00000000-0004-0000-0100-00002B010000}"/>
    <hyperlink ref="E495" r:id="rId301" xr:uid="{00000000-0004-0000-0100-00002C010000}"/>
    <hyperlink ref="E496" r:id="rId302" xr:uid="{00000000-0004-0000-0100-00002D010000}"/>
    <hyperlink ref="E497" r:id="rId303" xr:uid="{00000000-0004-0000-0100-00002E010000}"/>
    <hyperlink ref="E499" r:id="rId304" xr:uid="{00000000-0004-0000-0100-00002F010000}"/>
    <hyperlink ref="E500" r:id="rId305" xr:uid="{00000000-0004-0000-0100-000030010000}"/>
    <hyperlink ref="E501" r:id="rId306" xr:uid="{00000000-0004-0000-0100-000031010000}"/>
    <hyperlink ref="E503" r:id="rId307" location="c695373095208229623" xr:uid="{00000000-0004-0000-0100-000032010000}"/>
    <hyperlink ref="E505" r:id="rId308" xr:uid="{00000000-0004-0000-0100-000033010000}"/>
    <hyperlink ref="E507" r:id="rId309" xr:uid="{00000000-0004-0000-0100-000034010000}"/>
    <hyperlink ref="E508" r:id="rId310" xr:uid="{00000000-0004-0000-0100-000035010000}"/>
    <hyperlink ref="E509" r:id="rId311" xr:uid="{00000000-0004-0000-0100-000036010000}"/>
    <hyperlink ref="E510" r:id="rId312" location=":~:text=About%20This%20Game-,ABOUT,and%20'Into%20the%20Breach'." xr:uid="{00000000-0004-0000-0100-000037010000}"/>
    <hyperlink ref="E512" r:id="rId313" location=":~:text=Main%20developer%20Jasper%20Cole%20stated,inventory%20as%20an%20additional%20inspiration." xr:uid="{00000000-0004-0000-0100-000038010000}"/>
    <hyperlink ref="E515" r:id="rId314" xr:uid="{00000000-0004-0000-0100-000039010000}"/>
    <hyperlink ref="E519" r:id="rId315" xr:uid="{00000000-0004-0000-0100-00003A010000}"/>
    <hyperlink ref="E520" r:id="rId316" xr:uid="{00000000-0004-0000-0100-00003B010000}"/>
    <hyperlink ref="E521" r:id="rId317" xr:uid="{00000000-0004-0000-0100-00003C010000}"/>
    <hyperlink ref="E522" r:id="rId318" xr:uid="{00000000-0004-0000-0100-00003D010000}"/>
    <hyperlink ref="E523" r:id="rId319" xr:uid="{00000000-0004-0000-0100-00003E010000}"/>
    <hyperlink ref="E524" r:id="rId320" location="c4335355681661031211" xr:uid="{00000000-0004-0000-0100-00003F010000}"/>
    <hyperlink ref="E526" r:id="rId321" location=":~:text=is%20blowing%20up!-,830%20concurrent%20players%2C%20I%20can't%20believe%20it!,has%20been%20a%20wild%20ride." xr:uid="{00000000-0004-0000-0100-000040010000}"/>
    <hyperlink ref="E528" r:id="rId322" location=":~:text=The%20Last%20Spell's%20unique%20blend,build%20characters%20however%20they%20want." xr:uid="{00000000-0004-0000-0100-000041010000}"/>
    <hyperlink ref="E529" r:id="rId323" xr:uid="{00000000-0004-0000-0100-000042010000}"/>
    <hyperlink ref="E530" r:id="rId324" xr:uid="{00000000-0004-0000-0100-000043010000}"/>
    <hyperlink ref="E533" r:id="rId325" location="c4346617656897843847" xr:uid="{00000000-0004-0000-0100-000044010000}"/>
    <hyperlink ref="E536" r:id="rId326" xr:uid="{00000000-0004-0000-0100-000045010000}"/>
    <hyperlink ref="E537" r:id="rId327" xr:uid="{00000000-0004-0000-0100-000046010000}"/>
    <hyperlink ref="E538" r:id="rId328" xr:uid="{00000000-0004-0000-0100-000047010000}"/>
    <hyperlink ref="E539" r:id="rId329" xr:uid="{00000000-0004-0000-0100-000048010000}"/>
    <hyperlink ref="E540" r:id="rId330" xr:uid="{00000000-0004-0000-0100-000049010000}"/>
    <hyperlink ref="E541" r:id="rId331" xr:uid="{00000000-0004-0000-0100-00004A010000}"/>
    <hyperlink ref="E542" r:id="rId332" xr:uid="{00000000-0004-0000-0100-00004B010000}"/>
    <hyperlink ref="E543" r:id="rId333" xr:uid="{00000000-0004-0000-0100-00004C010000}"/>
    <hyperlink ref="E544" r:id="rId334" xr:uid="{00000000-0004-0000-0100-00004D010000}"/>
    <hyperlink ref="E546" r:id="rId335" xr:uid="{00000000-0004-0000-0100-00004E010000}"/>
    <hyperlink ref="E550" r:id="rId336" xr:uid="{00000000-0004-0000-0100-00004F010000}"/>
    <hyperlink ref="E553" r:id="rId337" xr:uid="{00000000-0004-0000-0100-000050010000}"/>
    <hyperlink ref="E554" r:id="rId338" xr:uid="{00000000-0004-0000-0100-000051010000}"/>
    <hyperlink ref="E559" r:id="rId339" xr:uid="{00000000-0004-0000-0100-000052010000}"/>
    <hyperlink ref="E560" r:id="rId340" xr:uid="{00000000-0004-0000-0100-000053010000}"/>
    <hyperlink ref="E561" r:id="rId341" xr:uid="{00000000-0004-0000-0100-000054010000}"/>
    <hyperlink ref="E562"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3" r:id="rId343" xr:uid="{00000000-0004-0000-0100-000056010000}"/>
    <hyperlink ref="E565" r:id="rId344" xr:uid="{00000000-0004-0000-0100-000057010000}"/>
    <hyperlink ref="E566" r:id="rId345" xr:uid="{00000000-0004-0000-0100-000058010000}"/>
    <hyperlink ref="E567" r:id="rId346" location=":~:text=The%20game%20was%20inspired%20by,assets%2C%20art%2C%20and%20music." xr:uid="{00000000-0004-0000-0100-000059010000}"/>
    <hyperlink ref="E577" r:id="rId347" xr:uid="{00000000-0004-0000-0100-00005A010000}"/>
    <hyperlink ref="E579" r:id="rId348" xr:uid="{00000000-0004-0000-0100-00005B010000}"/>
    <hyperlink ref="E582" r:id="rId349" xr:uid="{00000000-0004-0000-0100-00005C010000}"/>
    <hyperlink ref="E583" r:id="rId350" xr:uid="{00000000-0004-0000-0100-00005D010000}"/>
    <hyperlink ref="E585" r:id="rId351" xr:uid="{00000000-0004-0000-0100-00005E010000}"/>
    <hyperlink ref="E587" r:id="rId352" xr:uid="{00000000-0004-0000-0100-00005F010000}"/>
    <hyperlink ref="E591" r:id="rId353" xr:uid="{00000000-0004-0000-0100-000060010000}"/>
    <hyperlink ref="E593" r:id="rId354" xr:uid="{00000000-0004-0000-0100-000061010000}"/>
    <hyperlink ref="E594" r:id="rId355" xr:uid="{00000000-0004-0000-0100-000062010000}"/>
    <hyperlink ref="E595" r:id="rId356" xr:uid="{00000000-0004-0000-0100-000063010000}"/>
    <hyperlink ref="E598" r:id="rId357" xr:uid="{00000000-0004-0000-0100-000064010000}"/>
    <hyperlink ref="E599" r:id="rId358" xr:uid="{00000000-0004-0000-0100-000065010000}"/>
    <hyperlink ref="E601" r:id="rId359" location=":~:text=House%20of%20Necrosis%20is%20a,Linux)%20and%20the%20Steam%20Deck" xr:uid="{00000000-0004-0000-0100-000066010000}"/>
    <hyperlink ref="E602" r:id="rId360" xr:uid="{00000000-0004-0000-0100-000067010000}"/>
    <hyperlink ref="E605" r:id="rId361" xr:uid="{00000000-0004-0000-0100-000068010000}"/>
    <hyperlink ref="E606" r:id="rId362" xr:uid="{00000000-0004-0000-0100-000069010000}"/>
    <hyperlink ref="E607" r:id="rId363" xr:uid="{00000000-0004-0000-0100-00006A010000}"/>
    <hyperlink ref="E610" r:id="rId364" xr:uid="{00000000-0004-0000-0100-00006B010000}"/>
    <hyperlink ref="E611" r:id="rId365" xr:uid="{00000000-0004-0000-0100-00006C010000}"/>
    <hyperlink ref="E612" r:id="rId366" xr:uid="{00000000-0004-0000-0100-00006D010000}"/>
    <hyperlink ref="E613" r:id="rId367" xr:uid="{00000000-0004-0000-0100-00006E010000}"/>
    <hyperlink ref="E614" r:id="rId368" xr:uid="{00000000-0004-0000-0100-00006F010000}"/>
    <hyperlink ref="E616" r:id="rId369" xr:uid="{00000000-0004-0000-0100-000070010000}"/>
    <hyperlink ref="E617" r:id="rId370" xr:uid="{00000000-0004-0000-0100-000071010000}"/>
    <hyperlink ref="E620" r:id="rId371" xr:uid="{00000000-0004-0000-0100-000072010000}"/>
    <hyperlink ref="E622" r:id="rId372" xr:uid="{00000000-0004-0000-0100-000073010000}"/>
    <hyperlink ref="E624" r:id="rId373" xr:uid="{00000000-0004-0000-0100-000074010000}"/>
    <hyperlink ref="E625" r:id="rId374" xr:uid="{00000000-0004-0000-0100-000075010000}"/>
    <hyperlink ref="E629" r:id="rId375" xr:uid="{00000000-0004-0000-0100-000076010000}"/>
    <hyperlink ref="E630" r:id="rId376" xr:uid="{00000000-0004-0000-0100-000077010000}"/>
    <hyperlink ref="E631" r:id="rId377" xr:uid="{00000000-0004-0000-0100-000078010000}"/>
    <hyperlink ref="E632" r:id="rId378" xr:uid="{00000000-0004-0000-0100-000079010000}"/>
    <hyperlink ref="E635" r:id="rId379" xr:uid="{00000000-0004-0000-0100-00007A010000}"/>
    <hyperlink ref="E636" r:id="rId380" xr:uid="{00000000-0004-0000-0100-00007B010000}"/>
    <hyperlink ref="E637" r:id="rId381" xr:uid="{00000000-0004-0000-0100-00007C010000}"/>
    <hyperlink ref="E638" r:id="rId382" xr:uid="{00000000-0004-0000-0100-00007D010000}"/>
    <hyperlink ref="E641" r:id="rId383" xr:uid="{00000000-0004-0000-0100-00007E010000}"/>
    <hyperlink ref="E642" r:id="rId384" location="c574921459914427191" xr:uid="{00000000-0004-0000-0100-00007F010000}"/>
    <hyperlink ref="E643" r:id="rId385" xr:uid="{00000000-0004-0000-0100-000080010000}"/>
    <hyperlink ref="E645" r:id="rId386" xr:uid="{00000000-0004-0000-0100-000081010000}"/>
    <hyperlink ref="E646" r:id="rId387" xr:uid="{00000000-0004-0000-0100-000082010000}"/>
    <hyperlink ref="E647" r:id="rId388" xr:uid="{00000000-0004-0000-0100-000083010000}"/>
    <hyperlink ref="E649" r:id="rId389" location=":~:text=I%20got%20addicted%20to%20Stardew,simply%20stat%20upgrades%20or%20something)." xr:uid="{00000000-0004-0000-0100-000084010000}"/>
    <hyperlink ref="E652" r:id="rId390" xr:uid="{00000000-0004-0000-0100-000085010000}"/>
    <hyperlink ref="E653" r:id="rId391" location=":~:text=Though%20Crooks%20stated%20that%20The,Souls%2C%20and%20Metal%20Gear%20Solid." xr:uid="{00000000-0004-0000-0100-000086010000}"/>
    <hyperlink ref="E654" r:id="rId392" xr:uid="{00000000-0004-0000-0100-000087010000}"/>
    <hyperlink ref="E655" r:id="rId393" xr:uid="{00000000-0004-0000-0100-000088010000}"/>
    <hyperlink ref="E656" r:id="rId394" location=":~:text=As%20inspiration%20from%20different%20games,dangerous%20to%20go%20alone%22%20line." xr:uid="{00000000-0004-0000-0100-000089010000}"/>
    <hyperlink ref="E657" r:id="rId395" xr:uid="{00000000-0004-0000-0100-00008A010000}"/>
    <hyperlink ref="E658" r:id="rId396" location=":~:text=Odinfall%20Early%20Access%20on%20Steam&amp;text=According%20to%20Oscar%20Axelsson%20from,Throne%20and%20Enter%20the%20Gungeon." xr:uid="{00000000-0004-0000-0100-00008B010000}"/>
    <hyperlink ref="E659" r:id="rId397" xr:uid="{00000000-0004-0000-0100-00008C010000}"/>
    <hyperlink ref="E661" r:id="rId398" xr:uid="{00000000-0004-0000-0100-00008D010000}"/>
    <hyperlink ref="E663" r:id="rId399" xr:uid="{00000000-0004-0000-0100-00008E010000}"/>
    <hyperlink ref="E665" r:id="rId400" xr:uid="{00000000-0004-0000-0100-00008F010000}"/>
    <hyperlink ref="E669" r:id="rId401" xr:uid="{00000000-0004-0000-0100-000090010000}"/>
    <hyperlink ref="E670" r:id="rId402" xr:uid="{00000000-0004-0000-0100-000091010000}"/>
    <hyperlink ref="E675" r:id="rId403" xr:uid="{00000000-0004-0000-0100-000092010000}"/>
    <hyperlink ref="E676" r:id="rId404" xr:uid="{00000000-0004-0000-0100-000093010000}"/>
    <hyperlink ref="E677" r:id="rId405" xr:uid="{00000000-0004-0000-0100-000094010000}"/>
    <hyperlink ref="E678" r:id="rId406" xr:uid="{00000000-0004-0000-0100-000095010000}"/>
    <hyperlink ref="E679" r:id="rId407" xr:uid="{00000000-0004-0000-0100-000096010000}"/>
    <hyperlink ref="E680" r:id="rId408" xr:uid="{00000000-0004-0000-0100-000097010000}"/>
    <hyperlink ref="E681" r:id="rId409" xr:uid="{00000000-0004-0000-0100-000098010000}"/>
    <hyperlink ref="E682" r:id="rId410" xr:uid="{00000000-0004-0000-0100-000099010000}"/>
    <hyperlink ref="E686" r:id="rId411" xr:uid="{00000000-0004-0000-0100-00009A010000}"/>
    <hyperlink ref="E691" r:id="rId412" xr:uid="{00000000-0004-0000-0100-00009B010000}"/>
    <hyperlink ref="E692" r:id="rId413" xr:uid="{00000000-0004-0000-0100-00009C010000}"/>
    <hyperlink ref="E693" r:id="rId414" xr:uid="{00000000-0004-0000-0100-00009D010000}"/>
    <hyperlink ref="E694" r:id="rId415" xr:uid="{00000000-0004-0000-0100-00009E010000}"/>
    <hyperlink ref="E695" r:id="rId416" xr:uid="{00000000-0004-0000-0100-00009F010000}"/>
    <hyperlink ref="E696" r:id="rId417" xr:uid="{00000000-0004-0000-0100-0000A0010000}"/>
    <hyperlink ref="E697" r:id="rId418" xr:uid="{00000000-0004-0000-0100-0000A1010000}"/>
    <hyperlink ref="E698" r:id="rId419" xr:uid="{00000000-0004-0000-0100-0000A2010000}"/>
    <hyperlink ref="E699" r:id="rId420" xr:uid="{00000000-0004-0000-0100-0000A3010000}"/>
    <hyperlink ref="E700" r:id="rId421" location=":~:text=MOBAs%20were%20a%20key%20inspiration,like%20action%20roguelites%20in%20general." xr:uid="{00000000-0004-0000-0100-0000A4010000}"/>
    <hyperlink ref="E704" r:id="rId422" xr:uid="{00000000-0004-0000-0100-0000A5010000}"/>
    <hyperlink ref="E705" r:id="rId423" xr:uid="{00000000-0004-0000-0100-0000A6010000}"/>
    <hyperlink ref="E712" r:id="rId424" xr:uid="{00000000-0004-0000-0100-0000A7010000}"/>
    <hyperlink ref="E716" r:id="rId425" location=":~:text=MOBAs%20were%20a%20key%20inspiration,like%20action%20roguelites%20in%20general." xr:uid="{00000000-0004-0000-0100-0000A8010000}"/>
    <hyperlink ref="E717" r:id="rId426" xr:uid="{00000000-0004-0000-0100-0000A9010000}"/>
    <hyperlink ref="E719" r:id="rId427" xr:uid="{00000000-0004-0000-0100-0000AA010000}"/>
    <hyperlink ref="E720" r:id="rId428" location="c595137684887857500" xr:uid="{00000000-0004-0000-0100-0000AB010000}"/>
    <hyperlink ref="E723" r:id="rId429" xr:uid="{00000000-0004-0000-0100-0000AC010000}"/>
    <hyperlink ref="E726" r:id="rId430" xr:uid="{00000000-0004-0000-0100-0000AD010000}"/>
    <hyperlink ref="E729" r:id="rId431" xr:uid="{00000000-0004-0000-0100-0000AE010000}"/>
    <hyperlink ref="E730" r:id="rId432" xr:uid="{00000000-0004-0000-0100-0000AF010000}"/>
    <hyperlink ref="E731" r:id="rId433" xr:uid="{00000000-0004-0000-0100-0000B0010000}"/>
    <hyperlink ref="E733" r:id="rId434" location=":~:text=Vellum's%20Inspirations,chapter%20of%20the%20original%20series." xr:uid="{00000000-0004-0000-0100-0000B1010000}"/>
    <hyperlink ref="E734" r:id="rId435" location=":~:text=JW%2C%20GF:%20What%20are%20some,us%20a%20lot%20of%20motivation." xr:uid="{00000000-0004-0000-0100-0000B2010000}"/>
    <hyperlink ref="E735" r:id="rId436" xr:uid="{00000000-0004-0000-0100-0000B3010000}"/>
    <hyperlink ref="E736" r:id="rId437" xr:uid="{00000000-0004-0000-0100-0000B4010000}"/>
    <hyperlink ref="E737" r:id="rId438" xr:uid="{00000000-0004-0000-0100-0000B5010000}"/>
    <hyperlink ref="E739" r:id="rId439" xr:uid="{00000000-0004-0000-0100-0000B6010000}"/>
    <hyperlink ref="E740" r:id="rId440" xr:uid="{00000000-0004-0000-0100-0000B7010000}"/>
    <hyperlink ref="E741" r:id="rId441" location=":~:text=Fatal%20Labyrinth%20is%20Sega's%20first,is%20a%20game%2Dbreaking%20affair.%20Also%20it%20shares%20a%20lot%20of%20similarities" xr:uid="{00000000-0004-0000-0100-0000B8010000}"/>
    <hyperlink ref="E742" r:id="rId442" xr:uid="{00000000-0004-0000-0100-0000B9010000}"/>
    <hyperlink ref="E744" r:id="rId443" xr:uid="{00000000-0004-0000-0100-0000BA010000}"/>
    <hyperlink ref="E746" r:id="rId444" xr:uid="{00000000-0004-0000-0100-0000BB010000}"/>
    <hyperlink ref="E748" r:id="rId445" xr:uid="{00000000-0004-0000-0100-0000BC010000}"/>
    <hyperlink ref="E751" r:id="rId446" xr:uid="{00000000-0004-0000-0100-0000BD010000}"/>
    <hyperlink ref="E752" r:id="rId447" location=":~:text=Apparently%2C%20Ota%20was%20a%20well%20known%20figure,to%20connect%20Tokyo's%20three%20main%20universities%20that" xr:uid="{00000000-0004-0000-0100-0000BE010000}"/>
    <hyperlink ref="E753" r:id="rId448" xr:uid="{00000000-0004-0000-0100-0000BF010000}"/>
    <hyperlink ref="E754" r:id="rId449" xr:uid="{00000000-0004-0000-0100-0000C0010000}"/>
    <hyperlink ref="E755" r:id="rId450" xr:uid="{00000000-0004-0000-0100-0000C1010000}"/>
    <hyperlink ref="E756" r:id="rId451" location=":~:text=Apparently%2C%20Ota%20was%20a%20well%20known%20figure,to%20connect%20Tokyo's%20three%20main%20universities%20that" xr:uid="{00000000-0004-0000-0100-0000C2010000}"/>
    <hyperlink ref="E757" r:id="rId452" xr:uid="{00000000-0004-0000-0100-0000C3010000}"/>
    <hyperlink ref="E758" r:id="rId453" xr:uid="{00000000-0004-0000-0100-0000C4010000}"/>
    <hyperlink ref="E759" r:id="rId454" xr:uid="{00000000-0004-0000-0100-0000C5010000}"/>
    <hyperlink ref="E760" r:id="rId455" xr:uid="{00000000-0004-0000-0100-0000C6010000}"/>
    <hyperlink ref="E761" r:id="rId456" location=":~:text=A%20big%20of%20Rogue%20Legacy%2C%20Spelunky%2C%20Hades.,kinda%20got%20inspiration%20from%20all%20of%20them." xr:uid="{00000000-0004-0000-0100-0000C7010000}"/>
    <hyperlink ref="E763" r:id="rId457" location=":~:text=Fury%20Unleashed%20was%20created%20by,like%20Contra%20and%20Metal%20Slug." xr:uid="{00000000-0004-0000-0100-0000C8010000}"/>
    <hyperlink ref="E764" r:id="rId458" xr:uid="{00000000-0004-0000-0100-0000C9010000}"/>
    <hyperlink ref="E765" r:id="rId459" xr:uid="{00000000-0004-0000-0100-0000CA010000}"/>
    <hyperlink ref="E766" r:id="rId460" xr:uid="{00000000-0004-0000-0100-0000CB010000}"/>
    <hyperlink ref="E768" r:id="rId461" xr:uid="{00000000-0004-0000-0100-0000CC010000}"/>
    <hyperlink ref="E769" r:id="rId462" location="c1693785035807819716" xr:uid="{00000000-0004-0000-0100-0000CD010000}"/>
    <hyperlink ref="E772" r:id="rId463" xr:uid="{00000000-0004-0000-0100-0000CE010000}"/>
    <hyperlink ref="E774" r:id="rId464" xr:uid="{00000000-0004-0000-0100-0000CF010000}"/>
    <hyperlink ref="E775" r:id="rId465" location=":~:text=RollScape%20is%20a%20game%20inspired,I%20played%20throughout%20the%20years." xr:uid="{00000000-0004-0000-0100-0000D0010000}"/>
    <hyperlink ref="E777" r:id="rId466" xr:uid="{00000000-0004-0000-0100-0000D1010000}"/>
    <hyperlink ref="E779" r:id="rId467" xr:uid="{00000000-0004-0000-0100-0000D2010000}"/>
    <hyperlink ref="E787" r:id="rId468" xr:uid="{00000000-0004-0000-0100-0000D3010000}"/>
    <hyperlink ref="E789" r:id="rId469" xr:uid="{00000000-0004-0000-0100-0000D4010000}"/>
    <hyperlink ref="E790" r:id="rId470" xr:uid="{00000000-0004-0000-0100-0000D5010000}"/>
    <hyperlink ref="E791" r:id="rId471" xr:uid="{00000000-0004-0000-0100-0000D6010000}"/>
    <hyperlink ref="E793" r:id="rId472" xr:uid="{00000000-0004-0000-0100-0000D7010000}"/>
    <hyperlink ref="E794" r:id="rId473" xr:uid="{00000000-0004-0000-0100-0000D8010000}"/>
    <hyperlink ref="E795" r:id="rId474" xr:uid="{00000000-0004-0000-0100-0000D9010000}"/>
    <hyperlink ref="E797" r:id="rId475" location=":~:text=About%20This%20Game-,ABOUT,and%20'Into%20the%20Breach'." xr:uid="{00000000-0004-0000-0100-0000DA010000}"/>
    <hyperlink ref="E798" r:id="rId476" xr:uid="{00000000-0004-0000-0100-0000DB010000}"/>
    <hyperlink ref="E799" r:id="rId477" xr:uid="{00000000-0004-0000-0100-0000DC010000}"/>
    <hyperlink ref="E800" r:id="rId478" xr:uid="{00000000-0004-0000-0100-0000DD010000}"/>
    <hyperlink ref="E802" r:id="rId479" location=":~:text=Inspired%20by%20rogue%2Dlite%20games,set%20of%20attacks%20and%20spells." xr:uid="{00000000-0004-0000-0100-0000DE010000}"/>
    <hyperlink ref="E803" r:id="rId480" xr:uid="{00000000-0004-0000-0100-0000DF010000}"/>
    <hyperlink ref="E804" r:id="rId481" location=":~:text=I%20got%20addicted%20to%20Stardew,simply%20stat%20upgrades%20or%20something)." xr:uid="{00000000-0004-0000-0100-0000E0010000}"/>
    <hyperlink ref="E807" r:id="rId482" xr:uid="{00000000-0004-0000-0100-0000E1010000}"/>
    <hyperlink ref="E808" r:id="rId483" location=":~:text=What%20they%20said%20about%20it,rewards%20that%20come%20with%20them." xr:uid="{00000000-0004-0000-0100-0000E2010000}"/>
    <hyperlink ref="E809" r:id="rId484" xr:uid="{00000000-0004-0000-0100-0000E3010000}"/>
    <hyperlink ref="E810" r:id="rId485" xr:uid="{00000000-0004-0000-0100-0000E4010000}"/>
    <hyperlink ref="E813" r:id="rId486" xr:uid="{00000000-0004-0000-0100-0000E5010000}"/>
    <hyperlink ref="E814" r:id="rId487" location="c6027566653452797874" xr:uid="{00000000-0004-0000-0100-0000E6010000}"/>
    <hyperlink ref="E816" r:id="rId488" xr:uid="{00000000-0004-0000-0100-0000E7010000}"/>
    <hyperlink ref="E817" r:id="rId489" xr:uid="{00000000-0004-0000-0100-0000E8010000}"/>
    <hyperlink ref="E819" r:id="rId490" xr:uid="{00000000-0004-0000-0100-0000E9010000}"/>
    <hyperlink ref="E821" r:id="rId491" xr:uid="{00000000-0004-0000-0100-0000EA010000}"/>
    <hyperlink ref="E822" r:id="rId492" location=":~:text=Oh%20and%20did%20I%20mention,insanely%20replayable%20for%20similar%20reasons." xr:uid="{00000000-0004-0000-0100-0000EB010000}"/>
    <hyperlink ref="E824" r:id="rId493" xr:uid="{00000000-0004-0000-0100-0000EC010000}"/>
    <hyperlink ref="E825" r:id="rId494" xr:uid="{00000000-0004-0000-0100-0000ED010000}"/>
    <hyperlink ref="E826" r:id="rId495" xr:uid="{00000000-0004-0000-0100-0000EE010000}"/>
    <hyperlink ref="E827" r:id="rId496" xr:uid="{00000000-0004-0000-0100-0000EF010000}"/>
    <hyperlink ref="E829" r:id="rId497" xr:uid="{00000000-0004-0000-0100-0000F0010000}"/>
    <hyperlink ref="E831" r:id="rId498" xr:uid="{00000000-0004-0000-0100-0000F1010000}"/>
    <hyperlink ref="E832" r:id="rId499" xr:uid="{00000000-0004-0000-0100-0000F2010000}"/>
    <hyperlink ref="E834" r:id="rId500" xr:uid="{00000000-0004-0000-0100-0000F3010000}"/>
    <hyperlink ref="E836" r:id="rId501" xr:uid="{00000000-0004-0000-0100-0000F4010000}"/>
    <hyperlink ref="E837" r:id="rId502" xr:uid="{00000000-0004-0000-0100-0000F5010000}"/>
    <hyperlink ref="E839" r:id="rId503" xr:uid="{00000000-0004-0000-0100-0000F6010000}"/>
    <hyperlink ref="E844" r:id="rId504" xr:uid="{00000000-0004-0000-0100-0000F7010000}"/>
    <hyperlink ref="E845" r:id="rId505" xr:uid="{00000000-0004-0000-0100-0000F8010000}"/>
    <hyperlink ref="E846" r:id="rId506" xr:uid="{00000000-0004-0000-0100-0000F9010000}"/>
    <hyperlink ref="E847" r:id="rId507" xr:uid="{00000000-0004-0000-0100-0000FA010000}"/>
    <hyperlink ref="E849" r:id="rId508" xr:uid="{00000000-0004-0000-0100-0000FB010000}"/>
    <hyperlink ref="E852" r:id="rId509" xr:uid="{00000000-0004-0000-0100-0000FC010000}"/>
    <hyperlink ref="E853" r:id="rId510" xr:uid="{00000000-0004-0000-0100-0000FD010000}"/>
    <hyperlink ref="E856" r:id="rId511" xr:uid="{00000000-0004-0000-0100-0000FE010000}"/>
    <hyperlink ref="E858" r:id="rId512" xr:uid="{00000000-0004-0000-0100-0000FF010000}"/>
    <hyperlink ref="E862" r:id="rId513" xr:uid="{00000000-0004-0000-0100-000000020000}"/>
    <hyperlink ref="E863" r:id="rId514" location="c3194745319530070972" xr:uid="{00000000-0004-0000-0100-000001020000}"/>
    <hyperlink ref="E865" r:id="rId515" location=":~:text=Dan%20DiIorio%20developed%20Luck%20Be,pondering%20why%20rent%20was%20necessary." xr:uid="{00000000-0004-0000-0100-000002020000}"/>
    <hyperlink ref="E866" r:id="rId516" xr:uid="{00000000-0004-0000-0100-000003020000}"/>
    <hyperlink ref="E867" r:id="rId517" xr:uid="{00000000-0004-0000-0100-000004020000}"/>
    <hyperlink ref="E869" r:id="rId518" xr:uid="{00000000-0004-0000-0100-000005020000}"/>
    <hyperlink ref="E870" r:id="rId519" xr:uid="{00000000-0004-0000-0100-000006020000}"/>
    <hyperlink ref="E872" r:id="rId520" xr:uid="{00000000-0004-0000-0100-000007020000}"/>
    <hyperlink ref="E873" r:id="rId521" xr:uid="{00000000-0004-0000-0100-000008020000}"/>
    <hyperlink ref="E875" r:id="rId522" xr:uid="{00000000-0004-0000-0100-000009020000}"/>
    <hyperlink ref="E878" r:id="rId523" xr:uid="{00000000-0004-0000-0100-00000A020000}"/>
    <hyperlink ref="E881" r:id="rId524" xr:uid="{00000000-0004-0000-0100-00000B020000}"/>
    <hyperlink ref="E882" r:id="rId525" location=":~:text=As%20design%20of%20the%20game,Bandicoot%20and%20Donkey%20Kong%20Country." xr:uid="{00000000-0004-0000-0100-00000C020000}"/>
    <hyperlink ref="E884" r:id="rId526" xr:uid="{00000000-0004-0000-0100-00000D020000}"/>
    <hyperlink ref="E886" r:id="rId527" xr:uid="{00000000-0004-0000-0100-00000E020000}"/>
    <hyperlink ref="E888" r:id="rId528" xr:uid="{00000000-0004-0000-0100-00000F020000}"/>
    <hyperlink ref="E889" r:id="rId529" xr:uid="{00000000-0004-0000-0100-000010020000}"/>
    <hyperlink ref="E891" r:id="rId530" xr:uid="{00000000-0004-0000-0100-000011020000}"/>
    <hyperlink ref="E893" r:id="rId531" location="c4335355681661031211" xr:uid="{00000000-0004-0000-0100-000012020000}"/>
    <hyperlink ref="E89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6" r:id="rId533" xr:uid="{00000000-0004-0000-0100-000014020000}"/>
    <hyperlink ref="E897" r:id="rId534" xr:uid="{00000000-0004-0000-0100-000015020000}"/>
    <hyperlink ref="E898" r:id="rId535" xr:uid="{00000000-0004-0000-0100-000016020000}"/>
    <hyperlink ref="E899" r:id="rId536" xr:uid="{00000000-0004-0000-0100-000017020000}"/>
    <hyperlink ref="E904" r:id="rId537" xr:uid="{00000000-0004-0000-0100-000018020000}"/>
    <hyperlink ref="E905" r:id="rId538" xr:uid="{00000000-0004-0000-0100-000019020000}"/>
    <hyperlink ref="E909" r:id="rId539" xr:uid="{00000000-0004-0000-0100-00001A020000}"/>
    <hyperlink ref="E910" r:id="rId540" xr:uid="{00000000-0004-0000-0100-00001B020000}"/>
    <hyperlink ref="E911" r:id="rId541" location="c3005556719742617866" xr:uid="{00000000-0004-0000-0100-00001C020000}"/>
    <hyperlink ref="E912" r:id="rId542" xr:uid="{00000000-0004-0000-0100-00001D020000}"/>
    <hyperlink ref="E914" r:id="rId543" location=":~:text=hotloopgames-,I%20am%20a%20solo%20developer%20working%20on%20The%20Last%20Flame,plays%20as%20an%20auto%2Dbattler." xr:uid="{00000000-0004-0000-0100-00001E020000}"/>
    <hyperlink ref="E916" r:id="rId544" xr:uid="{00000000-0004-0000-0100-00001F020000}"/>
    <hyperlink ref="E917" r:id="rId545" xr:uid="{00000000-0004-0000-0100-000020020000}"/>
    <hyperlink ref="E920" r:id="rId546" xr:uid="{00000000-0004-0000-0100-000021020000}"/>
    <hyperlink ref="E923" r:id="rId547" xr:uid="{00000000-0004-0000-0100-000022020000}"/>
    <hyperlink ref="E924" r:id="rId548" xr:uid="{00000000-0004-0000-0100-000023020000}"/>
    <hyperlink ref="E925" r:id="rId549" xr:uid="{00000000-0004-0000-0100-000024020000}"/>
    <hyperlink ref="E927" r:id="rId550" xr:uid="{00000000-0004-0000-0100-000025020000}"/>
    <hyperlink ref="E928" r:id="rId551" xr:uid="{00000000-0004-0000-0100-000026020000}"/>
    <hyperlink ref="E929" r:id="rId552" xr:uid="{00000000-0004-0000-0100-000027020000}"/>
    <hyperlink ref="E930" r:id="rId553" xr:uid="{00000000-0004-0000-0100-000028020000}"/>
    <hyperlink ref="E931" r:id="rId554" xr:uid="{00000000-0004-0000-0100-000029020000}"/>
    <hyperlink ref="E934" r:id="rId555" xr:uid="{00000000-0004-0000-0100-00002A020000}"/>
    <hyperlink ref="E935" r:id="rId556" xr:uid="{00000000-0004-0000-0100-00002B020000}"/>
    <hyperlink ref="E938" r:id="rId557" xr:uid="{00000000-0004-0000-0100-00002C020000}"/>
    <hyperlink ref="E941" r:id="rId558" location=":~:text=As%20inspiration%20from%20different%20games,dangerous%20to%20go%20alone%22%20line." xr:uid="{00000000-0004-0000-0100-00002D020000}"/>
    <hyperlink ref="E948" r:id="rId559" xr:uid="{00000000-0004-0000-0100-00002E020000}"/>
    <hyperlink ref="E950" r:id="rId560" xr:uid="{00000000-0004-0000-0100-00002F020000}"/>
    <hyperlink ref="E951" r:id="rId561" xr:uid="{00000000-0004-0000-0100-000030020000}"/>
    <hyperlink ref="E952" r:id="rId562" xr:uid="{00000000-0004-0000-0100-000031020000}"/>
    <hyperlink ref="E953" r:id="rId563" xr:uid="{00000000-0004-0000-0100-000032020000}"/>
    <hyperlink ref="E954" r:id="rId564" xr:uid="{00000000-0004-0000-0100-000033020000}"/>
    <hyperlink ref="E956" r:id="rId565" location=":~:text=Much%20of%20the%20game%20was,similar%20gameplay%20would%20be%20like." xr:uid="{00000000-0004-0000-0100-000034020000}"/>
    <hyperlink ref="E957" r:id="rId566" location=":~:text=A%20big%20of%20Rogue%20Legacy%2C%20Spelunky%2C%20Hades.,kinda%20got%20inspiration%20from%20all%20of%20them." xr:uid="{00000000-0004-0000-0100-000035020000}"/>
    <hyperlink ref="E958" r:id="rId567" xr:uid="{00000000-0004-0000-0100-000036020000}"/>
    <hyperlink ref="E964" r:id="rId568" xr:uid="{00000000-0004-0000-0100-000037020000}"/>
    <hyperlink ref="E965" r:id="rId569" xr:uid="{00000000-0004-0000-0100-000038020000}"/>
    <hyperlink ref="E966" r:id="rId570" xr:uid="{00000000-0004-0000-0100-000039020000}"/>
    <hyperlink ref="E967" r:id="rId571" xr:uid="{00000000-0004-0000-0100-00003A020000}"/>
    <hyperlink ref="E968" r:id="rId572" xr:uid="{00000000-0004-0000-0100-00003B020000}"/>
    <hyperlink ref="E970" r:id="rId573" xr:uid="{00000000-0004-0000-0100-00003C020000}"/>
    <hyperlink ref="E971" r:id="rId574" location=":~:text=The%20game%20was%20developed%20by,development%2C%20including%20an%20experience%20system." xr:uid="{00000000-0004-0000-0100-00003D020000}"/>
    <hyperlink ref="E972" r:id="rId575" xr:uid="{00000000-0004-0000-0100-00003E020000}"/>
    <hyperlink ref="E975" r:id="rId576" xr:uid="{00000000-0004-0000-0100-00003F020000}"/>
    <hyperlink ref="E976" r:id="rId577" xr:uid="{00000000-0004-0000-0100-000040020000}"/>
    <hyperlink ref="E977" r:id="rId578" location=":~:text=Lead%20designer%20Matt%20Dabrowski%20credited,inspirations%20for%20Streets%20of%20Rogue." xr:uid="{00000000-0004-0000-0100-000041020000}"/>
    <hyperlink ref="E978" r:id="rId579" xr:uid="{00000000-0004-0000-0100-000042020000}"/>
    <hyperlink ref="E980" r:id="rId580" xr:uid="{00000000-0004-0000-0100-000043020000}"/>
    <hyperlink ref="E981" r:id="rId581" xr:uid="{00000000-0004-0000-0100-000044020000}"/>
    <hyperlink ref="E984" r:id="rId582" xr:uid="{00000000-0004-0000-0100-000045020000}"/>
    <hyperlink ref="E986" r:id="rId583" xr:uid="{00000000-0004-0000-0100-000046020000}"/>
    <hyperlink ref="E991" r:id="rId584" xr:uid="{00000000-0004-0000-0100-000047020000}"/>
    <hyperlink ref="E994" r:id="rId585" xr:uid="{00000000-0004-0000-0100-000048020000}"/>
    <hyperlink ref="E999" r:id="rId586" xr:uid="{00000000-0004-0000-0100-000049020000}"/>
    <hyperlink ref="E1000" r:id="rId587" xr:uid="{00000000-0004-0000-0100-00004A020000}"/>
    <hyperlink ref="E1001" r:id="rId588" xr:uid="{00000000-0004-0000-0100-00004B020000}"/>
    <hyperlink ref="E1003" r:id="rId589" xr:uid="{00000000-0004-0000-0100-00004C020000}"/>
    <hyperlink ref="E1006" r:id="rId590" xr:uid="{00000000-0004-0000-0100-00004D020000}"/>
    <hyperlink ref="E1007" r:id="rId591" xr:uid="{00000000-0004-0000-0100-00004E020000}"/>
    <hyperlink ref="E1009" r:id="rId592" xr:uid="{00000000-0004-0000-0100-00004F020000}"/>
    <hyperlink ref="E1011" r:id="rId593" xr:uid="{00000000-0004-0000-0100-000050020000}"/>
    <hyperlink ref="E1012" r:id="rId594" xr:uid="{00000000-0004-0000-0100-000051020000}"/>
    <hyperlink ref="E1013" r:id="rId595" xr:uid="{00000000-0004-0000-0100-000052020000}"/>
    <hyperlink ref="E1014" r:id="rId596" xr:uid="{00000000-0004-0000-0100-000053020000}"/>
    <hyperlink ref="E1016" r:id="rId597" xr:uid="{00000000-0004-0000-0100-000054020000}"/>
    <hyperlink ref="E1017" r:id="rId598" xr:uid="{00000000-0004-0000-0100-000055020000}"/>
    <hyperlink ref="E1018" r:id="rId599" xr:uid="{00000000-0004-0000-0100-000056020000}"/>
    <hyperlink ref="E1019" r:id="rId600" xr:uid="{00000000-0004-0000-0100-000057020000}"/>
    <hyperlink ref="E1021" r:id="rId601" xr:uid="{00000000-0004-0000-0100-000058020000}"/>
    <hyperlink ref="E1022" r:id="rId602" xr:uid="{00000000-0004-0000-0100-000059020000}"/>
    <hyperlink ref="E1023" r:id="rId603" xr:uid="{00000000-0004-0000-0100-00005A020000}"/>
    <hyperlink ref="E1024" r:id="rId604" location=":~:text=I%20left%20my%20old%20job,as%20The%20Binding%20of%20Isaac." xr:uid="{00000000-0004-0000-0100-00005B020000}"/>
    <hyperlink ref="E1025" r:id="rId605" xr:uid="{00000000-0004-0000-0100-00005C020000}"/>
    <hyperlink ref="E1027" r:id="rId606" xr:uid="{00000000-0004-0000-0100-00005D020000}"/>
    <hyperlink ref="E1029" r:id="rId607" xr:uid="{00000000-0004-0000-0100-00005E020000}"/>
    <hyperlink ref="E1030" r:id="rId608" xr:uid="{00000000-0004-0000-0100-00005F020000}"/>
    <hyperlink ref="E1031" r:id="rId609" xr:uid="{00000000-0004-0000-0100-000060020000}"/>
    <hyperlink ref="E1032" r:id="rId610" xr:uid="{00000000-0004-0000-0100-000061020000}"/>
    <hyperlink ref="E1033" r:id="rId611" xr:uid="{00000000-0004-0000-0100-000062020000}"/>
    <hyperlink ref="E1036" r:id="rId612" xr:uid="{00000000-0004-0000-0100-000063020000}"/>
    <hyperlink ref="E1044" r:id="rId613" location="c846961716375428005" xr:uid="{00000000-0004-0000-0100-000064020000}"/>
    <hyperlink ref="E1046" r:id="rId614" xr:uid="{00000000-0004-0000-0100-000065020000}"/>
    <hyperlink ref="E1047" r:id="rId615" xr:uid="{00000000-0004-0000-0100-000066020000}"/>
    <hyperlink ref="E1050" r:id="rId616" xr:uid="{00000000-0004-0000-0100-000067020000}"/>
    <hyperlink ref="E1051" r:id="rId617" xr:uid="{00000000-0004-0000-0100-000068020000}"/>
    <hyperlink ref="E1052" r:id="rId618" xr:uid="{00000000-0004-0000-0100-000069020000}"/>
    <hyperlink ref="E1054" r:id="rId619" xr:uid="{00000000-0004-0000-0100-00006A020000}"/>
    <hyperlink ref="E1055" r:id="rId620" xr:uid="{00000000-0004-0000-0100-00006B020000}"/>
    <hyperlink ref="E1057" r:id="rId621" xr:uid="{00000000-0004-0000-0100-00006C020000}"/>
    <hyperlink ref="E1058" r:id="rId622" xr:uid="{00000000-0004-0000-0100-00006D020000}"/>
    <hyperlink ref="E1060" r:id="rId623" xr:uid="{00000000-0004-0000-0100-00006E020000}"/>
    <hyperlink ref="E1061" r:id="rId624" xr:uid="{00000000-0004-0000-0100-00006F020000}"/>
    <hyperlink ref="E1063" r:id="rId625" xr:uid="{00000000-0004-0000-0100-000070020000}"/>
    <hyperlink ref="E1064" r:id="rId626" xr:uid="{00000000-0004-0000-0100-000071020000}"/>
    <hyperlink ref="E1066" r:id="rId627" xr:uid="{00000000-0004-0000-0100-000072020000}"/>
    <hyperlink ref="E1067" r:id="rId628" xr:uid="{00000000-0004-0000-0100-000073020000}"/>
    <hyperlink ref="E1069" r:id="rId629" location=":~:text=The%20game%20was%20developed%20by,development%2C%20including%20an%20experience%20system." xr:uid="{00000000-0004-0000-0100-000074020000}"/>
    <hyperlink ref="E1072" r:id="rId630" xr:uid="{00000000-0004-0000-0100-000075020000}"/>
    <hyperlink ref="E1073" r:id="rId631" xr:uid="{00000000-0004-0000-0100-000076020000}"/>
    <hyperlink ref="E1074" r:id="rId632" xr:uid="{00000000-0004-0000-0100-000077020000}"/>
    <hyperlink ref="E1076" r:id="rId633" xr:uid="{00000000-0004-0000-0100-000078020000}"/>
    <hyperlink ref="E1079" r:id="rId634" location="c592882772895432824" xr:uid="{00000000-0004-0000-0100-000079020000}"/>
    <hyperlink ref="E1083" r:id="rId635" xr:uid="{00000000-0004-0000-0100-00007A020000}"/>
    <hyperlink ref="E1084" r:id="rId636" xr:uid="{00000000-0004-0000-0100-00007B020000}"/>
    <hyperlink ref="E1085" r:id="rId637" xr:uid="{00000000-0004-0000-0100-00007C020000}"/>
    <hyperlink ref="E1086" r:id="rId638" xr:uid="{00000000-0004-0000-0100-00007D020000}"/>
    <hyperlink ref="E1087" r:id="rId639" xr:uid="{00000000-0004-0000-0100-00007E020000}"/>
    <hyperlink ref="E1090" r:id="rId640" location=":~:text=Apparently%2C%20Ota%20was%20a%20well%20known%20figure,to%20connect%20Tokyo's%20three%20main%20universities%20that" xr:uid="{00000000-0004-0000-0100-00007F020000}"/>
    <hyperlink ref="E1092" r:id="rId641" xr:uid="{00000000-0004-0000-0100-000080020000}"/>
    <hyperlink ref="E1093" r:id="rId642" xr:uid="{00000000-0004-0000-0100-000081020000}"/>
    <hyperlink ref="E1094" r:id="rId643" xr:uid="{00000000-0004-0000-0100-000082020000}"/>
    <hyperlink ref="E1095" r:id="rId644" xr:uid="{00000000-0004-0000-0100-000083020000}"/>
    <hyperlink ref="E1097" r:id="rId645" location="c592882772895432824" xr:uid="{00000000-0004-0000-0100-000084020000}"/>
    <hyperlink ref="E1098" r:id="rId646" xr:uid="{00000000-0004-0000-0100-000085020000}"/>
    <hyperlink ref="E1100" r:id="rId647" xr:uid="{00000000-0004-0000-0100-000086020000}"/>
    <hyperlink ref="E1103" r:id="rId648" location="cite_note-GuideInterview-40" xr:uid="{00000000-0004-0000-0100-000087020000}"/>
    <hyperlink ref="E1104" r:id="rId649" xr:uid="{00000000-0004-0000-0100-000088020000}"/>
    <hyperlink ref="E1105" r:id="rId650" xr:uid="{00000000-0004-0000-0100-000089020000}"/>
    <hyperlink ref="E1111" r:id="rId651" location=":~:text=House%20of%20Necrosis%20is%20a,Linux)%20and%20the%20Steam%20Deck" xr:uid="{00000000-0004-0000-0100-00008A020000}"/>
    <hyperlink ref="E1113" r:id="rId652" xr:uid="{00000000-0004-0000-0100-00008B020000}"/>
    <hyperlink ref="E1115" r:id="rId653" xr:uid="{00000000-0004-0000-0100-00008C020000}"/>
    <hyperlink ref="E1116" r:id="rId654" xr:uid="{00000000-0004-0000-0100-00008D020000}"/>
    <hyperlink ref="E1118" r:id="rId655" xr:uid="{00000000-0004-0000-0100-00008E020000}"/>
    <hyperlink ref="E1120" r:id="rId656" xr:uid="{00000000-0004-0000-0100-00008F020000}"/>
    <hyperlink ref="E1122" r:id="rId657" xr:uid="{00000000-0004-0000-0100-000090020000}"/>
    <hyperlink ref="E1124" r:id="rId658" xr:uid="{00000000-0004-0000-0100-000091020000}"/>
    <hyperlink ref="E1132" r:id="rId659" xr:uid="{00000000-0004-0000-0100-000092020000}"/>
    <hyperlink ref="E1135" r:id="rId660" location="c735910198043297427" xr:uid="{00000000-0004-0000-0100-000093020000}"/>
    <hyperlink ref="E1140" r:id="rId661" xr:uid="{00000000-0004-0000-0100-000095020000}"/>
    <hyperlink ref="E1142" r:id="rId662" xr:uid="{00000000-0004-0000-0100-000096020000}"/>
    <hyperlink ref="E1148" r:id="rId663" xr:uid="{00000000-0004-0000-0100-000097020000}"/>
    <hyperlink ref="E1151" r:id="rId664" location="c562532756309107833" xr:uid="{00000000-0004-0000-0100-000098020000}"/>
    <hyperlink ref="E1152" r:id="rId665" xr:uid="{00000000-0004-0000-0100-000099020000}"/>
    <hyperlink ref="E1154" r:id="rId666" xr:uid="{00000000-0004-0000-0100-00009A020000}"/>
    <hyperlink ref="E1160" r:id="rId667" xr:uid="{00000000-0004-0000-0100-00009B020000}"/>
    <hyperlink ref="E1163" r:id="rId668" xr:uid="{00000000-0004-0000-0100-00009C020000}"/>
    <hyperlink ref="E1166" r:id="rId669" xr:uid="{00000000-0004-0000-0100-00009D020000}"/>
    <hyperlink ref="E1171" r:id="rId670" xr:uid="{00000000-0004-0000-0100-00009E020000}"/>
    <hyperlink ref="E1180" r:id="rId671" xr:uid="{00000000-0004-0000-0100-00009F020000}"/>
    <hyperlink ref="E1190" r:id="rId672" xr:uid="{00000000-0004-0000-0100-0000A0020000}"/>
    <hyperlink ref="E1203" r:id="rId673" xr:uid="{00000000-0004-0000-0100-0000A1020000}"/>
    <hyperlink ref="E1204" r:id="rId674" xr:uid="{00000000-0004-0000-0100-0000A2020000}"/>
    <hyperlink ref="E1206" r:id="rId675" xr:uid="{00000000-0004-0000-0100-0000A3020000}"/>
    <hyperlink ref="E1208" r:id="rId676" xr:uid="{00000000-0004-0000-0100-0000A4020000}"/>
    <hyperlink ref="E1217" r:id="rId677" location=":~:text=Runs%20in%20Whisker%20Squadron:%20Survivor,to%20engage%20the%20boost%20thrusters." xr:uid="{00000000-0004-0000-0100-0000A5020000}"/>
    <hyperlink ref="E1227" r:id="rId678" xr:uid="{00000000-0004-0000-0100-0000A6020000}"/>
    <hyperlink ref="E1228" r:id="rId679" xr:uid="{00000000-0004-0000-0100-0000A7020000}"/>
    <hyperlink ref="E1229" r:id="rId680" xr:uid="{00000000-0004-0000-0100-0000A8020000}"/>
    <hyperlink ref="E1233" r:id="rId681" xr:uid="{00000000-0004-0000-0100-0000A9020000}"/>
    <hyperlink ref="E1234" r:id="rId682" xr:uid="{00000000-0004-0000-0100-0000AA020000}"/>
    <hyperlink ref="E1235" r:id="rId683" xr:uid="{00000000-0004-0000-0100-0000AB020000}"/>
    <hyperlink ref="E1236" r:id="rId684" location=":~:text=Vellum's%20Inspirations,chapter%20of%20the%20original%20series." xr:uid="{00000000-0004-0000-0100-0000AC020000}"/>
    <hyperlink ref="E551" r:id="rId685" xr:uid="{DC257F92-B893-4A80-84AF-3BA7F10C76A1}"/>
    <hyperlink ref="E73" r:id="rId686" xr:uid="{7306A171-7F4B-47C2-B91E-E6BB1E82D970}"/>
    <hyperlink ref="E142" r:id="rId687" xr:uid="{9998D6E1-A959-4C80-BCA2-BE69C5A7A99B}"/>
    <hyperlink ref="E5" r:id="rId688" xr:uid="{B9E4EED7-E892-464F-9EBD-AA4E7BD71993}"/>
    <hyperlink ref="E1065" r:id="rId689" xr:uid="{B56B3719-2C0F-4F11-9155-40E4DB5FD2F2}"/>
    <hyperlink ref="E166" r:id="rId690" xr:uid="{3273FC85-56B0-4591-95CD-373A480AC68B}"/>
    <hyperlink ref="E114" r:id="rId691" xr:uid="{3264C784-5E91-4DBF-993E-1FEF95430F6C}"/>
    <hyperlink ref="E569" r:id="rId692" xr:uid="{8F547E23-D0FA-4AF7-B467-053D4459C3E3}"/>
    <hyperlink ref="E247" r:id="rId693" xr:uid="{2EDB5F00-8479-4A8F-BB77-B6BDE0431C57}"/>
    <hyperlink ref="E245" r:id="rId694" xr:uid="{D89045FC-4BEC-49BE-8903-287735AA0711}"/>
  </hyperlinks>
  <pageMargins left="0.7" right="0.7" top="0.75" bottom="0.75" header="0.511811023622047" footer="0.511811023622047"/>
  <pageSetup orientation="portrait" horizontalDpi="300" verticalDpi="300"/>
  <tableParts count="1">
    <tablePart r:id="rId69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7533</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13"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7513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7406</v>
      </c>
      <c r="B12" t="s">
        <v>3518</v>
      </c>
      <c r="C12" t="s">
        <v>3531</v>
      </c>
      <c r="D12" t="s">
        <v>7414</v>
      </c>
      <c r="E12" t="s">
        <v>7420</v>
      </c>
      <c r="F12" t="s">
        <v>90</v>
      </c>
      <c r="G12" t="s">
        <v>7407</v>
      </c>
      <c r="H12" t="s">
        <v>3687</v>
      </c>
      <c r="I12" t="s">
        <v>7406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7671</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4790</v>
      </c>
      <c r="B35" t="s">
        <v>3518</v>
      </c>
      <c r="C35" t="s">
        <v>3531</v>
      </c>
      <c r="D35" t="s">
        <v>7416</v>
      </c>
      <c r="E35" t="s">
        <v>7421</v>
      </c>
      <c r="F35" t="s">
        <v>90</v>
      </c>
      <c r="G35" t="s">
        <v>4698</v>
      </c>
      <c r="I35" t="s">
        <v>4793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7408</v>
      </c>
      <c r="B40" t="s">
        <v>3530</v>
      </c>
      <c r="C40" t="s">
        <v>3525</v>
      </c>
      <c r="D40" t="s">
        <v>7409</v>
      </c>
      <c r="E40" t="s">
        <v>7422</v>
      </c>
      <c r="F40" t="s">
        <v>38</v>
      </c>
      <c r="I40" t="s">
        <v>7410</v>
      </c>
      <c r="J40" t="s">
        <v>3573</v>
      </c>
    </row>
    <row r="41" spans="1:10" x14ac:dyDescent="0.25">
      <c r="A41" t="s">
        <v>7417</v>
      </c>
      <c r="B41" t="s">
        <v>3530</v>
      </c>
      <c r="C41" t="s">
        <v>3525</v>
      </c>
      <c r="D41" t="s">
        <v>7419</v>
      </c>
      <c r="E41" t="s">
        <v>7423</v>
      </c>
      <c r="F41" t="s">
        <v>38</v>
      </c>
      <c r="I41" t="s">
        <v>7418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7672</v>
      </c>
      <c r="E46" t="s">
        <v>7695</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7411</v>
      </c>
      <c r="B52" t="s">
        <v>3530</v>
      </c>
      <c r="C52" t="s">
        <v>3539</v>
      </c>
      <c r="D52" t="s">
        <v>7413</v>
      </c>
      <c r="E52" t="s">
        <v>7424</v>
      </c>
      <c r="F52" t="s">
        <v>90</v>
      </c>
      <c r="G52" t="s">
        <v>7415</v>
      </c>
      <c r="I52" t="s">
        <v>7412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abSelected="1"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7401</v>
      </c>
      <c r="B4" t="s">
        <v>176</v>
      </c>
      <c r="C4" t="s">
        <v>3760</v>
      </c>
      <c r="D4" t="s">
        <v>3761</v>
      </c>
      <c r="E4" t="s">
        <v>2174</v>
      </c>
      <c r="F4">
        <v>1</v>
      </c>
      <c r="G4">
        <v>1</v>
      </c>
      <c r="H4" t="s">
        <v>3770</v>
      </c>
      <c r="I4" t="s">
        <v>7402</v>
      </c>
      <c r="J4" t="s">
        <v>3467</v>
      </c>
      <c r="K4" t="s">
        <v>7401</v>
      </c>
      <c r="L4" t="s">
        <v>7403</v>
      </c>
    </row>
    <row r="5" spans="1:12" x14ac:dyDescent="0.25">
      <c r="A5" t="s">
        <v>3769</v>
      </c>
      <c r="B5" t="s">
        <v>176</v>
      </c>
      <c r="C5" t="s">
        <v>3760</v>
      </c>
      <c r="D5" t="s">
        <v>3761</v>
      </c>
      <c r="E5" t="s">
        <v>2620</v>
      </c>
      <c r="F5">
        <v>1</v>
      </c>
      <c r="G5">
        <v>1</v>
      </c>
      <c r="H5" t="s">
        <v>3770</v>
      </c>
      <c r="I5" t="s">
        <v>3771</v>
      </c>
      <c r="J5" t="s">
        <v>7490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7497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7482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7501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7479</v>
      </c>
      <c r="J19" t="s">
        <v>7481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7473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5307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7500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7472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7510</v>
      </c>
      <c r="K32" t="s">
        <v>3858</v>
      </c>
    </row>
    <row r="33" spans="1:12" x14ac:dyDescent="0.25">
      <c r="A33" t="s">
        <v>3859</v>
      </c>
      <c r="B33" t="s">
        <v>182</v>
      </c>
      <c r="C33" t="s">
        <v>3812</v>
      </c>
      <c r="D33" t="s">
        <v>3761</v>
      </c>
      <c r="E33" t="s">
        <v>90</v>
      </c>
      <c r="F33">
        <v>1</v>
      </c>
      <c r="G33">
        <v>3</v>
      </c>
      <c r="H33" t="s">
        <v>3854</v>
      </c>
      <c r="I33" t="s">
        <v>3860</v>
      </c>
      <c r="J33" t="s">
        <v>7455</v>
      </c>
      <c r="K33" t="s">
        <v>3859</v>
      </c>
    </row>
    <row r="34" spans="1:12" x14ac:dyDescent="0.25">
      <c r="A34" t="s">
        <v>3861</v>
      </c>
      <c r="B34" t="s">
        <v>182</v>
      </c>
      <c r="C34" t="s">
        <v>3812</v>
      </c>
      <c r="D34" t="s">
        <v>3814</v>
      </c>
      <c r="E34" t="s">
        <v>90</v>
      </c>
      <c r="F34">
        <v>1</v>
      </c>
      <c r="G34">
        <v>3</v>
      </c>
      <c r="H34" t="s">
        <v>3862</v>
      </c>
      <c r="I34" t="s">
        <v>3863</v>
      </c>
      <c r="J34" t="s">
        <v>7467</v>
      </c>
      <c r="K34" t="s">
        <v>3861</v>
      </c>
    </row>
    <row r="35" spans="1:12" x14ac:dyDescent="0.25">
      <c r="A35" t="s">
        <v>3864</v>
      </c>
      <c r="B35" t="s">
        <v>222</v>
      </c>
      <c r="C35" t="s">
        <v>3760</v>
      </c>
      <c r="D35" t="s">
        <v>3761</v>
      </c>
      <c r="E35" t="s">
        <v>1650</v>
      </c>
      <c r="F35">
        <v>1</v>
      </c>
      <c r="G35">
        <v>1</v>
      </c>
      <c r="H35" t="s">
        <v>3762</v>
      </c>
      <c r="I35" t="s">
        <v>3865</v>
      </c>
      <c r="J35" t="s">
        <v>7483</v>
      </c>
      <c r="K35" t="s">
        <v>3864</v>
      </c>
    </row>
    <row r="36" spans="1:12" x14ac:dyDescent="0.25">
      <c r="A36" t="s">
        <v>7766</v>
      </c>
      <c r="B36" t="s">
        <v>222</v>
      </c>
      <c r="C36" t="s">
        <v>3760</v>
      </c>
      <c r="D36" t="s">
        <v>3761</v>
      </c>
      <c r="E36" t="s">
        <v>1650</v>
      </c>
      <c r="F36">
        <v>1</v>
      </c>
      <c r="G36">
        <v>1</v>
      </c>
      <c r="H36" t="s">
        <v>3770</v>
      </c>
      <c r="I36" t="s">
        <v>7767</v>
      </c>
      <c r="J36" t="s">
        <v>3467</v>
      </c>
      <c r="K36" t="s">
        <v>7768</v>
      </c>
      <c r="L36" t="s">
        <v>7769</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7484</v>
      </c>
      <c r="B38" t="s">
        <v>222</v>
      </c>
      <c r="C38" t="s">
        <v>3760</v>
      </c>
      <c r="D38" t="s">
        <v>3761</v>
      </c>
      <c r="E38" t="s">
        <v>1650</v>
      </c>
      <c r="F38">
        <v>1</v>
      </c>
      <c r="G38">
        <v>1</v>
      </c>
      <c r="H38" t="s">
        <v>3762</v>
      </c>
      <c r="I38" t="s">
        <v>7485</v>
      </c>
      <c r="J38" t="s">
        <v>3467</v>
      </c>
      <c r="K38" t="s">
        <v>7484</v>
      </c>
      <c r="L38" t="s">
        <v>7486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7755</v>
      </c>
      <c r="B40" t="s">
        <v>222</v>
      </c>
      <c r="C40" t="s">
        <v>3797</v>
      </c>
      <c r="D40" t="s">
        <v>3761</v>
      </c>
      <c r="E40" t="s">
        <v>1650</v>
      </c>
      <c r="F40">
        <v>1</v>
      </c>
      <c r="G40">
        <v>2</v>
      </c>
      <c r="H40" t="s">
        <v>3762</v>
      </c>
      <c r="I40" t="s">
        <v>7756</v>
      </c>
      <c r="J40" t="s">
        <v>3467</v>
      </c>
      <c r="K40" t="s">
        <v>7757</v>
      </c>
      <c r="L40" t="s">
        <v>7758</v>
      </c>
    </row>
    <row r="41" spans="1:12" x14ac:dyDescent="0.25">
      <c r="A41" t="s">
        <v>3872</v>
      </c>
      <c r="B41" t="s">
        <v>222</v>
      </c>
      <c r="C41" t="s">
        <v>3797</v>
      </c>
      <c r="D41" t="s">
        <v>3761</v>
      </c>
      <c r="E41" t="s">
        <v>1650</v>
      </c>
      <c r="F41">
        <v>1</v>
      </c>
      <c r="G41">
        <v>2</v>
      </c>
      <c r="H41" t="s">
        <v>3770</v>
      </c>
      <c r="I41" t="s">
        <v>3873</v>
      </c>
      <c r="J41" t="s">
        <v>7454</v>
      </c>
      <c r="K41" t="s">
        <v>3872</v>
      </c>
    </row>
    <row r="42" spans="1:12" x14ac:dyDescent="0.25">
      <c r="A42" t="s">
        <v>3874</v>
      </c>
      <c r="B42" t="s">
        <v>222</v>
      </c>
      <c r="C42" t="s">
        <v>3797</v>
      </c>
      <c r="D42" t="s">
        <v>3761</v>
      </c>
      <c r="E42" t="s">
        <v>1650</v>
      </c>
      <c r="F42">
        <v>1</v>
      </c>
      <c r="G42">
        <v>2</v>
      </c>
      <c r="H42" t="s">
        <v>3770</v>
      </c>
      <c r="I42" t="s">
        <v>3875</v>
      </c>
      <c r="J42" t="s">
        <v>7450</v>
      </c>
      <c r="K42" t="s">
        <v>3876</v>
      </c>
      <c r="L42" t="s">
        <v>3841</v>
      </c>
    </row>
    <row r="43" spans="1:12" x14ac:dyDescent="0.25">
      <c r="A43" t="s">
        <v>3877</v>
      </c>
      <c r="B43" t="s">
        <v>222</v>
      </c>
      <c r="C43" t="s">
        <v>3797</v>
      </c>
      <c r="D43" t="s">
        <v>3809</v>
      </c>
      <c r="E43" t="s">
        <v>501</v>
      </c>
      <c r="F43">
        <v>1</v>
      </c>
      <c r="G43">
        <v>2</v>
      </c>
      <c r="H43" t="s">
        <v>3770</v>
      </c>
      <c r="I43" t="s">
        <v>3878</v>
      </c>
      <c r="J43" t="s">
        <v>7447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7751</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7511</v>
      </c>
      <c r="K48" t="s">
        <v>3893</v>
      </c>
    </row>
    <row r="49" spans="1:12" x14ac:dyDescent="0.25">
      <c r="A49" t="s">
        <v>3894</v>
      </c>
      <c r="B49" t="s">
        <v>222</v>
      </c>
      <c r="C49" t="s">
        <v>3812</v>
      </c>
      <c r="D49" t="s">
        <v>3761</v>
      </c>
      <c r="E49" t="s">
        <v>1650</v>
      </c>
      <c r="F49">
        <v>1</v>
      </c>
      <c r="G49">
        <v>3</v>
      </c>
      <c r="H49" t="s">
        <v>3770</v>
      </c>
      <c r="I49" t="s">
        <v>3895</v>
      </c>
      <c r="J49" t="s">
        <v>7750</v>
      </c>
      <c r="K49" t="s">
        <v>3896</v>
      </c>
      <c r="L49" t="s">
        <v>3897</v>
      </c>
    </row>
    <row r="50" spans="1:12" x14ac:dyDescent="0.25">
      <c r="A50" t="s">
        <v>1169</v>
      </c>
      <c r="B50" t="s">
        <v>222</v>
      </c>
      <c r="C50" t="s">
        <v>3938</v>
      </c>
      <c r="D50" t="s">
        <v>3761</v>
      </c>
      <c r="E50" t="s">
        <v>1650</v>
      </c>
      <c r="F50">
        <v>1</v>
      </c>
      <c r="G50">
        <v>4</v>
      </c>
      <c r="H50" t="s">
        <v>3770</v>
      </c>
      <c r="I50" t="s">
        <v>7759</v>
      </c>
      <c r="J50" t="s">
        <v>7765</v>
      </c>
      <c r="K50" t="s">
        <v>1169</v>
      </c>
      <c r="L50" t="s">
        <v>458</v>
      </c>
    </row>
    <row r="51" spans="1:12" x14ac:dyDescent="0.25">
      <c r="A51" t="s">
        <v>3898</v>
      </c>
      <c r="B51" t="s">
        <v>179</v>
      </c>
      <c r="C51" t="s">
        <v>3760</v>
      </c>
      <c r="D51" t="s">
        <v>3761</v>
      </c>
      <c r="E51" t="s">
        <v>1796</v>
      </c>
      <c r="F51">
        <v>1</v>
      </c>
      <c r="G51">
        <v>1</v>
      </c>
      <c r="H51" t="s">
        <v>3862</v>
      </c>
      <c r="I51" t="s">
        <v>3899</v>
      </c>
      <c r="J51" t="s">
        <v>7512</v>
      </c>
      <c r="K51" t="s">
        <v>3898</v>
      </c>
    </row>
    <row r="52" spans="1:12" x14ac:dyDescent="0.25">
      <c r="A52" t="s">
        <v>7752</v>
      </c>
      <c r="B52" t="s">
        <v>179</v>
      </c>
      <c r="C52" t="s">
        <v>3760</v>
      </c>
      <c r="D52" t="s">
        <v>3761</v>
      </c>
      <c r="E52" t="s">
        <v>689</v>
      </c>
      <c r="F52">
        <v>1</v>
      </c>
      <c r="G52">
        <v>1</v>
      </c>
      <c r="H52" t="s">
        <v>3762</v>
      </c>
      <c r="I52" t="s">
        <v>7753</v>
      </c>
      <c r="J52" t="s">
        <v>3467</v>
      </c>
      <c r="K52" t="s">
        <v>7752</v>
      </c>
      <c r="L52" t="s">
        <v>7754</v>
      </c>
    </row>
    <row r="53" spans="1:12" x14ac:dyDescent="0.25">
      <c r="A53" t="s">
        <v>3900</v>
      </c>
      <c r="B53" t="s">
        <v>179</v>
      </c>
      <c r="C53" t="s">
        <v>3797</v>
      </c>
      <c r="D53" t="s">
        <v>3761</v>
      </c>
      <c r="E53" t="s">
        <v>1796</v>
      </c>
      <c r="F53">
        <v>1</v>
      </c>
      <c r="G53">
        <v>2</v>
      </c>
      <c r="H53" t="s">
        <v>3854</v>
      </c>
      <c r="I53" t="s">
        <v>3901</v>
      </c>
      <c r="J53" t="s">
        <v>7442</v>
      </c>
      <c r="K53" t="s">
        <v>3902</v>
      </c>
    </row>
    <row r="54" spans="1:12" x14ac:dyDescent="0.25">
      <c r="A54" t="s">
        <v>3903</v>
      </c>
      <c r="B54" t="s">
        <v>179</v>
      </c>
      <c r="C54" t="s">
        <v>3797</v>
      </c>
      <c r="D54" t="s">
        <v>3761</v>
      </c>
      <c r="E54" t="s">
        <v>1796</v>
      </c>
      <c r="F54">
        <v>1</v>
      </c>
      <c r="G54">
        <v>2</v>
      </c>
      <c r="H54" t="s">
        <v>3770</v>
      </c>
      <c r="I54" t="s">
        <v>3904</v>
      </c>
      <c r="J54" t="s">
        <v>7443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7514</v>
      </c>
    </row>
    <row r="2" spans="1:13" x14ac:dyDescent="0.25">
      <c r="A2" t="s">
        <v>3907</v>
      </c>
      <c r="B2" t="s">
        <v>176</v>
      </c>
      <c r="C2" t="s">
        <v>3760</v>
      </c>
      <c r="D2" t="s">
        <v>3814</v>
      </c>
      <c r="E2" t="s">
        <v>1047</v>
      </c>
      <c r="F2">
        <v>1</v>
      </c>
      <c r="G2">
        <v>3</v>
      </c>
      <c r="H2" t="s">
        <v>3774</v>
      </c>
      <c r="I2" t="s">
        <v>3908</v>
      </c>
      <c r="J2" t="s">
        <v>7495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7425</v>
      </c>
      <c r="K4" t="s">
        <v>3914</v>
      </c>
    </row>
    <row r="5" spans="1:13" x14ac:dyDescent="0.25">
      <c r="A5" t="s">
        <v>3916</v>
      </c>
      <c r="B5" t="s">
        <v>176</v>
      </c>
      <c r="C5" t="s">
        <v>3760</v>
      </c>
      <c r="D5" t="s">
        <v>3761</v>
      </c>
      <c r="E5" t="s">
        <v>160</v>
      </c>
      <c r="F5">
        <v>1</v>
      </c>
      <c r="G5">
        <v>3</v>
      </c>
      <c r="H5" t="s">
        <v>3854</v>
      </c>
      <c r="I5" t="s">
        <v>3917</v>
      </c>
      <c r="J5" t="s">
        <v>7503</v>
      </c>
      <c r="K5" t="s">
        <v>3916</v>
      </c>
    </row>
    <row r="6" spans="1:13" x14ac:dyDescent="0.25">
      <c r="A6" t="s">
        <v>7404</v>
      </c>
      <c r="B6" t="s">
        <v>176</v>
      </c>
      <c r="C6" t="s">
        <v>3760</v>
      </c>
      <c r="D6" t="s">
        <v>3814</v>
      </c>
      <c r="E6" t="s">
        <v>2174</v>
      </c>
      <c r="F6">
        <v>1</v>
      </c>
      <c r="G6">
        <v>3</v>
      </c>
      <c r="H6" t="s">
        <v>3770</v>
      </c>
      <c r="I6" t="s">
        <v>7405</v>
      </c>
      <c r="J6" t="s">
        <v>3467</v>
      </c>
      <c r="K6" t="s">
        <v>7404</v>
      </c>
      <c r="L6" t="s">
        <v>4615</v>
      </c>
    </row>
    <row r="7" spans="1:13" x14ac:dyDescent="0.25">
      <c r="A7" t="s">
        <v>3918</v>
      </c>
      <c r="B7" t="s">
        <v>176</v>
      </c>
      <c r="C7" t="s">
        <v>3760</v>
      </c>
      <c r="D7" t="s">
        <v>3814</v>
      </c>
      <c r="E7" t="s">
        <v>2620</v>
      </c>
      <c r="F7">
        <v>1</v>
      </c>
      <c r="G7">
        <v>3</v>
      </c>
      <c r="H7" t="s">
        <v>3762</v>
      </c>
      <c r="I7" t="s">
        <v>3919</v>
      </c>
      <c r="J7" t="s">
        <v>7505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7493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7457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7509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7478</v>
      </c>
      <c r="K24" t="s">
        <v>3965</v>
      </c>
    </row>
    <row r="25" spans="1:12" x14ac:dyDescent="0.25">
      <c r="A25" t="s">
        <v>3966</v>
      </c>
      <c r="B25" t="s">
        <v>182</v>
      </c>
      <c r="C25" t="s">
        <v>3938</v>
      </c>
      <c r="D25" t="s">
        <v>3814</v>
      </c>
      <c r="E25" t="s">
        <v>90</v>
      </c>
      <c r="F25">
        <v>1</v>
      </c>
      <c r="G25">
        <v>9</v>
      </c>
      <c r="H25" t="s">
        <v>3770</v>
      </c>
      <c r="I25" t="s">
        <v>3967</v>
      </c>
      <c r="J25" t="s">
        <v>7506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7500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7492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7474</v>
      </c>
      <c r="B33" t="s">
        <v>222</v>
      </c>
      <c r="C33" t="s">
        <v>3797</v>
      </c>
      <c r="D33" t="s">
        <v>3814</v>
      </c>
      <c r="E33" t="s">
        <v>1650</v>
      </c>
      <c r="F33">
        <v>1</v>
      </c>
      <c r="G33">
        <v>5</v>
      </c>
      <c r="H33" t="s">
        <v>7515</v>
      </c>
      <c r="I33" t="s">
        <v>7516</v>
      </c>
      <c r="J33" t="s">
        <v>7504</v>
      </c>
      <c r="K33" t="s">
        <v>7517</v>
      </c>
      <c r="L33" t="s">
        <v>3888</v>
      </c>
      <c r="M33">
        <v>3</v>
      </c>
    </row>
    <row r="34" spans="1:13" x14ac:dyDescent="0.25">
      <c r="A34" t="s">
        <v>3985</v>
      </c>
      <c r="B34" t="s">
        <v>222</v>
      </c>
      <c r="C34" t="s">
        <v>3797</v>
      </c>
      <c r="D34" t="s">
        <v>3926</v>
      </c>
      <c r="E34" t="s">
        <v>1650</v>
      </c>
      <c r="F34">
        <v>1</v>
      </c>
      <c r="G34">
        <v>5</v>
      </c>
      <c r="H34" t="s">
        <v>3774</v>
      </c>
      <c r="I34" t="s">
        <v>3986</v>
      </c>
      <c r="J34" t="s">
        <v>7509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7425</v>
      </c>
      <c r="K36" t="s">
        <v>3993</v>
      </c>
    </row>
    <row r="37" spans="1:13" x14ac:dyDescent="0.25">
      <c r="A37" t="s">
        <v>3994</v>
      </c>
      <c r="B37" t="s">
        <v>222</v>
      </c>
      <c r="C37" t="s">
        <v>3812</v>
      </c>
      <c r="D37" t="s">
        <v>3814</v>
      </c>
      <c r="E37" t="s">
        <v>1650</v>
      </c>
      <c r="F37">
        <v>1</v>
      </c>
      <c r="G37">
        <v>7</v>
      </c>
      <c r="H37" t="s">
        <v>3774</v>
      </c>
      <c r="I37" t="s">
        <v>3995</v>
      </c>
      <c r="J37" t="s">
        <v>7496</v>
      </c>
      <c r="K37" t="s">
        <v>3996</v>
      </c>
    </row>
    <row r="38" spans="1:13" x14ac:dyDescent="0.25">
      <c r="A38" t="s">
        <v>3997</v>
      </c>
      <c r="B38" t="s">
        <v>222</v>
      </c>
      <c r="C38" t="s">
        <v>3938</v>
      </c>
      <c r="D38" t="s">
        <v>3814</v>
      </c>
      <c r="E38" t="s">
        <v>1650</v>
      </c>
      <c r="F38">
        <v>1</v>
      </c>
      <c r="G38">
        <v>9</v>
      </c>
      <c r="H38" t="s">
        <v>3762</v>
      </c>
      <c r="I38" t="s">
        <v>7491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7502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A31" sqref="A31"/>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7428</v>
      </c>
      <c r="D1" t="s">
        <v>3461</v>
      </c>
      <c r="E1" t="s">
        <v>3512</v>
      </c>
    </row>
    <row r="2" spans="1:5" x14ac:dyDescent="0.25">
      <c r="A2" t="s">
        <v>7487</v>
      </c>
      <c r="B2" t="s">
        <v>7458</v>
      </c>
      <c r="C2" t="s">
        <v>7489</v>
      </c>
      <c r="D2" t="s">
        <v>7488</v>
      </c>
    </row>
    <row r="3" spans="1:5" x14ac:dyDescent="0.25">
      <c r="A3" t="s">
        <v>7518</v>
      </c>
      <c r="B3" t="s">
        <v>3698</v>
      </c>
      <c r="C3" t="s">
        <v>3467</v>
      </c>
      <c r="D3" t="s">
        <v>7519</v>
      </c>
    </row>
    <row r="4" spans="1:5" x14ac:dyDescent="0.25">
      <c r="A4" t="s">
        <v>7477</v>
      </c>
      <c r="B4" t="s">
        <v>4016</v>
      </c>
      <c r="C4" t="s">
        <v>7441</v>
      </c>
      <c r="D4" t="s">
        <v>7480</v>
      </c>
    </row>
    <row r="5" spans="1:5" x14ac:dyDescent="0.25">
      <c r="A5" t="s">
        <v>7447</v>
      </c>
      <c r="B5" t="s">
        <v>5331</v>
      </c>
      <c r="C5" t="s">
        <v>7436</v>
      </c>
      <c r="D5" t="s">
        <v>7449</v>
      </c>
    </row>
    <row r="6" spans="1:5" x14ac:dyDescent="0.25">
      <c r="A6" t="s">
        <v>7442</v>
      </c>
      <c r="B6" t="s">
        <v>5767</v>
      </c>
      <c r="C6" t="s">
        <v>7435</v>
      </c>
      <c r="D6" t="s">
        <v>7456</v>
      </c>
    </row>
    <row r="7" spans="1:5" x14ac:dyDescent="0.25">
      <c r="A7" t="s">
        <v>7494</v>
      </c>
      <c r="B7" t="s">
        <v>5767</v>
      </c>
      <c r="C7" t="s">
        <v>3467</v>
      </c>
      <c r="D7" t="s">
        <v>7508</v>
      </c>
    </row>
    <row r="8" spans="1:5" x14ac:dyDescent="0.25">
      <c r="A8" t="s">
        <v>5247</v>
      </c>
      <c r="B8" t="s">
        <v>7458</v>
      </c>
      <c r="C8" t="s">
        <v>7435</v>
      </c>
      <c r="D8" t="s">
        <v>7459</v>
      </c>
    </row>
    <row r="9" spans="1:5" x14ac:dyDescent="0.25">
      <c r="A9" t="s">
        <v>7433</v>
      </c>
      <c r="B9" t="s">
        <v>7434</v>
      </c>
      <c r="C9" t="s">
        <v>3467</v>
      </c>
      <c r="D9" t="s">
        <v>7466</v>
      </c>
    </row>
    <row r="10" spans="1:5" x14ac:dyDescent="0.25">
      <c r="A10" t="s">
        <v>1323</v>
      </c>
      <c r="B10" t="s">
        <v>4016</v>
      </c>
      <c r="C10" t="s">
        <v>7436</v>
      </c>
      <c r="D10" t="s">
        <v>7464</v>
      </c>
    </row>
    <row r="11" spans="1:5" x14ac:dyDescent="0.25">
      <c r="A11" t="s">
        <v>7455</v>
      </c>
      <c r="B11" t="s">
        <v>5767</v>
      </c>
      <c r="C11" t="s">
        <v>7435</v>
      </c>
      <c r="D11" t="s">
        <v>7520</v>
      </c>
    </row>
    <row r="12" spans="1:5" x14ac:dyDescent="0.25">
      <c r="A12" t="s">
        <v>7470</v>
      </c>
      <c r="B12" t="s">
        <v>7458</v>
      </c>
      <c r="C12" t="s">
        <v>3467</v>
      </c>
      <c r="D12" t="s">
        <v>7471</v>
      </c>
    </row>
    <row r="13" spans="1:5" x14ac:dyDescent="0.25">
      <c r="A13" t="s">
        <v>7468</v>
      </c>
      <c r="B13" t="s">
        <v>7429</v>
      </c>
      <c r="C13" t="s">
        <v>7431</v>
      </c>
      <c r="D13" t="s">
        <v>7469</v>
      </c>
    </row>
    <row r="14" spans="1:5" x14ac:dyDescent="0.25">
      <c r="A14" t="s">
        <v>7451</v>
      </c>
      <c r="B14" t="s">
        <v>3698</v>
      </c>
      <c r="C14" t="s">
        <v>3467</v>
      </c>
      <c r="D14" t="s">
        <v>7453</v>
      </c>
    </row>
    <row r="15" spans="1:5" x14ac:dyDescent="0.25">
      <c r="A15" t="s">
        <v>7498</v>
      </c>
      <c r="B15" t="s">
        <v>5767</v>
      </c>
      <c r="C15" t="s">
        <v>7441</v>
      </c>
      <c r="D15" t="s">
        <v>7499</v>
      </c>
    </row>
    <row r="16" spans="1:5" x14ac:dyDescent="0.25">
      <c r="A16" t="s">
        <v>7443</v>
      </c>
      <c r="B16" t="s">
        <v>4016</v>
      </c>
      <c r="C16" t="s">
        <v>3467</v>
      </c>
      <c r="D16" t="s">
        <v>7461</v>
      </c>
    </row>
    <row r="17" spans="1:4" x14ac:dyDescent="0.25">
      <c r="A17" t="s">
        <v>7457</v>
      </c>
      <c r="B17" t="s">
        <v>5767</v>
      </c>
      <c r="C17" t="s">
        <v>3467</v>
      </c>
      <c r="D17" t="s">
        <v>7521</v>
      </c>
    </row>
    <row r="18" spans="1:4" x14ac:dyDescent="0.25">
      <c r="A18" t="s">
        <v>7439</v>
      </c>
      <c r="B18" t="s">
        <v>5331</v>
      </c>
      <c r="C18" t="s">
        <v>7441</v>
      </c>
      <c r="D18" t="s">
        <v>7440</v>
      </c>
    </row>
    <row r="19" spans="1:4" x14ac:dyDescent="0.25">
      <c r="A19" t="s">
        <v>7432</v>
      </c>
      <c r="B19" t="s">
        <v>7429</v>
      </c>
      <c r="C19" t="s">
        <v>7435</v>
      </c>
      <c r="D19" t="s">
        <v>7463</v>
      </c>
    </row>
    <row r="20" spans="1:4" x14ac:dyDescent="0.25">
      <c r="A20" t="s">
        <v>7430</v>
      </c>
      <c r="B20" t="s">
        <v>7429</v>
      </c>
      <c r="C20" t="s">
        <v>7431</v>
      </c>
      <c r="D20" t="s">
        <v>7465</v>
      </c>
    </row>
    <row r="21" spans="1:4" x14ac:dyDescent="0.25">
      <c r="A21" t="s">
        <v>7446</v>
      </c>
      <c r="B21" t="s">
        <v>3698</v>
      </c>
      <c r="C21" t="s">
        <v>3467</v>
      </c>
      <c r="D21" t="s">
        <v>7460</v>
      </c>
    </row>
    <row r="22" spans="1:4" x14ac:dyDescent="0.25">
      <c r="A22" t="s">
        <v>5494</v>
      </c>
      <c r="B22" t="s">
        <v>5767</v>
      </c>
      <c r="C22" t="s">
        <v>7427</v>
      </c>
      <c r="D22" t="s">
        <v>7452</v>
      </c>
    </row>
    <row r="23" spans="1:4" x14ac:dyDescent="0.25">
      <c r="A23" t="s">
        <v>5307</v>
      </c>
      <c r="B23" t="s">
        <v>5331</v>
      </c>
      <c r="C23" t="s">
        <v>3467</v>
      </c>
      <c r="D23" t="s">
        <v>7448</v>
      </c>
    </row>
    <row r="24" spans="1:4" x14ac:dyDescent="0.25">
      <c r="A24" t="s">
        <v>7496</v>
      </c>
      <c r="B24" t="s">
        <v>5767</v>
      </c>
      <c r="C24" t="s">
        <v>3467</v>
      </c>
      <c r="D24" t="s">
        <v>7507</v>
      </c>
    </row>
    <row r="25" spans="1:4" x14ac:dyDescent="0.25">
      <c r="A25" t="s">
        <v>5321</v>
      </c>
      <c r="B25" t="s">
        <v>7458</v>
      </c>
      <c r="C25" t="s">
        <v>7431</v>
      </c>
      <c r="D25" t="s">
        <v>7438</v>
      </c>
    </row>
    <row r="26" spans="1:4" x14ac:dyDescent="0.25">
      <c r="A26" t="s">
        <v>7437</v>
      </c>
      <c r="B26" t="s">
        <v>4016</v>
      </c>
      <c r="C26" t="s">
        <v>7436</v>
      </c>
      <c r="D26" t="s">
        <v>7462</v>
      </c>
    </row>
    <row r="27" spans="1:4" x14ac:dyDescent="0.25">
      <c r="A27" t="s">
        <v>7445</v>
      </c>
      <c r="B27" t="s">
        <v>5331</v>
      </c>
      <c r="C27" t="s">
        <v>7444</v>
      </c>
      <c r="D27" t="s">
        <v>7522</v>
      </c>
    </row>
    <row r="28" spans="1:4" x14ac:dyDescent="0.25">
      <c r="A28" t="s">
        <v>7425</v>
      </c>
      <c r="B28" t="s">
        <v>3698</v>
      </c>
      <c r="C28" t="s">
        <v>3467</v>
      </c>
      <c r="D28" t="s">
        <v>7426</v>
      </c>
    </row>
    <row r="29" spans="1:4" x14ac:dyDescent="0.25">
      <c r="A29" t="s">
        <v>7475</v>
      </c>
      <c r="B29" t="s">
        <v>7458</v>
      </c>
      <c r="C29" t="s">
        <v>7435</v>
      </c>
      <c r="D29" t="s">
        <v>7476</v>
      </c>
    </row>
    <row r="30" spans="1:4" x14ac:dyDescent="0.25">
      <c r="A30" t="s">
        <v>7760</v>
      </c>
      <c r="B30" t="s">
        <v>5767</v>
      </c>
      <c r="C30" t="s">
        <v>7761</v>
      </c>
      <c r="D30" t="s">
        <v>7762</v>
      </c>
    </row>
    <row r="31" spans="1:4" x14ac:dyDescent="0.25">
      <c r="A31" t="s">
        <v>7763</v>
      </c>
      <c r="B31" t="s">
        <v>7429</v>
      </c>
      <c r="C31" t="s">
        <v>7431</v>
      </c>
      <c r="D31" t="s">
        <v>7764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23" sqref="D2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4039</v>
      </c>
      <c r="B2" t="s">
        <v>4028</v>
      </c>
      <c r="C2" t="s">
        <v>501</v>
      </c>
      <c r="D2" t="s">
        <v>7740</v>
      </c>
      <c r="E2" t="s">
        <v>4040</v>
      </c>
      <c r="F2" t="s">
        <v>4041</v>
      </c>
      <c r="G2" t="s">
        <v>4042</v>
      </c>
      <c r="H2" t="s">
        <v>4043</v>
      </c>
      <c r="I2" t="s">
        <v>4033</v>
      </c>
      <c r="J2" t="s">
        <v>187</v>
      </c>
      <c r="K2" t="s">
        <v>4044</v>
      </c>
      <c r="L2" t="s">
        <v>4045</v>
      </c>
      <c r="M2" t="s">
        <v>4039</v>
      </c>
    </row>
    <row r="3" spans="1:13" x14ac:dyDescent="0.25">
      <c r="A3" t="s">
        <v>4036</v>
      </c>
      <c r="B3" t="s">
        <v>4016</v>
      </c>
      <c r="C3" t="s">
        <v>90</v>
      </c>
      <c r="D3" t="s">
        <v>7739</v>
      </c>
      <c r="E3" t="s">
        <v>7527</v>
      </c>
      <c r="F3" t="s">
        <v>7528</v>
      </c>
      <c r="G3" t="s">
        <v>7529</v>
      </c>
      <c r="H3" t="s">
        <v>4037</v>
      </c>
      <c r="I3" t="s">
        <v>3467</v>
      </c>
      <c r="J3" t="s">
        <v>187</v>
      </c>
      <c r="K3" t="s">
        <v>4038</v>
      </c>
      <c r="L3" t="s">
        <v>4019</v>
      </c>
      <c r="M3" t="s">
        <v>4036</v>
      </c>
    </row>
    <row r="4" spans="1:13" x14ac:dyDescent="0.25">
      <c r="A4" t="s">
        <v>4027</v>
      </c>
      <c r="B4" t="s">
        <v>4028</v>
      </c>
      <c r="C4" t="s">
        <v>1650</v>
      </c>
      <c r="D4" t="s">
        <v>7738</v>
      </c>
      <c r="E4" t="s">
        <v>4029</v>
      </c>
      <c r="F4" t="s">
        <v>4030</v>
      </c>
      <c r="G4" t="s">
        <v>4031</v>
      </c>
      <c r="H4" t="s">
        <v>4032</v>
      </c>
      <c r="I4" t="s">
        <v>4033</v>
      </c>
      <c r="J4" t="s">
        <v>4034</v>
      </c>
      <c r="K4" t="s">
        <v>4035</v>
      </c>
      <c r="L4" t="s">
        <v>4019</v>
      </c>
      <c r="M4" t="s">
        <v>4027</v>
      </c>
    </row>
    <row r="5" spans="1:13" x14ac:dyDescent="0.25">
      <c r="A5" t="s">
        <v>4020</v>
      </c>
      <c r="B5" t="s">
        <v>4016</v>
      </c>
      <c r="C5" t="s">
        <v>1650</v>
      </c>
      <c r="D5" t="s">
        <v>4021</v>
      </c>
      <c r="E5" t="s">
        <v>4022</v>
      </c>
      <c r="F5" t="s">
        <v>4023</v>
      </c>
      <c r="G5" t="s">
        <v>4024</v>
      </c>
      <c r="H5" t="s">
        <v>4025</v>
      </c>
      <c r="I5" t="s">
        <v>3467</v>
      </c>
      <c r="J5" t="s">
        <v>187</v>
      </c>
      <c r="K5" t="s">
        <v>4026</v>
      </c>
      <c r="L5" t="s">
        <v>4019</v>
      </c>
      <c r="M5" t="s">
        <v>4020</v>
      </c>
    </row>
    <row r="6" spans="1:13" x14ac:dyDescent="0.25">
      <c r="A6" t="s">
        <v>4015</v>
      </c>
      <c r="B6" t="s">
        <v>4016</v>
      </c>
      <c r="C6" t="s">
        <v>90</v>
      </c>
      <c r="D6" t="s">
        <v>7737</v>
      </c>
      <c r="E6" t="s">
        <v>7530</v>
      </c>
      <c r="F6" t="s">
        <v>7531</v>
      </c>
      <c r="G6" t="s">
        <v>7532</v>
      </c>
      <c r="H6" t="s">
        <v>4017</v>
      </c>
      <c r="I6" t="s">
        <v>3467</v>
      </c>
      <c r="J6" t="s">
        <v>187</v>
      </c>
      <c r="K6" t="s">
        <v>4018</v>
      </c>
      <c r="L6" t="s">
        <v>4019</v>
      </c>
      <c r="M6" t="s">
        <v>4015</v>
      </c>
    </row>
    <row r="7" spans="1:13" x14ac:dyDescent="0.25">
      <c r="A7" t="s">
        <v>5196</v>
      </c>
      <c r="B7" t="s">
        <v>4028</v>
      </c>
      <c r="C7" t="s">
        <v>1650</v>
      </c>
      <c r="D7" t="s">
        <v>7741</v>
      </c>
      <c r="E7" t="s">
        <v>7696</v>
      </c>
      <c r="F7" t="s">
        <v>7697</v>
      </c>
      <c r="G7" t="s">
        <v>7698</v>
      </c>
      <c r="H7" t="s">
        <v>7678</v>
      </c>
      <c r="I7" t="s">
        <v>7679</v>
      </c>
      <c r="J7" t="s">
        <v>187</v>
      </c>
      <c r="K7" t="s">
        <v>7699</v>
      </c>
      <c r="L7" t="s">
        <v>4019</v>
      </c>
      <c r="M7" t="s">
        <v>5196</v>
      </c>
    </row>
    <row r="8" spans="1:13" x14ac:dyDescent="0.25">
      <c r="A8" t="s">
        <v>5325</v>
      </c>
      <c r="B8" t="s">
        <v>4028</v>
      </c>
      <c r="C8" t="s">
        <v>90</v>
      </c>
      <c r="D8" t="s">
        <v>7700</v>
      </c>
      <c r="E8" t="s">
        <v>7701</v>
      </c>
      <c r="F8" t="s">
        <v>7702</v>
      </c>
      <c r="G8" t="s">
        <v>7703</v>
      </c>
      <c r="H8" t="s">
        <v>7676</v>
      </c>
      <c r="I8" t="s">
        <v>7675</v>
      </c>
      <c r="J8" t="s">
        <v>187</v>
      </c>
      <c r="K8" t="s">
        <v>7704</v>
      </c>
      <c r="L8" t="s">
        <v>4019</v>
      </c>
      <c r="M8" t="s">
        <v>5325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5" sqref="A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workbookViewId="0">
      <selection activeCell="A7" sqref="A7"/>
    </sheetView>
  </sheetViews>
  <sheetFormatPr defaultRowHeight="15" x14ac:dyDescent="0.25"/>
  <cols>
    <col min="1" max="1" width="17.85546875" bestFit="1" customWidth="1"/>
    <col min="2" max="2" width="11.140625" bestFit="1" customWidth="1"/>
    <col min="3" max="3" width="68.8554687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7543</v>
      </c>
    </row>
    <row r="2" spans="1:6" x14ac:dyDescent="0.25">
      <c r="A2" t="s">
        <v>3537</v>
      </c>
      <c r="B2" t="s">
        <v>3518</v>
      </c>
      <c r="C2" t="s">
        <v>7544</v>
      </c>
      <c r="D2" t="s">
        <v>7579</v>
      </c>
      <c r="E2" t="s">
        <v>3537</v>
      </c>
      <c r="F2" t="s">
        <v>7545</v>
      </c>
    </row>
    <row r="3" spans="1:6" x14ac:dyDescent="0.25">
      <c r="A3" t="s">
        <v>3695</v>
      </c>
      <c r="B3" t="s">
        <v>3530</v>
      </c>
      <c r="C3" t="s">
        <v>3696</v>
      </c>
      <c r="D3" t="s">
        <v>7580</v>
      </c>
      <c r="E3" t="s">
        <v>3697</v>
      </c>
      <c r="F3" t="s">
        <v>7559</v>
      </c>
    </row>
    <row r="4" spans="1:6" x14ac:dyDescent="0.25">
      <c r="A4" t="s">
        <v>7547</v>
      </c>
      <c r="B4" t="s">
        <v>41</v>
      </c>
      <c r="C4" t="s">
        <v>4191</v>
      </c>
      <c r="D4" t="s">
        <v>4192</v>
      </c>
      <c r="E4" t="s">
        <v>7581</v>
      </c>
      <c r="F4" t="s">
        <v>7546</v>
      </c>
    </row>
    <row r="5" spans="1:6" x14ac:dyDescent="0.25">
      <c r="A5" t="s">
        <v>7548</v>
      </c>
      <c r="B5" t="s">
        <v>41</v>
      </c>
      <c r="C5" t="s">
        <v>4252</v>
      </c>
      <c r="D5" t="s">
        <v>4253</v>
      </c>
      <c r="E5" t="s">
        <v>7549</v>
      </c>
      <c r="F5" t="s">
        <v>7546</v>
      </c>
    </row>
    <row r="6" spans="1:6" x14ac:dyDescent="0.25">
      <c r="A6" t="s">
        <v>7550</v>
      </c>
      <c r="B6" t="s">
        <v>3530</v>
      </c>
      <c r="C6" t="s">
        <v>7551</v>
      </c>
      <c r="D6" t="s">
        <v>7582</v>
      </c>
      <c r="E6" t="s">
        <v>7552</v>
      </c>
      <c r="F6" t="s">
        <v>7546</v>
      </c>
    </row>
    <row r="7" spans="1:6" x14ac:dyDescent="0.25">
      <c r="A7" t="s">
        <v>7553</v>
      </c>
      <c r="B7" t="s">
        <v>41</v>
      </c>
      <c r="C7" t="s">
        <v>7555</v>
      </c>
      <c r="D7" t="s">
        <v>7583</v>
      </c>
      <c r="E7" t="s">
        <v>7554</v>
      </c>
      <c r="F7" t="s">
        <v>7546</v>
      </c>
    </row>
    <row r="8" spans="1:6" x14ac:dyDescent="0.25">
      <c r="A8" t="s">
        <v>7556</v>
      </c>
      <c r="B8" t="s">
        <v>3530</v>
      </c>
      <c r="C8" t="s">
        <v>7558</v>
      </c>
      <c r="D8" t="s">
        <v>7584</v>
      </c>
      <c r="E8" t="s">
        <v>7557</v>
      </c>
      <c r="F8" t="s">
        <v>7546</v>
      </c>
    </row>
    <row r="9" spans="1:6" x14ac:dyDescent="0.25">
      <c r="A9" t="s">
        <v>7561</v>
      </c>
      <c r="B9" t="s">
        <v>3518</v>
      </c>
      <c r="C9" t="s">
        <v>7562</v>
      </c>
      <c r="D9" t="s">
        <v>7585</v>
      </c>
      <c r="E9" t="s">
        <v>7566</v>
      </c>
      <c r="F9" t="s">
        <v>7560</v>
      </c>
    </row>
    <row r="10" spans="1:6" x14ac:dyDescent="0.25">
      <c r="A10" t="s">
        <v>7563</v>
      </c>
      <c r="B10" t="s">
        <v>3518</v>
      </c>
      <c r="C10" t="s">
        <v>7564</v>
      </c>
      <c r="D10" t="s">
        <v>7586</v>
      </c>
      <c r="E10" t="s">
        <v>7565</v>
      </c>
      <c r="F10" t="s">
        <v>7560</v>
      </c>
    </row>
    <row r="11" spans="1:6" x14ac:dyDescent="0.25">
      <c r="A11" t="s">
        <v>7567</v>
      </c>
      <c r="B11" t="s">
        <v>3518</v>
      </c>
      <c r="C11" t="s">
        <v>7569</v>
      </c>
      <c r="D11" t="s">
        <v>7587</v>
      </c>
      <c r="E11" t="s">
        <v>7568</v>
      </c>
      <c r="F11" t="s">
        <v>7560</v>
      </c>
    </row>
    <row r="12" spans="1:6" x14ac:dyDescent="0.25">
      <c r="A12" t="s">
        <v>7570</v>
      </c>
      <c r="B12" t="s">
        <v>3518</v>
      </c>
      <c r="C12" t="s">
        <v>7571</v>
      </c>
      <c r="D12" t="s">
        <v>7588</v>
      </c>
      <c r="E12" t="s">
        <v>7572</v>
      </c>
      <c r="F12" t="s">
        <v>7560</v>
      </c>
    </row>
    <row r="13" spans="1:6" x14ac:dyDescent="0.25">
      <c r="A13" t="s">
        <v>7573</v>
      </c>
      <c r="B13" t="s">
        <v>3518</v>
      </c>
      <c r="C13" t="s">
        <v>7574</v>
      </c>
      <c r="D13" t="s">
        <v>7589</v>
      </c>
      <c r="E13" t="s">
        <v>7575</v>
      </c>
      <c r="F13" t="s">
        <v>7576</v>
      </c>
    </row>
    <row r="14" spans="1:6" x14ac:dyDescent="0.25">
      <c r="A14" t="s">
        <v>7577</v>
      </c>
      <c r="B14" t="s">
        <v>3530</v>
      </c>
      <c r="C14" t="s">
        <v>7578</v>
      </c>
      <c r="D14" t="s">
        <v>7590</v>
      </c>
      <c r="E14" t="s">
        <v>7591</v>
      </c>
      <c r="F14" t="s">
        <v>7560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8" sqref="E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4046</v>
      </c>
      <c r="B1" t="s">
        <v>1</v>
      </c>
      <c r="C1" t="s">
        <v>4047</v>
      </c>
      <c r="D1" t="s">
        <v>6</v>
      </c>
      <c r="E1" t="s">
        <v>3461</v>
      </c>
      <c r="F1" t="s">
        <v>3512</v>
      </c>
      <c r="G1" t="s">
        <v>171</v>
      </c>
      <c r="H1" t="s">
        <v>4048</v>
      </c>
      <c r="J1" t="s">
        <v>4049</v>
      </c>
      <c r="K1" t="s">
        <v>1</v>
      </c>
      <c r="M1" t="s">
        <v>4050</v>
      </c>
      <c r="N1" t="s">
        <v>1</v>
      </c>
    </row>
    <row r="2" spans="1:14" x14ac:dyDescent="0.25">
      <c r="A2" t="s">
        <v>4051</v>
      </c>
      <c r="B2" t="s">
        <v>2155</v>
      </c>
      <c r="C2" t="s">
        <v>4052</v>
      </c>
      <c r="D2" t="s">
        <v>41</v>
      </c>
      <c r="E2" t="s">
        <v>4053</v>
      </c>
      <c r="F2" t="s">
        <v>4054</v>
      </c>
      <c r="J2" t="s">
        <v>4055</v>
      </c>
      <c r="K2" t="s">
        <v>1796</v>
      </c>
      <c r="M2" t="s">
        <v>4056</v>
      </c>
      <c r="N2" t="s">
        <v>2155</v>
      </c>
    </row>
    <row r="3" spans="1:14" x14ac:dyDescent="0.25">
      <c r="A3" t="s">
        <v>4057</v>
      </c>
      <c r="B3" t="s">
        <v>1285</v>
      </c>
      <c r="C3" t="s">
        <v>4052</v>
      </c>
      <c r="D3" t="s">
        <v>3530</v>
      </c>
      <c r="E3" t="s">
        <v>4058</v>
      </c>
      <c r="F3" t="s">
        <v>4059</v>
      </c>
      <c r="G3" t="s">
        <v>4060</v>
      </c>
      <c r="J3" t="s">
        <v>4061</v>
      </c>
      <c r="K3" t="s">
        <v>1796</v>
      </c>
      <c r="M3" t="s">
        <v>4062</v>
      </c>
      <c r="N3" t="s">
        <v>2155</v>
      </c>
    </row>
    <row r="4" spans="1:14" x14ac:dyDescent="0.25">
      <c r="A4" t="s">
        <v>4063</v>
      </c>
      <c r="B4" t="s">
        <v>2155</v>
      </c>
      <c r="C4" t="s">
        <v>4052</v>
      </c>
      <c r="D4" t="s">
        <v>3530</v>
      </c>
      <c r="E4" t="s">
        <v>4064</v>
      </c>
      <c r="F4" t="s">
        <v>4065</v>
      </c>
      <c r="J4" t="s">
        <v>4066</v>
      </c>
      <c r="K4" t="s">
        <v>1796</v>
      </c>
      <c r="M4" t="s">
        <v>4067</v>
      </c>
      <c r="N4" t="s">
        <v>2155</v>
      </c>
    </row>
    <row r="5" spans="1:14" x14ac:dyDescent="0.25">
      <c r="A5" t="s">
        <v>4068</v>
      </c>
      <c r="B5" t="s">
        <v>2155</v>
      </c>
      <c r="C5" t="s">
        <v>4069</v>
      </c>
      <c r="D5" t="s">
        <v>41</v>
      </c>
      <c r="E5" t="s">
        <v>4070</v>
      </c>
      <c r="F5" t="s">
        <v>4071</v>
      </c>
      <c r="G5" t="s">
        <v>4072</v>
      </c>
      <c r="H5" t="s">
        <v>7523</v>
      </c>
      <c r="J5" t="s">
        <v>4073</v>
      </c>
      <c r="K5" t="s">
        <v>1796</v>
      </c>
      <c r="M5" t="s">
        <v>4074</v>
      </c>
      <c r="N5" t="s">
        <v>2155</v>
      </c>
    </row>
    <row r="6" spans="1:14" x14ac:dyDescent="0.25">
      <c r="A6" t="s">
        <v>4075</v>
      </c>
      <c r="B6" t="s">
        <v>2155</v>
      </c>
      <c r="C6" t="s">
        <v>4069</v>
      </c>
      <c r="D6" t="s">
        <v>3530</v>
      </c>
      <c r="E6" t="s">
        <v>7677</v>
      </c>
      <c r="F6" t="s">
        <v>4076</v>
      </c>
      <c r="J6" t="s">
        <v>4077</v>
      </c>
      <c r="K6" t="s">
        <v>1796</v>
      </c>
      <c r="M6" t="s">
        <v>4078</v>
      </c>
      <c r="N6" t="s">
        <v>2155</v>
      </c>
    </row>
    <row r="7" spans="1:14" x14ac:dyDescent="0.25">
      <c r="A7" t="s">
        <v>4079</v>
      </c>
      <c r="B7" t="s">
        <v>2155</v>
      </c>
      <c r="C7" t="s">
        <v>4080</v>
      </c>
      <c r="D7" t="s">
        <v>41</v>
      </c>
      <c r="E7" t="s">
        <v>4081</v>
      </c>
      <c r="F7" t="s">
        <v>4082</v>
      </c>
      <c r="G7" t="s">
        <v>4083</v>
      </c>
      <c r="J7" t="s">
        <v>4084</v>
      </c>
      <c r="K7" t="s">
        <v>1796</v>
      </c>
      <c r="M7" t="s">
        <v>4085</v>
      </c>
      <c r="N7" t="s">
        <v>2155</v>
      </c>
    </row>
    <row r="8" spans="1:14" x14ac:dyDescent="0.25">
      <c r="A8" t="s">
        <v>4086</v>
      </c>
      <c r="B8" t="s">
        <v>1285</v>
      </c>
      <c r="C8" t="s">
        <v>4052</v>
      </c>
      <c r="D8" t="s">
        <v>3530</v>
      </c>
      <c r="E8" t="s">
        <v>4087</v>
      </c>
      <c r="F8" t="s">
        <v>4088</v>
      </c>
      <c r="J8" t="s">
        <v>4089</v>
      </c>
      <c r="K8" t="s">
        <v>1796</v>
      </c>
      <c r="M8" t="s">
        <v>4090</v>
      </c>
      <c r="N8" t="s">
        <v>2155</v>
      </c>
    </row>
    <row r="9" spans="1:14" x14ac:dyDescent="0.25">
      <c r="A9" t="s">
        <v>4091</v>
      </c>
      <c r="B9" t="s">
        <v>2155</v>
      </c>
      <c r="C9" t="s">
        <v>4069</v>
      </c>
      <c r="D9" t="s">
        <v>3518</v>
      </c>
      <c r="E9" t="s">
        <v>4092</v>
      </c>
      <c r="F9" t="s">
        <v>4093</v>
      </c>
      <c r="J9" t="s">
        <v>4094</v>
      </c>
      <c r="K9" t="s">
        <v>1796</v>
      </c>
      <c r="M9" t="s">
        <v>4095</v>
      </c>
      <c r="N9" t="s">
        <v>2155</v>
      </c>
    </row>
    <row r="10" spans="1:14" x14ac:dyDescent="0.25">
      <c r="J10" t="s">
        <v>4096</v>
      </c>
      <c r="K10" t="s">
        <v>1796</v>
      </c>
      <c r="M10" t="s">
        <v>4097</v>
      </c>
      <c r="N10" t="s">
        <v>2155</v>
      </c>
    </row>
    <row r="11" spans="1:14" x14ac:dyDescent="0.25">
      <c r="J11" t="s">
        <v>4098</v>
      </c>
      <c r="K11" t="s">
        <v>1796</v>
      </c>
      <c r="M11" t="s">
        <v>4099</v>
      </c>
      <c r="N11" t="s">
        <v>2155</v>
      </c>
    </row>
    <row r="12" spans="1:14" x14ac:dyDescent="0.25">
      <c r="J12" t="s">
        <v>4100</v>
      </c>
      <c r="K12" t="s">
        <v>1796</v>
      </c>
      <c r="M12" t="s">
        <v>4101</v>
      </c>
      <c r="N12" t="s">
        <v>2155</v>
      </c>
    </row>
    <row r="13" spans="1:14" x14ac:dyDescent="0.25">
      <c r="J13" t="s">
        <v>4102</v>
      </c>
      <c r="K13" t="s">
        <v>1796</v>
      </c>
      <c r="M13" t="s">
        <v>4103</v>
      </c>
      <c r="N13" t="s">
        <v>2155</v>
      </c>
    </row>
    <row r="14" spans="1:14" x14ac:dyDescent="0.25">
      <c r="J14" t="s">
        <v>4104</v>
      </c>
      <c r="K14" t="s">
        <v>1796</v>
      </c>
      <c r="M14" t="s">
        <v>4105</v>
      </c>
      <c r="N14" t="s">
        <v>2155</v>
      </c>
    </row>
    <row r="15" spans="1:14" x14ac:dyDescent="0.25">
      <c r="J15" t="s">
        <v>4106</v>
      </c>
      <c r="K15" t="s">
        <v>1796</v>
      </c>
      <c r="M15" t="s">
        <v>4107</v>
      </c>
      <c r="N15" t="s">
        <v>2155</v>
      </c>
    </row>
    <row r="16" spans="1:14" x14ac:dyDescent="0.25">
      <c r="J16" t="s">
        <v>4108</v>
      </c>
      <c r="K16" t="s">
        <v>1796</v>
      </c>
      <c r="M16" t="s">
        <v>4109</v>
      </c>
      <c r="N16" t="s">
        <v>2155</v>
      </c>
    </row>
    <row r="17" spans="10:14" x14ac:dyDescent="0.25">
      <c r="J17" t="s">
        <v>4110</v>
      </c>
      <c r="K17" t="s">
        <v>1796</v>
      </c>
      <c r="M17" t="s">
        <v>4111</v>
      </c>
      <c r="N17" t="s">
        <v>2155</v>
      </c>
    </row>
    <row r="18" spans="10:14" x14ac:dyDescent="0.25">
      <c r="J18" t="s">
        <v>4112</v>
      </c>
      <c r="K18" t="s">
        <v>1796</v>
      </c>
      <c r="M18" t="s">
        <v>4113</v>
      </c>
      <c r="N18" t="s">
        <v>2155</v>
      </c>
    </row>
    <row r="19" spans="10:14" x14ac:dyDescent="0.25">
      <c r="J19" t="s">
        <v>4114</v>
      </c>
      <c r="K19" t="s">
        <v>1796</v>
      </c>
      <c r="M19" t="s">
        <v>4115</v>
      </c>
      <c r="N19" t="s">
        <v>2155</v>
      </c>
    </row>
    <row r="20" spans="10:14" x14ac:dyDescent="0.25">
      <c r="J20" t="s">
        <v>4116</v>
      </c>
      <c r="K20" t="s">
        <v>1796</v>
      </c>
      <c r="M20" t="s">
        <v>4117</v>
      </c>
      <c r="N20" t="s">
        <v>2155</v>
      </c>
    </row>
    <row r="21" spans="10:14" x14ac:dyDescent="0.25">
      <c r="J21" t="s">
        <v>4118</v>
      </c>
      <c r="K21" t="s">
        <v>1796</v>
      </c>
      <c r="M21" t="s">
        <v>4119</v>
      </c>
      <c r="N21" t="s">
        <v>2155</v>
      </c>
    </row>
    <row r="22" spans="10:14" x14ac:dyDescent="0.25">
      <c r="J22" t="s">
        <v>4120</v>
      </c>
      <c r="K22" t="s">
        <v>1796</v>
      </c>
      <c r="M22" t="s">
        <v>4121</v>
      </c>
      <c r="N22" t="s">
        <v>2155</v>
      </c>
    </row>
    <row r="23" spans="10:14" x14ac:dyDescent="0.25">
      <c r="J23" t="s">
        <v>4122</v>
      </c>
      <c r="K23" t="s">
        <v>1796</v>
      </c>
      <c r="M23" t="s">
        <v>4123</v>
      </c>
      <c r="N23" t="s">
        <v>2155</v>
      </c>
    </row>
    <row r="24" spans="10:14" x14ac:dyDescent="0.25">
      <c r="J24" t="s">
        <v>4124</v>
      </c>
      <c r="K24" t="s">
        <v>1796</v>
      </c>
      <c r="M24" t="s">
        <v>4125</v>
      </c>
      <c r="N24" t="s">
        <v>2155</v>
      </c>
    </row>
    <row r="25" spans="10:14" x14ac:dyDescent="0.25">
      <c r="J25" t="s">
        <v>4126</v>
      </c>
      <c r="K25" t="s">
        <v>1796</v>
      </c>
      <c r="M25" t="s">
        <v>4127</v>
      </c>
      <c r="N25" t="s">
        <v>2155</v>
      </c>
    </row>
    <row r="26" spans="10:14" x14ac:dyDescent="0.25">
      <c r="J26" t="s">
        <v>4128</v>
      </c>
      <c r="K26" t="s">
        <v>1796</v>
      </c>
      <c r="M26" t="s">
        <v>4129</v>
      </c>
      <c r="N26" t="s">
        <v>2155</v>
      </c>
    </row>
    <row r="27" spans="10:14" x14ac:dyDescent="0.25">
      <c r="J27" t="s">
        <v>4130</v>
      </c>
      <c r="K27" t="s">
        <v>2867</v>
      </c>
      <c r="M27" t="s">
        <v>4131</v>
      </c>
      <c r="N27" t="s">
        <v>2155</v>
      </c>
    </row>
    <row r="28" spans="10:14" x14ac:dyDescent="0.25">
      <c r="J28" t="s">
        <v>4132</v>
      </c>
      <c r="K28" t="s">
        <v>2867</v>
      </c>
      <c r="M28" t="s">
        <v>4133</v>
      </c>
      <c r="N28" t="s">
        <v>2155</v>
      </c>
    </row>
    <row r="29" spans="10:14" x14ac:dyDescent="0.25">
      <c r="J29" t="s">
        <v>4134</v>
      </c>
      <c r="K29" t="s">
        <v>2867</v>
      </c>
      <c r="M29" t="s">
        <v>4135</v>
      </c>
      <c r="N29" t="s">
        <v>2155</v>
      </c>
    </row>
    <row r="30" spans="10:14" x14ac:dyDescent="0.25">
      <c r="J30" t="s">
        <v>4136</v>
      </c>
      <c r="K30" t="s">
        <v>2867</v>
      </c>
      <c r="M30" t="s">
        <v>4137</v>
      </c>
      <c r="N30" t="s">
        <v>2155</v>
      </c>
    </row>
    <row r="31" spans="10:14" x14ac:dyDescent="0.25">
      <c r="J31" t="s">
        <v>4138</v>
      </c>
      <c r="K31" t="s">
        <v>2867</v>
      </c>
      <c r="M31" t="s">
        <v>4139</v>
      </c>
      <c r="N31" t="s">
        <v>2155</v>
      </c>
    </row>
    <row r="32" spans="10:14" x14ac:dyDescent="0.25">
      <c r="J32" t="s">
        <v>4140</v>
      </c>
      <c r="K32" t="s">
        <v>2867</v>
      </c>
      <c r="M32" t="s">
        <v>4141</v>
      </c>
      <c r="N32" t="s">
        <v>2155</v>
      </c>
    </row>
    <row r="33" spans="10:14" x14ac:dyDescent="0.25">
      <c r="J33" t="s">
        <v>4142</v>
      </c>
      <c r="K33" t="s">
        <v>2867</v>
      </c>
      <c r="M33" t="s">
        <v>4143</v>
      </c>
      <c r="N33" t="s">
        <v>2155</v>
      </c>
    </row>
    <row r="34" spans="10:14" x14ac:dyDescent="0.25">
      <c r="J34" t="s">
        <v>4144</v>
      </c>
      <c r="K34" t="s">
        <v>2867</v>
      </c>
      <c r="M34" t="s">
        <v>4145</v>
      </c>
      <c r="N34" t="s">
        <v>2155</v>
      </c>
    </row>
    <row r="35" spans="10:14" x14ac:dyDescent="0.25">
      <c r="J35" t="s">
        <v>4146</v>
      </c>
      <c r="K35" t="s">
        <v>2867</v>
      </c>
      <c r="M35" t="s">
        <v>4147</v>
      </c>
      <c r="N35" t="s">
        <v>2155</v>
      </c>
    </row>
    <row r="36" spans="10:14" x14ac:dyDescent="0.25">
      <c r="J36" t="s">
        <v>4112</v>
      </c>
      <c r="K36" t="s">
        <v>2867</v>
      </c>
      <c r="M36" t="s">
        <v>4148</v>
      </c>
      <c r="N36" t="s">
        <v>2155</v>
      </c>
    </row>
    <row r="37" spans="10:14" x14ac:dyDescent="0.25">
      <c r="J37" t="s">
        <v>4149</v>
      </c>
      <c r="K37" t="s">
        <v>2867</v>
      </c>
      <c r="M37" t="s">
        <v>4150</v>
      </c>
      <c r="N37" t="s">
        <v>2155</v>
      </c>
    </row>
    <row r="38" spans="10:14" x14ac:dyDescent="0.25">
      <c r="M38" t="s">
        <v>4151</v>
      </c>
      <c r="N38" t="s">
        <v>2155</v>
      </c>
    </row>
    <row r="39" spans="10:14" x14ac:dyDescent="0.25">
      <c r="M39" t="s">
        <v>4152</v>
      </c>
      <c r="N39" t="s">
        <v>2155</v>
      </c>
    </row>
    <row r="40" spans="10:14" x14ac:dyDescent="0.25">
      <c r="M40" t="s">
        <v>4153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4047</v>
      </c>
      <c r="C1" t="s">
        <v>3461</v>
      </c>
      <c r="D1" t="s">
        <v>3512</v>
      </c>
      <c r="E1" t="s">
        <v>4154</v>
      </c>
      <c r="F1" t="s">
        <v>4155</v>
      </c>
      <c r="G1" t="s">
        <v>4048</v>
      </c>
    </row>
    <row r="2" spans="1:7" x14ac:dyDescent="0.25">
      <c r="A2" t="s">
        <v>4168</v>
      </c>
      <c r="B2" t="s">
        <v>4069</v>
      </c>
      <c r="C2" t="s">
        <v>7705</v>
      </c>
      <c r="D2" t="s">
        <v>4169</v>
      </c>
      <c r="E2" t="s">
        <v>7706</v>
      </c>
      <c r="F2" t="s">
        <v>4170</v>
      </c>
    </row>
    <row r="3" spans="1:7" x14ac:dyDescent="0.25">
      <c r="A3" t="s">
        <v>4060</v>
      </c>
      <c r="B3" t="s">
        <v>4052</v>
      </c>
      <c r="C3" t="s">
        <v>4195</v>
      </c>
      <c r="D3" t="s">
        <v>4196</v>
      </c>
      <c r="E3" t="s">
        <v>4197</v>
      </c>
      <c r="F3" t="s">
        <v>4198</v>
      </c>
    </row>
    <row r="4" spans="1:7" x14ac:dyDescent="0.25">
      <c r="A4" t="s">
        <v>4179</v>
      </c>
      <c r="B4" t="s">
        <v>4052</v>
      </c>
      <c r="C4" t="s">
        <v>4180</v>
      </c>
      <c r="D4" t="s">
        <v>4181</v>
      </c>
      <c r="E4" t="s">
        <v>4182</v>
      </c>
      <c r="F4" t="s">
        <v>4183</v>
      </c>
      <c r="G4" t="s">
        <v>4184</v>
      </c>
    </row>
    <row r="5" spans="1:7" x14ac:dyDescent="0.25">
      <c r="A5" t="s">
        <v>4190</v>
      </c>
      <c r="B5" t="s">
        <v>4069</v>
      </c>
      <c r="C5" t="s">
        <v>4191</v>
      </c>
      <c r="D5" t="s">
        <v>4192</v>
      </c>
      <c r="E5" t="s">
        <v>4193</v>
      </c>
      <c r="F5" t="s">
        <v>4194</v>
      </c>
    </row>
    <row r="6" spans="1:7" x14ac:dyDescent="0.25">
      <c r="A6" t="s">
        <v>4185</v>
      </c>
      <c r="B6" t="s">
        <v>4069</v>
      </c>
      <c r="C6" t="s">
        <v>4186</v>
      </c>
      <c r="D6" t="s">
        <v>4187</v>
      </c>
      <c r="E6" t="s">
        <v>4188</v>
      </c>
      <c r="F6" t="s">
        <v>4189</v>
      </c>
    </row>
    <row r="7" spans="1:7" x14ac:dyDescent="0.25">
      <c r="A7" t="s">
        <v>4174</v>
      </c>
      <c r="B7" t="s">
        <v>4052</v>
      </c>
      <c r="C7" t="s">
        <v>4175</v>
      </c>
      <c r="D7" t="s">
        <v>4176</v>
      </c>
      <c r="E7" t="s">
        <v>4177</v>
      </c>
      <c r="F7" t="s">
        <v>4178</v>
      </c>
    </row>
    <row r="8" spans="1:7" x14ac:dyDescent="0.25">
      <c r="A8" t="s">
        <v>4171</v>
      </c>
      <c r="B8" t="s">
        <v>4069</v>
      </c>
      <c r="C8" t="s">
        <v>3647</v>
      </c>
      <c r="D8" t="s">
        <v>4172</v>
      </c>
      <c r="E8" t="s">
        <v>3650</v>
      </c>
      <c r="F8" t="s">
        <v>4173</v>
      </c>
    </row>
    <row r="9" spans="1:7" x14ac:dyDescent="0.25">
      <c r="A9" t="s">
        <v>4160</v>
      </c>
      <c r="B9" t="s">
        <v>4052</v>
      </c>
      <c r="C9" t="s">
        <v>4161</v>
      </c>
      <c r="D9" t="s">
        <v>4162</v>
      </c>
      <c r="E9" t="s">
        <v>4163</v>
      </c>
      <c r="F9" t="s">
        <v>4164</v>
      </c>
    </row>
    <row r="10" spans="1:7" x14ac:dyDescent="0.25">
      <c r="A10" t="s">
        <v>4156</v>
      </c>
      <c r="B10" t="s">
        <v>4069</v>
      </c>
      <c r="C10" t="s">
        <v>3587</v>
      </c>
      <c r="D10" t="s">
        <v>4157</v>
      </c>
      <c r="E10" t="s">
        <v>4158</v>
      </c>
      <c r="F10" t="s">
        <v>4159</v>
      </c>
    </row>
    <row r="11" spans="1:7" x14ac:dyDescent="0.25">
      <c r="A11" t="s">
        <v>4165</v>
      </c>
      <c r="B11" t="s">
        <v>4080</v>
      </c>
      <c r="C11" t="s">
        <v>4081</v>
      </c>
      <c r="D11" t="s">
        <v>4082</v>
      </c>
      <c r="E11" t="s">
        <v>4166</v>
      </c>
      <c r="F11" t="s">
        <v>4167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4047</v>
      </c>
      <c r="D1" t="s">
        <v>4006</v>
      </c>
      <c r="E1" t="s">
        <v>4007</v>
      </c>
      <c r="F1" t="s">
        <v>4199</v>
      </c>
      <c r="G1" t="s">
        <v>4200</v>
      </c>
      <c r="H1" t="s">
        <v>3513</v>
      </c>
      <c r="I1" t="s">
        <v>171</v>
      </c>
    </row>
    <row r="2" spans="1:9" x14ac:dyDescent="0.25">
      <c r="A2" t="s">
        <v>4201</v>
      </c>
      <c r="B2" t="s">
        <v>41</v>
      </c>
      <c r="C2" t="s">
        <v>4052</v>
      </c>
      <c r="D2" t="s">
        <v>4202</v>
      </c>
      <c r="E2" t="s">
        <v>4203</v>
      </c>
      <c r="F2" t="s">
        <v>4204</v>
      </c>
      <c r="G2" t="s">
        <v>4205</v>
      </c>
      <c r="H2" t="s">
        <v>90</v>
      </c>
      <c r="I2" t="s">
        <v>4206</v>
      </c>
    </row>
    <row r="3" spans="1:9" x14ac:dyDescent="0.25">
      <c r="A3" t="s">
        <v>4207</v>
      </c>
      <c r="B3" t="s">
        <v>41</v>
      </c>
      <c r="C3" t="s">
        <v>4069</v>
      </c>
      <c r="D3" t="s">
        <v>4191</v>
      </c>
      <c r="E3" t="s">
        <v>4192</v>
      </c>
      <c r="F3" t="s">
        <v>4208</v>
      </c>
      <c r="G3" t="s">
        <v>4209</v>
      </c>
      <c r="H3" t="s">
        <v>90</v>
      </c>
      <c r="I3" t="s">
        <v>4210</v>
      </c>
    </row>
    <row r="4" spans="1:9" x14ac:dyDescent="0.25">
      <c r="A4" t="s">
        <v>4211</v>
      </c>
      <c r="B4" t="s">
        <v>41</v>
      </c>
      <c r="C4" t="s">
        <v>4069</v>
      </c>
      <c r="D4" t="s">
        <v>4212</v>
      </c>
      <c r="E4" t="s">
        <v>4213</v>
      </c>
      <c r="F4" t="s">
        <v>4214</v>
      </c>
      <c r="G4" t="s">
        <v>4215</v>
      </c>
      <c r="H4" t="s">
        <v>90</v>
      </c>
      <c r="I4" t="s">
        <v>4216</v>
      </c>
    </row>
    <row r="5" spans="1:9" x14ac:dyDescent="0.25">
      <c r="A5" t="s">
        <v>4217</v>
      </c>
      <c r="B5" t="s">
        <v>41</v>
      </c>
      <c r="C5" t="s">
        <v>4069</v>
      </c>
      <c r="D5" t="s">
        <v>4218</v>
      </c>
      <c r="E5" t="s">
        <v>4219</v>
      </c>
      <c r="F5" t="s">
        <v>4220</v>
      </c>
      <c r="G5" t="s">
        <v>4221</v>
      </c>
      <c r="H5" t="s">
        <v>90</v>
      </c>
      <c r="I5" t="s">
        <v>4222</v>
      </c>
    </row>
    <row r="6" spans="1:9" x14ac:dyDescent="0.25">
      <c r="A6" t="s">
        <v>4223</v>
      </c>
      <c r="B6" t="s">
        <v>3518</v>
      </c>
      <c r="C6" t="s">
        <v>4069</v>
      </c>
      <c r="D6" t="s">
        <v>3647</v>
      </c>
      <c r="E6" t="s">
        <v>4172</v>
      </c>
      <c r="F6" t="s">
        <v>4224</v>
      </c>
      <c r="G6" t="s">
        <v>4225</v>
      </c>
      <c r="H6" t="s">
        <v>90</v>
      </c>
      <c r="I6" t="s">
        <v>4226</v>
      </c>
    </row>
    <row r="7" spans="1:9" x14ac:dyDescent="0.25">
      <c r="A7" t="s">
        <v>4227</v>
      </c>
      <c r="B7" t="s">
        <v>41</v>
      </c>
      <c r="C7" t="s">
        <v>4069</v>
      </c>
      <c r="D7" t="s">
        <v>4228</v>
      </c>
      <c r="E7" t="s">
        <v>4229</v>
      </c>
      <c r="F7" t="s">
        <v>4230</v>
      </c>
      <c r="G7" t="s">
        <v>4231</v>
      </c>
      <c r="H7" t="s">
        <v>90</v>
      </c>
      <c r="I7" t="s">
        <v>4232</v>
      </c>
    </row>
    <row r="8" spans="1:9" x14ac:dyDescent="0.25">
      <c r="A8" t="s">
        <v>4233</v>
      </c>
      <c r="B8" t="s">
        <v>41</v>
      </c>
      <c r="C8" t="s">
        <v>4069</v>
      </c>
      <c r="D8" t="s">
        <v>4234</v>
      </c>
      <c r="E8" t="s">
        <v>4235</v>
      </c>
      <c r="F8" t="s">
        <v>4236</v>
      </c>
      <c r="G8" t="s">
        <v>4237</v>
      </c>
      <c r="H8" t="s">
        <v>90</v>
      </c>
      <c r="I8" t="s">
        <v>4238</v>
      </c>
    </row>
    <row r="9" spans="1:9" x14ac:dyDescent="0.25">
      <c r="A9" t="s">
        <v>4239</v>
      </c>
      <c r="B9" t="s">
        <v>41</v>
      </c>
      <c r="C9" t="s">
        <v>4052</v>
      </c>
      <c r="D9" t="s">
        <v>4240</v>
      </c>
      <c r="E9" t="s">
        <v>4241</v>
      </c>
      <c r="F9" t="s">
        <v>4242</v>
      </c>
      <c r="G9" t="s">
        <v>4243</v>
      </c>
      <c r="H9" t="s">
        <v>90</v>
      </c>
      <c r="I9" t="s">
        <v>4244</v>
      </c>
    </row>
    <row r="10" spans="1:9" x14ac:dyDescent="0.25">
      <c r="A10" t="s">
        <v>4245</v>
      </c>
      <c r="B10" t="s">
        <v>3530</v>
      </c>
      <c r="C10" t="s">
        <v>4069</v>
      </c>
      <c r="D10" t="s">
        <v>4246</v>
      </c>
      <c r="E10" t="s">
        <v>4247</v>
      </c>
      <c r="F10" t="s">
        <v>4248</v>
      </c>
      <c r="G10" t="s">
        <v>4249</v>
      </c>
      <c r="H10" t="s">
        <v>38</v>
      </c>
      <c r="I10" t="s">
        <v>4250</v>
      </c>
    </row>
    <row r="11" spans="1:9" x14ac:dyDescent="0.25">
      <c r="A11" t="s">
        <v>4251</v>
      </c>
      <c r="B11" t="s">
        <v>41</v>
      </c>
      <c r="C11" t="s">
        <v>4069</v>
      </c>
      <c r="D11" t="s">
        <v>4252</v>
      </c>
      <c r="E11" t="s">
        <v>4253</v>
      </c>
      <c r="F11" t="s">
        <v>4254</v>
      </c>
      <c r="G11" t="s">
        <v>4255</v>
      </c>
      <c r="H11" t="s">
        <v>2155</v>
      </c>
      <c r="I11" t="s">
        <v>3467</v>
      </c>
    </row>
    <row r="12" spans="1:9" x14ac:dyDescent="0.25">
      <c r="A12" t="s">
        <v>4256</v>
      </c>
      <c r="B12" t="s">
        <v>3518</v>
      </c>
      <c r="C12" t="s">
        <v>4069</v>
      </c>
      <c r="D12" t="s">
        <v>4257</v>
      </c>
      <c r="E12" t="s">
        <v>4258</v>
      </c>
      <c r="F12" t="s">
        <v>3467</v>
      </c>
      <c r="G12" t="s">
        <v>4259</v>
      </c>
      <c r="H12" t="s">
        <v>2155</v>
      </c>
      <c r="I12" t="s">
        <v>3467</v>
      </c>
    </row>
    <row r="13" spans="1:9" x14ac:dyDescent="0.25">
      <c r="A13" t="s">
        <v>4260</v>
      </c>
      <c r="B13" t="s">
        <v>3518</v>
      </c>
      <c r="C13" t="s">
        <v>4069</v>
      </c>
      <c r="D13" t="s">
        <v>4261</v>
      </c>
      <c r="E13" t="s">
        <v>4262</v>
      </c>
      <c r="F13" t="s">
        <v>4263</v>
      </c>
      <c r="G13" t="s">
        <v>4264</v>
      </c>
      <c r="H13" t="s">
        <v>2155</v>
      </c>
      <c r="I13" t="s">
        <v>3467</v>
      </c>
    </row>
    <row r="14" spans="1:9" x14ac:dyDescent="0.25">
      <c r="A14" t="s">
        <v>4265</v>
      </c>
      <c r="B14" t="s">
        <v>3530</v>
      </c>
      <c r="C14" t="s">
        <v>4069</v>
      </c>
      <c r="D14" t="s">
        <v>4266</v>
      </c>
      <c r="E14" t="s">
        <v>4267</v>
      </c>
      <c r="F14" t="s">
        <v>4268</v>
      </c>
      <c r="G14" t="s">
        <v>4269</v>
      </c>
      <c r="H14" t="s">
        <v>2155</v>
      </c>
      <c r="I14" t="s">
        <v>3467</v>
      </c>
    </row>
    <row r="15" spans="1:9" x14ac:dyDescent="0.25">
      <c r="A15" t="s">
        <v>4270</v>
      </c>
      <c r="B15" t="s">
        <v>41</v>
      </c>
      <c r="C15" t="s">
        <v>4052</v>
      </c>
      <c r="D15" t="s">
        <v>4240</v>
      </c>
      <c r="E15" t="s">
        <v>4241</v>
      </c>
      <c r="F15" t="s">
        <v>4271</v>
      </c>
      <c r="G15" t="s">
        <v>4272</v>
      </c>
      <c r="H15" t="s">
        <v>256</v>
      </c>
      <c r="I15" t="s">
        <v>3467</v>
      </c>
    </row>
    <row r="16" spans="1:9" x14ac:dyDescent="0.25">
      <c r="A16" t="s">
        <v>4273</v>
      </c>
      <c r="B16" t="s">
        <v>3530</v>
      </c>
      <c r="C16" t="s">
        <v>4080</v>
      </c>
      <c r="D16" t="s">
        <v>4274</v>
      </c>
      <c r="E16" t="s">
        <v>4259</v>
      </c>
      <c r="F16" t="s">
        <v>4274</v>
      </c>
      <c r="G16" t="s">
        <v>4259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F31" sqref="F31"/>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4047</v>
      </c>
      <c r="E1" t="s">
        <v>167</v>
      </c>
      <c r="F1" t="s">
        <v>7685</v>
      </c>
      <c r="G1" t="s">
        <v>3461</v>
      </c>
      <c r="H1" t="s">
        <v>3512</v>
      </c>
      <c r="I1" t="s">
        <v>171</v>
      </c>
    </row>
    <row r="2" spans="1:9" x14ac:dyDescent="0.25">
      <c r="A2" t="s">
        <v>7723</v>
      </c>
      <c r="B2" t="s">
        <v>3530</v>
      </c>
      <c r="C2" t="s">
        <v>2155</v>
      </c>
      <c r="D2" t="s">
        <v>4069</v>
      </c>
      <c r="E2" t="s">
        <v>7691</v>
      </c>
      <c r="F2">
        <v>3</v>
      </c>
      <c r="G2" t="s">
        <v>7731</v>
      </c>
      <c r="H2" t="s">
        <v>7742</v>
      </c>
      <c r="I2" t="s">
        <v>3467</v>
      </c>
    </row>
    <row r="3" spans="1:9" x14ac:dyDescent="0.25">
      <c r="A3" t="s">
        <v>7694</v>
      </c>
      <c r="B3" t="s">
        <v>3518</v>
      </c>
      <c r="C3" t="s">
        <v>1796</v>
      </c>
      <c r="D3" t="s">
        <v>4052</v>
      </c>
      <c r="E3" t="s">
        <v>7690</v>
      </c>
      <c r="F3">
        <v>4</v>
      </c>
      <c r="G3" t="s">
        <v>7693</v>
      </c>
      <c r="H3" t="s">
        <v>4065</v>
      </c>
      <c r="I3" t="s">
        <v>3467</v>
      </c>
    </row>
    <row r="4" spans="1:9" x14ac:dyDescent="0.25">
      <c r="A4" t="s">
        <v>7725</v>
      </c>
      <c r="B4" t="s">
        <v>3743</v>
      </c>
      <c r="C4" t="s">
        <v>1796</v>
      </c>
      <c r="D4" t="s">
        <v>4069</v>
      </c>
      <c r="E4" t="s">
        <v>7691</v>
      </c>
      <c r="F4">
        <v>1</v>
      </c>
      <c r="G4" t="s">
        <v>7733</v>
      </c>
      <c r="H4" t="s">
        <v>7743</v>
      </c>
      <c r="I4" t="s">
        <v>3467</v>
      </c>
    </row>
    <row r="5" spans="1:9" x14ac:dyDescent="0.25">
      <c r="A5" t="s">
        <v>7692</v>
      </c>
      <c r="B5" t="s">
        <v>3518</v>
      </c>
      <c r="C5" t="s">
        <v>2155</v>
      </c>
      <c r="D5" t="s">
        <v>4069</v>
      </c>
      <c r="E5" t="s">
        <v>7691</v>
      </c>
      <c r="F5">
        <v>3</v>
      </c>
      <c r="G5" t="s">
        <v>7727</v>
      </c>
      <c r="H5" t="s">
        <v>7708</v>
      </c>
      <c r="I5" t="s">
        <v>3467</v>
      </c>
    </row>
    <row r="6" spans="1:9" x14ac:dyDescent="0.25">
      <c r="A6" t="s">
        <v>7721</v>
      </c>
      <c r="B6" t="s">
        <v>41</v>
      </c>
      <c r="C6" t="s">
        <v>2155</v>
      </c>
      <c r="D6" t="s">
        <v>4052</v>
      </c>
      <c r="E6" t="s">
        <v>7691</v>
      </c>
      <c r="F6">
        <v>3</v>
      </c>
      <c r="G6" t="s">
        <v>7729</v>
      </c>
      <c r="H6" t="s">
        <v>7744</v>
      </c>
      <c r="I6" t="s">
        <v>3467</v>
      </c>
    </row>
    <row r="7" spans="1:9" x14ac:dyDescent="0.25">
      <c r="A7" t="s">
        <v>7720</v>
      </c>
      <c r="B7" t="s">
        <v>41</v>
      </c>
      <c r="C7" t="s">
        <v>2155</v>
      </c>
      <c r="D7" t="s">
        <v>4052</v>
      </c>
      <c r="E7" t="s">
        <v>7691</v>
      </c>
      <c r="F7">
        <v>3</v>
      </c>
      <c r="G7" t="s">
        <v>7728</v>
      </c>
      <c r="H7" t="s">
        <v>7745</v>
      </c>
      <c r="I7" t="s">
        <v>3467</v>
      </c>
    </row>
    <row r="8" spans="1:9" x14ac:dyDescent="0.25">
      <c r="A8" t="s">
        <v>7722</v>
      </c>
      <c r="B8" t="s">
        <v>41</v>
      </c>
      <c r="C8" t="s">
        <v>2155</v>
      </c>
      <c r="D8" t="s">
        <v>4069</v>
      </c>
      <c r="E8" t="s">
        <v>7691</v>
      </c>
      <c r="F8">
        <v>3</v>
      </c>
      <c r="G8" t="s">
        <v>7730</v>
      </c>
      <c r="H8" t="s">
        <v>7746</v>
      </c>
      <c r="I8" t="s">
        <v>3467</v>
      </c>
    </row>
    <row r="9" spans="1:9" x14ac:dyDescent="0.25">
      <c r="A9" t="s">
        <v>7689</v>
      </c>
      <c r="B9" t="s">
        <v>41</v>
      </c>
      <c r="C9" t="s">
        <v>2155</v>
      </c>
      <c r="D9" t="s">
        <v>4080</v>
      </c>
      <c r="E9" t="s">
        <v>3458</v>
      </c>
      <c r="F9">
        <v>4</v>
      </c>
      <c r="G9" t="s">
        <v>4274</v>
      </c>
      <c r="H9" t="s">
        <v>101</v>
      </c>
      <c r="I9" t="s">
        <v>3467</v>
      </c>
    </row>
    <row r="10" spans="1:9" x14ac:dyDescent="0.25">
      <c r="A10" t="s">
        <v>7735</v>
      </c>
      <c r="B10" t="s">
        <v>3530</v>
      </c>
      <c r="C10" t="s">
        <v>490</v>
      </c>
      <c r="D10" t="s">
        <v>4080</v>
      </c>
      <c r="E10" t="s">
        <v>7691</v>
      </c>
      <c r="F10">
        <v>2</v>
      </c>
      <c r="G10" t="s">
        <v>7736</v>
      </c>
      <c r="H10" t="s">
        <v>7747</v>
      </c>
      <c r="I10" t="s">
        <v>3467</v>
      </c>
    </row>
    <row r="11" spans="1:9" x14ac:dyDescent="0.25">
      <c r="A11" t="s">
        <v>7724</v>
      </c>
      <c r="B11" t="s">
        <v>3518</v>
      </c>
      <c r="C11" t="s">
        <v>2155</v>
      </c>
      <c r="D11" t="s">
        <v>4069</v>
      </c>
      <c r="E11" t="s">
        <v>7691</v>
      </c>
      <c r="F11">
        <v>3</v>
      </c>
      <c r="G11" t="s">
        <v>7732</v>
      </c>
      <c r="H11" t="s">
        <v>7748</v>
      </c>
      <c r="I11" t="s">
        <v>3467</v>
      </c>
    </row>
    <row r="12" spans="1:9" x14ac:dyDescent="0.25">
      <c r="A12" t="s">
        <v>7726</v>
      </c>
      <c r="B12" t="s">
        <v>3518</v>
      </c>
      <c r="C12" t="s">
        <v>2155</v>
      </c>
      <c r="D12" t="s">
        <v>4069</v>
      </c>
      <c r="E12" t="s">
        <v>7691</v>
      </c>
      <c r="F12">
        <v>3</v>
      </c>
      <c r="G12" t="s">
        <v>7734</v>
      </c>
      <c r="H12" t="s">
        <v>7749</v>
      </c>
      <c r="I12" t="s">
        <v>3467</v>
      </c>
    </row>
    <row r="13" spans="1:9" x14ac:dyDescent="0.25">
      <c r="A13" t="s">
        <v>3742</v>
      </c>
      <c r="B13" t="s">
        <v>3743</v>
      </c>
      <c r="C13" t="s">
        <v>1796</v>
      </c>
      <c r="D13" t="s">
        <v>4069</v>
      </c>
      <c r="E13" t="s">
        <v>7690</v>
      </c>
      <c r="F13">
        <v>1</v>
      </c>
      <c r="G13" t="s">
        <v>3744</v>
      </c>
      <c r="H13" t="s">
        <v>7707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2" sqref="A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4275</v>
      </c>
      <c r="G1" t="s">
        <v>4276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4277</v>
      </c>
      <c r="B2" t="s">
        <v>160</v>
      </c>
      <c r="C2" t="s">
        <v>4278</v>
      </c>
      <c r="D2" t="s">
        <v>4279</v>
      </c>
      <c r="E2" t="s">
        <v>41</v>
      </c>
      <c r="L2" t="s">
        <v>4280</v>
      </c>
      <c r="N2" t="s">
        <v>4281</v>
      </c>
      <c r="O2" t="s">
        <v>49</v>
      </c>
      <c r="Q2" t="s">
        <v>4282</v>
      </c>
      <c r="R2" t="s">
        <v>3554</v>
      </c>
      <c r="U2" t="s">
        <v>4283</v>
      </c>
    </row>
    <row r="3" spans="1:37" x14ac:dyDescent="0.25">
      <c r="A3" t="s">
        <v>4284</v>
      </c>
      <c r="B3" t="s">
        <v>2620</v>
      </c>
      <c r="C3" t="s">
        <v>4278</v>
      </c>
      <c r="D3" t="s">
        <v>4285</v>
      </c>
      <c r="E3" t="s">
        <v>41</v>
      </c>
      <c r="G3" t="s">
        <v>187</v>
      </c>
      <c r="N3" t="s">
        <v>4286</v>
      </c>
      <c r="O3" t="s">
        <v>49</v>
      </c>
      <c r="Q3" t="s">
        <v>4287</v>
      </c>
      <c r="R3" t="s">
        <v>3554</v>
      </c>
      <c r="U3" t="s">
        <v>4288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4289</v>
      </c>
      <c r="B1" t="s">
        <v>1</v>
      </c>
      <c r="C1" t="s">
        <v>4290</v>
      </c>
      <c r="D1" t="s">
        <v>4291</v>
      </c>
      <c r="E1" t="s">
        <v>4292</v>
      </c>
      <c r="F1" t="s">
        <v>7</v>
      </c>
    </row>
    <row r="2" spans="1:6" x14ac:dyDescent="0.25">
      <c r="A2" t="s">
        <v>4293</v>
      </c>
      <c r="B2" t="s">
        <v>90</v>
      </c>
      <c r="C2" t="s">
        <v>4294</v>
      </c>
      <c r="D2" t="s">
        <v>4295</v>
      </c>
      <c r="E2" t="s">
        <v>3467</v>
      </c>
      <c r="F2" t="s">
        <v>4296</v>
      </c>
    </row>
    <row r="3" spans="1:6" x14ac:dyDescent="0.25">
      <c r="A3" t="s">
        <v>4297</v>
      </c>
      <c r="B3" t="s">
        <v>38</v>
      </c>
      <c r="C3" t="s">
        <v>4298</v>
      </c>
      <c r="D3" t="s">
        <v>4295</v>
      </c>
      <c r="E3">
        <v>3</v>
      </c>
      <c r="F3" t="s">
        <v>4297</v>
      </c>
    </row>
    <row r="4" spans="1:6" x14ac:dyDescent="0.25">
      <c r="A4" t="s">
        <v>4299</v>
      </c>
      <c r="B4" t="s">
        <v>38</v>
      </c>
      <c r="C4" t="s">
        <v>4300</v>
      </c>
      <c r="D4" t="s">
        <v>4295</v>
      </c>
      <c r="E4">
        <v>3</v>
      </c>
      <c r="F4" t="s">
        <v>4301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4302</v>
      </c>
      <c r="E1" t="s">
        <v>4303</v>
      </c>
      <c r="F1" t="s">
        <v>4304</v>
      </c>
    </row>
    <row r="2" spans="1:6" x14ac:dyDescent="0.25">
      <c r="A2" t="s">
        <v>4305</v>
      </c>
      <c r="B2" t="s">
        <v>4306</v>
      </c>
      <c r="C2" t="s">
        <v>4307</v>
      </c>
      <c r="D2" t="s">
        <v>4308</v>
      </c>
      <c r="E2" t="s">
        <v>4309</v>
      </c>
      <c r="F2" t="s">
        <v>4305</v>
      </c>
    </row>
    <row r="3" spans="1:6" x14ac:dyDescent="0.25">
      <c r="A3" t="s">
        <v>7670</v>
      </c>
      <c r="B3" t="s">
        <v>7673</v>
      </c>
      <c r="C3" t="s">
        <v>7709</v>
      </c>
      <c r="E3" t="s">
        <v>7674</v>
      </c>
      <c r="F3" t="s">
        <v>7670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4302</v>
      </c>
      <c r="F1" t="s">
        <v>3449</v>
      </c>
      <c r="G1" t="s">
        <v>4304</v>
      </c>
    </row>
    <row r="2" spans="1:7" x14ac:dyDescent="0.25">
      <c r="A2" t="s">
        <v>4310</v>
      </c>
      <c r="B2" t="s">
        <v>4311</v>
      </c>
      <c r="C2" t="s">
        <v>4312</v>
      </c>
      <c r="D2" t="s">
        <v>4313</v>
      </c>
      <c r="E2" t="s">
        <v>4314</v>
      </c>
      <c r="F2">
        <v>1</v>
      </c>
      <c r="G2" t="s">
        <v>4310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4315</v>
      </c>
      <c r="F1" t="s">
        <v>3512</v>
      </c>
      <c r="G1" t="s">
        <v>4316</v>
      </c>
      <c r="H1" t="s">
        <v>7</v>
      </c>
    </row>
    <row r="2" spans="1:8" x14ac:dyDescent="0.25">
      <c r="B2" t="s">
        <v>4317</v>
      </c>
      <c r="C2" t="s">
        <v>3760</v>
      </c>
      <c r="D2" t="s">
        <v>41</v>
      </c>
      <c r="E2" t="s">
        <v>4318</v>
      </c>
      <c r="F2" t="s">
        <v>3467</v>
      </c>
      <c r="G2" t="s">
        <v>4319</v>
      </c>
    </row>
    <row r="3" spans="1:8" x14ac:dyDescent="0.25">
      <c r="B3" t="s">
        <v>4317</v>
      </c>
      <c r="C3" t="s">
        <v>3797</v>
      </c>
      <c r="D3" t="s">
        <v>41</v>
      </c>
      <c r="E3" t="s">
        <v>4320</v>
      </c>
      <c r="G3" t="s">
        <v>4321</v>
      </c>
    </row>
    <row r="4" spans="1:8" x14ac:dyDescent="0.25">
      <c r="B4" t="s">
        <v>4317</v>
      </c>
      <c r="C4" t="s">
        <v>3812</v>
      </c>
      <c r="D4" t="s">
        <v>41</v>
      </c>
      <c r="E4" t="s">
        <v>4322</v>
      </c>
      <c r="G4" t="s">
        <v>4323</v>
      </c>
    </row>
    <row r="5" spans="1:8" x14ac:dyDescent="0.25">
      <c r="B5" t="s">
        <v>4324</v>
      </c>
      <c r="C5" t="s">
        <v>3760</v>
      </c>
      <c r="D5" t="s">
        <v>41</v>
      </c>
      <c r="E5" t="s">
        <v>4325</v>
      </c>
      <c r="F5" t="s">
        <v>3467</v>
      </c>
      <c r="G5" t="s">
        <v>4326</v>
      </c>
    </row>
    <row r="6" spans="1:8" x14ac:dyDescent="0.25">
      <c r="B6" t="s">
        <v>4324</v>
      </c>
      <c r="C6" t="s">
        <v>3797</v>
      </c>
      <c r="D6" t="s">
        <v>41</v>
      </c>
      <c r="E6" t="s">
        <v>4327</v>
      </c>
      <c r="G6" t="s">
        <v>4328</v>
      </c>
    </row>
    <row r="7" spans="1:8" x14ac:dyDescent="0.25">
      <c r="B7" t="s">
        <v>4324</v>
      </c>
      <c r="C7" t="s">
        <v>3812</v>
      </c>
      <c r="D7" t="s">
        <v>41</v>
      </c>
      <c r="E7" t="s">
        <v>4329</v>
      </c>
      <c r="G7" t="s">
        <v>4330</v>
      </c>
    </row>
    <row r="8" spans="1:8" x14ac:dyDescent="0.25">
      <c r="B8" t="s">
        <v>4331</v>
      </c>
      <c r="C8" t="s">
        <v>3760</v>
      </c>
      <c r="D8" t="s">
        <v>41</v>
      </c>
      <c r="E8" t="s">
        <v>4332</v>
      </c>
      <c r="F8" t="s">
        <v>3467</v>
      </c>
    </row>
    <row r="9" spans="1:8" x14ac:dyDescent="0.25">
      <c r="B9" t="s">
        <v>4331</v>
      </c>
      <c r="C9" t="s">
        <v>3797</v>
      </c>
      <c r="D9" t="s">
        <v>41</v>
      </c>
      <c r="E9" t="s">
        <v>4333</v>
      </c>
    </row>
    <row r="10" spans="1:8" x14ac:dyDescent="0.25">
      <c r="B10" t="s">
        <v>4331</v>
      </c>
      <c r="C10" t="s">
        <v>3812</v>
      </c>
      <c r="D10" t="s">
        <v>41</v>
      </c>
      <c r="E10" t="s">
        <v>4334</v>
      </c>
    </row>
    <row r="11" spans="1:8" x14ac:dyDescent="0.25">
      <c r="B11" t="s">
        <v>4331</v>
      </c>
      <c r="C11" t="s">
        <v>3938</v>
      </c>
      <c r="D11" t="s">
        <v>41</v>
      </c>
      <c r="E11" t="s">
        <v>4335</v>
      </c>
      <c r="G11" t="s">
        <v>4336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4337</v>
      </c>
      <c r="G1" t="s">
        <v>4275</v>
      </c>
      <c r="H1" t="s">
        <v>4338</v>
      </c>
      <c r="I1" t="s">
        <v>4339</v>
      </c>
    </row>
    <row r="2" spans="1:9" x14ac:dyDescent="0.25">
      <c r="A2" t="s">
        <v>4340</v>
      </c>
      <c r="B2" t="s">
        <v>2620</v>
      </c>
      <c r="C2" t="s">
        <v>3760</v>
      </c>
      <c r="D2" t="s">
        <v>3770</v>
      </c>
      <c r="E2" t="s">
        <v>4341</v>
      </c>
      <c r="F2" t="s">
        <v>3476</v>
      </c>
      <c r="G2" t="s">
        <v>4342</v>
      </c>
      <c r="H2" t="s">
        <v>4343</v>
      </c>
      <c r="I2" t="s">
        <v>3693</v>
      </c>
    </row>
    <row r="3" spans="1:9" x14ac:dyDescent="0.25">
      <c r="A3" t="s">
        <v>4344</v>
      </c>
      <c r="B3" t="s">
        <v>2620</v>
      </c>
      <c r="C3" t="s">
        <v>3760</v>
      </c>
      <c r="D3" t="s">
        <v>3762</v>
      </c>
      <c r="E3" t="s">
        <v>4345</v>
      </c>
      <c r="F3" t="s">
        <v>3476</v>
      </c>
      <c r="G3" t="s">
        <v>4342</v>
      </c>
      <c r="I3" t="s">
        <v>4346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T59"/>
  <sheetViews>
    <sheetView topLeftCell="A6" workbookViewId="0">
      <selection activeCell="E36" sqref="E36"/>
    </sheetView>
  </sheetViews>
  <sheetFormatPr defaultRowHeight="15" x14ac:dyDescent="0.25"/>
  <cols>
    <col min="1" max="1" width="23.140625" bestFit="1" customWidth="1"/>
    <col min="2" max="2" width="47.85546875" customWidth="1"/>
    <col min="3" max="3" width="12.85546875" bestFit="1" customWidth="1"/>
    <col min="4" max="4" width="13.5703125" bestFit="1" customWidth="1"/>
    <col min="5" max="5" width="26.85546875" bestFit="1" customWidth="1"/>
    <col min="6" max="6" width="20.7109375" bestFit="1" customWidth="1"/>
    <col min="7" max="7" width="7.28515625" bestFit="1" customWidth="1"/>
    <col min="8" max="8" width="11.140625" bestFit="1" customWidth="1"/>
    <col min="9" max="9" width="14.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4.42578125" customWidth="1"/>
    <col min="17" max="17" width="26.85546875" bestFit="1" customWidth="1"/>
    <col min="18" max="18" width="16.7109375" bestFit="1" customWidth="1"/>
    <col min="19" max="19" width="4.5703125" customWidth="1"/>
    <col min="20" max="20" width="14.140625" bestFit="1" customWidth="1"/>
    <col min="21" max="21" width="7.7109375" bestFit="1" customWidth="1"/>
    <col min="22" max="22" width="13.5703125" bestFit="1" customWidth="1"/>
    <col min="23" max="23" width="11.42578125" bestFit="1" customWidth="1"/>
    <col min="24" max="24" width="13.5703125" bestFit="1" customWidth="1"/>
    <col min="25" max="25" width="10.7109375" bestFit="1" customWidth="1"/>
  </cols>
  <sheetData>
    <row r="1" spans="1:20" x14ac:dyDescent="0.25">
      <c r="A1" t="s">
        <v>7606</v>
      </c>
      <c r="B1" t="s">
        <v>7607</v>
      </c>
      <c r="C1" t="s">
        <v>7626</v>
      </c>
      <c r="D1" t="s">
        <v>7534</v>
      </c>
      <c r="E1" t="s">
        <v>7535</v>
      </c>
      <c r="F1" t="s">
        <v>7593</v>
      </c>
      <c r="G1" t="s">
        <v>7635</v>
      </c>
      <c r="H1" t="s">
        <v>7536</v>
      </c>
      <c r="I1" t="s">
        <v>7537</v>
      </c>
      <c r="J1" t="s">
        <v>7594</v>
      </c>
      <c r="K1" t="s">
        <v>7636</v>
      </c>
      <c r="L1" t="s">
        <v>7538</v>
      </c>
      <c r="M1" t="s">
        <v>7539</v>
      </c>
      <c r="N1" t="s">
        <v>7596</v>
      </c>
      <c r="O1" t="s">
        <v>7637</v>
      </c>
      <c r="Q1" t="s">
        <v>7615</v>
      </c>
      <c r="R1" t="s">
        <v>7616</v>
      </c>
      <c r="T1" t="s">
        <v>7638</v>
      </c>
    </row>
    <row r="2" spans="1:20" x14ac:dyDescent="0.25">
      <c r="A2" t="s">
        <v>3517</v>
      </c>
      <c r="B2" t="s">
        <v>7608</v>
      </c>
      <c r="C2" t="s">
        <v>7641</v>
      </c>
      <c r="D2" t="s">
        <v>3449</v>
      </c>
      <c r="E2" t="s">
        <v>7542</v>
      </c>
      <c r="F2" t="s">
        <v>3531</v>
      </c>
      <c r="G2" t="s">
        <v>7618</v>
      </c>
      <c r="H2" t="s">
        <v>3449</v>
      </c>
      <c r="I2" t="s">
        <v>7600</v>
      </c>
      <c r="J2" t="s">
        <v>3531</v>
      </c>
      <c r="K2" t="s">
        <v>7618</v>
      </c>
      <c r="L2" t="s">
        <v>7654</v>
      </c>
      <c r="M2" t="s">
        <v>7629</v>
      </c>
      <c r="N2" t="s">
        <v>7595</v>
      </c>
      <c r="O2" t="s">
        <v>7618</v>
      </c>
      <c r="Q2" t="s">
        <v>3451</v>
      </c>
      <c r="R2" t="s">
        <v>7618</v>
      </c>
    </row>
    <row r="3" spans="1:20" x14ac:dyDescent="0.25">
      <c r="A3" t="s">
        <v>3524</v>
      </c>
      <c r="B3" t="s">
        <v>7608</v>
      </c>
      <c r="C3" t="s">
        <v>7641</v>
      </c>
      <c r="D3" t="s">
        <v>7652</v>
      </c>
      <c r="E3" t="s">
        <v>7541</v>
      </c>
      <c r="F3" t="s">
        <v>7597</v>
      </c>
      <c r="G3" t="s">
        <v>7618</v>
      </c>
      <c r="Q3" t="s">
        <v>7601</v>
      </c>
      <c r="R3" t="s">
        <v>7618</v>
      </c>
      <c r="T3" t="s">
        <v>7651</v>
      </c>
    </row>
    <row r="4" spans="1:20" x14ac:dyDescent="0.25">
      <c r="A4" t="s">
        <v>3529</v>
      </c>
      <c r="B4" t="s">
        <v>7608</v>
      </c>
      <c r="C4" t="s">
        <v>7641</v>
      </c>
      <c r="D4" t="s">
        <v>3536</v>
      </c>
      <c r="E4" t="s">
        <v>3451</v>
      </c>
      <c r="F4" t="s">
        <v>3531</v>
      </c>
      <c r="G4" t="s">
        <v>7618</v>
      </c>
      <c r="Q4" t="s">
        <v>7617</v>
      </c>
      <c r="R4" t="s">
        <v>7618</v>
      </c>
      <c r="T4" t="s">
        <v>3536</v>
      </c>
    </row>
    <row r="5" spans="1:20" x14ac:dyDescent="0.25">
      <c r="A5" t="s">
        <v>3538</v>
      </c>
      <c r="B5" t="s">
        <v>7608</v>
      </c>
      <c r="C5" t="s">
        <v>7641</v>
      </c>
      <c r="D5" t="s">
        <v>3536</v>
      </c>
      <c r="E5" t="s">
        <v>7682</v>
      </c>
      <c r="F5" t="s">
        <v>3539</v>
      </c>
      <c r="G5" t="s">
        <v>7618</v>
      </c>
      <c r="H5" t="s">
        <v>7540</v>
      </c>
      <c r="I5" t="s">
        <v>7610</v>
      </c>
      <c r="J5" t="s">
        <v>7598</v>
      </c>
      <c r="K5" t="s">
        <v>7619</v>
      </c>
      <c r="Q5" t="s">
        <v>4289</v>
      </c>
      <c r="R5" t="s">
        <v>7619</v>
      </c>
      <c r="T5" t="s">
        <v>3449</v>
      </c>
    </row>
    <row r="6" spans="1:20" x14ac:dyDescent="0.25">
      <c r="A6" t="s">
        <v>3544</v>
      </c>
      <c r="B6" t="s">
        <v>7624</v>
      </c>
      <c r="C6" t="s">
        <v>7641</v>
      </c>
      <c r="D6" t="s">
        <v>3449</v>
      </c>
      <c r="E6" t="s">
        <v>7542</v>
      </c>
      <c r="F6" t="s">
        <v>3531</v>
      </c>
      <c r="G6" t="s">
        <v>7618</v>
      </c>
      <c r="H6" t="s">
        <v>3449</v>
      </c>
      <c r="I6" t="s">
        <v>7600</v>
      </c>
      <c r="J6" t="s">
        <v>3531</v>
      </c>
      <c r="K6" t="s">
        <v>7618</v>
      </c>
      <c r="Q6" t="s">
        <v>7629</v>
      </c>
      <c r="R6" t="s">
        <v>7619</v>
      </c>
      <c r="T6" t="s">
        <v>3456</v>
      </c>
    </row>
    <row r="7" spans="1:20" x14ac:dyDescent="0.25">
      <c r="A7" t="s">
        <v>4277</v>
      </c>
      <c r="B7" t="s">
        <v>7644</v>
      </c>
      <c r="C7" t="s">
        <v>7628</v>
      </c>
      <c r="D7" t="s">
        <v>3536</v>
      </c>
      <c r="E7" t="s">
        <v>3450</v>
      </c>
      <c r="F7" t="s">
        <v>7650</v>
      </c>
      <c r="G7" t="s">
        <v>7618</v>
      </c>
      <c r="H7" t="s">
        <v>3449</v>
      </c>
      <c r="I7" t="s">
        <v>7600</v>
      </c>
      <c r="J7" t="s">
        <v>7645</v>
      </c>
      <c r="K7" t="s">
        <v>7619</v>
      </c>
      <c r="L7" t="s">
        <v>3449</v>
      </c>
      <c r="M7" t="s">
        <v>7600</v>
      </c>
      <c r="N7" t="s">
        <v>7599</v>
      </c>
      <c r="O7" t="s">
        <v>7618</v>
      </c>
      <c r="Q7" t="s">
        <v>7600</v>
      </c>
      <c r="R7" t="s">
        <v>7618</v>
      </c>
      <c r="T7" t="s">
        <v>7640</v>
      </c>
    </row>
    <row r="8" spans="1:20" x14ac:dyDescent="0.25">
      <c r="A8" t="s">
        <v>7646</v>
      </c>
      <c r="B8" t="s">
        <v>7647</v>
      </c>
      <c r="C8" t="s">
        <v>0</v>
      </c>
      <c r="D8" t="s">
        <v>7628</v>
      </c>
      <c r="E8" t="s">
        <v>7648</v>
      </c>
      <c r="F8" t="s">
        <v>7649</v>
      </c>
      <c r="G8" t="s">
        <v>7618</v>
      </c>
      <c r="Q8" t="s">
        <v>7610</v>
      </c>
      <c r="R8" t="s">
        <v>7618</v>
      </c>
      <c r="T8" t="s">
        <v>7652</v>
      </c>
    </row>
    <row r="9" spans="1:20" x14ac:dyDescent="0.25">
      <c r="A9" t="s">
        <v>3549</v>
      </c>
      <c r="B9" t="s">
        <v>7608</v>
      </c>
      <c r="C9" t="s">
        <v>7641</v>
      </c>
      <c r="D9" t="s">
        <v>3554</v>
      </c>
      <c r="E9" t="s">
        <v>7601</v>
      </c>
      <c r="F9" t="s">
        <v>3531</v>
      </c>
      <c r="G9" t="s">
        <v>7618</v>
      </c>
      <c r="H9" t="s">
        <v>3449</v>
      </c>
      <c r="I9" t="s">
        <v>7600</v>
      </c>
      <c r="J9" t="s">
        <v>7599</v>
      </c>
      <c r="K9" t="s">
        <v>7618</v>
      </c>
      <c r="Q9" t="s">
        <v>3459</v>
      </c>
      <c r="R9" t="s">
        <v>7618</v>
      </c>
    </row>
    <row r="10" spans="1:20" x14ac:dyDescent="0.25">
      <c r="A10" t="s">
        <v>7553</v>
      </c>
      <c r="B10" t="s">
        <v>7655</v>
      </c>
      <c r="C10" t="s">
        <v>4987</v>
      </c>
      <c r="D10" t="s">
        <v>7653</v>
      </c>
      <c r="E10" t="s">
        <v>7648</v>
      </c>
      <c r="F10" t="s">
        <v>7622</v>
      </c>
      <c r="G10" t="s">
        <v>7618</v>
      </c>
      <c r="Q10" t="s">
        <v>5723</v>
      </c>
      <c r="R10" t="s">
        <v>7618</v>
      </c>
      <c r="T10" t="s">
        <v>7640</v>
      </c>
    </row>
    <row r="11" spans="1:20" x14ac:dyDescent="0.25">
      <c r="A11" t="s">
        <v>3555</v>
      </c>
      <c r="B11" t="s">
        <v>7608</v>
      </c>
      <c r="C11" t="s">
        <v>7641</v>
      </c>
      <c r="D11" t="s">
        <v>3456</v>
      </c>
      <c r="E11" t="s">
        <v>7601</v>
      </c>
      <c r="F11" t="s">
        <v>3531</v>
      </c>
      <c r="G11" t="s">
        <v>7618</v>
      </c>
      <c r="H11" t="s">
        <v>3554</v>
      </c>
      <c r="I11" t="s">
        <v>7617</v>
      </c>
      <c r="J11" t="s">
        <v>3539</v>
      </c>
      <c r="K11" t="s">
        <v>7618</v>
      </c>
      <c r="Q11" t="s">
        <v>7542</v>
      </c>
      <c r="R11" t="s">
        <v>7618</v>
      </c>
      <c r="T11" t="s">
        <v>7641</v>
      </c>
    </row>
    <row r="12" spans="1:20" x14ac:dyDescent="0.25">
      <c r="A12" t="s">
        <v>3478</v>
      </c>
      <c r="B12" t="s">
        <v>3563</v>
      </c>
      <c r="C12" t="s">
        <v>7641</v>
      </c>
      <c r="D12" t="s">
        <v>3449</v>
      </c>
      <c r="E12" t="s">
        <v>7600</v>
      </c>
      <c r="F12" t="s">
        <v>7602</v>
      </c>
      <c r="G12" t="s">
        <v>7618</v>
      </c>
      <c r="Q12" t="s">
        <v>7604</v>
      </c>
      <c r="R12" t="s">
        <v>7618</v>
      </c>
      <c r="T12" t="s">
        <v>3605</v>
      </c>
    </row>
    <row r="13" spans="1:20" x14ac:dyDescent="0.25">
      <c r="A13" t="s">
        <v>3567</v>
      </c>
      <c r="B13" t="s">
        <v>7608</v>
      </c>
      <c r="C13" t="s">
        <v>7641</v>
      </c>
      <c r="D13" t="s">
        <v>3536</v>
      </c>
      <c r="E13" t="s">
        <v>7682</v>
      </c>
      <c r="F13" t="s">
        <v>3539</v>
      </c>
      <c r="G13" t="s">
        <v>7618</v>
      </c>
      <c r="H13" t="s">
        <v>7592</v>
      </c>
      <c r="I13" t="s">
        <v>7604</v>
      </c>
      <c r="J13" t="s">
        <v>3531</v>
      </c>
      <c r="K13" t="s">
        <v>7618</v>
      </c>
      <c r="Q13" t="s">
        <v>7611</v>
      </c>
      <c r="R13" t="s">
        <v>7618</v>
      </c>
    </row>
    <row r="14" spans="1:20" x14ac:dyDescent="0.25">
      <c r="A14" t="s">
        <v>3574</v>
      </c>
      <c r="B14" t="s">
        <v>7609</v>
      </c>
      <c r="C14" t="s">
        <v>7641</v>
      </c>
      <c r="D14" t="s">
        <v>7643</v>
      </c>
      <c r="E14" t="s">
        <v>4289</v>
      </c>
      <c r="F14" t="s">
        <v>3531</v>
      </c>
      <c r="G14" t="s">
        <v>7618</v>
      </c>
      <c r="H14" t="s">
        <v>7540</v>
      </c>
      <c r="I14" t="s">
        <v>7610</v>
      </c>
      <c r="J14" t="s">
        <v>3531</v>
      </c>
      <c r="K14" t="s">
        <v>7618</v>
      </c>
      <c r="Q14" t="s">
        <v>7682</v>
      </c>
      <c r="R14" t="s">
        <v>7618</v>
      </c>
      <c r="T14" t="s">
        <v>3605</v>
      </c>
    </row>
    <row r="15" spans="1:20" x14ac:dyDescent="0.25">
      <c r="A15" t="s">
        <v>7406</v>
      </c>
      <c r="B15" t="s">
        <v>7608</v>
      </c>
      <c r="C15" t="s">
        <v>7641</v>
      </c>
      <c r="D15" t="s">
        <v>7605</v>
      </c>
      <c r="E15" t="s">
        <v>7611</v>
      </c>
      <c r="F15" t="s">
        <v>3531</v>
      </c>
      <c r="G15" t="s">
        <v>7618</v>
      </c>
      <c r="Q15" t="s">
        <v>7541</v>
      </c>
      <c r="R15" t="s">
        <v>7618</v>
      </c>
      <c r="T15" t="s">
        <v>7603</v>
      </c>
    </row>
    <row r="16" spans="1:20" x14ac:dyDescent="0.25">
      <c r="A16" t="s">
        <v>3580</v>
      </c>
      <c r="B16" t="s">
        <v>7608</v>
      </c>
      <c r="C16" t="s">
        <v>7641</v>
      </c>
      <c r="D16" t="s">
        <v>3449</v>
      </c>
      <c r="E16" t="s">
        <v>7600</v>
      </c>
      <c r="F16" t="s">
        <v>7612</v>
      </c>
      <c r="G16" t="s">
        <v>7618</v>
      </c>
      <c r="Q16" t="s">
        <v>7621</v>
      </c>
      <c r="R16" t="s">
        <v>7618</v>
      </c>
      <c r="T16" t="s">
        <v>4046</v>
      </c>
    </row>
    <row r="17" spans="1:20" x14ac:dyDescent="0.25">
      <c r="A17" t="s">
        <v>3586</v>
      </c>
      <c r="B17" t="s">
        <v>7608</v>
      </c>
      <c r="C17" t="s">
        <v>7641</v>
      </c>
      <c r="D17" t="s">
        <v>3536</v>
      </c>
      <c r="E17" t="s">
        <v>5723</v>
      </c>
      <c r="F17" t="s">
        <v>3539</v>
      </c>
      <c r="G17" t="s">
        <v>7618</v>
      </c>
      <c r="Q17" t="s">
        <v>7630</v>
      </c>
      <c r="R17" t="s">
        <v>7618</v>
      </c>
      <c r="T17" t="s">
        <v>7605</v>
      </c>
    </row>
    <row r="18" spans="1:20" x14ac:dyDescent="0.25">
      <c r="A18" t="s">
        <v>3590</v>
      </c>
      <c r="B18" t="s">
        <v>7608</v>
      </c>
      <c r="C18" t="s">
        <v>7641</v>
      </c>
      <c r="D18" t="s">
        <v>7643</v>
      </c>
      <c r="E18" t="s">
        <v>3459</v>
      </c>
      <c r="F18" t="s">
        <v>7614</v>
      </c>
      <c r="G18" t="s">
        <v>7618</v>
      </c>
      <c r="Q18" t="s">
        <v>3450</v>
      </c>
      <c r="R18" t="s">
        <v>7618</v>
      </c>
      <c r="T18" t="s">
        <v>5469</v>
      </c>
    </row>
    <row r="19" spans="1:20" x14ac:dyDescent="0.25">
      <c r="A19" t="s">
        <v>3595</v>
      </c>
      <c r="B19" t="s">
        <v>7608</v>
      </c>
      <c r="C19" t="s">
        <v>7641</v>
      </c>
      <c r="D19" t="s">
        <v>7654</v>
      </c>
      <c r="E19" t="s">
        <v>7621</v>
      </c>
      <c r="F19" t="s">
        <v>7620</v>
      </c>
      <c r="G19" t="s">
        <v>7618</v>
      </c>
      <c r="Q19" t="s">
        <v>7632</v>
      </c>
      <c r="R19" t="s">
        <v>7618</v>
      </c>
      <c r="T19" t="s">
        <v>7686</v>
      </c>
    </row>
    <row r="20" spans="1:20" x14ac:dyDescent="0.25">
      <c r="A20" t="s">
        <v>3483</v>
      </c>
      <c r="B20" t="s">
        <v>7613</v>
      </c>
      <c r="C20" t="s">
        <v>7641</v>
      </c>
      <c r="D20" t="s">
        <v>3536</v>
      </c>
      <c r="E20" t="s">
        <v>3455</v>
      </c>
      <c r="F20" t="s">
        <v>7620</v>
      </c>
      <c r="G20" t="s">
        <v>7618</v>
      </c>
      <c r="Q20" t="s">
        <v>7634</v>
      </c>
      <c r="R20" t="s">
        <v>7618</v>
      </c>
    </row>
    <row r="21" spans="1:20" x14ac:dyDescent="0.25">
      <c r="A21" t="s">
        <v>3601</v>
      </c>
      <c r="B21" t="s">
        <v>7608</v>
      </c>
      <c r="C21" t="s">
        <v>7641</v>
      </c>
      <c r="D21" t="s">
        <v>3605</v>
      </c>
      <c r="E21" t="s">
        <v>7639</v>
      </c>
      <c r="F21" t="s">
        <v>7622</v>
      </c>
      <c r="G21" t="s">
        <v>7618</v>
      </c>
      <c r="Q21" t="s">
        <v>7639</v>
      </c>
      <c r="R21" t="s">
        <v>7618</v>
      </c>
    </row>
    <row r="22" spans="1:20" x14ac:dyDescent="0.25">
      <c r="A22" t="s">
        <v>3606</v>
      </c>
      <c r="B22" t="s">
        <v>7608</v>
      </c>
      <c r="C22" t="s">
        <v>7641</v>
      </c>
      <c r="D22" t="s">
        <v>3536</v>
      </c>
      <c r="E22" t="s">
        <v>5723</v>
      </c>
      <c r="F22" t="s">
        <v>3539</v>
      </c>
      <c r="G22" t="s">
        <v>7618</v>
      </c>
      <c r="H22" t="s">
        <v>7540</v>
      </c>
      <c r="I22" t="s">
        <v>7610</v>
      </c>
      <c r="J22" t="s">
        <v>7598</v>
      </c>
      <c r="K22" t="s">
        <v>7619</v>
      </c>
      <c r="Q22" t="s">
        <v>7642</v>
      </c>
      <c r="R22" t="s">
        <v>7618</v>
      </c>
    </row>
    <row r="23" spans="1:20" x14ac:dyDescent="0.25">
      <c r="A23" t="s">
        <v>131</v>
      </c>
      <c r="B23" t="s">
        <v>7623</v>
      </c>
      <c r="C23" t="s">
        <v>7641</v>
      </c>
      <c r="D23" t="s">
        <v>3536</v>
      </c>
      <c r="E23" t="s">
        <v>3450</v>
      </c>
      <c r="F23" t="s">
        <v>7612</v>
      </c>
      <c r="G23" t="s">
        <v>7618</v>
      </c>
      <c r="Q23" t="s">
        <v>7648</v>
      </c>
      <c r="R23" t="s">
        <v>7618</v>
      </c>
    </row>
    <row r="24" spans="1:20" x14ac:dyDescent="0.25">
      <c r="A24" t="s">
        <v>3614</v>
      </c>
      <c r="B24" t="s">
        <v>7608</v>
      </c>
      <c r="C24" t="s">
        <v>7641</v>
      </c>
      <c r="D24" t="s">
        <v>3449</v>
      </c>
      <c r="E24" t="s">
        <v>7542</v>
      </c>
      <c r="F24" t="s">
        <v>3531</v>
      </c>
      <c r="G24" t="s">
        <v>7618</v>
      </c>
      <c r="Q24" t="s">
        <v>3455</v>
      </c>
      <c r="R24" t="s">
        <v>7618</v>
      </c>
    </row>
    <row r="25" spans="1:20" x14ac:dyDescent="0.25">
      <c r="A25" t="s">
        <v>3619</v>
      </c>
      <c r="B25" t="s">
        <v>7608</v>
      </c>
      <c r="C25" t="s">
        <v>7641</v>
      </c>
      <c r="D25" t="s">
        <v>3456</v>
      </c>
      <c r="E25" t="s">
        <v>7601</v>
      </c>
      <c r="F25" t="s">
        <v>3531</v>
      </c>
      <c r="G25" t="s">
        <v>7618</v>
      </c>
      <c r="H25" t="s">
        <v>7625</v>
      </c>
      <c r="I25" t="s">
        <v>7630</v>
      </c>
      <c r="J25" t="s">
        <v>7599</v>
      </c>
      <c r="K25" t="s">
        <v>7618</v>
      </c>
      <c r="Q25" t="s">
        <v>4047</v>
      </c>
      <c r="R25" t="s">
        <v>7618</v>
      </c>
    </row>
    <row r="26" spans="1:20" x14ac:dyDescent="0.25">
      <c r="A26" t="s">
        <v>3623</v>
      </c>
      <c r="B26" t="s">
        <v>7624</v>
      </c>
      <c r="C26" t="s">
        <v>7641</v>
      </c>
      <c r="D26" t="s">
        <v>3449</v>
      </c>
      <c r="E26" t="s">
        <v>7600</v>
      </c>
      <c r="F26" t="s">
        <v>3531</v>
      </c>
      <c r="G26" t="s">
        <v>7619</v>
      </c>
      <c r="H26" t="s">
        <v>3536</v>
      </c>
      <c r="I26" t="s">
        <v>3450</v>
      </c>
      <c r="J26" t="s">
        <v>7620</v>
      </c>
      <c r="K26" t="s">
        <v>7618</v>
      </c>
      <c r="Q26" t="s">
        <v>7658</v>
      </c>
      <c r="R26" t="s">
        <v>7619</v>
      </c>
    </row>
    <row r="27" spans="1:20" x14ac:dyDescent="0.25">
      <c r="A27" t="s">
        <v>3628</v>
      </c>
      <c r="B27" t="s">
        <v>7608</v>
      </c>
      <c r="C27" t="s">
        <v>7641</v>
      </c>
      <c r="D27" t="s">
        <v>3599</v>
      </c>
      <c r="E27" t="s">
        <v>7632</v>
      </c>
      <c r="F27" t="s">
        <v>7602</v>
      </c>
      <c r="G27" t="s">
        <v>7618</v>
      </c>
      <c r="Q27" t="s">
        <v>7659</v>
      </c>
      <c r="R27" t="s">
        <v>7618</v>
      </c>
    </row>
    <row r="28" spans="1:20" x14ac:dyDescent="0.25">
      <c r="A28" t="s">
        <v>4310</v>
      </c>
      <c r="B28" t="s">
        <v>7627</v>
      </c>
      <c r="C28" t="s">
        <v>7631</v>
      </c>
      <c r="D28" t="s">
        <v>7654</v>
      </c>
      <c r="E28" t="s">
        <v>7634</v>
      </c>
      <c r="F28" t="s">
        <v>7633</v>
      </c>
      <c r="G28" t="s">
        <v>7618</v>
      </c>
      <c r="Q28" t="s">
        <v>7660</v>
      </c>
      <c r="R28" t="s">
        <v>7618</v>
      </c>
    </row>
    <row r="29" spans="1:20" x14ac:dyDescent="0.25">
      <c r="A29" t="s">
        <v>3456</v>
      </c>
      <c r="B29" t="s">
        <v>7681</v>
      </c>
      <c r="C29" t="s">
        <v>7225</v>
      </c>
      <c r="D29" t="s">
        <v>7654</v>
      </c>
      <c r="E29" t="s">
        <v>7634</v>
      </c>
      <c r="F29" t="s">
        <v>7599</v>
      </c>
      <c r="G29" t="s">
        <v>7618</v>
      </c>
      <c r="Q29" t="s">
        <v>7661</v>
      </c>
      <c r="R29" t="s">
        <v>7619</v>
      </c>
    </row>
    <row r="30" spans="1:20" x14ac:dyDescent="0.25">
      <c r="A30" t="s">
        <v>3631</v>
      </c>
      <c r="B30" t="s">
        <v>7609</v>
      </c>
      <c r="C30" t="s">
        <v>7641</v>
      </c>
      <c r="D30" t="s">
        <v>7540</v>
      </c>
      <c r="E30" t="s">
        <v>7610</v>
      </c>
      <c r="F30" t="s">
        <v>7656</v>
      </c>
      <c r="G30" t="s">
        <v>7618</v>
      </c>
      <c r="Q30" t="s">
        <v>7667</v>
      </c>
      <c r="R30" t="s">
        <v>7618</v>
      </c>
    </row>
    <row r="31" spans="1:20" x14ac:dyDescent="0.25">
      <c r="A31" t="s">
        <v>3636</v>
      </c>
      <c r="B31" t="s">
        <v>7608</v>
      </c>
      <c r="C31" t="s">
        <v>7641</v>
      </c>
      <c r="D31" t="s">
        <v>3536</v>
      </c>
      <c r="E31" t="s">
        <v>5723</v>
      </c>
      <c r="F31" t="s">
        <v>3539</v>
      </c>
      <c r="G31" t="s">
        <v>7618</v>
      </c>
      <c r="H31" t="s">
        <v>7592</v>
      </c>
      <c r="I31" t="s">
        <v>7657</v>
      </c>
      <c r="J31" t="s">
        <v>3539</v>
      </c>
      <c r="K31" t="s">
        <v>7618</v>
      </c>
      <c r="Q31" t="s">
        <v>7668</v>
      </c>
      <c r="R31" t="s">
        <v>7618</v>
      </c>
    </row>
    <row r="32" spans="1:20" x14ac:dyDescent="0.25">
      <c r="A32" t="s">
        <v>3641</v>
      </c>
      <c r="B32" t="s">
        <v>7608</v>
      </c>
      <c r="C32" t="s">
        <v>7641</v>
      </c>
      <c r="D32" t="s">
        <v>3536</v>
      </c>
      <c r="E32" t="s">
        <v>5723</v>
      </c>
      <c r="F32" t="s">
        <v>3539</v>
      </c>
      <c r="G32" t="s">
        <v>7618</v>
      </c>
      <c r="H32" t="s">
        <v>7540</v>
      </c>
      <c r="I32" t="s">
        <v>7610</v>
      </c>
      <c r="J32" t="s">
        <v>7598</v>
      </c>
      <c r="K32" t="s">
        <v>7619</v>
      </c>
      <c r="Q32" t="s">
        <v>3452</v>
      </c>
      <c r="R32" t="s">
        <v>7618</v>
      </c>
    </row>
    <row r="33" spans="1:18" x14ac:dyDescent="0.25">
      <c r="A33" t="s">
        <v>3646</v>
      </c>
      <c r="B33" t="s">
        <v>7608</v>
      </c>
      <c r="C33" t="s">
        <v>7641</v>
      </c>
      <c r="D33" t="s">
        <v>3449</v>
      </c>
      <c r="E33" t="s">
        <v>7542</v>
      </c>
      <c r="F33" t="s">
        <v>3531</v>
      </c>
      <c r="G33" t="s">
        <v>7618</v>
      </c>
      <c r="H33" t="s">
        <v>3449</v>
      </c>
      <c r="I33" t="s">
        <v>7600</v>
      </c>
      <c r="J33" t="s">
        <v>3531</v>
      </c>
      <c r="K33" t="s">
        <v>7618</v>
      </c>
      <c r="Q33" t="s">
        <v>3454</v>
      </c>
      <c r="R33" t="s">
        <v>7618</v>
      </c>
    </row>
    <row r="34" spans="1:18" x14ac:dyDescent="0.25">
      <c r="A34" t="s">
        <v>3649</v>
      </c>
      <c r="B34" t="s">
        <v>7608</v>
      </c>
      <c r="C34" t="s">
        <v>7641</v>
      </c>
      <c r="D34" t="s">
        <v>3449</v>
      </c>
      <c r="E34" t="s">
        <v>7542</v>
      </c>
      <c r="F34" t="s">
        <v>3531</v>
      </c>
      <c r="G34" t="s">
        <v>7618</v>
      </c>
      <c r="H34" t="s">
        <v>3449</v>
      </c>
      <c r="I34" t="s">
        <v>7600</v>
      </c>
      <c r="J34" t="s">
        <v>3531</v>
      </c>
      <c r="K34" t="s">
        <v>7618</v>
      </c>
      <c r="Q34" t="s">
        <v>7680</v>
      </c>
      <c r="R34" t="s">
        <v>7618</v>
      </c>
    </row>
    <row r="35" spans="1:18" x14ac:dyDescent="0.25">
      <c r="A35" t="s">
        <v>3653</v>
      </c>
      <c r="B35" t="s">
        <v>7608</v>
      </c>
      <c r="C35" t="s">
        <v>7641</v>
      </c>
      <c r="D35" t="s">
        <v>3449</v>
      </c>
      <c r="E35" t="s">
        <v>7600</v>
      </c>
      <c r="F35" t="s">
        <v>7602</v>
      </c>
      <c r="G35" t="s">
        <v>7618</v>
      </c>
      <c r="Q35" t="s">
        <v>7683</v>
      </c>
      <c r="R35" t="s">
        <v>7618</v>
      </c>
    </row>
    <row r="36" spans="1:18" x14ac:dyDescent="0.25">
      <c r="A36" t="s">
        <v>3658</v>
      </c>
      <c r="B36" t="s">
        <v>7608</v>
      </c>
      <c r="C36" t="s">
        <v>7641</v>
      </c>
      <c r="D36" t="s">
        <v>3599</v>
      </c>
      <c r="E36" t="s">
        <v>7658</v>
      </c>
      <c r="F36" t="s">
        <v>3531</v>
      </c>
      <c r="G36" t="s">
        <v>7618</v>
      </c>
      <c r="H36" t="s">
        <v>3599</v>
      </c>
      <c r="I36" t="s">
        <v>7659</v>
      </c>
      <c r="J36" t="s">
        <v>3531</v>
      </c>
      <c r="K36" t="s">
        <v>7618</v>
      </c>
      <c r="Q36" t="s">
        <v>7684</v>
      </c>
      <c r="R36" t="s">
        <v>7618</v>
      </c>
    </row>
    <row r="37" spans="1:18" x14ac:dyDescent="0.25">
      <c r="A37" t="s">
        <v>3663</v>
      </c>
      <c r="B37" t="s">
        <v>7608</v>
      </c>
      <c r="C37" t="s">
        <v>7641</v>
      </c>
      <c r="D37" t="s">
        <v>7592</v>
      </c>
      <c r="E37" t="s">
        <v>7604</v>
      </c>
      <c r="F37" t="s">
        <v>7620</v>
      </c>
      <c r="G37" t="s">
        <v>7618</v>
      </c>
      <c r="Q37" t="s">
        <v>7688</v>
      </c>
      <c r="R37" t="s">
        <v>7618</v>
      </c>
    </row>
    <row r="38" spans="1:18" x14ac:dyDescent="0.25">
      <c r="A38" t="s">
        <v>3668</v>
      </c>
      <c r="B38" t="s">
        <v>7608</v>
      </c>
      <c r="C38" t="s">
        <v>7641</v>
      </c>
      <c r="D38" t="s">
        <v>7592</v>
      </c>
      <c r="E38" t="s">
        <v>7604</v>
      </c>
      <c r="F38" t="s">
        <v>3531</v>
      </c>
      <c r="G38" t="s">
        <v>7618</v>
      </c>
    </row>
    <row r="39" spans="1:18" x14ac:dyDescent="0.25">
      <c r="A39" t="s">
        <v>3673</v>
      </c>
      <c r="B39" t="s">
        <v>7608</v>
      </c>
      <c r="C39" t="s">
        <v>7641</v>
      </c>
      <c r="D39" t="s">
        <v>5568</v>
      </c>
      <c r="E39" t="s">
        <v>7684</v>
      </c>
      <c r="F39" t="s">
        <v>3539</v>
      </c>
      <c r="G39" t="s">
        <v>7618</v>
      </c>
    </row>
    <row r="40" spans="1:18" x14ac:dyDescent="0.25">
      <c r="A40" t="s">
        <v>4790</v>
      </c>
      <c r="B40" t="s">
        <v>7608</v>
      </c>
      <c r="C40" t="s">
        <v>7641</v>
      </c>
      <c r="D40" t="s">
        <v>3536</v>
      </c>
      <c r="E40" t="s">
        <v>3450</v>
      </c>
      <c r="F40" t="s">
        <v>3531</v>
      </c>
      <c r="G40" t="s">
        <v>7618</v>
      </c>
    </row>
    <row r="41" spans="1:18" x14ac:dyDescent="0.25">
      <c r="A41" t="s">
        <v>3679</v>
      </c>
      <c r="B41" t="s">
        <v>7609</v>
      </c>
      <c r="C41" t="s">
        <v>7641</v>
      </c>
      <c r="D41" t="s">
        <v>5568</v>
      </c>
      <c r="E41" t="s">
        <v>7661</v>
      </c>
      <c r="F41" t="s">
        <v>3539</v>
      </c>
      <c r="G41" t="s">
        <v>7618</v>
      </c>
      <c r="H41" t="s">
        <v>3599</v>
      </c>
      <c r="I41" t="s">
        <v>7659</v>
      </c>
      <c r="J41" t="s">
        <v>3531</v>
      </c>
      <c r="K41" t="s">
        <v>7618</v>
      </c>
    </row>
    <row r="42" spans="1:18" x14ac:dyDescent="0.25">
      <c r="A42" t="s">
        <v>3683</v>
      </c>
      <c r="B42" t="s">
        <v>7608</v>
      </c>
      <c r="C42" t="s">
        <v>7641</v>
      </c>
      <c r="D42" t="s">
        <v>3536</v>
      </c>
      <c r="E42" t="s">
        <v>3450</v>
      </c>
      <c r="F42" t="s">
        <v>7662</v>
      </c>
      <c r="G42" t="s">
        <v>7618</v>
      </c>
    </row>
    <row r="43" spans="1:18" x14ac:dyDescent="0.25">
      <c r="A43" t="s">
        <v>3495</v>
      </c>
      <c r="B43" t="s">
        <v>7663</v>
      </c>
      <c r="C43" t="s">
        <v>7641</v>
      </c>
      <c r="D43" t="s">
        <v>3449</v>
      </c>
      <c r="E43" t="s">
        <v>7600</v>
      </c>
      <c r="F43" t="s">
        <v>7602</v>
      </c>
      <c r="G43" t="s">
        <v>7618</v>
      </c>
    </row>
    <row r="44" spans="1:18" x14ac:dyDescent="0.25">
      <c r="A44" t="s">
        <v>3689</v>
      </c>
      <c r="B44" t="s">
        <v>7608</v>
      </c>
      <c r="C44" t="s">
        <v>7641</v>
      </c>
      <c r="D44" t="s">
        <v>7625</v>
      </c>
      <c r="E44" t="s">
        <v>7630</v>
      </c>
      <c r="F44" t="s">
        <v>7620</v>
      </c>
      <c r="G44" t="s">
        <v>7618</v>
      </c>
    </row>
    <row r="45" spans="1:18" x14ac:dyDescent="0.25">
      <c r="A45" t="s">
        <v>7408</v>
      </c>
      <c r="B45" t="s">
        <v>7608</v>
      </c>
      <c r="C45" t="s">
        <v>7641</v>
      </c>
      <c r="D45" t="s">
        <v>5568</v>
      </c>
      <c r="E45" t="s">
        <v>7660</v>
      </c>
      <c r="F45" t="s">
        <v>7664</v>
      </c>
      <c r="G45" t="s">
        <v>7618</v>
      </c>
    </row>
    <row r="46" spans="1:18" x14ac:dyDescent="0.25">
      <c r="A46" t="s">
        <v>7417</v>
      </c>
      <c r="B46" t="s">
        <v>7608</v>
      </c>
      <c r="C46" t="s">
        <v>7641</v>
      </c>
      <c r="D46" t="s">
        <v>7652</v>
      </c>
      <c r="E46" t="s">
        <v>7541</v>
      </c>
      <c r="F46" t="s">
        <v>7665</v>
      </c>
      <c r="G46" t="s">
        <v>7618</v>
      </c>
    </row>
    <row r="47" spans="1:18" x14ac:dyDescent="0.25">
      <c r="A47" t="s">
        <v>3699</v>
      </c>
      <c r="B47" t="s">
        <v>7609</v>
      </c>
      <c r="C47" t="s">
        <v>7641</v>
      </c>
      <c r="D47" t="s">
        <v>7666</v>
      </c>
      <c r="E47" t="s">
        <v>7667</v>
      </c>
      <c r="F47" t="s">
        <v>3539</v>
      </c>
      <c r="G47" t="s">
        <v>7619</v>
      </c>
      <c r="H47" t="s">
        <v>3599</v>
      </c>
      <c r="I47" t="s">
        <v>7659</v>
      </c>
      <c r="J47" t="s">
        <v>3531</v>
      </c>
      <c r="K47" t="s">
        <v>7618</v>
      </c>
    </row>
    <row r="48" spans="1:18" x14ac:dyDescent="0.25">
      <c r="A48" t="s">
        <v>3703</v>
      </c>
      <c r="B48" t="s">
        <v>7609</v>
      </c>
      <c r="C48" t="s">
        <v>7641</v>
      </c>
      <c r="D48" t="s">
        <v>7605</v>
      </c>
      <c r="E48" t="s">
        <v>7668</v>
      </c>
      <c r="F48" t="s">
        <v>3539</v>
      </c>
      <c r="G48" t="s">
        <v>7618</v>
      </c>
    </row>
    <row r="49" spans="1:15" x14ac:dyDescent="0.25">
      <c r="A49" t="s">
        <v>3708</v>
      </c>
      <c r="B49" t="s">
        <v>7608</v>
      </c>
      <c r="C49" t="s">
        <v>7641</v>
      </c>
      <c r="D49" t="s">
        <v>3536</v>
      </c>
      <c r="E49" t="s">
        <v>3454</v>
      </c>
      <c r="F49" t="s">
        <v>7669</v>
      </c>
      <c r="G49" t="s">
        <v>7618</v>
      </c>
    </row>
    <row r="50" spans="1:15" x14ac:dyDescent="0.25">
      <c r="A50" t="s">
        <v>3712</v>
      </c>
      <c r="B50" t="s">
        <v>7608</v>
      </c>
      <c r="C50" t="s">
        <v>7641</v>
      </c>
      <c r="D50" t="s">
        <v>7625</v>
      </c>
      <c r="E50" t="s">
        <v>7630</v>
      </c>
      <c r="F50" t="s">
        <v>7620</v>
      </c>
      <c r="G50" t="s">
        <v>7618</v>
      </c>
    </row>
    <row r="51" spans="1:15" x14ac:dyDescent="0.25">
      <c r="A51" t="s">
        <v>3717</v>
      </c>
      <c r="B51" t="s">
        <v>7608</v>
      </c>
      <c r="C51" t="s">
        <v>7641</v>
      </c>
      <c r="D51" t="s">
        <v>3554</v>
      </c>
      <c r="E51" t="s">
        <v>7601</v>
      </c>
      <c r="F51" t="s">
        <v>3531</v>
      </c>
      <c r="G51" t="s">
        <v>7618</v>
      </c>
      <c r="H51" t="s">
        <v>7625</v>
      </c>
      <c r="I51" t="s">
        <v>7680</v>
      </c>
      <c r="J51" t="s">
        <v>7599</v>
      </c>
      <c r="K51" t="s">
        <v>7618</v>
      </c>
    </row>
    <row r="52" spans="1:15" x14ac:dyDescent="0.25">
      <c r="A52" t="s">
        <v>3720</v>
      </c>
      <c r="B52" t="s">
        <v>7608</v>
      </c>
      <c r="C52" t="s">
        <v>7641</v>
      </c>
      <c r="D52" t="s">
        <v>3449</v>
      </c>
      <c r="E52" t="s">
        <v>7542</v>
      </c>
      <c r="F52" t="s">
        <v>3531</v>
      </c>
      <c r="G52" t="s">
        <v>7618</v>
      </c>
      <c r="H52" t="s">
        <v>3449</v>
      </c>
      <c r="I52" t="s">
        <v>7600</v>
      </c>
      <c r="J52" t="s">
        <v>3531</v>
      </c>
      <c r="K52" t="s">
        <v>7618</v>
      </c>
      <c r="L52" t="s">
        <v>3536</v>
      </c>
      <c r="M52" t="s">
        <v>3451</v>
      </c>
      <c r="N52" t="s">
        <v>3531</v>
      </c>
      <c r="O52" t="s">
        <v>7618</v>
      </c>
    </row>
    <row r="53" spans="1:15" x14ac:dyDescent="0.25">
      <c r="A53" t="s">
        <v>3725</v>
      </c>
      <c r="B53" t="s">
        <v>7608</v>
      </c>
      <c r="C53" t="s">
        <v>7641</v>
      </c>
      <c r="D53" t="s">
        <v>3536</v>
      </c>
      <c r="E53" t="s">
        <v>3451</v>
      </c>
      <c r="F53" t="s">
        <v>3531</v>
      </c>
      <c r="G53" t="s">
        <v>7618</v>
      </c>
      <c r="H53" t="s">
        <v>3536</v>
      </c>
      <c r="I53" t="s">
        <v>7682</v>
      </c>
      <c r="J53" t="s">
        <v>3539</v>
      </c>
      <c r="K53" t="s">
        <v>7618</v>
      </c>
    </row>
    <row r="54" spans="1:15" x14ac:dyDescent="0.25">
      <c r="A54" t="s">
        <v>3730</v>
      </c>
      <c r="B54" t="s">
        <v>7608</v>
      </c>
      <c r="C54" t="s">
        <v>7641</v>
      </c>
      <c r="D54" t="s">
        <v>7608</v>
      </c>
      <c r="E54" t="s">
        <v>7683</v>
      </c>
      <c r="F54" t="s">
        <v>3539</v>
      </c>
      <c r="G54" t="s">
        <v>7618</v>
      </c>
    </row>
    <row r="55" spans="1:15" x14ac:dyDescent="0.25">
      <c r="A55" t="s">
        <v>3734</v>
      </c>
      <c r="B55" t="s">
        <v>7608</v>
      </c>
      <c r="C55" t="s">
        <v>7641</v>
      </c>
      <c r="D55" t="s">
        <v>7540</v>
      </c>
      <c r="E55" t="s">
        <v>7610</v>
      </c>
      <c r="F55" t="s">
        <v>7647</v>
      </c>
      <c r="G55" t="s">
        <v>7618</v>
      </c>
    </row>
    <row r="56" spans="1:15" x14ac:dyDescent="0.25">
      <c r="A56" t="s">
        <v>3739</v>
      </c>
      <c r="B56" t="s">
        <v>7608</v>
      </c>
      <c r="C56" t="s">
        <v>7641</v>
      </c>
      <c r="D56" t="s">
        <v>5568</v>
      </c>
      <c r="E56" t="s">
        <v>7660</v>
      </c>
      <c r="F56" t="s">
        <v>3539</v>
      </c>
      <c r="G56" t="s">
        <v>7618</v>
      </c>
    </row>
    <row r="57" spans="1:15" x14ac:dyDescent="0.25">
      <c r="A57" t="s">
        <v>3742</v>
      </c>
      <c r="B57" t="s">
        <v>7655</v>
      </c>
      <c r="C57" t="s">
        <v>7686</v>
      </c>
      <c r="D57" t="s">
        <v>7540</v>
      </c>
      <c r="E57" t="s">
        <v>7688</v>
      </c>
      <c r="F57" t="s">
        <v>7687</v>
      </c>
      <c r="G57" t="s">
        <v>7618</v>
      </c>
    </row>
    <row r="58" spans="1:15" x14ac:dyDescent="0.25">
      <c r="A58" t="s">
        <v>7411</v>
      </c>
      <c r="B58" t="s">
        <v>7608</v>
      </c>
      <c r="C58" t="s">
        <v>7641</v>
      </c>
      <c r="D58" t="s">
        <v>7605</v>
      </c>
      <c r="E58" t="s">
        <v>7611</v>
      </c>
      <c r="F58" t="s">
        <v>7647</v>
      </c>
      <c r="G58" t="s">
        <v>7618</v>
      </c>
    </row>
    <row r="59" spans="1:15" x14ac:dyDescent="0.25">
      <c r="A59" t="s">
        <v>3747</v>
      </c>
      <c r="B59" t="s">
        <v>7608</v>
      </c>
      <c r="C59" t="s">
        <v>7641</v>
      </c>
      <c r="D59" t="s">
        <v>3536</v>
      </c>
      <c r="E59" t="s">
        <v>3450</v>
      </c>
      <c r="F59" t="s">
        <v>7620</v>
      </c>
      <c r="G59" t="s">
        <v>7618</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4347</v>
      </c>
    </row>
    <row r="2" spans="1:28" x14ac:dyDescent="0.25">
      <c r="A2" s="15" t="s">
        <v>4348</v>
      </c>
    </row>
    <row r="4" spans="1:28" ht="25.5" customHeight="1" x14ac:dyDescent="0.25">
      <c r="A4" s="16" t="s">
        <v>4349</v>
      </c>
      <c r="B4" s="16" t="s">
        <v>4350</v>
      </c>
      <c r="C4" s="16" t="s">
        <v>4351</v>
      </c>
      <c r="E4" s="16" t="s">
        <v>4352</v>
      </c>
      <c r="F4" s="16" t="s">
        <v>4353</v>
      </c>
      <c r="G4" s="16" t="s">
        <v>172</v>
      </c>
      <c r="I4" s="16" t="s">
        <v>4354</v>
      </c>
      <c r="J4" s="16" t="s">
        <v>4353</v>
      </c>
      <c r="K4" s="16" t="s">
        <v>172</v>
      </c>
      <c r="L4" s="16" t="s">
        <v>4355</v>
      </c>
      <c r="N4" s="16" t="s">
        <v>4356</v>
      </c>
      <c r="O4" s="16" t="s">
        <v>1</v>
      </c>
      <c r="P4" s="16" t="s">
        <v>4352</v>
      </c>
      <c r="R4" s="16" t="s">
        <v>4356</v>
      </c>
      <c r="S4" s="16" t="s">
        <v>4357</v>
      </c>
      <c r="T4" s="16" t="s">
        <v>4352</v>
      </c>
      <c r="V4" s="16" t="s">
        <v>166</v>
      </c>
      <c r="W4" s="16" t="s">
        <v>4353</v>
      </c>
      <c r="X4" s="16" t="s">
        <v>172</v>
      </c>
      <c r="Y4" s="16" t="s">
        <v>4358</v>
      </c>
      <c r="AA4" s="16" t="s">
        <v>4359</v>
      </c>
      <c r="AB4" s="16" t="s">
        <v>4358</v>
      </c>
    </row>
    <row r="5" spans="1:28" x14ac:dyDescent="0.25">
      <c r="A5" s="17" t="s">
        <v>4353</v>
      </c>
      <c r="B5" s="18">
        <f>COUNTA(games!$A$2:$A$950)</f>
        <v>856</v>
      </c>
      <c r="C5" s="19" t="s">
        <v>4360</v>
      </c>
      <c r="E5" t="s">
        <v>4361</v>
      </c>
      <c r="F5">
        <f>COUNTIF('Map Calc'!$D$2:$D$950,0)</f>
        <v>81</v>
      </c>
      <c r="G5">
        <f>COUNTIFS('Map Calc'!$D$2:$D$950,0,'Map Calc'!$P$2:$P$950,"Yes")</f>
        <v>47</v>
      </c>
      <c r="I5" t="s">
        <v>176</v>
      </c>
      <c r="J5">
        <f>COUNTIF(games!$C$2:$C$950,$I5)</f>
        <v>367</v>
      </c>
      <c r="K5">
        <f>COUNTIFS(games!$C$2:$C$950,$I5,games!$H$2:$H$950,"Yes")</f>
        <v>235</v>
      </c>
      <c r="L5" s="20">
        <f>IF($J5=0,0,$K5/$J5)</f>
        <v>0.64032697547683926</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4362</v>
      </c>
      <c r="B6" s="18">
        <f>COUNTIF(games!$H$2:$H$950,"Yes")</f>
        <v>523</v>
      </c>
      <c r="C6" s="19" t="s">
        <v>4363</v>
      </c>
      <c r="E6" t="s">
        <v>4364</v>
      </c>
      <c r="F6">
        <f>COUNTIF('Map Calc'!$D$2:$D$950,1)</f>
        <v>335</v>
      </c>
      <c r="G6">
        <f>COUNTIFS('Map Calc'!$D$2:$D$950,1,'Map Calc'!$P$2:$P$950,"Yes")</f>
        <v>198</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4365</v>
      </c>
      <c r="B7" s="21">
        <f>IF(B5=0,0,B6/B5)</f>
        <v>0.61098130841121501</v>
      </c>
      <c r="C7" s="19" t="s">
        <v>4366</v>
      </c>
      <c r="E7" t="s">
        <v>4367</v>
      </c>
      <c r="F7">
        <f>COUNTIF('Map Calc'!$D$2:$D$950,2)</f>
        <v>202</v>
      </c>
      <c r="G7">
        <f>COUNTIFS('Map Calc'!$D$2:$D$950,2,'Map Calc'!$P$2:$P$950,"Yes")</f>
        <v>117</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4358</v>
      </c>
      <c r="B8" s="18">
        <f>COUNTA(connections!$A$2:$A$1400)</f>
        <v>1238</v>
      </c>
      <c r="C8" s="19" t="s">
        <v>4368</v>
      </c>
      <c r="E8" t="s">
        <v>4369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51</v>
      </c>
      <c r="R8">
        <v>4</v>
      </c>
      <c r="S8" t="str">
        <f>IFERROR(INDEX('Map Calc'!$A$2:$A$950,MATCH(LARGE('Map Calc'!$Q$2:$Q$950,4),'Map Calc'!$Q$2:$Q$950,0)),"")</f>
        <v>Balatro</v>
      </c>
      <c r="T8">
        <f>IFERROR(INDEX('Map Calc'!$D$2:$D$950,MATCH(LARGE('Map Calc'!$Q$2:$Q$950,4),'Map Calc'!$Q$2:$Q$950,0)),"")</f>
        <v>51</v>
      </c>
      <c r="V8">
        <v>1981</v>
      </c>
      <c r="W8">
        <f>COUNTIF(games!$B$2:$B$950,$V8)</f>
        <v>0</v>
      </c>
      <c r="X8">
        <f>COUNTIFS(games!$B$2:$B$950,$V8,games!$H$2:$H$950,"Yes")</f>
        <v>0</v>
      </c>
      <c r="Y8">
        <f>COUNTIF('Map Calc'!$T$2:$T$1400,$V8)</f>
        <v>0</v>
      </c>
      <c r="AA8">
        <v>3</v>
      </c>
      <c r="AB8">
        <f>COUNTIF('Map Calc'!$V$2:$V$1400,$AA8)</f>
        <v>149</v>
      </c>
    </row>
    <row r="9" spans="1:28" x14ac:dyDescent="0.25">
      <c r="A9" s="17" t="s">
        <v>4370</v>
      </c>
      <c r="B9" s="22">
        <f>IF(B5=0,0,2*B8/B5)</f>
        <v>2.8925233644859811</v>
      </c>
      <c r="C9" s="19" t="s">
        <v>4371</v>
      </c>
      <c r="E9" t="s">
        <v>4372</v>
      </c>
      <c r="F9">
        <f>COUNTIF('Map Calc'!$D$2:$D$950,4)</f>
        <v>47</v>
      </c>
      <c r="G9">
        <f>COUNTIFS('Map Calc'!$D$2:$D$950,4,'Map Calc'!$P$2:$P$950,"Yes")</f>
        <v>28</v>
      </c>
      <c r="I9" s="23" t="s">
        <v>39</v>
      </c>
      <c r="J9" s="23">
        <f>SUM(J5:J8)</f>
        <v>856</v>
      </c>
      <c r="K9" s="23">
        <f>SUM(K5:K8)</f>
        <v>523</v>
      </c>
      <c r="L9" s="24">
        <f>IF($J9=0,0,$K9/$J9)</f>
        <v>0.61098130841121501</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4373</v>
      </c>
      <c r="B10" s="22">
        <f>IFERROR(SUMIFS('Map Calc'!$D$2:$D$950,games!$H$2:$H$950,"Yes")/B6,0)</f>
        <v>3.5717017208413</v>
      </c>
      <c r="C10" s="19" t="s">
        <v>4374</v>
      </c>
      <c r="E10" t="s">
        <v>4375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118</v>
      </c>
    </row>
    <row r="11" spans="1:28" x14ac:dyDescent="0.25">
      <c r="A11" s="17" t="s">
        <v>4376</v>
      </c>
      <c r="B11" s="18">
        <f>MEDIAN('Map Calc'!$D$2:$D$950)</f>
        <v>2</v>
      </c>
      <c r="C11" s="19" t="s">
        <v>4377</v>
      </c>
      <c r="E11" t="s">
        <v>4378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4379</v>
      </c>
      <c r="B12" s="18">
        <f>MAX('Map Calc'!$D$2:$D$950)</f>
        <v>146</v>
      </c>
      <c r="C12" s="19" t="s">
        <v>4380</v>
      </c>
      <c r="E12" t="s">
        <v>4381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4382</v>
      </c>
      <c r="B13" s="18">
        <f>COUNTIF('Map Calc'!$D$2:$D$950,1)</f>
        <v>335</v>
      </c>
      <c r="C13" s="19" t="s">
        <v>4383</v>
      </c>
      <c r="E13" t="s">
        <v>4384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4385</v>
      </c>
      <c r="B14" s="18">
        <f>COUNTIF('Map Calc'!$D$2:$D$950,0)</f>
        <v>81</v>
      </c>
      <c r="C14" s="19" t="s">
        <v>4386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4387</v>
      </c>
      <c r="B15" s="18">
        <f>B13+B14</f>
        <v>416</v>
      </c>
      <c r="C15" s="19" t="s">
        <v>4388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4389</v>
      </c>
      <c r="B16" s="18">
        <f>COUNTIFS(games!$H$2:$H$950,"Yes",'Map Calc'!$D$2:$D$950,"&gt;1")</f>
        <v>278</v>
      </c>
      <c r="C16" s="19" t="s">
        <v>4390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4391</v>
      </c>
      <c r="AB16">
        <f>COUNTIFS('Map Calc'!$V$2:$V$1400,"&gt;=11",'Map Calc'!$V$2:$V$1400,"&lt;=20")</f>
        <v>146</v>
      </c>
    </row>
    <row r="17" spans="1:28" x14ac:dyDescent="0.25">
      <c r="A17" s="17" t="s">
        <v>4392</v>
      </c>
      <c r="B17" s="18">
        <f>COUNTIFS(games!$H$2:$H$950,"Yes",'Map Calc'!$D$2:$D$950,"&lt;=1")</f>
        <v>245</v>
      </c>
      <c r="C17" s="19" t="s">
        <v>4393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4394</v>
      </c>
      <c r="AB17">
        <f>COUNTIF('Map Calc'!$V$2:$V$1400,"&gt;=21")</f>
        <v>84</v>
      </c>
    </row>
    <row r="18" spans="1:28" x14ac:dyDescent="0.25">
      <c r="A18" s="17" t="s">
        <v>4395</v>
      </c>
      <c r="B18" s="25">
        <f>SUMPRODUCT(('Map Calc'!$V$2:$V$1400&lt;&gt;"")*('Map Calc'!$V$2:$V$1400&lt;0))</f>
        <v>3</v>
      </c>
      <c r="C18" s="19" t="s">
        <v>4396</v>
      </c>
      <c r="N18">
        <v>14</v>
      </c>
      <c r="O18" t="str">
        <f>IFERROR(INDEX('Map Calc'!$A$2:$A$950,MATCH(LARGE('Map Calc'!$O$2:$O$950,14),'Map Calc'!$O$2:$O$950,0)),"")</f>
        <v>Luck be a Landlord</v>
      </c>
      <c r="P18">
        <f>IFERROR(INDEX('Map Calc'!$D$2:$D$950,MATCH(LARGE('Map Calc'!$O$2:$O$950,14),'Map Calc'!$O$2:$O$950,0)),"")</f>
        <v>23</v>
      </c>
      <c r="R18">
        <v>14</v>
      </c>
      <c r="S18" t="str">
        <f>IFERROR(INDEX('Map Calc'!$A$2:$A$950,MATCH(LARGE('Map Calc'!$Q$2:$Q$950,14),'Map Calc'!$Q$2:$Q$950,0)),"")</f>
        <v>Luck be a Landlord</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4397</v>
      </c>
      <c r="B19" s="18">
        <f>SUMPRODUCT(('Map Calc'!$V$2:$V$1400&lt;&gt;"")*('Map Calc'!$V$2:$V$1400=0))</f>
        <v>11</v>
      </c>
      <c r="C19" s="19" t="s">
        <v>4398</v>
      </c>
      <c r="N19">
        <v>15</v>
      </c>
      <c r="O19" t="str">
        <f>IFERROR(INDEX('Map Calc'!$A$2:$A$950,MATCH(LARGE('Map Calc'!$O$2:$O$950,15),'Map Calc'!$O$2:$O$950,0)),"")</f>
        <v>Nuclear Throne</v>
      </c>
      <c r="P19">
        <f>IFERROR(INDEX('Map Calc'!$D$2:$D$950,MATCH(LARGE('Map Calc'!$O$2:$O$950,15),'Map Calc'!$O$2:$O$950,0)),"")</f>
        <v>22</v>
      </c>
      <c r="R19">
        <v>15</v>
      </c>
      <c r="S19" t="str">
        <f>IFERROR(INDEX('Map Calc'!$A$2:$A$950,MATCH(LARGE('Map Calc'!$Q$2:$Q$950,15),'Map Calc'!$Q$2:$Q$950,0)),"")</f>
        <v>Nuclear Throne</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4399</v>
      </c>
      <c r="B20" s="26">
        <f>MEDIAN('Map Calc'!$V$2:$V$1400)</f>
        <v>5</v>
      </c>
      <c r="C20" s="19" t="s">
        <v>4400</v>
      </c>
      <c r="V20">
        <v>1993</v>
      </c>
      <c r="W20">
        <f>COUNTIF(games!$B$2:$B$950,$V20)</f>
        <v>2</v>
      </c>
      <c r="X20">
        <f>COUNTIFS(games!$B$2:$B$950,$V20,games!$H$2:$H$950,"Yes")</f>
        <v>1</v>
      </c>
      <c r="Y20">
        <f>COUNTIF('Map Calc'!$T$2:$T$1400,$V20)</f>
        <v>25</v>
      </c>
    </row>
    <row r="21" spans="1:28" x14ac:dyDescent="0.25">
      <c r="A21" s="17" t="s">
        <v>4401</v>
      </c>
      <c r="B21" s="18">
        <f>COUNTIF(connections!$D$2:$D$1400,"Yes")</f>
        <v>140</v>
      </c>
      <c r="C21" s="19" t="s">
        <v>4402</v>
      </c>
      <c r="V21">
        <v>1994</v>
      </c>
      <c r="W21">
        <f>COUNTIF(games!$B$2:$B$950,$V21)</f>
        <v>3</v>
      </c>
      <c r="X21">
        <f>COUNTIFS(games!$B$2:$B$950,$V21,games!$H$2:$H$950,"Yes")</f>
        <v>3</v>
      </c>
      <c r="Y21">
        <f>COUNTIF('Map Calc'!$T$2:$T$1400,$V21)</f>
        <v>22</v>
      </c>
    </row>
    <row r="22" spans="1:28" x14ac:dyDescent="0.25">
      <c r="A22" s="17" t="s">
        <v>4403</v>
      </c>
      <c r="B22" s="18">
        <f>COUNTA(connections!$E$2:$E$1400)</f>
        <v>1096</v>
      </c>
      <c r="C22" s="19" t="s">
        <v>4404</v>
      </c>
      <c r="V22">
        <v>1995</v>
      </c>
      <c r="W22">
        <f>COUNTIF(games!$B$2:$B$950,$V22)</f>
        <v>2</v>
      </c>
      <c r="X22">
        <f>COUNTIFS(games!$B$2:$B$950,$V22,games!$H$2:$H$950,"Yes")</f>
        <v>2</v>
      </c>
      <c r="Y22">
        <f>COUNTIF('Map Calc'!$T$2:$T$1400,$V22)</f>
        <v>12</v>
      </c>
    </row>
    <row r="23" spans="1:28" x14ac:dyDescent="0.25">
      <c r="A23" s="17" t="s">
        <v>4405</v>
      </c>
      <c r="B23" s="18">
        <f>COUNTIFS(games!$H$2:$H$950,"Yes",games!$J$2:$J$950,"")</f>
        <v>86</v>
      </c>
      <c r="C23" s="19" t="s">
        <v>4406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158</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82</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151</v>
      </c>
      <c r="X52">
        <f>COUNTIFS(games!$B$2:$B$950,$V52,games!$H$2:$H$950,"Yes")</f>
        <v>67</v>
      </c>
      <c r="Y52">
        <f>COUNTIF('Map Calc'!$T$2:$T$1400,$V52)</f>
        <v>10</v>
      </c>
    </row>
    <row r="53" spans="22:25" x14ac:dyDescent="0.25">
      <c r="V53">
        <v>2026</v>
      </c>
      <c r="W53">
        <f>COUNTIF(games!$B$2:$B$950,$V53)</f>
        <v>84</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4407</v>
      </c>
      <c r="B2" t="s">
        <v>4408</v>
      </c>
      <c r="C2" t="s">
        <v>1047</v>
      </c>
      <c r="D2" t="s">
        <v>4409</v>
      </c>
      <c r="E2" t="s">
        <v>4410</v>
      </c>
    </row>
    <row r="3" spans="1:5" ht="15" customHeight="1" x14ac:dyDescent="0.25">
      <c r="A3" t="s">
        <v>4411</v>
      </c>
      <c r="B3" t="s">
        <v>4412</v>
      </c>
      <c r="C3" t="s">
        <v>1047</v>
      </c>
      <c r="D3" t="s">
        <v>4413</v>
      </c>
      <c r="E3" t="s">
        <v>4410</v>
      </c>
    </row>
    <row r="4" spans="1:5" ht="15" customHeight="1" x14ac:dyDescent="0.25">
      <c r="A4" t="s">
        <v>4414</v>
      </c>
      <c r="B4" t="s">
        <v>4412</v>
      </c>
      <c r="C4" t="s">
        <v>1047</v>
      </c>
      <c r="D4" t="s">
        <v>4415</v>
      </c>
      <c r="E4" t="s">
        <v>4410</v>
      </c>
    </row>
    <row r="5" spans="1:5" ht="15" customHeight="1" x14ac:dyDescent="0.25">
      <c r="A5" t="s">
        <v>4416</v>
      </c>
      <c r="B5" t="s">
        <v>4417</v>
      </c>
      <c r="C5" t="s">
        <v>1047</v>
      </c>
      <c r="D5" t="s">
        <v>4418</v>
      </c>
      <c r="E5" t="s">
        <v>4410</v>
      </c>
    </row>
    <row r="6" spans="1:5" ht="15" customHeight="1" x14ac:dyDescent="0.25">
      <c r="A6" t="s">
        <v>4419</v>
      </c>
      <c r="B6" t="s">
        <v>4417</v>
      </c>
      <c r="C6" t="s">
        <v>1047</v>
      </c>
      <c r="D6" t="s">
        <v>4420</v>
      </c>
      <c r="E6" t="s">
        <v>4410</v>
      </c>
    </row>
    <row r="7" spans="1:5" ht="15" customHeight="1" x14ac:dyDescent="0.25">
      <c r="A7" t="s">
        <v>4421</v>
      </c>
      <c r="B7" t="s">
        <v>4408</v>
      </c>
      <c r="C7" t="s">
        <v>160</v>
      </c>
      <c r="D7" t="s">
        <v>4409</v>
      </c>
      <c r="E7" t="s">
        <v>4422</v>
      </c>
    </row>
    <row r="8" spans="1:5" ht="15" customHeight="1" x14ac:dyDescent="0.25">
      <c r="A8" t="s">
        <v>4340</v>
      </c>
      <c r="B8" t="s">
        <v>4408</v>
      </c>
      <c r="C8" t="s">
        <v>160</v>
      </c>
      <c r="D8" t="s">
        <v>4423</v>
      </c>
      <c r="E8" t="s">
        <v>4422</v>
      </c>
    </row>
    <row r="9" spans="1:5" ht="15" customHeight="1" x14ac:dyDescent="0.25">
      <c r="A9" t="s">
        <v>4344</v>
      </c>
      <c r="B9" t="s">
        <v>4408</v>
      </c>
      <c r="C9" t="s">
        <v>160</v>
      </c>
      <c r="D9" t="s">
        <v>4424</v>
      </c>
      <c r="E9" t="s">
        <v>4422</v>
      </c>
    </row>
    <row r="10" spans="1:5" ht="15" customHeight="1" x14ac:dyDescent="0.25">
      <c r="A10" t="s">
        <v>4425</v>
      </c>
      <c r="B10" t="s">
        <v>4412</v>
      </c>
      <c r="C10" t="s">
        <v>160</v>
      </c>
      <c r="D10" t="s">
        <v>4413</v>
      </c>
      <c r="E10" t="s">
        <v>4422</v>
      </c>
    </row>
    <row r="11" spans="1:5" ht="15" customHeight="1" x14ac:dyDescent="0.25">
      <c r="A11" t="s">
        <v>4426</v>
      </c>
      <c r="B11" t="s">
        <v>4412</v>
      </c>
      <c r="C11" t="s">
        <v>160</v>
      </c>
      <c r="D11" t="s">
        <v>4427</v>
      </c>
      <c r="E11" t="s">
        <v>4422</v>
      </c>
    </row>
    <row r="12" spans="1:5" ht="15" customHeight="1" x14ac:dyDescent="0.25">
      <c r="A12" t="s">
        <v>4428</v>
      </c>
      <c r="B12" t="s">
        <v>4412</v>
      </c>
      <c r="C12" t="s">
        <v>160</v>
      </c>
      <c r="D12" t="s">
        <v>4420</v>
      </c>
      <c r="E12" t="s">
        <v>4422</v>
      </c>
    </row>
    <row r="13" spans="1:5" ht="15" customHeight="1" x14ac:dyDescent="0.25">
      <c r="A13" t="s">
        <v>4429</v>
      </c>
      <c r="B13" t="s">
        <v>4417</v>
      </c>
      <c r="C13" t="s">
        <v>160</v>
      </c>
      <c r="D13" t="s">
        <v>4430</v>
      </c>
      <c r="E13" t="s">
        <v>4422</v>
      </c>
    </row>
    <row r="14" spans="1:5" ht="15" customHeight="1" x14ac:dyDescent="0.25">
      <c r="A14" t="s">
        <v>4431</v>
      </c>
      <c r="B14" t="s">
        <v>4417</v>
      </c>
      <c r="C14" t="s">
        <v>160</v>
      </c>
      <c r="D14" t="s">
        <v>4432</v>
      </c>
      <c r="E14" t="s">
        <v>4422</v>
      </c>
    </row>
    <row r="15" spans="1:5" ht="15" customHeight="1" x14ac:dyDescent="0.25">
      <c r="A15" t="s">
        <v>4433</v>
      </c>
      <c r="B15" t="s">
        <v>4417</v>
      </c>
      <c r="C15" t="s">
        <v>160</v>
      </c>
      <c r="D15" t="s">
        <v>4434</v>
      </c>
      <c r="E15" t="s">
        <v>4422</v>
      </c>
    </row>
    <row r="16" spans="1:5" ht="15" customHeight="1" x14ac:dyDescent="0.25">
      <c r="A16" t="s">
        <v>4435</v>
      </c>
      <c r="B16" t="s">
        <v>4408</v>
      </c>
      <c r="C16" t="s">
        <v>1295</v>
      </c>
      <c r="D16" t="s">
        <v>4420</v>
      </c>
      <c r="E16" t="s">
        <v>4436</v>
      </c>
    </row>
    <row r="17" spans="1:5" ht="15" customHeight="1" x14ac:dyDescent="0.25">
      <c r="A17" t="s">
        <v>4437</v>
      </c>
      <c r="B17" t="s">
        <v>4408</v>
      </c>
      <c r="C17" t="s">
        <v>1295</v>
      </c>
      <c r="D17" t="s">
        <v>4423</v>
      </c>
      <c r="E17" t="s">
        <v>4436</v>
      </c>
    </row>
    <row r="18" spans="1:5" ht="15" customHeight="1" x14ac:dyDescent="0.25">
      <c r="A18" t="s">
        <v>4438</v>
      </c>
      <c r="B18" t="s">
        <v>4412</v>
      </c>
      <c r="C18" t="s">
        <v>1295</v>
      </c>
      <c r="D18" t="s">
        <v>4427</v>
      </c>
      <c r="E18" t="s">
        <v>4436</v>
      </c>
    </row>
    <row r="19" spans="1:5" ht="15" customHeight="1" x14ac:dyDescent="0.25">
      <c r="A19" t="s">
        <v>4434</v>
      </c>
      <c r="B19" t="s">
        <v>4412</v>
      </c>
      <c r="C19" t="s">
        <v>1295</v>
      </c>
      <c r="D19" t="s">
        <v>4434</v>
      </c>
      <c r="E19" t="s">
        <v>4436</v>
      </c>
    </row>
    <row r="20" spans="1:5" ht="15" customHeight="1" x14ac:dyDescent="0.25">
      <c r="A20" t="s">
        <v>4439</v>
      </c>
      <c r="B20" t="s">
        <v>4417</v>
      </c>
      <c r="C20" t="s">
        <v>1295</v>
      </c>
      <c r="D20" t="s">
        <v>4409</v>
      </c>
      <c r="E20" t="s">
        <v>4436</v>
      </c>
    </row>
    <row r="21" spans="1:5" ht="15" customHeight="1" x14ac:dyDescent="0.25">
      <c r="A21" t="s">
        <v>4440</v>
      </c>
      <c r="B21" t="s">
        <v>4408</v>
      </c>
      <c r="C21" t="s">
        <v>2137</v>
      </c>
      <c r="D21" t="s">
        <v>4441</v>
      </c>
      <c r="E21" t="s">
        <v>4442</v>
      </c>
    </row>
    <row r="22" spans="1:5" ht="15" customHeight="1" x14ac:dyDescent="0.25">
      <c r="A22" t="s">
        <v>4443</v>
      </c>
      <c r="B22" t="s">
        <v>4408</v>
      </c>
      <c r="C22" t="s">
        <v>2137</v>
      </c>
      <c r="D22" t="s">
        <v>4444</v>
      </c>
      <c r="E22" t="s">
        <v>4442</v>
      </c>
    </row>
    <row r="23" spans="1:5" ht="15" customHeight="1" x14ac:dyDescent="0.25">
      <c r="A23" t="s">
        <v>4445</v>
      </c>
      <c r="B23" t="s">
        <v>4408</v>
      </c>
      <c r="C23" t="s">
        <v>2137</v>
      </c>
      <c r="D23" t="s">
        <v>4415</v>
      </c>
      <c r="E23" t="s">
        <v>4442</v>
      </c>
    </row>
    <row r="24" spans="1:5" ht="15" customHeight="1" x14ac:dyDescent="0.25">
      <c r="A24" t="s">
        <v>4446</v>
      </c>
      <c r="B24" t="s">
        <v>4408</v>
      </c>
      <c r="C24" t="s">
        <v>2137</v>
      </c>
      <c r="D24" t="s">
        <v>4447</v>
      </c>
      <c r="E24" t="s">
        <v>4442</v>
      </c>
    </row>
    <row r="25" spans="1:5" ht="15" customHeight="1" x14ac:dyDescent="0.25">
      <c r="A25" t="s">
        <v>4448</v>
      </c>
      <c r="B25" t="s">
        <v>4412</v>
      </c>
      <c r="C25" t="s">
        <v>2137</v>
      </c>
      <c r="D25" t="s">
        <v>4415</v>
      </c>
      <c r="E25" t="s">
        <v>4442</v>
      </c>
    </row>
    <row r="26" spans="1:5" ht="15" customHeight="1" x14ac:dyDescent="0.25">
      <c r="A26" t="s">
        <v>4449</v>
      </c>
      <c r="B26" t="s">
        <v>4412</v>
      </c>
      <c r="C26" t="s">
        <v>2137</v>
      </c>
      <c r="D26" t="s">
        <v>4423</v>
      </c>
      <c r="E26" t="s">
        <v>4442</v>
      </c>
    </row>
    <row r="27" spans="1:5" ht="15" customHeight="1" x14ac:dyDescent="0.25">
      <c r="A27" t="s">
        <v>4450</v>
      </c>
      <c r="B27" t="s">
        <v>4412</v>
      </c>
      <c r="C27" t="s">
        <v>2137</v>
      </c>
      <c r="D27" t="s">
        <v>4441</v>
      </c>
      <c r="E27" t="s">
        <v>4442</v>
      </c>
    </row>
    <row r="28" spans="1:5" ht="15" customHeight="1" x14ac:dyDescent="0.25">
      <c r="A28" t="s">
        <v>4451</v>
      </c>
      <c r="B28" t="s">
        <v>4412</v>
      </c>
      <c r="C28" t="s">
        <v>2137</v>
      </c>
      <c r="D28" t="s">
        <v>4452</v>
      </c>
      <c r="E28" t="s">
        <v>4442</v>
      </c>
    </row>
    <row r="29" spans="1:5" ht="15" customHeight="1" x14ac:dyDescent="0.25">
      <c r="A29" t="s">
        <v>4453</v>
      </c>
      <c r="B29" t="s">
        <v>4417</v>
      </c>
      <c r="C29" t="s">
        <v>2137</v>
      </c>
      <c r="D29" t="s">
        <v>4454</v>
      </c>
      <c r="E29" t="s">
        <v>4442</v>
      </c>
    </row>
    <row r="30" spans="1:5" ht="15" customHeight="1" x14ac:dyDescent="0.25">
      <c r="A30" t="s">
        <v>4455</v>
      </c>
      <c r="B30" t="s">
        <v>4417</v>
      </c>
      <c r="C30" t="s">
        <v>2137</v>
      </c>
      <c r="D30" t="s">
        <v>4456</v>
      </c>
      <c r="E30" t="s">
        <v>4442</v>
      </c>
    </row>
    <row r="31" spans="1:5" ht="15" customHeight="1" x14ac:dyDescent="0.25">
      <c r="A31" t="s">
        <v>4457</v>
      </c>
      <c r="B31" t="s">
        <v>4408</v>
      </c>
      <c r="C31" t="s">
        <v>553</v>
      </c>
      <c r="D31" t="s">
        <v>4447</v>
      </c>
      <c r="E31" t="s">
        <v>4458</v>
      </c>
    </row>
    <row r="32" spans="1:5" ht="15" customHeight="1" x14ac:dyDescent="0.25">
      <c r="A32" t="s">
        <v>4459</v>
      </c>
      <c r="B32" t="s">
        <v>4417</v>
      </c>
      <c r="C32" t="s">
        <v>553</v>
      </c>
      <c r="D32" t="s">
        <v>4447</v>
      </c>
      <c r="E32" t="s">
        <v>4458</v>
      </c>
    </row>
    <row r="33" spans="1:5" ht="15" customHeight="1" x14ac:dyDescent="0.25">
      <c r="A33" t="s">
        <v>4460</v>
      </c>
      <c r="B33" t="s">
        <v>4412</v>
      </c>
      <c r="C33" t="s">
        <v>553</v>
      </c>
      <c r="D33" t="s">
        <v>4413</v>
      </c>
      <c r="E33" t="s">
        <v>4458</v>
      </c>
    </row>
    <row r="34" spans="1:5" ht="15" customHeight="1" x14ac:dyDescent="0.25">
      <c r="A34" t="s">
        <v>4461</v>
      </c>
      <c r="B34" t="s">
        <v>4417</v>
      </c>
      <c r="C34" t="s">
        <v>553</v>
      </c>
      <c r="D34" t="s">
        <v>4456</v>
      </c>
      <c r="E34" t="s">
        <v>4458</v>
      </c>
    </row>
    <row r="35" spans="1:5" ht="15" customHeight="1" x14ac:dyDescent="0.25">
      <c r="A35" t="s">
        <v>4462</v>
      </c>
      <c r="B35" t="s">
        <v>4412</v>
      </c>
      <c r="C35" t="s">
        <v>553</v>
      </c>
      <c r="D35" t="s">
        <v>4441</v>
      </c>
      <c r="E35" t="s">
        <v>4458</v>
      </c>
    </row>
    <row r="36" spans="1:5" ht="15" customHeight="1" x14ac:dyDescent="0.25">
      <c r="A36" t="s">
        <v>4463</v>
      </c>
      <c r="B36" t="s">
        <v>4408</v>
      </c>
      <c r="C36" t="s">
        <v>553</v>
      </c>
      <c r="D36" t="s">
        <v>4413</v>
      </c>
      <c r="E36" t="s">
        <v>4458</v>
      </c>
    </row>
    <row r="37" spans="1:5" ht="15" customHeight="1" x14ac:dyDescent="0.25">
      <c r="A37" t="s">
        <v>4464</v>
      </c>
      <c r="B37" t="s">
        <v>4408</v>
      </c>
      <c r="C37" t="s">
        <v>501</v>
      </c>
      <c r="D37" t="s">
        <v>4444</v>
      </c>
      <c r="E37" t="s">
        <v>4465</v>
      </c>
    </row>
    <row r="38" spans="1:5" ht="15" customHeight="1" x14ac:dyDescent="0.25">
      <c r="A38" t="s">
        <v>4466</v>
      </c>
      <c r="B38" t="s">
        <v>4412</v>
      </c>
      <c r="C38" t="s">
        <v>501</v>
      </c>
      <c r="D38" t="s">
        <v>4427</v>
      </c>
      <c r="E38" t="s">
        <v>4465</v>
      </c>
    </row>
    <row r="39" spans="1:5" ht="15" customHeight="1" x14ac:dyDescent="0.25">
      <c r="A39" t="s">
        <v>4467</v>
      </c>
      <c r="B39" t="s">
        <v>4417</v>
      </c>
      <c r="C39" t="s">
        <v>501</v>
      </c>
      <c r="D39" t="s">
        <v>4434</v>
      </c>
      <c r="E39" t="s">
        <v>4465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4468</v>
      </c>
      <c r="E2" t="s">
        <v>4469</v>
      </c>
      <c r="F2" t="s">
        <v>497</v>
      </c>
      <c r="G2" t="s">
        <v>3522</v>
      </c>
      <c r="H2" t="s">
        <v>3523</v>
      </c>
      <c r="I2" t="s">
        <v>3467</v>
      </c>
      <c r="J2" t="s">
        <v>3449</v>
      </c>
    </row>
    <row r="3" spans="1:10" ht="15" customHeight="1" x14ac:dyDescent="0.25">
      <c r="A3" t="s">
        <v>3524</v>
      </c>
      <c r="B3" t="s">
        <v>41</v>
      </c>
      <c r="C3" t="s">
        <v>3525</v>
      </c>
      <c r="D3" t="s">
        <v>4470</v>
      </c>
      <c r="E3" t="s">
        <v>4471</v>
      </c>
      <c r="F3" t="s">
        <v>90</v>
      </c>
      <c r="G3" t="s">
        <v>3527</v>
      </c>
      <c r="H3" t="s">
        <v>3524</v>
      </c>
      <c r="I3" t="s">
        <v>3467</v>
      </c>
      <c r="J3" t="s">
        <v>3528</v>
      </c>
    </row>
    <row r="4" spans="1:10" ht="15" customHeight="1" x14ac:dyDescent="0.25">
      <c r="A4" t="s">
        <v>4472</v>
      </c>
      <c r="B4" t="s">
        <v>3530</v>
      </c>
      <c r="C4" t="s">
        <v>4473</v>
      </c>
      <c r="D4" t="s">
        <v>4474</v>
      </c>
      <c r="E4" t="s">
        <v>4475</v>
      </c>
      <c r="F4" t="s">
        <v>1650</v>
      </c>
      <c r="G4" t="s">
        <v>4476</v>
      </c>
      <c r="H4" t="s">
        <v>4477</v>
      </c>
      <c r="I4" t="s">
        <v>3467</v>
      </c>
      <c r="J4" t="s">
        <v>3528</v>
      </c>
    </row>
    <row r="5" spans="1:10" ht="15" customHeight="1" x14ac:dyDescent="0.25">
      <c r="A5" t="s">
        <v>4478</v>
      </c>
      <c r="B5" t="s">
        <v>41</v>
      </c>
      <c r="C5" t="s">
        <v>3539</v>
      </c>
      <c r="D5" t="s">
        <v>4479</v>
      </c>
      <c r="E5" t="s">
        <v>4480</v>
      </c>
      <c r="F5" t="s">
        <v>1047</v>
      </c>
      <c r="G5" t="s">
        <v>4481</v>
      </c>
      <c r="H5" t="s">
        <v>4482</v>
      </c>
      <c r="I5" t="s">
        <v>3467</v>
      </c>
      <c r="J5" t="s">
        <v>3536</v>
      </c>
    </row>
    <row r="6" spans="1:10" ht="15" customHeight="1" x14ac:dyDescent="0.25">
      <c r="A6" t="s">
        <v>4483</v>
      </c>
      <c r="B6" t="s">
        <v>3530</v>
      </c>
      <c r="C6" t="s">
        <v>4473</v>
      </c>
      <c r="D6" t="s">
        <v>4484</v>
      </c>
      <c r="E6" t="s">
        <v>4485</v>
      </c>
      <c r="F6" t="s">
        <v>1047</v>
      </c>
      <c r="G6" t="s">
        <v>4486</v>
      </c>
      <c r="H6" t="s">
        <v>4483</v>
      </c>
      <c r="I6" t="s">
        <v>3467</v>
      </c>
      <c r="J6" t="s">
        <v>4487</v>
      </c>
    </row>
    <row r="7" spans="1:10" ht="15" customHeight="1" x14ac:dyDescent="0.25">
      <c r="A7" t="s">
        <v>4488</v>
      </c>
      <c r="B7" t="s">
        <v>3530</v>
      </c>
      <c r="C7" t="s">
        <v>3525</v>
      </c>
      <c r="D7" t="s">
        <v>4489</v>
      </c>
      <c r="E7" t="s">
        <v>4490</v>
      </c>
      <c r="F7" t="s">
        <v>1650</v>
      </c>
      <c r="G7" t="s">
        <v>4491</v>
      </c>
      <c r="H7" t="s">
        <v>4492</v>
      </c>
      <c r="I7" t="s">
        <v>3467</v>
      </c>
      <c r="J7" t="s">
        <v>3528</v>
      </c>
    </row>
    <row r="8" spans="1:10" ht="15" customHeight="1" x14ac:dyDescent="0.25">
      <c r="A8" t="s">
        <v>4493</v>
      </c>
      <c r="B8" t="s">
        <v>3518</v>
      </c>
      <c r="C8" t="s">
        <v>4494</v>
      </c>
      <c r="D8" t="s">
        <v>4495</v>
      </c>
      <c r="E8" t="s">
        <v>4496</v>
      </c>
      <c r="F8" t="s">
        <v>1622</v>
      </c>
      <c r="G8" t="s">
        <v>4497</v>
      </c>
      <c r="H8" t="s">
        <v>4498</v>
      </c>
      <c r="I8" t="s">
        <v>3467</v>
      </c>
      <c r="J8" t="s">
        <v>3536</v>
      </c>
    </row>
    <row r="9" spans="1:10" ht="15" customHeight="1" x14ac:dyDescent="0.25">
      <c r="A9" t="s">
        <v>4499</v>
      </c>
      <c r="B9" t="s">
        <v>3518</v>
      </c>
      <c r="C9" t="s">
        <v>3525</v>
      </c>
      <c r="D9" t="s">
        <v>4500</v>
      </c>
      <c r="E9" t="s">
        <v>4501</v>
      </c>
      <c r="F9" t="s">
        <v>1650</v>
      </c>
      <c r="G9" t="s">
        <v>4502</v>
      </c>
      <c r="H9" t="s">
        <v>4503</v>
      </c>
      <c r="I9" t="s">
        <v>3467</v>
      </c>
      <c r="J9" t="s">
        <v>4504</v>
      </c>
    </row>
    <row r="10" spans="1:10" ht="15" customHeight="1" x14ac:dyDescent="0.25">
      <c r="A10" t="s">
        <v>4505</v>
      </c>
      <c r="B10" t="s">
        <v>3518</v>
      </c>
      <c r="C10" t="s">
        <v>3525</v>
      </c>
      <c r="D10" t="s">
        <v>4506</v>
      </c>
      <c r="E10" t="s">
        <v>4507</v>
      </c>
      <c r="F10" t="s">
        <v>90</v>
      </c>
      <c r="G10" t="s">
        <v>4508</v>
      </c>
      <c r="H10" t="s">
        <v>4509</v>
      </c>
      <c r="I10" t="s">
        <v>3467</v>
      </c>
      <c r="J10" t="s">
        <v>3449</v>
      </c>
    </row>
    <row r="11" spans="1:10" ht="15" customHeight="1" x14ac:dyDescent="0.25">
      <c r="A11" t="s">
        <v>4510</v>
      </c>
      <c r="B11" t="s">
        <v>41</v>
      </c>
      <c r="C11" t="s">
        <v>4473</v>
      </c>
      <c r="D11" t="s">
        <v>4511</v>
      </c>
      <c r="E11" t="s">
        <v>4512</v>
      </c>
      <c r="F11" t="s">
        <v>1105</v>
      </c>
      <c r="G11" t="s">
        <v>3909</v>
      </c>
      <c r="H11" t="s">
        <v>4513</v>
      </c>
      <c r="I11" t="s">
        <v>3467</v>
      </c>
      <c r="J11" t="s">
        <v>4487</v>
      </c>
    </row>
    <row r="12" spans="1:10" ht="15" customHeight="1" x14ac:dyDescent="0.25">
      <c r="A12" t="s">
        <v>4514</v>
      </c>
      <c r="B12" t="s">
        <v>3518</v>
      </c>
      <c r="C12" t="s">
        <v>4473</v>
      </c>
      <c r="D12" t="s">
        <v>4515</v>
      </c>
      <c r="E12" t="s">
        <v>4516</v>
      </c>
      <c r="F12" t="s">
        <v>1622</v>
      </c>
      <c r="H12" t="s">
        <v>4517</v>
      </c>
      <c r="I12" t="s">
        <v>3467</v>
      </c>
      <c r="J12" t="s">
        <v>4518</v>
      </c>
    </row>
    <row r="13" spans="1:10" ht="15" customHeight="1" x14ac:dyDescent="0.25">
      <c r="A13" t="s">
        <v>4519</v>
      </c>
      <c r="B13" t="s">
        <v>41</v>
      </c>
      <c r="C13" t="s">
        <v>3525</v>
      </c>
      <c r="D13" t="s">
        <v>4520</v>
      </c>
      <c r="E13" t="s">
        <v>4521</v>
      </c>
      <c r="F13" t="s">
        <v>90</v>
      </c>
      <c r="G13" t="s">
        <v>3547</v>
      </c>
      <c r="H13" t="s">
        <v>4522</v>
      </c>
      <c r="I13" t="s">
        <v>3467</v>
      </c>
      <c r="J13" t="s">
        <v>3449</v>
      </c>
    </row>
    <row r="14" spans="1:10" ht="15" customHeight="1" x14ac:dyDescent="0.25">
      <c r="A14" t="s">
        <v>4523</v>
      </c>
      <c r="B14" t="s">
        <v>41</v>
      </c>
      <c r="C14" t="s">
        <v>3556</v>
      </c>
      <c r="D14" t="s">
        <v>4524</v>
      </c>
      <c r="E14" t="s">
        <v>4525</v>
      </c>
      <c r="F14" t="s">
        <v>497</v>
      </c>
      <c r="G14" t="s">
        <v>4526</v>
      </c>
      <c r="H14" t="s">
        <v>4527</v>
      </c>
      <c r="I14" t="s">
        <v>3467</v>
      </c>
      <c r="J14" t="s">
        <v>3536</v>
      </c>
    </row>
    <row r="15" spans="1:10" ht="15" customHeight="1" x14ac:dyDescent="0.25">
      <c r="A15" t="s">
        <v>4528</v>
      </c>
      <c r="B15" t="s">
        <v>3467</v>
      </c>
      <c r="C15" t="s">
        <v>4529</v>
      </c>
      <c r="D15" t="s">
        <v>4530</v>
      </c>
      <c r="F15" t="s">
        <v>1295</v>
      </c>
      <c r="H15" t="s">
        <v>4531</v>
      </c>
      <c r="I15" t="s">
        <v>3467</v>
      </c>
      <c r="J15" t="s">
        <v>4529</v>
      </c>
    </row>
    <row r="16" spans="1:10" ht="15" customHeight="1" x14ac:dyDescent="0.25">
      <c r="A16" t="s">
        <v>4532</v>
      </c>
      <c r="B16" t="s">
        <v>3467</v>
      </c>
      <c r="C16" t="s">
        <v>4529</v>
      </c>
      <c r="D16" t="s">
        <v>4533</v>
      </c>
      <c r="F16" t="s">
        <v>1295</v>
      </c>
      <c r="H16" t="s">
        <v>4534</v>
      </c>
      <c r="I16" t="s">
        <v>3467</v>
      </c>
      <c r="J16" t="s">
        <v>4529</v>
      </c>
    </row>
    <row r="17" spans="1:10" ht="15" customHeight="1" x14ac:dyDescent="0.25">
      <c r="A17" t="s">
        <v>4535</v>
      </c>
      <c r="B17" t="s">
        <v>3467</v>
      </c>
      <c r="C17" t="s">
        <v>4529</v>
      </c>
      <c r="D17" t="s">
        <v>4536</v>
      </c>
      <c r="F17" t="s">
        <v>1295</v>
      </c>
      <c r="H17" t="s">
        <v>4537</v>
      </c>
      <c r="I17" t="s">
        <v>3467</v>
      </c>
      <c r="J17" t="s">
        <v>4529</v>
      </c>
    </row>
    <row r="18" spans="1:10" ht="15" customHeight="1" x14ac:dyDescent="0.25">
      <c r="A18" t="s">
        <v>4538</v>
      </c>
      <c r="B18" t="s">
        <v>3467</v>
      </c>
      <c r="C18" t="s">
        <v>4529</v>
      </c>
      <c r="D18" t="s">
        <v>4539</v>
      </c>
      <c r="F18" t="s">
        <v>1295</v>
      </c>
      <c r="H18" t="s">
        <v>4540</v>
      </c>
      <c r="I18" t="s">
        <v>3467</v>
      </c>
      <c r="J18" t="s">
        <v>4529</v>
      </c>
    </row>
    <row r="19" spans="1:10" ht="15" customHeight="1" x14ac:dyDescent="0.25">
      <c r="A19" t="s">
        <v>4541</v>
      </c>
      <c r="B19" t="s">
        <v>3467</v>
      </c>
      <c r="C19" t="s">
        <v>4529</v>
      </c>
      <c r="D19" t="s">
        <v>4542</v>
      </c>
      <c r="F19" t="s">
        <v>1295</v>
      </c>
      <c r="H19" t="s">
        <v>4543</v>
      </c>
      <c r="I19" t="s">
        <v>3467</v>
      </c>
      <c r="J19" t="s">
        <v>4529</v>
      </c>
    </row>
    <row r="20" spans="1:10" ht="15" customHeight="1" x14ac:dyDescent="0.25">
      <c r="A20" t="s">
        <v>4544</v>
      </c>
      <c r="B20" t="s">
        <v>3467</v>
      </c>
      <c r="C20" t="s">
        <v>4529</v>
      </c>
      <c r="D20" t="s">
        <v>4545</v>
      </c>
      <c r="F20" t="s">
        <v>1295</v>
      </c>
      <c r="H20" t="s">
        <v>4546</v>
      </c>
      <c r="I20" t="s">
        <v>3467</v>
      </c>
      <c r="J20" t="s">
        <v>4529</v>
      </c>
    </row>
    <row r="21" spans="1:10" ht="15" customHeight="1" x14ac:dyDescent="0.25">
      <c r="A21" t="s">
        <v>4547</v>
      </c>
      <c r="B21" t="s">
        <v>3530</v>
      </c>
      <c r="C21" t="s">
        <v>3539</v>
      </c>
      <c r="D21" t="s">
        <v>4548</v>
      </c>
      <c r="E21" t="s">
        <v>4549</v>
      </c>
      <c r="F21" t="s">
        <v>497</v>
      </c>
      <c r="G21" t="s">
        <v>3644</v>
      </c>
      <c r="H21" t="s">
        <v>4550</v>
      </c>
      <c r="I21" t="s">
        <v>3467</v>
      </c>
      <c r="J21" t="s">
        <v>4551</v>
      </c>
    </row>
    <row r="22" spans="1:10" ht="15" customHeight="1" x14ac:dyDescent="0.25">
      <c r="A22" t="s">
        <v>4552</v>
      </c>
      <c r="B22" t="s">
        <v>41</v>
      </c>
      <c r="C22" t="s">
        <v>4553</v>
      </c>
      <c r="D22" t="s">
        <v>4554</v>
      </c>
      <c r="E22" t="s">
        <v>4555</v>
      </c>
      <c r="F22" t="s">
        <v>1650</v>
      </c>
      <c r="G22" t="s">
        <v>4556</v>
      </c>
      <c r="H22" t="s">
        <v>4557</v>
      </c>
      <c r="I22" t="s">
        <v>3467</v>
      </c>
      <c r="J22" t="s">
        <v>3536</v>
      </c>
    </row>
    <row r="23" spans="1:10" ht="15" customHeight="1" x14ac:dyDescent="0.25">
      <c r="A23" t="s">
        <v>4558</v>
      </c>
      <c r="B23" t="s">
        <v>3518</v>
      </c>
      <c r="C23" t="s">
        <v>3525</v>
      </c>
      <c r="D23" t="s">
        <v>4559</v>
      </c>
      <c r="E23" t="s">
        <v>4560</v>
      </c>
      <c r="F23" t="s">
        <v>1650</v>
      </c>
      <c r="H23" t="s">
        <v>4561</v>
      </c>
      <c r="I23" t="s">
        <v>3467</v>
      </c>
      <c r="J23" t="s">
        <v>4504</v>
      </c>
    </row>
    <row r="24" spans="1:10" ht="15" customHeight="1" x14ac:dyDescent="0.25">
      <c r="A24" t="s">
        <v>4562</v>
      </c>
      <c r="B24" t="s">
        <v>3518</v>
      </c>
      <c r="C24" t="s">
        <v>3525</v>
      </c>
      <c r="D24" t="s">
        <v>4563</v>
      </c>
      <c r="E24" t="s">
        <v>4564</v>
      </c>
      <c r="F24" t="s">
        <v>1650</v>
      </c>
      <c r="G24" t="s">
        <v>4565</v>
      </c>
      <c r="H24" t="s">
        <v>4566</v>
      </c>
      <c r="I24" t="s">
        <v>3467</v>
      </c>
      <c r="J24" t="s">
        <v>3528</v>
      </c>
    </row>
    <row r="25" spans="1:10" ht="15" customHeight="1" x14ac:dyDescent="0.25">
      <c r="A25" t="s">
        <v>4567</v>
      </c>
      <c r="B25" t="s">
        <v>3530</v>
      </c>
      <c r="C25" t="s">
        <v>3525</v>
      </c>
      <c r="D25" t="s">
        <v>4568</v>
      </c>
      <c r="E25" t="s">
        <v>4569</v>
      </c>
      <c r="F25" t="s">
        <v>90</v>
      </c>
      <c r="G25" t="s">
        <v>4570</v>
      </c>
      <c r="H25" t="s">
        <v>4571</v>
      </c>
      <c r="I25" t="s">
        <v>3467</v>
      </c>
      <c r="J25" t="s">
        <v>4504</v>
      </c>
    </row>
    <row r="26" spans="1:10" ht="15" customHeight="1" x14ac:dyDescent="0.25">
      <c r="A26" t="s">
        <v>3478</v>
      </c>
      <c r="B26" t="s">
        <v>3563</v>
      </c>
      <c r="C26" t="s">
        <v>3525</v>
      </c>
      <c r="D26" t="s">
        <v>4572</v>
      </c>
      <c r="E26" t="s">
        <v>4573</v>
      </c>
      <c r="F26" t="s">
        <v>90</v>
      </c>
      <c r="H26" t="s">
        <v>3566</v>
      </c>
      <c r="I26" t="s">
        <v>3467</v>
      </c>
      <c r="J26" t="s">
        <v>3449</v>
      </c>
    </row>
    <row r="27" spans="1:10" ht="15" customHeight="1" x14ac:dyDescent="0.25">
      <c r="A27" t="s">
        <v>4574</v>
      </c>
      <c r="B27" t="s">
        <v>3518</v>
      </c>
      <c r="C27" t="s">
        <v>3539</v>
      </c>
      <c r="D27" t="s">
        <v>4575</v>
      </c>
      <c r="E27" t="s">
        <v>4576</v>
      </c>
      <c r="F27" t="s">
        <v>90</v>
      </c>
      <c r="G27" t="s">
        <v>3593</v>
      </c>
      <c r="H27" t="s">
        <v>4577</v>
      </c>
      <c r="I27" t="s">
        <v>3467</v>
      </c>
      <c r="J27" t="s">
        <v>4578</v>
      </c>
    </row>
    <row r="28" spans="1:10" ht="15" customHeight="1" x14ac:dyDescent="0.25">
      <c r="A28" t="s">
        <v>4579</v>
      </c>
      <c r="B28" t="s">
        <v>3530</v>
      </c>
      <c r="C28" t="s">
        <v>3539</v>
      </c>
      <c r="D28" t="s">
        <v>4580</v>
      </c>
      <c r="E28" t="s">
        <v>4581</v>
      </c>
      <c r="F28" t="s">
        <v>497</v>
      </c>
      <c r="H28" t="s">
        <v>4579</v>
      </c>
      <c r="I28" t="s">
        <v>3467</v>
      </c>
      <c r="J28" t="s">
        <v>3536</v>
      </c>
    </row>
    <row r="29" spans="1:10" ht="15" customHeight="1" x14ac:dyDescent="0.25">
      <c r="A29" t="s">
        <v>4582</v>
      </c>
      <c r="B29" t="s">
        <v>3518</v>
      </c>
      <c r="C29" t="s">
        <v>3525</v>
      </c>
      <c r="D29" t="s">
        <v>4583</v>
      </c>
      <c r="E29" t="s">
        <v>4584</v>
      </c>
      <c r="F29" t="s">
        <v>90</v>
      </c>
      <c r="G29" t="s">
        <v>3527</v>
      </c>
      <c r="H29" t="s">
        <v>4585</v>
      </c>
      <c r="I29" t="s">
        <v>3467</v>
      </c>
      <c r="J29" t="s">
        <v>3528</v>
      </c>
    </row>
    <row r="30" spans="1:10" ht="15" customHeight="1" x14ac:dyDescent="0.25">
      <c r="A30" t="s">
        <v>3580</v>
      </c>
      <c r="B30" t="s">
        <v>3530</v>
      </c>
      <c r="C30" t="s">
        <v>3525</v>
      </c>
      <c r="D30" t="s">
        <v>4586</v>
      </c>
      <c r="E30" t="s">
        <v>4587</v>
      </c>
      <c r="F30" t="s">
        <v>160</v>
      </c>
      <c r="H30" t="s">
        <v>3585</v>
      </c>
      <c r="I30" t="s">
        <v>3467</v>
      </c>
      <c r="J30" t="s">
        <v>3449</v>
      </c>
    </row>
    <row r="31" spans="1:10" ht="15" customHeight="1" x14ac:dyDescent="0.25">
      <c r="A31" t="s">
        <v>3586</v>
      </c>
      <c r="B31" t="s">
        <v>41</v>
      </c>
      <c r="C31" t="s">
        <v>4553</v>
      </c>
      <c r="D31" t="s">
        <v>4588</v>
      </c>
      <c r="E31" t="s">
        <v>4589</v>
      </c>
      <c r="F31" t="s">
        <v>1650</v>
      </c>
      <c r="G31" t="s">
        <v>4556</v>
      </c>
      <c r="H31" t="s">
        <v>3586</v>
      </c>
      <c r="I31" t="s">
        <v>3467</v>
      </c>
      <c r="J31" t="s">
        <v>3536</v>
      </c>
    </row>
    <row r="32" spans="1:10" ht="15" customHeight="1" x14ac:dyDescent="0.25">
      <c r="A32" t="s">
        <v>4590</v>
      </c>
      <c r="B32" t="s">
        <v>3530</v>
      </c>
      <c r="C32" t="s">
        <v>3525</v>
      </c>
      <c r="D32" t="s">
        <v>4591</v>
      </c>
      <c r="E32" t="s">
        <v>4592</v>
      </c>
      <c r="F32" t="s">
        <v>1323</v>
      </c>
      <c r="G32" t="s">
        <v>4593</v>
      </c>
      <c r="H32" t="s">
        <v>4594</v>
      </c>
      <c r="I32" t="s">
        <v>3467</v>
      </c>
      <c r="J32" t="s">
        <v>4595</v>
      </c>
    </row>
    <row r="33" spans="1:10" ht="15" customHeight="1" x14ac:dyDescent="0.25">
      <c r="A33" t="s">
        <v>4596</v>
      </c>
      <c r="B33" t="s">
        <v>3518</v>
      </c>
      <c r="C33" t="s">
        <v>3539</v>
      </c>
      <c r="D33" t="s">
        <v>4597</v>
      </c>
      <c r="E33" t="s">
        <v>4598</v>
      </c>
      <c r="F33" t="s">
        <v>160</v>
      </c>
      <c r="G33" t="s">
        <v>4599</v>
      </c>
      <c r="H33" t="s">
        <v>4600</v>
      </c>
      <c r="I33" t="s">
        <v>3467</v>
      </c>
      <c r="J33" t="s">
        <v>3536</v>
      </c>
    </row>
    <row r="34" spans="1:10" ht="15" customHeight="1" x14ac:dyDescent="0.25">
      <c r="A34" t="s">
        <v>3590</v>
      </c>
      <c r="B34" t="s">
        <v>3530</v>
      </c>
      <c r="C34" t="s">
        <v>3525</v>
      </c>
      <c r="D34" t="s">
        <v>3591</v>
      </c>
      <c r="E34" t="s">
        <v>4601</v>
      </c>
      <c r="F34" t="s">
        <v>2805</v>
      </c>
      <c r="G34" t="s">
        <v>3593</v>
      </c>
      <c r="H34" t="s">
        <v>3590</v>
      </c>
      <c r="I34" t="s">
        <v>3467</v>
      </c>
      <c r="J34" t="s">
        <v>3594</v>
      </c>
    </row>
    <row r="35" spans="1:10" ht="15" customHeight="1" x14ac:dyDescent="0.25">
      <c r="A35" t="s">
        <v>3483</v>
      </c>
      <c r="B35" t="s">
        <v>3530</v>
      </c>
      <c r="C35" t="s">
        <v>4602</v>
      </c>
      <c r="D35" t="s">
        <v>4603</v>
      </c>
      <c r="E35" t="s">
        <v>4604</v>
      </c>
      <c r="F35" t="s">
        <v>160</v>
      </c>
      <c r="G35" t="s">
        <v>315</v>
      </c>
      <c r="H35" t="s">
        <v>3483</v>
      </c>
      <c r="I35" t="s">
        <v>3467</v>
      </c>
      <c r="J35" t="s">
        <v>3536</v>
      </c>
    </row>
    <row r="36" spans="1:10" ht="15" customHeight="1" x14ac:dyDescent="0.25">
      <c r="A36" t="s">
        <v>4605</v>
      </c>
      <c r="B36" t="s">
        <v>3530</v>
      </c>
      <c r="C36" t="s">
        <v>3525</v>
      </c>
      <c r="D36" t="s">
        <v>4606</v>
      </c>
      <c r="E36" t="s">
        <v>4607</v>
      </c>
      <c r="F36" t="s">
        <v>90</v>
      </c>
      <c r="G36" t="s">
        <v>4608</v>
      </c>
      <c r="H36" t="s">
        <v>4609</v>
      </c>
      <c r="I36" t="s">
        <v>3467</v>
      </c>
      <c r="J36" t="s">
        <v>4610</v>
      </c>
    </row>
    <row r="37" spans="1:10" ht="15" customHeight="1" x14ac:dyDescent="0.25">
      <c r="A37" t="s">
        <v>4611</v>
      </c>
      <c r="B37" t="s">
        <v>3518</v>
      </c>
      <c r="C37" t="s">
        <v>4612</v>
      </c>
      <c r="D37" t="s">
        <v>4613</v>
      </c>
      <c r="E37" t="s">
        <v>4614</v>
      </c>
      <c r="F37" t="s">
        <v>160</v>
      </c>
      <c r="G37" t="s">
        <v>4615</v>
      </c>
      <c r="H37" t="s">
        <v>4616</v>
      </c>
      <c r="I37" t="s">
        <v>3467</v>
      </c>
      <c r="J37" t="s">
        <v>4504</v>
      </c>
    </row>
    <row r="38" spans="1:10" ht="15" customHeight="1" x14ac:dyDescent="0.25">
      <c r="A38" t="s">
        <v>4617</v>
      </c>
      <c r="B38" t="s">
        <v>3530</v>
      </c>
      <c r="C38" t="s">
        <v>3596</v>
      </c>
      <c r="D38" t="s">
        <v>4618</v>
      </c>
      <c r="F38" t="s">
        <v>160</v>
      </c>
      <c r="G38" t="s">
        <v>4619</v>
      </c>
      <c r="H38" t="s">
        <v>4620</v>
      </c>
      <c r="I38" t="s">
        <v>3467</v>
      </c>
      <c r="J38" t="s">
        <v>3458</v>
      </c>
    </row>
    <row r="39" spans="1:10" ht="15" customHeight="1" x14ac:dyDescent="0.25">
      <c r="A39" t="s">
        <v>4621</v>
      </c>
      <c r="B39" t="s">
        <v>3530</v>
      </c>
      <c r="C39" t="s">
        <v>3525</v>
      </c>
      <c r="D39" t="s">
        <v>4622</v>
      </c>
      <c r="E39" t="s">
        <v>4623</v>
      </c>
      <c r="F39" t="s">
        <v>1130</v>
      </c>
      <c r="G39" t="s">
        <v>4624</v>
      </c>
      <c r="H39" t="s">
        <v>4625</v>
      </c>
      <c r="I39" t="s">
        <v>3467</v>
      </c>
      <c r="J39" t="s">
        <v>4626</v>
      </c>
    </row>
    <row r="40" spans="1:10" ht="15" customHeight="1" x14ac:dyDescent="0.25">
      <c r="A40" t="s">
        <v>4627</v>
      </c>
      <c r="B40" t="s">
        <v>3530</v>
      </c>
      <c r="C40" t="s">
        <v>4473</v>
      </c>
      <c r="D40" t="s">
        <v>4628</v>
      </c>
      <c r="E40" t="s">
        <v>4629</v>
      </c>
      <c r="F40" t="s">
        <v>1622</v>
      </c>
      <c r="H40" t="s">
        <v>4627</v>
      </c>
      <c r="I40" t="s">
        <v>3467</v>
      </c>
      <c r="J40" t="s">
        <v>4504</v>
      </c>
    </row>
    <row r="41" spans="1:10" ht="15" customHeight="1" x14ac:dyDescent="0.25">
      <c r="A41" t="s">
        <v>4630</v>
      </c>
      <c r="B41" t="s">
        <v>41</v>
      </c>
      <c r="C41" t="s">
        <v>4553</v>
      </c>
      <c r="D41" t="s">
        <v>4631</v>
      </c>
      <c r="E41" t="s">
        <v>4632</v>
      </c>
      <c r="F41" t="s">
        <v>1650</v>
      </c>
      <c r="G41" t="s">
        <v>4556</v>
      </c>
      <c r="H41" t="s">
        <v>4633</v>
      </c>
      <c r="I41" t="s">
        <v>3467</v>
      </c>
      <c r="J41" t="s">
        <v>3536</v>
      </c>
    </row>
    <row r="42" spans="1:10" ht="15" customHeight="1" x14ac:dyDescent="0.25">
      <c r="A42" t="s">
        <v>4634</v>
      </c>
      <c r="B42" t="s">
        <v>3518</v>
      </c>
      <c r="C42" t="s">
        <v>3525</v>
      </c>
      <c r="D42" t="s">
        <v>4635</v>
      </c>
      <c r="E42" t="s">
        <v>4636</v>
      </c>
      <c r="F42" t="s">
        <v>2805</v>
      </c>
      <c r="G42" t="s">
        <v>4497</v>
      </c>
      <c r="H42" t="s">
        <v>4634</v>
      </c>
      <c r="I42" t="s">
        <v>3467</v>
      </c>
      <c r="J42" t="s">
        <v>4504</v>
      </c>
    </row>
    <row r="43" spans="1:10" ht="15" customHeight="1" x14ac:dyDescent="0.25">
      <c r="A43" t="s">
        <v>4637</v>
      </c>
      <c r="B43" t="s">
        <v>3518</v>
      </c>
      <c r="C43" t="s">
        <v>3525</v>
      </c>
      <c r="D43" t="s">
        <v>4638</v>
      </c>
      <c r="E43" t="s">
        <v>4639</v>
      </c>
      <c r="F43" t="s">
        <v>90</v>
      </c>
      <c r="G43" t="s">
        <v>4640</v>
      </c>
      <c r="H43" t="s">
        <v>4641</v>
      </c>
      <c r="I43" t="s">
        <v>3467</v>
      </c>
      <c r="J43" t="s">
        <v>4642</v>
      </c>
    </row>
    <row r="44" spans="1:10" ht="15" customHeight="1" x14ac:dyDescent="0.25">
      <c r="A44" t="s">
        <v>4643</v>
      </c>
      <c r="B44" t="s">
        <v>3518</v>
      </c>
      <c r="C44" t="s">
        <v>3525</v>
      </c>
      <c r="D44" t="s">
        <v>4644</v>
      </c>
      <c r="E44" t="s">
        <v>4645</v>
      </c>
      <c r="F44" t="s">
        <v>1650</v>
      </c>
      <c r="G44" t="s">
        <v>4646</v>
      </c>
      <c r="H44" t="s">
        <v>4647</v>
      </c>
      <c r="I44" t="s">
        <v>3467</v>
      </c>
      <c r="J44" t="s">
        <v>4504</v>
      </c>
    </row>
    <row r="45" spans="1:10" ht="15" customHeight="1" x14ac:dyDescent="0.25">
      <c r="A45" t="s">
        <v>4648</v>
      </c>
      <c r="B45" t="s">
        <v>3530</v>
      </c>
      <c r="C45" t="s">
        <v>3525</v>
      </c>
      <c r="D45" t="s">
        <v>4649</v>
      </c>
      <c r="E45" t="s">
        <v>4650</v>
      </c>
      <c r="F45" t="s">
        <v>2805</v>
      </c>
      <c r="G45" t="s">
        <v>4651</v>
      </c>
      <c r="H45" t="s">
        <v>4652</v>
      </c>
      <c r="I45" t="s">
        <v>3467</v>
      </c>
      <c r="J45" t="s">
        <v>3536</v>
      </c>
    </row>
    <row r="46" spans="1:10" ht="15" customHeight="1" x14ac:dyDescent="0.25">
      <c r="A46" t="s">
        <v>4653</v>
      </c>
      <c r="B46" t="s">
        <v>41</v>
      </c>
      <c r="C46" t="s">
        <v>3539</v>
      </c>
      <c r="D46" t="s">
        <v>4654</v>
      </c>
      <c r="E46" t="s">
        <v>4655</v>
      </c>
      <c r="F46" t="s">
        <v>2137</v>
      </c>
      <c r="G46" t="s">
        <v>4656</v>
      </c>
      <c r="H46" t="s">
        <v>4657</v>
      </c>
      <c r="I46" t="s">
        <v>3467</v>
      </c>
      <c r="J46" t="s">
        <v>3536</v>
      </c>
    </row>
    <row r="47" spans="1:10" ht="15" customHeight="1" x14ac:dyDescent="0.25">
      <c r="A47" t="s">
        <v>4658</v>
      </c>
      <c r="B47" t="s">
        <v>3530</v>
      </c>
      <c r="C47" t="s">
        <v>3525</v>
      </c>
      <c r="D47" t="s">
        <v>4659</v>
      </c>
      <c r="E47" t="s">
        <v>4660</v>
      </c>
      <c r="F47" t="s">
        <v>90</v>
      </c>
      <c r="G47" t="s">
        <v>4661</v>
      </c>
      <c r="H47" t="s">
        <v>4662</v>
      </c>
      <c r="I47" t="s">
        <v>3467</v>
      </c>
      <c r="J47" t="s">
        <v>3594</v>
      </c>
    </row>
    <row r="48" spans="1:10" ht="15" customHeight="1" x14ac:dyDescent="0.25">
      <c r="A48" t="s">
        <v>4663</v>
      </c>
      <c r="B48" t="s">
        <v>3530</v>
      </c>
      <c r="C48" t="s">
        <v>3525</v>
      </c>
      <c r="D48" t="s">
        <v>4664</v>
      </c>
      <c r="E48" t="s">
        <v>4665</v>
      </c>
      <c r="F48" t="s">
        <v>2507</v>
      </c>
      <c r="G48" t="s">
        <v>4666</v>
      </c>
      <c r="H48" t="s">
        <v>4663</v>
      </c>
      <c r="I48" t="s">
        <v>3467</v>
      </c>
      <c r="J48" t="s">
        <v>3528</v>
      </c>
    </row>
    <row r="49" spans="1:10" ht="15" customHeight="1" x14ac:dyDescent="0.25">
      <c r="A49" t="s">
        <v>4667</v>
      </c>
      <c r="B49" t="s">
        <v>3518</v>
      </c>
      <c r="C49" t="s">
        <v>3525</v>
      </c>
      <c r="D49" t="s">
        <v>4668</v>
      </c>
      <c r="E49" t="s">
        <v>4669</v>
      </c>
      <c r="F49" t="s">
        <v>90</v>
      </c>
      <c r="G49" t="s">
        <v>264</v>
      </c>
      <c r="H49" t="s">
        <v>4667</v>
      </c>
      <c r="I49" t="s">
        <v>3467</v>
      </c>
      <c r="J49" t="s">
        <v>3528</v>
      </c>
    </row>
    <row r="50" spans="1:10" ht="15" customHeight="1" x14ac:dyDescent="0.25">
      <c r="A50" t="s">
        <v>4670</v>
      </c>
      <c r="B50" t="s">
        <v>41</v>
      </c>
      <c r="C50" t="s">
        <v>3539</v>
      </c>
      <c r="D50" t="s">
        <v>4671</v>
      </c>
      <c r="E50" t="s">
        <v>4672</v>
      </c>
      <c r="F50" t="s">
        <v>160</v>
      </c>
      <c r="G50" t="s">
        <v>4673</v>
      </c>
      <c r="H50" t="s">
        <v>4674</v>
      </c>
      <c r="I50" t="s">
        <v>3467</v>
      </c>
      <c r="J50" t="s">
        <v>3536</v>
      </c>
    </row>
    <row r="51" spans="1:10" ht="15" customHeight="1" x14ac:dyDescent="0.25">
      <c r="A51" t="s">
        <v>4675</v>
      </c>
      <c r="B51" t="s">
        <v>3518</v>
      </c>
      <c r="C51" t="s">
        <v>3525</v>
      </c>
      <c r="D51" t="s">
        <v>4676</v>
      </c>
      <c r="E51" t="s">
        <v>4677</v>
      </c>
      <c r="F51" t="s">
        <v>1130</v>
      </c>
      <c r="G51" t="s">
        <v>4678</v>
      </c>
      <c r="H51" t="s">
        <v>4679</v>
      </c>
      <c r="I51" t="s">
        <v>3467</v>
      </c>
      <c r="J51" t="s">
        <v>4680</v>
      </c>
    </row>
    <row r="52" spans="1:10" ht="15" customHeight="1" x14ac:dyDescent="0.25">
      <c r="A52" t="s">
        <v>4681</v>
      </c>
      <c r="B52" t="s">
        <v>3530</v>
      </c>
      <c r="C52" t="s">
        <v>3525</v>
      </c>
      <c r="D52" t="s">
        <v>4682</v>
      </c>
      <c r="E52" t="s">
        <v>4683</v>
      </c>
      <c r="F52" t="s">
        <v>90</v>
      </c>
      <c r="H52" t="s">
        <v>4684</v>
      </c>
      <c r="I52" t="s">
        <v>3467</v>
      </c>
      <c r="J52" t="s">
        <v>4685</v>
      </c>
    </row>
    <row r="53" spans="1:10" ht="15" customHeight="1" x14ac:dyDescent="0.25">
      <c r="A53" t="s">
        <v>4686</v>
      </c>
      <c r="B53" t="s">
        <v>3518</v>
      </c>
      <c r="C53" t="s">
        <v>3539</v>
      </c>
      <c r="D53" t="s">
        <v>4687</v>
      </c>
      <c r="E53" t="s">
        <v>4688</v>
      </c>
      <c r="F53" t="s">
        <v>497</v>
      </c>
      <c r="G53" t="s">
        <v>4689</v>
      </c>
      <c r="H53" t="s">
        <v>4686</v>
      </c>
      <c r="I53" t="s">
        <v>3467</v>
      </c>
      <c r="J53" t="s">
        <v>3536</v>
      </c>
    </row>
    <row r="54" spans="1:10" ht="15" customHeight="1" x14ac:dyDescent="0.25">
      <c r="A54" t="s">
        <v>4690</v>
      </c>
      <c r="B54" t="s">
        <v>41</v>
      </c>
      <c r="C54" t="s">
        <v>4612</v>
      </c>
      <c r="D54" t="s">
        <v>4691</v>
      </c>
      <c r="E54" t="s">
        <v>4692</v>
      </c>
      <c r="F54" t="s">
        <v>90</v>
      </c>
      <c r="G54" t="s">
        <v>4693</v>
      </c>
      <c r="H54" t="s">
        <v>4694</v>
      </c>
      <c r="I54" t="s">
        <v>3467</v>
      </c>
      <c r="J54" t="s">
        <v>4578</v>
      </c>
    </row>
    <row r="55" spans="1:10" ht="15" customHeight="1" x14ac:dyDescent="0.25">
      <c r="A55" t="s">
        <v>4695</v>
      </c>
      <c r="B55" t="s">
        <v>3530</v>
      </c>
      <c r="C55" t="s">
        <v>3525</v>
      </c>
      <c r="D55" t="s">
        <v>4696</v>
      </c>
      <c r="E55" t="s">
        <v>4697</v>
      </c>
      <c r="F55" t="s">
        <v>160</v>
      </c>
      <c r="G55" t="s">
        <v>4698</v>
      </c>
      <c r="H55" t="s">
        <v>4699</v>
      </c>
      <c r="I55" t="s">
        <v>3467</v>
      </c>
      <c r="J55" t="s">
        <v>3594</v>
      </c>
    </row>
    <row r="56" spans="1:10" ht="15" customHeight="1" x14ac:dyDescent="0.25">
      <c r="A56" t="s">
        <v>3614</v>
      </c>
      <c r="B56" t="s">
        <v>41</v>
      </c>
      <c r="C56" t="s">
        <v>3531</v>
      </c>
      <c r="D56" t="s">
        <v>4700</v>
      </c>
      <c r="E56" t="s">
        <v>4701</v>
      </c>
      <c r="F56" t="s">
        <v>2805</v>
      </c>
      <c r="G56" t="s">
        <v>3617</v>
      </c>
      <c r="H56" t="s">
        <v>3618</v>
      </c>
      <c r="I56" t="s">
        <v>3467</v>
      </c>
      <c r="J56" t="s">
        <v>3449</v>
      </c>
    </row>
    <row r="57" spans="1:10" ht="15" customHeight="1" x14ac:dyDescent="0.25">
      <c r="A57" t="s">
        <v>4702</v>
      </c>
      <c r="B57" t="s">
        <v>3743</v>
      </c>
      <c r="C57" t="s">
        <v>3525</v>
      </c>
      <c r="D57" t="s">
        <v>4703</v>
      </c>
      <c r="E57" t="s">
        <v>4704</v>
      </c>
      <c r="F57" t="s">
        <v>160</v>
      </c>
      <c r="G57" t="s">
        <v>4705</v>
      </c>
      <c r="H57" t="s">
        <v>4706</v>
      </c>
      <c r="I57" t="s">
        <v>3467</v>
      </c>
      <c r="J57" t="s">
        <v>3528</v>
      </c>
    </row>
    <row r="58" spans="1:10" ht="15" customHeight="1" x14ac:dyDescent="0.25">
      <c r="A58" t="s">
        <v>4707</v>
      </c>
      <c r="B58" t="s">
        <v>3530</v>
      </c>
      <c r="C58" t="s">
        <v>3525</v>
      </c>
      <c r="D58" t="s">
        <v>4708</v>
      </c>
      <c r="E58" t="s">
        <v>4709</v>
      </c>
      <c r="F58" t="s">
        <v>90</v>
      </c>
      <c r="G58" t="s">
        <v>3527</v>
      </c>
      <c r="H58" t="s">
        <v>4710</v>
      </c>
      <c r="I58" t="s">
        <v>3467</v>
      </c>
      <c r="J58" t="s">
        <v>3528</v>
      </c>
    </row>
    <row r="59" spans="1:10" ht="15" customHeight="1" x14ac:dyDescent="0.25">
      <c r="A59" t="s">
        <v>4711</v>
      </c>
      <c r="B59" t="s">
        <v>3518</v>
      </c>
      <c r="C59" t="s">
        <v>3525</v>
      </c>
      <c r="D59" t="s">
        <v>4712</v>
      </c>
      <c r="E59" t="s">
        <v>4713</v>
      </c>
      <c r="F59" t="s">
        <v>90</v>
      </c>
      <c r="G59" t="s">
        <v>264</v>
      </c>
      <c r="H59" t="s">
        <v>4714</v>
      </c>
      <c r="I59" t="s">
        <v>3467</v>
      </c>
      <c r="J59" t="s">
        <v>4578</v>
      </c>
    </row>
    <row r="60" spans="1:10" ht="15" customHeight="1" x14ac:dyDescent="0.25">
      <c r="A60" t="s">
        <v>4715</v>
      </c>
      <c r="B60" t="s">
        <v>3518</v>
      </c>
      <c r="C60" t="s">
        <v>3525</v>
      </c>
      <c r="D60" t="s">
        <v>4716</v>
      </c>
      <c r="E60" t="s">
        <v>4717</v>
      </c>
      <c r="F60" t="s">
        <v>1650</v>
      </c>
      <c r="G60" t="s">
        <v>4718</v>
      </c>
      <c r="H60" t="s">
        <v>4719</v>
      </c>
      <c r="I60" t="s">
        <v>3467</v>
      </c>
      <c r="J60" t="s">
        <v>4518</v>
      </c>
    </row>
    <row r="61" spans="1:10" ht="15" customHeight="1" x14ac:dyDescent="0.25">
      <c r="A61" t="s">
        <v>4720</v>
      </c>
      <c r="B61" t="s">
        <v>41</v>
      </c>
      <c r="C61" t="s">
        <v>4494</v>
      </c>
      <c r="D61" t="s">
        <v>4721</v>
      </c>
      <c r="E61" t="s">
        <v>4722</v>
      </c>
      <c r="F61" t="s">
        <v>497</v>
      </c>
      <c r="G61" t="s">
        <v>264</v>
      </c>
      <c r="H61" t="s">
        <v>4720</v>
      </c>
      <c r="I61" t="s">
        <v>3467</v>
      </c>
      <c r="J61" t="s">
        <v>3449</v>
      </c>
    </row>
    <row r="62" spans="1:10" ht="15" customHeight="1" x14ac:dyDescent="0.25">
      <c r="A62" t="s">
        <v>4723</v>
      </c>
      <c r="B62" t="s">
        <v>3518</v>
      </c>
      <c r="C62" t="s">
        <v>3525</v>
      </c>
      <c r="D62" t="s">
        <v>4724</v>
      </c>
      <c r="E62" t="s">
        <v>4725</v>
      </c>
      <c r="F62" t="s">
        <v>160</v>
      </c>
      <c r="H62" t="s">
        <v>4726</v>
      </c>
      <c r="I62" t="s">
        <v>3467</v>
      </c>
      <c r="J62" t="s">
        <v>4727</v>
      </c>
    </row>
    <row r="63" spans="1:10" ht="15" customHeight="1" x14ac:dyDescent="0.25">
      <c r="A63" t="s">
        <v>4728</v>
      </c>
      <c r="B63" t="s">
        <v>3518</v>
      </c>
      <c r="C63" t="s">
        <v>3525</v>
      </c>
      <c r="D63" t="s">
        <v>4729</v>
      </c>
      <c r="E63" t="s">
        <v>4730</v>
      </c>
      <c r="F63" t="s">
        <v>1650</v>
      </c>
      <c r="G63" t="s">
        <v>4731</v>
      </c>
      <c r="H63" t="s">
        <v>4732</v>
      </c>
      <c r="I63" t="s">
        <v>3467</v>
      </c>
      <c r="J63" t="s">
        <v>4518</v>
      </c>
    </row>
    <row r="64" spans="1:10" ht="15" customHeight="1" x14ac:dyDescent="0.25">
      <c r="A64" t="s">
        <v>4733</v>
      </c>
      <c r="B64" t="s">
        <v>3530</v>
      </c>
      <c r="C64" t="s">
        <v>3539</v>
      </c>
      <c r="D64" t="s">
        <v>4734</v>
      </c>
      <c r="E64" t="s">
        <v>4735</v>
      </c>
      <c r="F64" t="s">
        <v>2137</v>
      </c>
      <c r="G64" t="s">
        <v>4736</v>
      </c>
      <c r="H64" t="s">
        <v>4737</v>
      </c>
      <c r="I64" t="s">
        <v>3467</v>
      </c>
      <c r="J64" t="s">
        <v>3449</v>
      </c>
    </row>
    <row r="65" spans="1:10" ht="15" customHeight="1" x14ac:dyDescent="0.25">
      <c r="A65" t="s">
        <v>4738</v>
      </c>
      <c r="B65" t="s">
        <v>41</v>
      </c>
      <c r="C65" t="s">
        <v>4473</v>
      </c>
      <c r="D65" t="s">
        <v>4739</v>
      </c>
      <c r="E65" t="s">
        <v>4740</v>
      </c>
      <c r="F65" t="s">
        <v>1047</v>
      </c>
      <c r="G65" t="s">
        <v>3909</v>
      </c>
      <c r="H65" t="s">
        <v>4741</v>
      </c>
      <c r="I65" t="s">
        <v>3467</v>
      </c>
      <c r="J65" t="s">
        <v>4504</v>
      </c>
    </row>
    <row r="66" spans="1:10" ht="15" customHeight="1" x14ac:dyDescent="0.25">
      <c r="A66" t="s">
        <v>4742</v>
      </c>
      <c r="B66" t="s">
        <v>3530</v>
      </c>
      <c r="C66" t="s">
        <v>4494</v>
      </c>
      <c r="D66" t="s">
        <v>4743</v>
      </c>
      <c r="E66" t="s">
        <v>4744</v>
      </c>
      <c r="F66" t="s">
        <v>501</v>
      </c>
      <c r="G66" t="s">
        <v>4745</v>
      </c>
      <c r="H66" t="s">
        <v>4746</v>
      </c>
      <c r="I66" t="s">
        <v>3467</v>
      </c>
      <c r="J66" t="s">
        <v>4504</v>
      </c>
    </row>
    <row r="67" spans="1:10" ht="15" customHeight="1" x14ac:dyDescent="0.25">
      <c r="A67" t="s">
        <v>4747</v>
      </c>
      <c r="B67" t="s">
        <v>41</v>
      </c>
      <c r="C67" t="s">
        <v>4473</v>
      </c>
      <c r="D67" t="s">
        <v>4748</v>
      </c>
      <c r="E67" t="s">
        <v>4749</v>
      </c>
      <c r="F67" t="s">
        <v>1047</v>
      </c>
      <c r="G67" t="s">
        <v>3909</v>
      </c>
      <c r="H67" t="s">
        <v>4750</v>
      </c>
      <c r="I67" t="s">
        <v>3467</v>
      </c>
      <c r="J67" t="s">
        <v>4504</v>
      </c>
    </row>
    <row r="68" spans="1:10" ht="15" customHeight="1" x14ac:dyDescent="0.25">
      <c r="A68" t="s">
        <v>4751</v>
      </c>
      <c r="B68" t="s">
        <v>41</v>
      </c>
      <c r="C68" t="s">
        <v>3539</v>
      </c>
      <c r="D68" t="s">
        <v>4158</v>
      </c>
      <c r="E68" t="s">
        <v>4752</v>
      </c>
      <c r="F68" t="s">
        <v>160</v>
      </c>
      <c r="H68" t="s">
        <v>4753</v>
      </c>
      <c r="I68" t="s">
        <v>3467</v>
      </c>
      <c r="J68" t="s">
        <v>3536</v>
      </c>
    </row>
    <row r="69" spans="1:10" ht="15" customHeight="1" x14ac:dyDescent="0.25">
      <c r="A69" t="s">
        <v>3646</v>
      </c>
      <c r="B69" t="s">
        <v>41</v>
      </c>
      <c r="C69" t="s">
        <v>3531</v>
      </c>
      <c r="D69" t="s">
        <v>4754</v>
      </c>
      <c r="E69" t="s">
        <v>4755</v>
      </c>
      <c r="F69" t="s">
        <v>160</v>
      </c>
      <c r="G69" t="s">
        <v>264</v>
      </c>
      <c r="H69" t="s">
        <v>3646</v>
      </c>
      <c r="I69" t="s">
        <v>3467</v>
      </c>
      <c r="J69" t="s">
        <v>3449</v>
      </c>
    </row>
    <row r="70" spans="1:10" ht="15" customHeight="1" x14ac:dyDescent="0.25">
      <c r="A70" t="s">
        <v>3649</v>
      </c>
      <c r="B70" t="s">
        <v>3518</v>
      </c>
      <c r="C70" t="s">
        <v>3531</v>
      </c>
      <c r="D70" t="s">
        <v>4756</v>
      </c>
      <c r="E70" t="s">
        <v>4757</v>
      </c>
      <c r="F70" t="s">
        <v>90</v>
      </c>
      <c r="G70" t="s">
        <v>3652</v>
      </c>
      <c r="H70" t="s">
        <v>3649</v>
      </c>
      <c r="I70" t="s">
        <v>3467</v>
      </c>
      <c r="J70" t="s">
        <v>3449</v>
      </c>
    </row>
    <row r="71" spans="1:10" ht="15" customHeight="1" x14ac:dyDescent="0.25">
      <c r="A71" t="s">
        <v>3653</v>
      </c>
      <c r="B71" t="s">
        <v>3530</v>
      </c>
      <c r="C71" t="s">
        <v>3525</v>
      </c>
      <c r="D71" t="s">
        <v>4758</v>
      </c>
      <c r="E71" t="s">
        <v>4759</v>
      </c>
      <c r="F71" t="s">
        <v>90</v>
      </c>
      <c r="G71" t="s">
        <v>3656</v>
      </c>
      <c r="H71" t="s">
        <v>3657</v>
      </c>
      <c r="I71" t="s">
        <v>3467</v>
      </c>
      <c r="J71" t="s">
        <v>3449</v>
      </c>
    </row>
    <row r="72" spans="1:10" ht="15" customHeight="1" x14ac:dyDescent="0.25">
      <c r="A72" t="s">
        <v>4760</v>
      </c>
      <c r="B72" t="s">
        <v>3530</v>
      </c>
      <c r="C72" t="s">
        <v>3525</v>
      </c>
      <c r="D72" t="s">
        <v>4761</v>
      </c>
      <c r="E72" t="s">
        <v>4762</v>
      </c>
      <c r="F72" t="s">
        <v>90</v>
      </c>
      <c r="H72" t="s">
        <v>4763</v>
      </c>
      <c r="I72" t="s">
        <v>3467</v>
      </c>
      <c r="J72" t="s">
        <v>4504</v>
      </c>
    </row>
    <row r="73" spans="1:10" ht="15" customHeight="1" x14ac:dyDescent="0.25">
      <c r="A73" t="s">
        <v>4764</v>
      </c>
      <c r="B73" t="s">
        <v>3530</v>
      </c>
      <c r="C73" t="s">
        <v>3525</v>
      </c>
      <c r="D73" t="s">
        <v>4765</v>
      </c>
      <c r="E73" t="s">
        <v>4766</v>
      </c>
      <c r="F73" t="s">
        <v>1650</v>
      </c>
      <c r="G73" t="s">
        <v>4767</v>
      </c>
      <c r="H73" t="s">
        <v>4768</v>
      </c>
      <c r="I73" t="s">
        <v>3467</v>
      </c>
      <c r="J73" t="s">
        <v>3528</v>
      </c>
    </row>
    <row r="74" spans="1:10" ht="15" customHeight="1" x14ac:dyDescent="0.25">
      <c r="A74" t="s">
        <v>4769</v>
      </c>
      <c r="B74" t="s">
        <v>3530</v>
      </c>
      <c r="C74" t="s">
        <v>3525</v>
      </c>
      <c r="D74" t="s">
        <v>4770</v>
      </c>
      <c r="E74" t="s">
        <v>4771</v>
      </c>
      <c r="F74" t="s">
        <v>90</v>
      </c>
      <c r="G74" t="s">
        <v>4661</v>
      </c>
      <c r="H74" t="s">
        <v>4772</v>
      </c>
      <c r="I74" t="s">
        <v>3467</v>
      </c>
      <c r="J74" t="s">
        <v>3594</v>
      </c>
    </row>
    <row r="75" spans="1:10" ht="15" customHeight="1" x14ac:dyDescent="0.25">
      <c r="A75" t="s">
        <v>4773</v>
      </c>
      <c r="B75" t="s">
        <v>3530</v>
      </c>
      <c r="C75" t="s">
        <v>3539</v>
      </c>
      <c r="D75" t="s">
        <v>4774</v>
      </c>
      <c r="E75" t="s">
        <v>4775</v>
      </c>
      <c r="F75" t="s">
        <v>160</v>
      </c>
      <c r="H75" t="s">
        <v>4776</v>
      </c>
      <c r="I75" t="s">
        <v>3467</v>
      </c>
      <c r="J75" t="s">
        <v>3536</v>
      </c>
    </row>
    <row r="76" spans="1:10" ht="15" customHeight="1" x14ac:dyDescent="0.25">
      <c r="A76" t="s">
        <v>4777</v>
      </c>
      <c r="B76" t="s">
        <v>3518</v>
      </c>
      <c r="C76" t="s">
        <v>3525</v>
      </c>
      <c r="D76" t="s">
        <v>4778</v>
      </c>
      <c r="E76" t="s">
        <v>4779</v>
      </c>
      <c r="F76" t="s">
        <v>90</v>
      </c>
      <c r="G76" t="s">
        <v>4780</v>
      </c>
      <c r="H76" t="s">
        <v>4781</v>
      </c>
      <c r="I76" t="s">
        <v>3467</v>
      </c>
      <c r="J76" t="s">
        <v>4782</v>
      </c>
    </row>
    <row r="77" spans="1:10" ht="15" customHeight="1" x14ac:dyDescent="0.25">
      <c r="A77" t="s">
        <v>4783</v>
      </c>
      <c r="B77" t="s">
        <v>41</v>
      </c>
      <c r="C77" t="s">
        <v>4612</v>
      </c>
      <c r="D77" t="s">
        <v>4784</v>
      </c>
      <c r="E77" t="s">
        <v>4785</v>
      </c>
      <c r="F77" t="s">
        <v>90</v>
      </c>
      <c r="G77" t="s">
        <v>4786</v>
      </c>
      <c r="H77" t="s">
        <v>4783</v>
      </c>
      <c r="I77" t="s">
        <v>3467</v>
      </c>
      <c r="J77" t="s">
        <v>4787</v>
      </c>
    </row>
    <row r="78" spans="1:10" ht="15" customHeight="1" x14ac:dyDescent="0.25">
      <c r="A78" t="s">
        <v>3673</v>
      </c>
      <c r="B78" t="s">
        <v>41</v>
      </c>
      <c r="C78" t="s">
        <v>3539</v>
      </c>
      <c r="D78" t="s">
        <v>4788</v>
      </c>
      <c r="E78" t="s">
        <v>4789</v>
      </c>
      <c r="F78" t="s">
        <v>90</v>
      </c>
      <c r="G78" t="s">
        <v>3677</v>
      </c>
      <c r="H78" t="s">
        <v>3678</v>
      </c>
      <c r="I78" t="s">
        <v>3467</v>
      </c>
      <c r="J78" t="s">
        <v>3536</v>
      </c>
    </row>
    <row r="79" spans="1:10" ht="15" customHeight="1" x14ac:dyDescent="0.25">
      <c r="A79" t="s">
        <v>4790</v>
      </c>
      <c r="B79" t="s">
        <v>3518</v>
      </c>
      <c r="C79" t="s">
        <v>3531</v>
      </c>
      <c r="D79" t="s">
        <v>4791</v>
      </c>
      <c r="E79" t="s">
        <v>4792</v>
      </c>
      <c r="F79" t="s">
        <v>90</v>
      </c>
      <c r="G79" t="s">
        <v>4698</v>
      </c>
      <c r="H79" t="s">
        <v>4793</v>
      </c>
      <c r="I79" t="s">
        <v>3467</v>
      </c>
      <c r="J79" t="s">
        <v>3594</v>
      </c>
    </row>
    <row r="80" spans="1:10" ht="15" customHeight="1" x14ac:dyDescent="0.25">
      <c r="A80" t="s">
        <v>4794</v>
      </c>
      <c r="B80" t="s">
        <v>3530</v>
      </c>
      <c r="C80" t="s">
        <v>4612</v>
      </c>
      <c r="D80" t="s">
        <v>4795</v>
      </c>
      <c r="E80" t="s">
        <v>4796</v>
      </c>
      <c r="F80" t="s">
        <v>90</v>
      </c>
      <c r="G80" t="s">
        <v>4797</v>
      </c>
      <c r="H80" t="s">
        <v>4798</v>
      </c>
      <c r="I80" t="s">
        <v>3467</v>
      </c>
      <c r="J80" t="s">
        <v>3528</v>
      </c>
    </row>
    <row r="81" spans="1:10" ht="15" customHeight="1" x14ac:dyDescent="0.25">
      <c r="A81" t="s">
        <v>4799</v>
      </c>
      <c r="B81" t="s">
        <v>3518</v>
      </c>
      <c r="C81" t="s">
        <v>3556</v>
      </c>
      <c r="D81" t="s">
        <v>4800</v>
      </c>
      <c r="E81" t="s">
        <v>4801</v>
      </c>
      <c r="F81" t="s">
        <v>497</v>
      </c>
      <c r="H81" t="s">
        <v>4799</v>
      </c>
      <c r="I81" t="s">
        <v>3467</v>
      </c>
      <c r="J81" t="s">
        <v>3724</v>
      </c>
    </row>
    <row r="82" spans="1:10" ht="15" customHeight="1" x14ac:dyDescent="0.25">
      <c r="A82" t="s">
        <v>4802</v>
      </c>
      <c r="B82" t="s">
        <v>3518</v>
      </c>
      <c r="C82" t="s">
        <v>4494</v>
      </c>
      <c r="D82" t="s">
        <v>4803</v>
      </c>
      <c r="E82" t="s">
        <v>4804</v>
      </c>
      <c r="F82" t="s">
        <v>1650</v>
      </c>
      <c r="G82" t="s">
        <v>4805</v>
      </c>
      <c r="H82" t="s">
        <v>4806</v>
      </c>
      <c r="I82" t="s">
        <v>3467</v>
      </c>
      <c r="J82" t="s">
        <v>3536</v>
      </c>
    </row>
    <row r="83" spans="1:10" ht="15" customHeight="1" x14ac:dyDescent="0.25">
      <c r="A83" t="s">
        <v>4807</v>
      </c>
      <c r="B83" t="s">
        <v>41</v>
      </c>
      <c r="C83" t="s">
        <v>4612</v>
      </c>
      <c r="D83" t="s">
        <v>4808</v>
      </c>
      <c r="E83" t="s">
        <v>4809</v>
      </c>
      <c r="F83" t="s">
        <v>90</v>
      </c>
      <c r="H83" t="s">
        <v>4810</v>
      </c>
      <c r="I83" t="s">
        <v>3467</v>
      </c>
      <c r="J83" t="s">
        <v>4504</v>
      </c>
    </row>
    <row r="84" spans="1:10" ht="15" customHeight="1" x14ac:dyDescent="0.25">
      <c r="A84" t="s">
        <v>4811</v>
      </c>
      <c r="B84" t="s">
        <v>41</v>
      </c>
      <c r="C84" t="s">
        <v>4553</v>
      </c>
      <c r="D84" t="s">
        <v>4812</v>
      </c>
      <c r="E84" t="s">
        <v>4813</v>
      </c>
      <c r="F84" t="s">
        <v>1650</v>
      </c>
      <c r="G84" t="s">
        <v>4556</v>
      </c>
      <c r="H84" t="s">
        <v>4811</v>
      </c>
      <c r="I84" t="s">
        <v>3467</v>
      </c>
      <c r="J84" t="s">
        <v>3528</v>
      </c>
    </row>
    <row r="85" spans="1:10" ht="15" customHeight="1" x14ac:dyDescent="0.25">
      <c r="A85" t="s">
        <v>4814</v>
      </c>
      <c r="B85" t="s">
        <v>41</v>
      </c>
      <c r="C85" t="s">
        <v>3525</v>
      </c>
      <c r="D85" t="s">
        <v>4815</v>
      </c>
      <c r="E85" t="s">
        <v>4816</v>
      </c>
      <c r="F85" t="s">
        <v>1323</v>
      </c>
      <c r="H85" t="s">
        <v>4817</v>
      </c>
      <c r="I85" t="s">
        <v>3467</v>
      </c>
      <c r="J85" t="s">
        <v>4818</v>
      </c>
    </row>
    <row r="86" spans="1:10" ht="15" customHeight="1" x14ac:dyDescent="0.25">
      <c r="A86" t="s">
        <v>4819</v>
      </c>
      <c r="B86" t="s">
        <v>3518</v>
      </c>
      <c r="C86" t="s">
        <v>3539</v>
      </c>
      <c r="D86" t="s">
        <v>4820</v>
      </c>
      <c r="E86" t="s">
        <v>4821</v>
      </c>
      <c r="F86" t="s">
        <v>90</v>
      </c>
      <c r="G86" t="s">
        <v>3677</v>
      </c>
      <c r="H86" t="s">
        <v>3682</v>
      </c>
      <c r="I86" t="s">
        <v>3467</v>
      </c>
      <c r="J86" t="s">
        <v>4578</v>
      </c>
    </row>
    <row r="87" spans="1:10" ht="15" customHeight="1" x14ac:dyDescent="0.25">
      <c r="A87" t="s">
        <v>4822</v>
      </c>
      <c r="B87" t="s">
        <v>3518</v>
      </c>
      <c r="C87" t="s">
        <v>3525</v>
      </c>
      <c r="D87" t="s">
        <v>4823</v>
      </c>
      <c r="E87" t="s">
        <v>4824</v>
      </c>
      <c r="F87" t="s">
        <v>1650</v>
      </c>
      <c r="G87" t="s">
        <v>4825</v>
      </c>
      <c r="H87" t="s">
        <v>4826</v>
      </c>
      <c r="I87" t="s">
        <v>3467</v>
      </c>
      <c r="J87" t="s">
        <v>3528</v>
      </c>
    </row>
    <row r="88" spans="1:10" ht="15" customHeight="1" x14ac:dyDescent="0.25">
      <c r="A88" t="s">
        <v>4827</v>
      </c>
      <c r="B88" t="s">
        <v>3518</v>
      </c>
      <c r="C88" t="s">
        <v>3525</v>
      </c>
      <c r="D88" s="4" t="s">
        <v>4828</v>
      </c>
      <c r="E88" s="4" t="s">
        <v>4829</v>
      </c>
      <c r="F88" t="s">
        <v>1650</v>
      </c>
      <c r="G88" t="s">
        <v>4830</v>
      </c>
      <c r="H88" t="s">
        <v>4831</v>
      </c>
      <c r="I88" t="s">
        <v>3467</v>
      </c>
      <c r="J88" t="s">
        <v>3528</v>
      </c>
    </row>
    <row r="89" spans="1:10" ht="15" customHeight="1" x14ac:dyDescent="0.25">
      <c r="A89" t="s">
        <v>4832</v>
      </c>
      <c r="B89" t="s">
        <v>41</v>
      </c>
      <c r="C89" t="s">
        <v>3539</v>
      </c>
      <c r="D89" t="s">
        <v>4833</v>
      </c>
      <c r="E89" t="s">
        <v>4834</v>
      </c>
      <c r="F89" t="s">
        <v>497</v>
      </c>
      <c r="G89" t="s">
        <v>3644</v>
      </c>
      <c r="H89" t="s">
        <v>4835</v>
      </c>
      <c r="I89" t="s">
        <v>3467</v>
      </c>
      <c r="J89" t="s">
        <v>3536</v>
      </c>
    </row>
    <row r="90" spans="1:10" ht="15" customHeight="1" x14ac:dyDescent="0.25">
      <c r="A90" t="s">
        <v>3495</v>
      </c>
      <c r="B90" t="s">
        <v>41</v>
      </c>
      <c r="C90" t="s">
        <v>3525</v>
      </c>
      <c r="D90" t="s">
        <v>4836</v>
      </c>
      <c r="E90" t="s">
        <v>4837</v>
      </c>
      <c r="F90" t="s">
        <v>2805</v>
      </c>
      <c r="G90" t="s">
        <v>3617</v>
      </c>
      <c r="H90" t="s">
        <v>3495</v>
      </c>
      <c r="I90" t="s">
        <v>3467</v>
      </c>
      <c r="J90" t="s">
        <v>3449</v>
      </c>
    </row>
    <row r="91" spans="1:10" ht="15" customHeight="1" x14ac:dyDescent="0.25">
      <c r="A91" t="s">
        <v>4838</v>
      </c>
      <c r="B91" t="s">
        <v>3518</v>
      </c>
      <c r="C91" t="s">
        <v>3525</v>
      </c>
      <c r="D91" t="s">
        <v>4839</v>
      </c>
      <c r="E91" t="s">
        <v>4840</v>
      </c>
      <c r="F91" t="s">
        <v>1650</v>
      </c>
      <c r="G91" t="s">
        <v>4508</v>
      </c>
      <c r="H91" t="s">
        <v>4841</v>
      </c>
      <c r="I91" t="s">
        <v>3467</v>
      </c>
      <c r="J91" t="s">
        <v>4504</v>
      </c>
    </row>
    <row r="92" spans="1:10" ht="15" customHeight="1" x14ac:dyDescent="0.25">
      <c r="A92" t="s">
        <v>4842</v>
      </c>
      <c r="B92" t="s">
        <v>3518</v>
      </c>
      <c r="C92" t="s">
        <v>3525</v>
      </c>
      <c r="D92" t="s">
        <v>4843</v>
      </c>
      <c r="E92" t="s">
        <v>4844</v>
      </c>
      <c r="F92" t="s">
        <v>553</v>
      </c>
      <c r="G92" t="s">
        <v>3542</v>
      </c>
      <c r="H92" t="s">
        <v>4845</v>
      </c>
      <c r="I92" t="s">
        <v>3467</v>
      </c>
      <c r="J92" t="s">
        <v>3449</v>
      </c>
    </row>
    <row r="93" spans="1:10" ht="15" customHeight="1" x14ac:dyDescent="0.25">
      <c r="A93" t="s">
        <v>3695</v>
      </c>
      <c r="B93" t="s">
        <v>3530</v>
      </c>
      <c r="C93" t="s">
        <v>4553</v>
      </c>
      <c r="D93" t="s">
        <v>4846</v>
      </c>
      <c r="F93" t="s">
        <v>353</v>
      </c>
      <c r="H93" t="s">
        <v>3697</v>
      </c>
      <c r="I93" t="s">
        <v>3467</v>
      </c>
      <c r="J93" t="s">
        <v>3698</v>
      </c>
    </row>
    <row r="94" spans="1:10" ht="15" customHeight="1" x14ac:dyDescent="0.25">
      <c r="A94" t="s">
        <v>4847</v>
      </c>
      <c r="B94" t="s">
        <v>3563</v>
      </c>
      <c r="C94" t="s">
        <v>3525</v>
      </c>
      <c r="D94" t="s">
        <v>4848</v>
      </c>
      <c r="E94" t="s">
        <v>4849</v>
      </c>
      <c r="F94" t="s">
        <v>90</v>
      </c>
      <c r="G94" t="s">
        <v>4850</v>
      </c>
      <c r="H94" t="s">
        <v>4851</v>
      </c>
      <c r="I94" t="s">
        <v>3467</v>
      </c>
      <c r="J94" t="s">
        <v>4852</v>
      </c>
    </row>
    <row r="95" spans="1:10" ht="15" customHeight="1" x14ac:dyDescent="0.25">
      <c r="A95" t="s">
        <v>4853</v>
      </c>
      <c r="B95" t="s">
        <v>3518</v>
      </c>
      <c r="C95" t="s">
        <v>4494</v>
      </c>
      <c r="D95" t="s">
        <v>4854</v>
      </c>
      <c r="E95" t="s">
        <v>4855</v>
      </c>
      <c r="F95" t="s">
        <v>160</v>
      </c>
      <c r="G95" t="s">
        <v>3677</v>
      </c>
      <c r="H95" t="s">
        <v>4856</v>
      </c>
      <c r="I95" t="s">
        <v>3467</v>
      </c>
      <c r="J95" t="s">
        <v>3536</v>
      </c>
    </row>
    <row r="96" spans="1:10" ht="15" customHeight="1" x14ac:dyDescent="0.25">
      <c r="A96" t="s">
        <v>4857</v>
      </c>
      <c r="B96" t="s">
        <v>41</v>
      </c>
      <c r="C96" t="s">
        <v>4553</v>
      </c>
      <c r="D96" t="s">
        <v>4858</v>
      </c>
      <c r="E96" t="s">
        <v>4859</v>
      </c>
      <c r="F96" t="s">
        <v>1650</v>
      </c>
      <c r="G96" t="s">
        <v>4556</v>
      </c>
      <c r="H96" t="s">
        <v>4860</v>
      </c>
      <c r="I96" t="s">
        <v>3467</v>
      </c>
      <c r="J96" t="s">
        <v>3536</v>
      </c>
    </row>
    <row r="97" spans="1:10" ht="15" customHeight="1" x14ac:dyDescent="0.25">
      <c r="A97" t="s">
        <v>4861</v>
      </c>
      <c r="B97" t="s">
        <v>3530</v>
      </c>
      <c r="C97" t="s">
        <v>4473</v>
      </c>
      <c r="D97" t="s">
        <v>4862</v>
      </c>
      <c r="E97" t="s">
        <v>4863</v>
      </c>
      <c r="F97" t="s">
        <v>1650</v>
      </c>
      <c r="H97" t="s">
        <v>4864</v>
      </c>
      <c r="I97" t="s">
        <v>3467</v>
      </c>
      <c r="J97" t="s">
        <v>4504</v>
      </c>
    </row>
    <row r="98" spans="1:10" ht="15" customHeight="1" x14ac:dyDescent="0.25">
      <c r="A98" t="s">
        <v>4865</v>
      </c>
      <c r="B98" t="s">
        <v>3743</v>
      </c>
      <c r="C98" t="s">
        <v>3525</v>
      </c>
      <c r="D98" t="s">
        <v>4866</v>
      </c>
      <c r="E98" t="s">
        <v>4867</v>
      </c>
      <c r="F98" t="s">
        <v>160</v>
      </c>
      <c r="G98" t="s">
        <v>4705</v>
      </c>
      <c r="H98" t="s">
        <v>4868</v>
      </c>
      <c r="I98" t="s">
        <v>3467</v>
      </c>
      <c r="J98" t="s">
        <v>3594</v>
      </c>
    </row>
    <row r="99" spans="1:10" ht="15" customHeight="1" x14ac:dyDescent="0.25">
      <c r="A99" t="s">
        <v>4869</v>
      </c>
      <c r="B99" t="s">
        <v>3518</v>
      </c>
      <c r="C99" t="s">
        <v>3525</v>
      </c>
      <c r="D99" t="s">
        <v>4870</v>
      </c>
      <c r="E99" t="s">
        <v>4871</v>
      </c>
      <c r="F99" t="s">
        <v>1323</v>
      </c>
      <c r="G99" t="s">
        <v>4651</v>
      </c>
      <c r="H99" t="s">
        <v>4872</v>
      </c>
      <c r="I99" t="s">
        <v>3467</v>
      </c>
      <c r="J99" t="s">
        <v>4873</v>
      </c>
    </row>
    <row r="100" spans="1:10" ht="15" customHeight="1" x14ac:dyDescent="0.25">
      <c r="A100" t="s">
        <v>4874</v>
      </c>
      <c r="B100" t="s">
        <v>3530</v>
      </c>
      <c r="C100" t="s">
        <v>4612</v>
      </c>
      <c r="D100" t="s">
        <v>4875</v>
      </c>
      <c r="E100" t="s">
        <v>4876</v>
      </c>
      <c r="F100" t="s">
        <v>90</v>
      </c>
      <c r="G100" t="s">
        <v>4786</v>
      </c>
      <c r="H100" t="s">
        <v>4874</v>
      </c>
      <c r="I100" t="s">
        <v>3467</v>
      </c>
      <c r="J100" t="s">
        <v>4504</v>
      </c>
    </row>
    <row r="101" spans="1:10" ht="15" customHeight="1" x14ac:dyDescent="0.25">
      <c r="A101" t="s">
        <v>3708</v>
      </c>
      <c r="B101" t="s">
        <v>3530</v>
      </c>
      <c r="C101" t="s">
        <v>3525</v>
      </c>
      <c r="D101" t="s">
        <v>4877</v>
      </c>
      <c r="E101" t="s">
        <v>4878</v>
      </c>
      <c r="F101" t="s">
        <v>497</v>
      </c>
      <c r="G101" t="s">
        <v>3711</v>
      </c>
      <c r="H101" t="s">
        <v>3708</v>
      </c>
      <c r="I101" t="s">
        <v>3467</v>
      </c>
      <c r="J101" t="s">
        <v>3536</v>
      </c>
    </row>
    <row r="102" spans="1:10" ht="15" customHeight="1" x14ac:dyDescent="0.25">
      <c r="A102" t="s">
        <v>4879</v>
      </c>
      <c r="B102" t="s">
        <v>41</v>
      </c>
      <c r="C102" t="s">
        <v>4553</v>
      </c>
      <c r="D102" t="s">
        <v>4880</v>
      </c>
      <c r="E102" t="s">
        <v>4881</v>
      </c>
      <c r="F102" t="s">
        <v>1650</v>
      </c>
      <c r="G102" t="s">
        <v>4556</v>
      </c>
      <c r="H102" t="s">
        <v>4879</v>
      </c>
      <c r="I102" t="s">
        <v>3467</v>
      </c>
      <c r="J102" t="s">
        <v>3536</v>
      </c>
    </row>
    <row r="103" spans="1:10" ht="15" customHeight="1" x14ac:dyDescent="0.25">
      <c r="A103" t="s">
        <v>4882</v>
      </c>
      <c r="B103" t="s">
        <v>3518</v>
      </c>
      <c r="C103" t="s">
        <v>3539</v>
      </c>
      <c r="D103" t="s">
        <v>4883</v>
      </c>
      <c r="E103" t="s">
        <v>4884</v>
      </c>
      <c r="F103" t="s">
        <v>553</v>
      </c>
      <c r="G103" t="s">
        <v>3542</v>
      </c>
      <c r="H103" t="s">
        <v>4885</v>
      </c>
      <c r="I103" t="s">
        <v>3467</v>
      </c>
      <c r="J103" t="s">
        <v>3536</v>
      </c>
    </row>
    <row r="104" spans="1:10" ht="15" customHeight="1" x14ac:dyDescent="0.25">
      <c r="A104" t="s">
        <v>4886</v>
      </c>
      <c r="B104" t="s">
        <v>41</v>
      </c>
      <c r="C104" t="s">
        <v>3525</v>
      </c>
      <c r="D104" t="s">
        <v>4887</v>
      </c>
      <c r="E104" t="s">
        <v>4888</v>
      </c>
      <c r="F104" t="s">
        <v>1323</v>
      </c>
      <c r="H104" t="s">
        <v>4889</v>
      </c>
      <c r="I104" t="s">
        <v>3467</v>
      </c>
      <c r="J104" t="s">
        <v>4890</v>
      </c>
    </row>
    <row r="105" spans="1:10" ht="15" customHeight="1" x14ac:dyDescent="0.25">
      <c r="A105" t="s">
        <v>4891</v>
      </c>
      <c r="B105" t="s">
        <v>3530</v>
      </c>
      <c r="C105" t="s">
        <v>4553</v>
      </c>
      <c r="D105" t="s">
        <v>4892</v>
      </c>
      <c r="F105" t="s">
        <v>1650</v>
      </c>
      <c r="G105" t="s">
        <v>4893</v>
      </c>
      <c r="H105" t="s">
        <v>4894</v>
      </c>
      <c r="I105" t="s">
        <v>3467</v>
      </c>
      <c r="J105" t="s">
        <v>3449</v>
      </c>
    </row>
    <row r="106" spans="1:10" ht="15" customHeight="1" x14ac:dyDescent="0.25">
      <c r="A106" t="s">
        <v>4895</v>
      </c>
      <c r="B106" t="s">
        <v>3518</v>
      </c>
      <c r="C106" t="s">
        <v>3525</v>
      </c>
      <c r="D106" t="s">
        <v>4896</v>
      </c>
      <c r="E106" t="s">
        <v>4897</v>
      </c>
      <c r="F106" t="s">
        <v>90</v>
      </c>
      <c r="G106" t="s">
        <v>3677</v>
      </c>
      <c r="H106" t="s">
        <v>4898</v>
      </c>
      <c r="I106" t="s">
        <v>3467</v>
      </c>
      <c r="J106" t="s">
        <v>3528</v>
      </c>
    </row>
    <row r="107" spans="1:10" ht="15" customHeight="1" x14ac:dyDescent="0.25">
      <c r="A107" t="s">
        <v>4899</v>
      </c>
      <c r="B107" t="s">
        <v>41</v>
      </c>
      <c r="C107" t="s">
        <v>3525</v>
      </c>
      <c r="D107" t="s">
        <v>4900</v>
      </c>
      <c r="E107" t="s">
        <v>4901</v>
      </c>
      <c r="F107" t="s">
        <v>90</v>
      </c>
      <c r="G107" t="s">
        <v>3706</v>
      </c>
      <c r="H107" t="s">
        <v>4902</v>
      </c>
      <c r="I107" t="s">
        <v>3467</v>
      </c>
      <c r="J107" t="s">
        <v>4504</v>
      </c>
    </row>
    <row r="108" spans="1:10" ht="15" customHeight="1" x14ac:dyDescent="0.25">
      <c r="A108" t="s">
        <v>4903</v>
      </c>
      <c r="B108" t="s">
        <v>3530</v>
      </c>
      <c r="C108" t="s">
        <v>3525</v>
      </c>
      <c r="D108" t="s">
        <v>4904</v>
      </c>
      <c r="E108" t="s">
        <v>4905</v>
      </c>
      <c r="F108" t="s">
        <v>501</v>
      </c>
      <c r="G108" t="s">
        <v>4689</v>
      </c>
      <c r="H108" t="s">
        <v>4906</v>
      </c>
      <c r="I108" t="s">
        <v>3467</v>
      </c>
      <c r="J108" t="s">
        <v>3528</v>
      </c>
    </row>
    <row r="109" spans="1:10" ht="15" customHeight="1" x14ac:dyDescent="0.25">
      <c r="A109" t="s">
        <v>4907</v>
      </c>
      <c r="B109" t="s">
        <v>41</v>
      </c>
      <c r="C109" t="s">
        <v>3539</v>
      </c>
      <c r="D109" t="s">
        <v>4908</v>
      </c>
      <c r="E109" t="s">
        <v>4909</v>
      </c>
      <c r="F109" t="s">
        <v>1047</v>
      </c>
      <c r="G109" t="s">
        <v>4910</v>
      </c>
      <c r="H109" t="s">
        <v>4907</v>
      </c>
      <c r="I109" t="s">
        <v>3467</v>
      </c>
      <c r="J109" t="s">
        <v>3536</v>
      </c>
    </row>
    <row r="110" spans="1:10" ht="15" customHeight="1" x14ac:dyDescent="0.25">
      <c r="A110" t="s">
        <v>4911</v>
      </c>
      <c r="B110" t="s">
        <v>3530</v>
      </c>
      <c r="C110" t="s">
        <v>4602</v>
      </c>
      <c r="D110" t="s">
        <v>4912</v>
      </c>
      <c r="F110" t="s">
        <v>160</v>
      </c>
      <c r="G110" t="s">
        <v>4913</v>
      </c>
      <c r="H110" t="s">
        <v>4914</v>
      </c>
      <c r="I110" t="s">
        <v>3467</v>
      </c>
      <c r="J110" t="s">
        <v>4504</v>
      </c>
    </row>
    <row r="111" spans="1:10" ht="15" customHeight="1" x14ac:dyDescent="0.25">
      <c r="A111" t="s">
        <v>4915</v>
      </c>
      <c r="B111" t="s">
        <v>41</v>
      </c>
      <c r="C111" t="s">
        <v>3690</v>
      </c>
      <c r="D111" t="s">
        <v>4916</v>
      </c>
      <c r="F111" t="s">
        <v>160</v>
      </c>
      <c r="G111" t="s">
        <v>4917</v>
      </c>
      <c r="H111" t="s">
        <v>4918</v>
      </c>
      <c r="I111" t="s">
        <v>3467</v>
      </c>
      <c r="J111" t="s">
        <v>3698</v>
      </c>
    </row>
    <row r="112" spans="1:10" ht="15" customHeight="1" x14ac:dyDescent="0.25">
      <c r="A112" t="s">
        <v>4919</v>
      </c>
      <c r="B112" t="s">
        <v>3518</v>
      </c>
      <c r="C112" t="s">
        <v>3525</v>
      </c>
      <c r="D112" t="s">
        <v>4920</v>
      </c>
      <c r="E112" t="s">
        <v>4921</v>
      </c>
      <c r="F112" t="s">
        <v>90</v>
      </c>
      <c r="H112" t="s">
        <v>4922</v>
      </c>
      <c r="I112" t="s">
        <v>3467</v>
      </c>
      <c r="J112" t="s">
        <v>3528</v>
      </c>
    </row>
    <row r="113" spans="1:10" ht="15" customHeight="1" x14ac:dyDescent="0.25">
      <c r="A113" t="s">
        <v>4923</v>
      </c>
      <c r="B113" t="s">
        <v>3530</v>
      </c>
      <c r="C113" t="s">
        <v>3525</v>
      </c>
      <c r="D113" t="s">
        <v>4924</v>
      </c>
      <c r="E113" t="s">
        <v>4925</v>
      </c>
      <c r="F113" t="s">
        <v>90</v>
      </c>
      <c r="G113" t="s">
        <v>4661</v>
      </c>
      <c r="H113" t="s">
        <v>4926</v>
      </c>
      <c r="I113" t="s">
        <v>3467</v>
      </c>
      <c r="J113" t="s">
        <v>3594</v>
      </c>
    </row>
    <row r="114" spans="1:10" ht="15" customHeight="1" x14ac:dyDescent="0.25">
      <c r="A114" t="s">
        <v>4927</v>
      </c>
      <c r="B114" t="s">
        <v>41</v>
      </c>
      <c r="C114" t="s">
        <v>3525</v>
      </c>
      <c r="D114" t="s">
        <v>4928</v>
      </c>
      <c r="E114" t="s">
        <v>4929</v>
      </c>
      <c r="F114" t="s">
        <v>90</v>
      </c>
      <c r="G114" t="s">
        <v>4930</v>
      </c>
      <c r="H114" t="s">
        <v>4931</v>
      </c>
      <c r="I114" t="s">
        <v>3467</v>
      </c>
      <c r="J114" t="s">
        <v>3449</v>
      </c>
    </row>
    <row r="115" spans="1:10" ht="15" customHeight="1" x14ac:dyDescent="0.25">
      <c r="A115" t="s">
        <v>4932</v>
      </c>
      <c r="B115" t="s">
        <v>3518</v>
      </c>
      <c r="C115" t="s">
        <v>3525</v>
      </c>
      <c r="D115" t="s">
        <v>4933</v>
      </c>
      <c r="E115" t="s">
        <v>4934</v>
      </c>
      <c r="F115" t="s">
        <v>90</v>
      </c>
      <c r="G115" t="s">
        <v>4666</v>
      </c>
      <c r="H115" t="s">
        <v>4932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4935</v>
      </c>
      <c r="B117" t="s">
        <v>41</v>
      </c>
      <c r="C117" t="s">
        <v>4553</v>
      </c>
      <c r="D117" t="s">
        <v>4936</v>
      </c>
      <c r="E117" t="s">
        <v>4937</v>
      </c>
      <c r="F117" t="s">
        <v>1650</v>
      </c>
      <c r="G117" t="s">
        <v>4556</v>
      </c>
      <c r="H117" t="s">
        <v>4935</v>
      </c>
      <c r="I117" t="s">
        <v>3467</v>
      </c>
      <c r="J117" t="s">
        <v>3536</v>
      </c>
    </row>
    <row r="118" spans="1:10" ht="15" customHeight="1" x14ac:dyDescent="0.25">
      <c r="A118" t="s">
        <v>3739</v>
      </c>
      <c r="B118" t="s">
        <v>41</v>
      </c>
      <c r="C118" t="s">
        <v>3539</v>
      </c>
      <c r="D118" t="s">
        <v>4938</v>
      </c>
      <c r="E118" t="s">
        <v>4939</v>
      </c>
      <c r="F118" t="s">
        <v>90</v>
      </c>
      <c r="H118" t="s">
        <v>3739</v>
      </c>
      <c r="I118" t="s">
        <v>3467</v>
      </c>
      <c r="J118" t="s">
        <v>3536</v>
      </c>
    </row>
    <row r="119" spans="1:10" ht="15" customHeight="1" x14ac:dyDescent="0.25">
      <c r="A119" t="s">
        <v>4940</v>
      </c>
      <c r="B119" t="s">
        <v>3518</v>
      </c>
      <c r="C119" t="s">
        <v>3596</v>
      </c>
      <c r="D119" t="s">
        <v>4941</v>
      </c>
      <c r="F119" t="s">
        <v>160</v>
      </c>
      <c r="H119" t="s">
        <v>4942</v>
      </c>
      <c r="I119" t="s">
        <v>3467</v>
      </c>
      <c r="J119" t="s">
        <v>3698</v>
      </c>
    </row>
    <row r="120" spans="1:10" ht="15" customHeight="1" x14ac:dyDescent="0.25">
      <c r="A120" t="s">
        <v>4943</v>
      </c>
      <c r="B120" t="s">
        <v>3518</v>
      </c>
      <c r="C120" t="s">
        <v>3525</v>
      </c>
      <c r="D120" t="s">
        <v>4944</v>
      </c>
      <c r="E120" t="s">
        <v>4945</v>
      </c>
      <c r="F120" t="s">
        <v>1130</v>
      </c>
      <c r="G120" t="s">
        <v>4946</v>
      </c>
      <c r="H120" t="s">
        <v>4947</v>
      </c>
      <c r="I120" t="s">
        <v>3467</v>
      </c>
      <c r="J120" t="s">
        <v>4610</v>
      </c>
    </row>
    <row r="121" spans="1:10" ht="15" customHeight="1" x14ac:dyDescent="0.25">
      <c r="A121" t="s">
        <v>3742</v>
      </c>
      <c r="B121" t="s">
        <v>3743</v>
      </c>
      <c r="C121" t="s">
        <v>4948</v>
      </c>
      <c r="D121" t="s">
        <v>4949</v>
      </c>
      <c r="F121" t="s">
        <v>1796</v>
      </c>
      <c r="G121" t="s">
        <v>3745</v>
      </c>
      <c r="H121" t="s">
        <v>3746</v>
      </c>
      <c r="I121" t="s">
        <v>3467</v>
      </c>
      <c r="J121" t="s">
        <v>3594</v>
      </c>
    </row>
    <row r="122" spans="1:10" ht="15" customHeight="1" x14ac:dyDescent="0.25">
      <c r="A122" t="s">
        <v>4950</v>
      </c>
      <c r="B122" t="s">
        <v>41</v>
      </c>
      <c r="C122" t="s">
        <v>3531</v>
      </c>
      <c r="D122" t="s">
        <v>4951</v>
      </c>
      <c r="E122" t="s">
        <v>4952</v>
      </c>
      <c r="F122" t="s">
        <v>90</v>
      </c>
      <c r="H122" t="s">
        <v>4953</v>
      </c>
      <c r="I122" t="s">
        <v>3467</v>
      </c>
      <c r="J122" t="s">
        <v>3528</v>
      </c>
    </row>
    <row r="123" spans="1:10" ht="15" customHeight="1" x14ac:dyDescent="0.25">
      <c r="A123" t="s">
        <v>4954</v>
      </c>
      <c r="B123" t="s">
        <v>3530</v>
      </c>
      <c r="C123" t="s">
        <v>3539</v>
      </c>
      <c r="D123" t="s">
        <v>4955</v>
      </c>
      <c r="E123" t="s">
        <v>4956</v>
      </c>
      <c r="F123" t="s">
        <v>497</v>
      </c>
      <c r="G123" t="s">
        <v>264</v>
      </c>
      <c r="H123" t="s">
        <v>4954</v>
      </c>
      <c r="I123" t="s">
        <v>3467</v>
      </c>
      <c r="J123" t="s">
        <v>3536</v>
      </c>
    </row>
    <row r="124" spans="1:10" ht="15" customHeight="1" x14ac:dyDescent="0.25">
      <c r="A124" t="s">
        <v>4957</v>
      </c>
      <c r="B124" t="s">
        <v>41</v>
      </c>
      <c r="C124" t="s">
        <v>3531</v>
      </c>
      <c r="D124" t="s">
        <v>4958</v>
      </c>
      <c r="E124" t="s">
        <v>4959</v>
      </c>
      <c r="F124" t="s">
        <v>90</v>
      </c>
      <c r="G124" t="s">
        <v>3677</v>
      </c>
      <c r="H124" t="s">
        <v>4957</v>
      </c>
      <c r="I124" t="s">
        <v>3467</v>
      </c>
      <c r="J124" t="s">
        <v>4504</v>
      </c>
    </row>
    <row r="125" spans="1:10" ht="15" customHeight="1" x14ac:dyDescent="0.25">
      <c r="A125" t="s">
        <v>4960</v>
      </c>
      <c r="B125" t="s">
        <v>3518</v>
      </c>
      <c r="C125" t="s">
        <v>4961</v>
      </c>
      <c r="D125" t="s">
        <v>4962</v>
      </c>
      <c r="E125" t="s">
        <v>4963</v>
      </c>
      <c r="F125" t="s">
        <v>90</v>
      </c>
      <c r="G125" t="s">
        <v>4481</v>
      </c>
      <c r="H125" t="s">
        <v>4964</v>
      </c>
      <c r="I125" t="s">
        <v>3467</v>
      </c>
      <c r="J125" t="s">
        <v>3698</v>
      </c>
    </row>
    <row r="126" spans="1:10" ht="15" customHeight="1" x14ac:dyDescent="0.25">
      <c r="A126" t="s">
        <v>4965</v>
      </c>
      <c r="B126" t="s">
        <v>3530</v>
      </c>
      <c r="C126" t="s">
        <v>3539</v>
      </c>
      <c r="D126" t="s">
        <v>4966</v>
      </c>
      <c r="E126" t="s">
        <v>4967</v>
      </c>
      <c r="F126" t="s">
        <v>497</v>
      </c>
      <c r="G126" t="s">
        <v>3737</v>
      </c>
      <c r="H126" t="s">
        <v>4965</v>
      </c>
      <c r="I126" t="s">
        <v>3467</v>
      </c>
      <c r="J126" t="s">
        <v>3536</v>
      </c>
    </row>
    <row r="127" spans="1:10" ht="15" customHeight="1" x14ac:dyDescent="0.25">
      <c r="A127" t="s">
        <v>3747</v>
      </c>
      <c r="B127" t="s">
        <v>41</v>
      </c>
      <c r="C127" t="s">
        <v>3690</v>
      </c>
      <c r="D127" t="s">
        <v>4968</v>
      </c>
      <c r="E127" t="s">
        <v>4969</v>
      </c>
      <c r="F127" t="s">
        <v>160</v>
      </c>
      <c r="G127" t="s">
        <v>4970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4971</v>
      </c>
      <c r="B1" t="s">
        <v>1</v>
      </c>
      <c r="C1" t="s">
        <v>167</v>
      </c>
      <c r="D1" t="s">
        <v>3752</v>
      </c>
      <c r="E1" t="s">
        <v>4972</v>
      </c>
      <c r="F1" t="s">
        <v>6</v>
      </c>
      <c r="G1" t="s">
        <v>4973</v>
      </c>
      <c r="H1" t="s">
        <v>4974</v>
      </c>
      <c r="I1" t="s">
        <v>4975</v>
      </c>
      <c r="J1" t="s">
        <v>4304</v>
      </c>
      <c r="K1" t="s">
        <v>4976</v>
      </c>
      <c r="L1" t="s">
        <v>4</v>
      </c>
      <c r="M1" t="s">
        <v>170</v>
      </c>
    </row>
    <row r="2" spans="1:13" ht="15" customHeight="1" x14ac:dyDescent="0.25">
      <c r="A2" t="s">
        <v>4977</v>
      </c>
      <c r="B2" t="s">
        <v>1650</v>
      </c>
      <c r="C2" t="s">
        <v>222</v>
      </c>
      <c r="D2" t="s">
        <v>39</v>
      </c>
      <c r="E2">
        <v>0</v>
      </c>
      <c r="F2" t="s">
        <v>41</v>
      </c>
      <c r="G2" t="s">
        <v>4978</v>
      </c>
      <c r="H2" t="s">
        <v>4979</v>
      </c>
      <c r="I2" t="s">
        <v>4034</v>
      </c>
      <c r="J2" t="s">
        <v>4980</v>
      </c>
      <c r="K2" t="s">
        <v>3467</v>
      </c>
      <c r="L2" t="s">
        <v>4342</v>
      </c>
      <c r="M2" t="s">
        <v>4981</v>
      </c>
    </row>
    <row r="3" spans="1:13" ht="15" customHeight="1" x14ac:dyDescent="0.25">
      <c r="A3" t="s">
        <v>4982</v>
      </c>
      <c r="B3" t="s">
        <v>1650</v>
      </c>
      <c r="C3" t="s">
        <v>222</v>
      </c>
      <c r="D3" t="s">
        <v>39</v>
      </c>
      <c r="E3">
        <v>0</v>
      </c>
      <c r="F3" t="s">
        <v>41</v>
      </c>
      <c r="G3" t="s">
        <v>4983</v>
      </c>
      <c r="H3" t="s">
        <v>4984</v>
      </c>
      <c r="I3" t="s">
        <v>4034</v>
      </c>
      <c r="J3" t="s">
        <v>4985</v>
      </c>
      <c r="K3" t="s">
        <v>3467</v>
      </c>
      <c r="L3" t="s">
        <v>4342</v>
      </c>
      <c r="M3" t="s">
        <v>264</v>
      </c>
    </row>
    <row r="4" spans="1:13" ht="15" customHeight="1" x14ac:dyDescent="0.25">
      <c r="A4" t="s">
        <v>4986</v>
      </c>
      <c r="B4" t="s">
        <v>90</v>
      </c>
      <c r="C4" t="s">
        <v>182</v>
      </c>
      <c r="D4" t="s">
        <v>39</v>
      </c>
      <c r="E4">
        <v>0</v>
      </c>
      <c r="F4" t="s">
        <v>3530</v>
      </c>
      <c r="G4" t="s">
        <v>4987</v>
      </c>
      <c r="H4" t="s">
        <v>4987</v>
      </c>
      <c r="I4" t="s">
        <v>4034</v>
      </c>
      <c r="J4" t="s">
        <v>4988</v>
      </c>
      <c r="K4">
        <v>1</v>
      </c>
      <c r="L4" t="s">
        <v>4342</v>
      </c>
    </row>
    <row r="5" spans="1:13" ht="15" customHeight="1" x14ac:dyDescent="0.25">
      <c r="A5" t="s">
        <v>4989</v>
      </c>
      <c r="B5" t="s">
        <v>90</v>
      </c>
      <c r="C5" t="s">
        <v>182</v>
      </c>
      <c r="D5" t="s">
        <v>4990</v>
      </c>
      <c r="E5">
        <v>0</v>
      </c>
      <c r="F5" t="s">
        <v>41</v>
      </c>
      <c r="G5" t="s">
        <v>3467</v>
      </c>
      <c r="H5" t="s">
        <v>4991</v>
      </c>
      <c r="I5" t="s">
        <v>4034</v>
      </c>
      <c r="J5" t="s">
        <v>4992</v>
      </c>
      <c r="K5" t="s">
        <v>3467</v>
      </c>
      <c r="L5" t="s">
        <v>4342</v>
      </c>
      <c r="M5" t="s">
        <v>4993</v>
      </c>
    </row>
    <row r="9" spans="1:13" ht="15" customHeight="1" x14ac:dyDescent="0.25">
      <c r="A9" t="s">
        <v>4994</v>
      </c>
      <c r="B9" t="s">
        <v>4995</v>
      </c>
      <c r="C9" t="s">
        <v>4996</v>
      </c>
      <c r="F9" t="s">
        <v>4997</v>
      </c>
      <c r="G9" t="s">
        <v>4998</v>
      </c>
      <c r="J9" t="s">
        <v>3467</v>
      </c>
    </row>
    <row r="10" spans="1:13" ht="15" customHeight="1" x14ac:dyDescent="0.25">
      <c r="A10" t="s">
        <v>4999</v>
      </c>
      <c r="B10" t="s">
        <v>5000</v>
      </c>
      <c r="C10" t="s">
        <v>5001</v>
      </c>
      <c r="F10" t="s">
        <v>5002</v>
      </c>
      <c r="G10" t="s">
        <v>5003</v>
      </c>
      <c r="J10" t="s">
        <v>5004</v>
      </c>
    </row>
    <row r="11" spans="1:13" ht="15" customHeight="1" x14ac:dyDescent="0.25">
      <c r="A11" t="s">
        <v>5005</v>
      </c>
      <c r="B11" t="s">
        <v>5006</v>
      </c>
      <c r="C11" t="s">
        <v>5007</v>
      </c>
      <c r="F11" t="s">
        <v>5008</v>
      </c>
      <c r="J11" t="s">
        <v>3467</v>
      </c>
    </row>
    <row r="12" spans="1:13" ht="15" customHeight="1" x14ac:dyDescent="0.25">
      <c r="A12" t="s">
        <v>5009</v>
      </c>
      <c r="B12" t="s">
        <v>5010</v>
      </c>
      <c r="C12" t="s">
        <v>5011</v>
      </c>
      <c r="F12" t="s">
        <v>5012</v>
      </c>
    </row>
    <row r="13" spans="1:13" ht="15" customHeight="1" x14ac:dyDescent="0.25">
      <c r="A13" t="s">
        <v>5013</v>
      </c>
      <c r="B13" t="s">
        <v>5014</v>
      </c>
      <c r="C13" t="s">
        <v>5015</v>
      </c>
      <c r="F13" t="s">
        <v>5016</v>
      </c>
      <c r="G13" t="s">
        <v>5017</v>
      </c>
      <c r="I13" t="s">
        <v>4274</v>
      </c>
    </row>
    <row r="14" spans="1:13" ht="15" customHeight="1" x14ac:dyDescent="0.25">
      <c r="A14" t="s">
        <v>5018</v>
      </c>
      <c r="B14" t="s">
        <v>5019</v>
      </c>
      <c r="C14" t="s">
        <v>5020</v>
      </c>
      <c r="F14" t="s">
        <v>5021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5022</v>
      </c>
      <c r="G1" t="s">
        <v>3513</v>
      </c>
      <c r="H1" t="s">
        <v>5023</v>
      </c>
      <c r="I1" t="s">
        <v>5024</v>
      </c>
      <c r="J1" t="s">
        <v>4304</v>
      </c>
      <c r="K1" t="s">
        <v>170</v>
      </c>
    </row>
    <row r="2" spans="1:11" ht="15" customHeight="1" x14ac:dyDescent="0.25">
      <c r="A2" t="s">
        <v>5013</v>
      </c>
      <c r="B2" t="s">
        <v>5025</v>
      </c>
      <c r="C2" t="s">
        <v>3530</v>
      </c>
      <c r="D2" t="s">
        <v>5026</v>
      </c>
      <c r="E2" t="s">
        <v>5027</v>
      </c>
      <c r="F2" t="s">
        <v>5028</v>
      </c>
      <c r="G2" t="s">
        <v>160</v>
      </c>
      <c r="H2" t="s">
        <v>5029</v>
      </c>
      <c r="I2" t="s">
        <v>5030</v>
      </c>
      <c r="J2" t="s">
        <v>5031</v>
      </c>
    </row>
    <row r="3" spans="1:11" ht="15" customHeight="1" x14ac:dyDescent="0.25">
      <c r="A3" t="s">
        <v>5032</v>
      </c>
      <c r="B3" t="s">
        <v>5033</v>
      </c>
      <c r="C3" t="s">
        <v>41</v>
      </c>
      <c r="D3" t="s">
        <v>5034</v>
      </c>
      <c r="E3" t="s">
        <v>5035</v>
      </c>
      <c r="F3" t="s">
        <v>5036</v>
      </c>
      <c r="G3" t="s">
        <v>1650</v>
      </c>
      <c r="J3" t="s">
        <v>5037</v>
      </c>
    </row>
    <row r="4" spans="1:11" ht="15" customHeight="1" x14ac:dyDescent="0.25">
      <c r="A4" t="s">
        <v>5038</v>
      </c>
      <c r="B4" t="s">
        <v>5033</v>
      </c>
      <c r="C4" t="s">
        <v>41</v>
      </c>
      <c r="D4" t="s">
        <v>5039</v>
      </c>
      <c r="E4" t="s">
        <v>5040</v>
      </c>
      <c r="F4" t="s">
        <v>5041</v>
      </c>
      <c r="G4" t="s">
        <v>1047</v>
      </c>
      <c r="J4" t="s">
        <v>5042</v>
      </c>
    </row>
    <row r="5" spans="1:11" ht="15" customHeight="1" x14ac:dyDescent="0.25">
      <c r="A5" t="s">
        <v>5043</v>
      </c>
      <c r="B5" t="s">
        <v>3698</v>
      </c>
      <c r="C5" t="s">
        <v>41</v>
      </c>
      <c r="D5" t="s">
        <v>5044</v>
      </c>
      <c r="E5" t="s">
        <v>5045</v>
      </c>
      <c r="F5" t="s">
        <v>3467</v>
      </c>
      <c r="G5" t="s">
        <v>2133</v>
      </c>
      <c r="J5" t="s">
        <v>5046</v>
      </c>
    </row>
    <row r="6" spans="1:11" ht="15" customHeight="1" x14ac:dyDescent="0.25">
      <c r="A6" t="s">
        <v>5047</v>
      </c>
      <c r="B6" t="s">
        <v>3698</v>
      </c>
      <c r="C6" t="s">
        <v>3518</v>
      </c>
      <c r="D6" t="s">
        <v>5048</v>
      </c>
      <c r="E6" t="s">
        <v>5049</v>
      </c>
      <c r="F6" t="s">
        <v>3467</v>
      </c>
      <c r="G6" t="s">
        <v>2133</v>
      </c>
      <c r="J6" t="s">
        <v>5050</v>
      </c>
    </row>
    <row r="7" spans="1:11" ht="15" customHeight="1" x14ac:dyDescent="0.25">
      <c r="A7" t="s">
        <v>5051</v>
      </c>
      <c r="B7" t="s">
        <v>5052</v>
      </c>
      <c r="C7" t="s">
        <v>41</v>
      </c>
      <c r="D7" t="s">
        <v>5053</v>
      </c>
      <c r="E7" t="s">
        <v>5054</v>
      </c>
      <c r="F7" t="s">
        <v>3467</v>
      </c>
      <c r="G7" t="s">
        <v>759</v>
      </c>
      <c r="J7" t="s">
        <v>5055</v>
      </c>
    </row>
    <row r="8" spans="1:11" ht="15" customHeight="1" x14ac:dyDescent="0.25">
      <c r="A8" t="s">
        <v>5056</v>
      </c>
      <c r="B8" t="s">
        <v>5025</v>
      </c>
      <c r="C8" t="s">
        <v>3518</v>
      </c>
      <c r="D8" t="s">
        <v>5057</v>
      </c>
      <c r="E8" t="s">
        <v>5058</v>
      </c>
      <c r="F8" t="s">
        <v>3467</v>
      </c>
      <c r="G8" t="s">
        <v>160</v>
      </c>
      <c r="H8" t="s">
        <v>5059</v>
      </c>
      <c r="I8" t="s">
        <v>5060</v>
      </c>
      <c r="J8" t="s">
        <v>5061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5062</v>
      </c>
      <c r="E1" t="s">
        <v>5063</v>
      </c>
      <c r="F1" t="s">
        <v>5064</v>
      </c>
      <c r="G1" t="s">
        <v>3757</v>
      </c>
      <c r="H1" t="s">
        <v>1</v>
      </c>
      <c r="I1" t="s">
        <v>5065</v>
      </c>
      <c r="J1" t="s">
        <v>5066</v>
      </c>
      <c r="K1" t="s">
        <v>171</v>
      </c>
      <c r="L1" t="s">
        <v>5067</v>
      </c>
      <c r="M1" t="s">
        <v>3758</v>
      </c>
    </row>
    <row r="2" spans="1:13" ht="27.75" customHeight="1" x14ac:dyDescent="0.25">
      <c r="A2" t="s">
        <v>3824</v>
      </c>
      <c r="B2" t="s">
        <v>5068</v>
      </c>
      <c r="C2" t="s">
        <v>4408</v>
      </c>
      <c r="D2">
        <v>2</v>
      </c>
      <c r="E2">
        <v>48</v>
      </c>
      <c r="F2">
        <v>54</v>
      </c>
      <c r="G2" t="s">
        <v>3467</v>
      </c>
      <c r="H2" t="s">
        <v>90</v>
      </c>
      <c r="I2" t="s">
        <v>4441</v>
      </c>
      <c r="J2" s="4" t="s">
        <v>5069</v>
      </c>
      <c r="K2" t="s">
        <v>3824</v>
      </c>
      <c r="L2" t="s">
        <v>3467</v>
      </c>
    </row>
    <row r="3" spans="1:13" ht="41.25" customHeight="1" x14ac:dyDescent="0.25">
      <c r="A3" t="s">
        <v>3853</v>
      </c>
      <c r="B3" t="s">
        <v>5068</v>
      </c>
      <c r="C3" t="s">
        <v>4412</v>
      </c>
      <c r="D3">
        <v>6</v>
      </c>
      <c r="E3">
        <v>114</v>
      </c>
      <c r="F3">
        <v>120</v>
      </c>
      <c r="G3" t="s">
        <v>3467</v>
      </c>
      <c r="H3" t="s">
        <v>90</v>
      </c>
      <c r="I3" t="s">
        <v>4441</v>
      </c>
      <c r="J3" s="4" t="s">
        <v>5070</v>
      </c>
      <c r="K3" t="s">
        <v>3853</v>
      </c>
      <c r="L3" t="s">
        <v>3467</v>
      </c>
    </row>
    <row r="4" spans="1:13" ht="15" customHeight="1" x14ac:dyDescent="0.25">
      <c r="A4" t="s">
        <v>3861</v>
      </c>
      <c r="B4" t="s">
        <v>5068</v>
      </c>
      <c r="C4" t="s">
        <v>5071</v>
      </c>
      <c r="D4">
        <v>9</v>
      </c>
      <c r="E4">
        <v>999</v>
      </c>
      <c r="F4">
        <v>999</v>
      </c>
      <c r="G4" t="s">
        <v>5072</v>
      </c>
      <c r="H4" t="s">
        <v>90</v>
      </c>
      <c r="I4" t="s">
        <v>4441</v>
      </c>
      <c r="J4" t="s">
        <v>5073</v>
      </c>
      <c r="K4" t="s">
        <v>3861</v>
      </c>
      <c r="L4" t="s">
        <v>3467</v>
      </c>
    </row>
    <row r="5" spans="1:13" ht="54.75" customHeight="1" x14ac:dyDescent="0.25">
      <c r="A5" t="s">
        <v>5074</v>
      </c>
      <c r="B5" t="s">
        <v>5068</v>
      </c>
      <c r="C5" t="s">
        <v>4408</v>
      </c>
      <c r="D5">
        <v>3</v>
      </c>
      <c r="E5">
        <v>40</v>
      </c>
      <c r="F5">
        <v>44</v>
      </c>
      <c r="G5" t="s">
        <v>3467</v>
      </c>
      <c r="H5" t="s">
        <v>90</v>
      </c>
      <c r="I5" t="s">
        <v>4441</v>
      </c>
      <c r="J5" s="4" t="s">
        <v>5075</v>
      </c>
      <c r="K5" t="s">
        <v>5076</v>
      </c>
      <c r="L5" t="s">
        <v>3467</v>
      </c>
    </row>
    <row r="6" spans="1:13" ht="27.75" customHeight="1" x14ac:dyDescent="0.25">
      <c r="A6" t="s">
        <v>5077</v>
      </c>
      <c r="B6" t="s">
        <v>5068</v>
      </c>
      <c r="C6" t="s">
        <v>4408</v>
      </c>
      <c r="D6">
        <v>1</v>
      </c>
      <c r="E6">
        <v>10</v>
      </c>
      <c r="F6">
        <v>15</v>
      </c>
      <c r="G6" t="s">
        <v>5078</v>
      </c>
      <c r="H6" t="s">
        <v>90</v>
      </c>
      <c r="I6" t="s">
        <v>4441</v>
      </c>
      <c r="J6" s="4" t="s">
        <v>5079</v>
      </c>
      <c r="K6" t="s">
        <v>5080</v>
      </c>
      <c r="L6" t="s">
        <v>3467</v>
      </c>
      <c r="M6" t="s">
        <v>4678</v>
      </c>
    </row>
    <row r="7" spans="1:13" ht="27.75" customHeight="1" x14ac:dyDescent="0.25">
      <c r="A7" t="s">
        <v>5081</v>
      </c>
      <c r="B7" t="s">
        <v>5068</v>
      </c>
      <c r="C7" t="s">
        <v>4408</v>
      </c>
      <c r="D7">
        <v>1</v>
      </c>
      <c r="E7">
        <v>11</v>
      </c>
      <c r="F7">
        <v>17</v>
      </c>
      <c r="G7" t="s">
        <v>5078</v>
      </c>
      <c r="H7" t="s">
        <v>90</v>
      </c>
      <c r="I7" t="s">
        <v>4441</v>
      </c>
      <c r="J7" s="4" t="s">
        <v>5082</v>
      </c>
      <c r="K7" t="s">
        <v>5083</v>
      </c>
      <c r="L7" t="s">
        <v>3467</v>
      </c>
      <c r="M7" t="s">
        <v>4678</v>
      </c>
    </row>
    <row r="8" spans="1:13" ht="41.25" customHeight="1" x14ac:dyDescent="0.25">
      <c r="A8" t="s">
        <v>5084</v>
      </c>
      <c r="B8" t="s">
        <v>5068</v>
      </c>
      <c r="C8" t="s">
        <v>4408</v>
      </c>
      <c r="D8">
        <v>4</v>
      </c>
      <c r="E8">
        <v>65</v>
      </c>
      <c r="F8">
        <v>69</v>
      </c>
      <c r="G8" t="s">
        <v>5085</v>
      </c>
      <c r="H8" t="s">
        <v>90</v>
      </c>
      <c r="I8" t="s">
        <v>4441</v>
      </c>
      <c r="J8" s="4" t="s">
        <v>5086</v>
      </c>
      <c r="K8" t="s">
        <v>5087</v>
      </c>
      <c r="L8" t="s">
        <v>3467</v>
      </c>
      <c r="M8" t="s">
        <v>3849</v>
      </c>
    </row>
    <row r="9" spans="1:13" ht="41.25" customHeight="1" x14ac:dyDescent="0.25">
      <c r="A9" t="s">
        <v>5088</v>
      </c>
      <c r="B9" t="s">
        <v>5068</v>
      </c>
      <c r="C9" t="s">
        <v>4408</v>
      </c>
      <c r="D9">
        <v>2</v>
      </c>
      <c r="E9">
        <v>28</v>
      </c>
      <c r="F9">
        <v>32</v>
      </c>
      <c r="G9" t="s">
        <v>3467</v>
      </c>
      <c r="H9" t="s">
        <v>90</v>
      </c>
      <c r="I9" t="s">
        <v>4441</v>
      </c>
      <c r="J9" s="4" t="s">
        <v>5089</v>
      </c>
      <c r="K9" t="s">
        <v>5090</v>
      </c>
      <c r="L9" t="s">
        <v>3467</v>
      </c>
      <c r="M9" t="s">
        <v>3849</v>
      </c>
    </row>
    <row r="10" spans="1:13" ht="27.75" customHeight="1" x14ac:dyDescent="0.25">
      <c r="A10" t="s">
        <v>5091</v>
      </c>
      <c r="B10" t="s">
        <v>5068</v>
      </c>
      <c r="C10" t="s">
        <v>4408</v>
      </c>
      <c r="D10">
        <v>1</v>
      </c>
      <c r="E10">
        <v>8</v>
      </c>
      <c r="F10">
        <v>12</v>
      </c>
      <c r="G10" t="s">
        <v>3467</v>
      </c>
      <c r="H10" t="s">
        <v>90</v>
      </c>
      <c r="I10" t="s">
        <v>4441</v>
      </c>
      <c r="J10" s="4" t="s">
        <v>5092</v>
      </c>
      <c r="K10" t="s">
        <v>5093</v>
      </c>
      <c r="L10" t="s">
        <v>3467</v>
      </c>
      <c r="M10" t="s">
        <v>3849</v>
      </c>
    </row>
    <row r="11" spans="1:13" ht="27.75" customHeight="1" x14ac:dyDescent="0.25">
      <c r="A11" t="s">
        <v>3846</v>
      </c>
      <c r="B11" t="s">
        <v>5068</v>
      </c>
      <c r="C11" t="s">
        <v>4408</v>
      </c>
      <c r="D11">
        <v>4</v>
      </c>
      <c r="E11">
        <v>64</v>
      </c>
      <c r="F11">
        <v>70</v>
      </c>
      <c r="G11" t="s">
        <v>5094</v>
      </c>
      <c r="H11" t="s">
        <v>90</v>
      </c>
      <c r="I11" t="s">
        <v>4441</v>
      </c>
      <c r="J11" s="4" t="s">
        <v>5095</v>
      </c>
      <c r="K11" t="s">
        <v>3848</v>
      </c>
      <c r="L11" t="s">
        <v>3467</v>
      </c>
      <c r="M11" t="s">
        <v>3849</v>
      </c>
    </row>
    <row r="12" spans="1:13" ht="27.75" customHeight="1" x14ac:dyDescent="0.25">
      <c r="A12" t="s">
        <v>5096</v>
      </c>
      <c r="B12" t="s">
        <v>5068</v>
      </c>
      <c r="C12" t="s">
        <v>4408</v>
      </c>
      <c r="D12">
        <v>2</v>
      </c>
      <c r="E12">
        <v>28</v>
      </c>
      <c r="F12">
        <v>32</v>
      </c>
      <c r="G12" t="s">
        <v>3467</v>
      </c>
      <c r="H12" t="s">
        <v>90</v>
      </c>
      <c r="I12" t="s">
        <v>4441</v>
      </c>
      <c r="J12" s="4" t="s">
        <v>5097</v>
      </c>
      <c r="K12" t="s">
        <v>5098</v>
      </c>
      <c r="L12" t="s">
        <v>3467</v>
      </c>
      <c r="M12" t="s">
        <v>3849</v>
      </c>
    </row>
    <row r="13" spans="1:13" ht="15" customHeight="1" x14ac:dyDescent="0.25">
      <c r="A13" t="s">
        <v>5099</v>
      </c>
      <c r="B13" t="s">
        <v>5068</v>
      </c>
      <c r="C13" t="s">
        <v>4408</v>
      </c>
      <c r="D13">
        <v>1</v>
      </c>
      <c r="E13">
        <v>10</v>
      </c>
      <c r="F13">
        <v>14</v>
      </c>
      <c r="G13" t="s">
        <v>3467</v>
      </c>
      <c r="H13" t="s">
        <v>90</v>
      </c>
      <c r="I13" t="s">
        <v>4441</v>
      </c>
      <c r="J13" t="s">
        <v>5100</v>
      </c>
      <c r="K13" t="s">
        <v>5101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5102</v>
      </c>
      <c r="C1" t="s">
        <v>3752</v>
      </c>
      <c r="D1" t="s">
        <v>5062</v>
      </c>
      <c r="E1" t="s">
        <v>1</v>
      </c>
      <c r="F1" t="s">
        <v>5063</v>
      </c>
      <c r="G1" t="s">
        <v>5064</v>
      </c>
      <c r="H1" t="s">
        <v>4020</v>
      </c>
      <c r="I1" t="s">
        <v>3753</v>
      </c>
      <c r="J1" t="s">
        <v>5103</v>
      </c>
      <c r="K1" t="s">
        <v>5104</v>
      </c>
      <c r="L1" t="s">
        <v>5105</v>
      </c>
      <c r="M1" t="s">
        <v>5106</v>
      </c>
      <c r="N1" t="s">
        <v>5107</v>
      </c>
      <c r="O1" t="s">
        <v>5108</v>
      </c>
      <c r="P1" t="s">
        <v>5109</v>
      </c>
      <c r="Q1" t="s">
        <v>5110</v>
      </c>
      <c r="R1" t="s">
        <v>5111</v>
      </c>
      <c r="S1" t="s">
        <v>3757</v>
      </c>
      <c r="T1" t="s">
        <v>3758</v>
      </c>
    </row>
    <row r="2" spans="1:20" ht="15" customHeight="1" x14ac:dyDescent="0.25">
      <c r="A2" t="s">
        <v>3766</v>
      </c>
      <c r="B2" t="s">
        <v>5112</v>
      </c>
      <c r="C2" t="s">
        <v>4408</v>
      </c>
      <c r="D2">
        <v>1</v>
      </c>
      <c r="E2" t="s">
        <v>497</v>
      </c>
      <c r="F2">
        <v>10</v>
      </c>
      <c r="G2">
        <v>15</v>
      </c>
      <c r="H2">
        <v>80</v>
      </c>
      <c r="I2">
        <v>1</v>
      </c>
      <c r="J2" t="s">
        <v>5113</v>
      </c>
      <c r="K2">
        <v>0</v>
      </c>
      <c r="L2" t="s">
        <v>5114</v>
      </c>
      <c r="M2" t="s">
        <v>5115</v>
      </c>
      <c r="N2" t="s">
        <v>4034</v>
      </c>
      <c r="O2" t="s">
        <v>5116</v>
      </c>
      <c r="R2" t="s">
        <v>5117</v>
      </c>
      <c r="T2" t="s">
        <v>3522</v>
      </c>
    </row>
    <row r="3" spans="1:20" ht="15" customHeight="1" x14ac:dyDescent="0.25">
      <c r="A3" t="s">
        <v>5118</v>
      </c>
      <c r="B3" t="s">
        <v>5119</v>
      </c>
      <c r="C3" t="s">
        <v>4408</v>
      </c>
      <c r="D3">
        <v>2</v>
      </c>
      <c r="E3" t="s">
        <v>160</v>
      </c>
      <c r="F3">
        <v>16</v>
      </c>
      <c r="G3">
        <v>20</v>
      </c>
      <c r="H3">
        <v>90</v>
      </c>
      <c r="I3">
        <v>1</v>
      </c>
      <c r="J3" t="s">
        <v>5113</v>
      </c>
      <c r="K3">
        <v>0</v>
      </c>
      <c r="L3" t="s">
        <v>5120</v>
      </c>
      <c r="M3" t="s">
        <v>5121</v>
      </c>
      <c r="N3" t="s">
        <v>4034</v>
      </c>
      <c r="Q3" t="s">
        <v>5122</v>
      </c>
      <c r="R3" t="s">
        <v>5123</v>
      </c>
      <c r="S3" t="s">
        <v>5124</v>
      </c>
    </row>
    <row r="4" spans="1:20" ht="15" customHeight="1" x14ac:dyDescent="0.25">
      <c r="A4" t="s">
        <v>5125</v>
      </c>
      <c r="B4" t="s">
        <v>5126</v>
      </c>
      <c r="C4" t="s">
        <v>4408</v>
      </c>
      <c r="D4">
        <v>0</v>
      </c>
      <c r="E4" t="s">
        <v>160</v>
      </c>
      <c r="F4">
        <v>16</v>
      </c>
      <c r="G4">
        <v>20</v>
      </c>
      <c r="H4">
        <v>60</v>
      </c>
      <c r="I4">
        <v>1</v>
      </c>
      <c r="J4" t="s">
        <v>5127</v>
      </c>
      <c r="K4">
        <v>0</v>
      </c>
      <c r="L4" t="s">
        <v>5128</v>
      </c>
      <c r="M4" t="s">
        <v>5129</v>
      </c>
      <c r="N4" t="s">
        <v>4034</v>
      </c>
      <c r="Q4" t="s">
        <v>5130</v>
      </c>
      <c r="R4" t="s">
        <v>5131</v>
      </c>
    </row>
    <row r="5" spans="1:20" ht="15" customHeight="1" x14ac:dyDescent="0.25">
      <c r="A5" t="s">
        <v>5132</v>
      </c>
      <c r="B5" t="s">
        <v>5133</v>
      </c>
      <c r="C5" t="s">
        <v>4408</v>
      </c>
      <c r="D5">
        <v>2</v>
      </c>
      <c r="E5" t="s">
        <v>160</v>
      </c>
      <c r="F5">
        <v>16</v>
      </c>
      <c r="G5">
        <v>20</v>
      </c>
      <c r="H5">
        <v>0</v>
      </c>
      <c r="I5">
        <v>1</v>
      </c>
      <c r="J5" t="s">
        <v>5134</v>
      </c>
      <c r="K5">
        <v>0</v>
      </c>
      <c r="L5" t="s">
        <v>5135</v>
      </c>
      <c r="M5" t="s">
        <v>5136</v>
      </c>
      <c r="N5" t="s">
        <v>4034</v>
      </c>
      <c r="R5" t="s">
        <v>5137</v>
      </c>
    </row>
    <row r="6" spans="1:20" ht="15" customHeight="1" x14ac:dyDescent="0.25">
      <c r="A6" t="s">
        <v>5127</v>
      </c>
      <c r="B6" t="s">
        <v>5138</v>
      </c>
      <c r="C6" t="s">
        <v>4408</v>
      </c>
      <c r="D6">
        <v>0</v>
      </c>
      <c r="E6" t="s">
        <v>160</v>
      </c>
      <c r="F6">
        <v>16</v>
      </c>
      <c r="G6">
        <v>20</v>
      </c>
      <c r="H6">
        <v>70</v>
      </c>
      <c r="I6">
        <v>1</v>
      </c>
      <c r="J6" t="s">
        <v>5127</v>
      </c>
      <c r="K6">
        <v>0</v>
      </c>
      <c r="L6" t="s">
        <v>5120</v>
      </c>
      <c r="M6" t="s">
        <v>5139</v>
      </c>
      <c r="N6" t="s">
        <v>4034</v>
      </c>
      <c r="Q6" t="s">
        <v>5140</v>
      </c>
      <c r="R6" t="s">
        <v>5141</v>
      </c>
    </row>
    <row r="7" spans="1:20" ht="15" customHeight="1" x14ac:dyDescent="0.25">
      <c r="A7" t="s">
        <v>5142</v>
      </c>
      <c r="B7" t="s">
        <v>5143</v>
      </c>
      <c r="C7" t="s">
        <v>4408</v>
      </c>
      <c r="D7">
        <v>2</v>
      </c>
      <c r="E7" t="s">
        <v>497</v>
      </c>
      <c r="F7">
        <v>12</v>
      </c>
      <c r="G7">
        <v>16</v>
      </c>
      <c r="H7">
        <v>70</v>
      </c>
      <c r="I7">
        <v>1</v>
      </c>
      <c r="J7" t="s">
        <v>5144</v>
      </c>
      <c r="K7">
        <v>6</v>
      </c>
      <c r="L7" t="s">
        <v>5145</v>
      </c>
      <c r="M7" t="s">
        <v>5146</v>
      </c>
      <c r="N7" t="s">
        <v>4034</v>
      </c>
      <c r="O7" t="s">
        <v>5116</v>
      </c>
      <c r="P7" t="s">
        <v>5147</v>
      </c>
      <c r="R7" t="s">
        <v>5117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5052</v>
      </c>
      <c r="D1" t="s">
        <v>5148</v>
      </c>
      <c r="E1" t="s">
        <v>3512</v>
      </c>
    </row>
    <row r="2" spans="1:5" ht="15" customHeight="1" x14ac:dyDescent="0.25">
      <c r="A2" t="s">
        <v>5149</v>
      </c>
      <c r="B2" t="s">
        <v>3854</v>
      </c>
      <c r="C2" t="s">
        <v>5150</v>
      </c>
      <c r="D2" t="s">
        <v>3458</v>
      </c>
    </row>
    <row r="3" spans="1:5" ht="15" customHeight="1" x14ac:dyDescent="0.25">
      <c r="A3" t="s">
        <v>5151</v>
      </c>
      <c r="B3" t="s">
        <v>3854</v>
      </c>
      <c r="C3" t="s">
        <v>5152</v>
      </c>
      <c r="D3" t="s">
        <v>3458</v>
      </c>
    </row>
    <row r="4" spans="1:5" ht="15" customHeight="1" x14ac:dyDescent="0.25">
      <c r="A4" t="s">
        <v>5153</v>
      </c>
      <c r="B4" t="s">
        <v>3854</v>
      </c>
      <c r="C4" t="s">
        <v>3961</v>
      </c>
      <c r="D4" t="s">
        <v>5154</v>
      </c>
    </row>
    <row r="5" spans="1:5" ht="15" customHeight="1" x14ac:dyDescent="0.25">
      <c r="A5" t="s">
        <v>5155</v>
      </c>
      <c r="B5" t="s">
        <v>3854</v>
      </c>
      <c r="C5" t="s">
        <v>5156</v>
      </c>
      <c r="D5" t="s">
        <v>3458</v>
      </c>
    </row>
    <row r="6" spans="1:5" ht="15" customHeight="1" x14ac:dyDescent="0.25">
      <c r="A6" t="s">
        <v>5157</v>
      </c>
      <c r="B6" t="s">
        <v>3854</v>
      </c>
      <c r="C6" t="s">
        <v>5158</v>
      </c>
      <c r="D6" t="s">
        <v>3458</v>
      </c>
    </row>
    <row r="7" spans="1:5" ht="15" customHeight="1" x14ac:dyDescent="0.25">
      <c r="A7" t="s">
        <v>5159</v>
      </c>
      <c r="B7" t="s">
        <v>3854</v>
      </c>
      <c r="C7" t="s">
        <v>5160</v>
      </c>
      <c r="D7" t="s">
        <v>5161</v>
      </c>
    </row>
    <row r="8" spans="1:5" ht="15" customHeight="1" x14ac:dyDescent="0.25">
      <c r="A8" t="s">
        <v>5162</v>
      </c>
      <c r="B8" t="s">
        <v>3854</v>
      </c>
      <c r="C8" t="s">
        <v>5163</v>
      </c>
      <c r="D8" t="s">
        <v>5164</v>
      </c>
    </row>
    <row r="9" spans="1:5" ht="15" customHeight="1" x14ac:dyDescent="0.25">
      <c r="A9" t="s">
        <v>5165</v>
      </c>
      <c r="B9" t="s">
        <v>5166</v>
      </c>
      <c r="C9" t="s">
        <v>5167</v>
      </c>
      <c r="D9" t="s">
        <v>3467</v>
      </c>
      <c r="E9" t="s">
        <v>5168</v>
      </c>
    </row>
    <row r="10" spans="1:5" ht="15" customHeight="1" x14ac:dyDescent="0.25">
      <c r="A10" t="s">
        <v>5169</v>
      </c>
      <c r="B10" t="s">
        <v>5166</v>
      </c>
      <c r="C10" t="s">
        <v>5170</v>
      </c>
      <c r="D10" t="s">
        <v>3467</v>
      </c>
      <c r="E10" t="s">
        <v>5171</v>
      </c>
    </row>
    <row r="11" spans="1:5" ht="15" customHeight="1" x14ac:dyDescent="0.25">
      <c r="A11" t="s">
        <v>5172</v>
      </c>
      <c r="B11" t="s">
        <v>5166</v>
      </c>
      <c r="C11" t="s">
        <v>5173</v>
      </c>
      <c r="D11" t="s">
        <v>3467</v>
      </c>
      <c r="E11" t="s">
        <v>5174</v>
      </c>
    </row>
    <row r="12" spans="1:5" ht="15" customHeight="1" x14ac:dyDescent="0.25">
      <c r="A12" t="s">
        <v>5175</v>
      </c>
      <c r="B12" t="s">
        <v>3854</v>
      </c>
      <c r="C12" t="s">
        <v>5176</v>
      </c>
      <c r="D12" t="s">
        <v>5177</v>
      </c>
    </row>
    <row r="13" spans="1:5" ht="15" customHeight="1" x14ac:dyDescent="0.25">
      <c r="A13" t="s">
        <v>5178</v>
      </c>
      <c r="B13" t="s">
        <v>3854</v>
      </c>
      <c r="C13" t="s">
        <v>5179</v>
      </c>
      <c r="D13" t="s">
        <v>3458</v>
      </c>
    </row>
    <row r="14" spans="1:5" ht="15" customHeight="1" x14ac:dyDescent="0.25">
      <c r="A14" t="s">
        <v>5180</v>
      </c>
      <c r="B14" t="s">
        <v>3854</v>
      </c>
      <c r="C14" t="s">
        <v>5181</v>
      </c>
      <c r="D14" t="s">
        <v>4297</v>
      </c>
    </row>
    <row r="15" spans="1:5" ht="15" customHeight="1" x14ac:dyDescent="0.25">
      <c r="A15" t="s">
        <v>5182</v>
      </c>
      <c r="B15" t="s">
        <v>3854</v>
      </c>
      <c r="C15" t="s">
        <v>5183</v>
      </c>
      <c r="D15" t="s">
        <v>3458</v>
      </c>
    </row>
    <row r="16" spans="1:5" ht="15" customHeight="1" x14ac:dyDescent="0.25">
      <c r="A16" t="s">
        <v>5184</v>
      </c>
      <c r="B16" t="s">
        <v>5166</v>
      </c>
      <c r="C16" t="s">
        <v>5185</v>
      </c>
      <c r="D16" t="s">
        <v>3467</v>
      </c>
      <c r="E16" t="s">
        <v>5186</v>
      </c>
    </row>
    <row r="17" spans="1:4" ht="15" customHeight="1" x14ac:dyDescent="0.25">
      <c r="A17" t="s">
        <v>5187</v>
      </c>
      <c r="B17" t="s">
        <v>3854</v>
      </c>
      <c r="C17" t="s">
        <v>5188</v>
      </c>
      <c r="D17" t="s">
        <v>5189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5190</v>
      </c>
      <c r="F1" t="s">
        <v>4303</v>
      </c>
      <c r="G1" t="s">
        <v>5191</v>
      </c>
      <c r="H1" t="s">
        <v>4047</v>
      </c>
      <c r="I1" t="s">
        <v>171</v>
      </c>
      <c r="J1" t="s">
        <v>6</v>
      </c>
      <c r="K1" t="s">
        <v>5192</v>
      </c>
    </row>
    <row r="2" spans="1:11" ht="15" customHeight="1" x14ac:dyDescent="0.25">
      <c r="A2" t="s">
        <v>5193</v>
      </c>
      <c r="B2" t="s">
        <v>5194</v>
      </c>
      <c r="C2" t="s">
        <v>4016</v>
      </c>
      <c r="D2" t="s">
        <v>187</v>
      </c>
      <c r="E2" t="s">
        <v>3467</v>
      </c>
      <c r="F2" t="s">
        <v>4342</v>
      </c>
      <c r="G2" t="s">
        <v>39</v>
      </c>
      <c r="H2" t="s">
        <v>4069</v>
      </c>
      <c r="I2" t="s">
        <v>5193</v>
      </c>
      <c r="J2" t="s">
        <v>3530</v>
      </c>
      <c r="K2" t="s">
        <v>3467</v>
      </c>
    </row>
    <row r="3" spans="1:11" ht="15" customHeight="1" x14ac:dyDescent="0.25">
      <c r="A3" t="s">
        <v>3537</v>
      </c>
      <c r="B3" t="s">
        <v>5195</v>
      </c>
      <c r="C3" t="s">
        <v>3757</v>
      </c>
      <c r="D3" t="s">
        <v>4034</v>
      </c>
      <c r="E3" t="s">
        <v>3467</v>
      </c>
      <c r="F3" t="s">
        <v>4342</v>
      </c>
      <c r="G3" t="s">
        <v>39</v>
      </c>
      <c r="H3" t="s">
        <v>4069</v>
      </c>
      <c r="I3" t="s">
        <v>3537</v>
      </c>
      <c r="J3" t="s">
        <v>3518</v>
      </c>
      <c r="K3" t="s">
        <v>3467</v>
      </c>
    </row>
    <row r="4" spans="1:11" ht="15" customHeight="1" x14ac:dyDescent="0.25">
      <c r="A4" t="s">
        <v>5196</v>
      </c>
      <c r="B4" t="s">
        <v>5197</v>
      </c>
      <c r="C4" t="s">
        <v>4028</v>
      </c>
      <c r="D4" t="s">
        <v>187</v>
      </c>
      <c r="E4" t="s">
        <v>3467</v>
      </c>
      <c r="F4" t="s">
        <v>5198</v>
      </c>
      <c r="G4" t="s">
        <v>39</v>
      </c>
      <c r="H4" t="s">
        <v>4052</v>
      </c>
      <c r="I4" t="s">
        <v>5196</v>
      </c>
      <c r="J4" t="s">
        <v>3530</v>
      </c>
      <c r="K4" t="s">
        <v>3467</v>
      </c>
    </row>
    <row r="5" spans="1:11" ht="15" customHeight="1" x14ac:dyDescent="0.25">
      <c r="A5" t="s">
        <v>5199</v>
      </c>
      <c r="B5" t="s">
        <v>5200</v>
      </c>
      <c r="C5" t="s">
        <v>4016</v>
      </c>
      <c r="D5" t="s">
        <v>187</v>
      </c>
      <c r="E5" t="s">
        <v>3467</v>
      </c>
      <c r="F5" t="s">
        <v>4342</v>
      </c>
      <c r="G5" t="s">
        <v>39</v>
      </c>
      <c r="H5" t="s">
        <v>4069</v>
      </c>
      <c r="I5" t="s">
        <v>5201</v>
      </c>
      <c r="J5" t="s">
        <v>3518</v>
      </c>
      <c r="K5" t="s">
        <v>3467</v>
      </c>
    </row>
    <row r="6" spans="1:11" ht="15" customHeight="1" x14ac:dyDescent="0.25">
      <c r="A6" t="s">
        <v>5202</v>
      </c>
      <c r="B6" t="s">
        <v>5203</v>
      </c>
      <c r="C6" t="s">
        <v>4028</v>
      </c>
      <c r="D6" t="s">
        <v>187</v>
      </c>
      <c r="E6" t="s">
        <v>3467</v>
      </c>
      <c r="F6" t="s">
        <v>5204</v>
      </c>
      <c r="G6" t="s">
        <v>39</v>
      </c>
      <c r="H6" t="s">
        <v>4052</v>
      </c>
      <c r="I6" t="s">
        <v>5202</v>
      </c>
      <c r="J6" t="s">
        <v>41</v>
      </c>
      <c r="K6" t="s">
        <v>3467</v>
      </c>
    </row>
    <row r="7" spans="1:11" ht="15" customHeight="1" x14ac:dyDescent="0.25">
      <c r="A7" t="s">
        <v>5205</v>
      </c>
      <c r="B7" t="s">
        <v>5206</v>
      </c>
      <c r="C7" t="s">
        <v>4016</v>
      </c>
      <c r="D7" t="s">
        <v>187</v>
      </c>
      <c r="E7" t="s">
        <v>3467</v>
      </c>
      <c r="F7" t="s">
        <v>5204</v>
      </c>
      <c r="G7" t="s">
        <v>39</v>
      </c>
      <c r="H7" t="s">
        <v>4069</v>
      </c>
      <c r="I7" t="s">
        <v>5205</v>
      </c>
      <c r="J7" t="s">
        <v>3518</v>
      </c>
      <c r="K7" t="s">
        <v>3467</v>
      </c>
    </row>
    <row r="8" spans="1:11" ht="15" customHeight="1" x14ac:dyDescent="0.25">
      <c r="A8" t="s">
        <v>5207</v>
      </c>
      <c r="B8" t="s">
        <v>5208</v>
      </c>
      <c r="C8" t="s">
        <v>4016</v>
      </c>
      <c r="D8" t="s">
        <v>187</v>
      </c>
      <c r="E8" t="s">
        <v>3467</v>
      </c>
      <c r="F8" t="s">
        <v>4342</v>
      </c>
      <c r="G8" t="s">
        <v>39</v>
      </c>
      <c r="H8" t="s">
        <v>4069</v>
      </c>
      <c r="I8" t="s">
        <v>5207</v>
      </c>
      <c r="J8" t="s">
        <v>41</v>
      </c>
      <c r="K8" t="s">
        <v>3467</v>
      </c>
    </row>
    <row r="9" spans="1:11" ht="15" customHeight="1" x14ac:dyDescent="0.25">
      <c r="A9" t="s">
        <v>5209</v>
      </c>
      <c r="B9" t="s">
        <v>5210</v>
      </c>
      <c r="C9" t="s">
        <v>4028</v>
      </c>
      <c r="D9" t="s">
        <v>187</v>
      </c>
      <c r="E9" t="s">
        <v>3467</v>
      </c>
      <c r="F9" t="s">
        <v>4342</v>
      </c>
      <c r="G9" t="s">
        <v>39</v>
      </c>
      <c r="H9" t="s">
        <v>4052</v>
      </c>
      <c r="I9" t="s">
        <v>5209</v>
      </c>
      <c r="J9" t="s">
        <v>41</v>
      </c>
      <c r="K9" t="s">
        <v>3467</v>
      </c>
    </row>
    <row r="10" spans="1:11" ht="15" customHeight="1" x14ac:dyDescent="0.25">
      <c r="A10" t="s">
        <v>5211</v>
      </c>
      <c r="B10" t="s">
        <v>5212</v>
      </c>
      <c r="C10" t="s">
        <v>4016</v>
      </c>
      <c r="D10" t="s">
        <v>187</v>
      </c>
      <c r="E10" t="s">
        <v>3467</v>
      </c>
      <c r="F10" t="s">
        <v>5213</v>
      </c>
      <c r="G10" t="s">
        <v>39</v>
      </c>
      <c r="H10" t="s">
        <v>4069</v>
      </c>
      <c r="I10" t="s">
        <v>5211</v>
      </c>
      <c r="J10" t="s">
        <v>3518</v>
      </c>
      <c r="K10" t="s">
        <v>3467</v>
      </c>
    </row>
    <row r="11" spans="1:11" ht="15" customHeight="1" x14ac:dyDescent="0.25">
      <c r="A11" t="s">
        <v>4039</v>
      </c>
      <c r="B11" t="s">
        <v>5214</v>
      </c>
      <c r="C11" t="s">
        <v>4028</v>
      </c>
      <c r="D11" t="s">
        <v>187</v>
      </c>
      <c r="E11" t="s">
        <v>3467</v>
      </c>
      <c r="F11" t="s">
        <v>5204</v>
      </c>
      <c r="G11" t="s">
        <v>39</v>
      </c>
      <c r="H11" t="s">
        <v>4052</v>
      </c>
      <c r="I11" t="s">
        <v>4039</v>
      </c>
      <c r="J11" t="s">
        <v>41</v>
      </c>
      <c r="K11" t="s">
        <v>3467</v>
      </c>
    </row>
    <row r="12" spans="1:11" ht="15" customHeight="1" x14ac:dyDescent="0.25">
      <c r="A12" t="s">
        <v>5215</v>
      </c>
      <c r="B12" t="s">
        <v>5216</v>
      </c>
      <c r="C12" t="s">
        <v>4016</v>
      </c>
      <c r="D12" t="s">
        <v>187</v>
      </c>
      <c r="E12" t="s">
        <v>3467</v>
      </c>
      <c r="F12" t="s">
        <v>5217</v>
      </c>
      <c r="G12" t="s">
        <v>5218</v>
      </c>
      <c r="H12" t="s">
        <v>4069</v>
      </c>
      <c r="I12" t="s">
        <v>5215</v>
      </c>
      <c r="J12" t="s">
        <v>3518</v>
      </c>
      <c r="K12" t="s">
        <v>3467</v>
      </c>
    </row>
    <row r="13" spans="1:11" ht="15" customHeight="1" x14ac:dyDescent="0.25">
      <c r="A13" t="s">
        <v>5219</v>
      </c>
      <c r="B13" t="s">
        <v>5220</v>
      </c>
      <c r="C13" t="s">
        <v>4028</v>
      </c>
      <c r="D13" t="s">
        <v>187</v>
      </c>
      <c r="E13" t="s">
        <v>3467</v>
      </c>
      <c r="F13" t="s">
        <v>5217</v>
      </c>
      <c r="G13" t="s">
        <v>5221</v>
      </c>
      <c r="H13" t="s">
        <v>4052</v>
      </c>
      <c r="I13" t="s">
        <v>5219</v>
      </c>
      <c r="J13" t="s">
        <v>3467</v>
      </c>
      <c r="K13" t="s">
        <v>3467</v>
      </c>
    </row>
    <row r="14" spans="1:11" ht="15" customHeight="1" x14ac:dyDescent="0.25">
      <c r="A14" t="s">
        <v>5222</v>
      </c>
      <c r="B14" t="s">
        <v>5223</v>
      </c>
      <c r="C14" t="s">
        <v>4028</v>
      </c>
      <c r="D14" t="s">
        <v>187</v>
      </c>
      <c r="E14" t="s">
        <v>3467</v>
      </c>
      <c r="F14" t="s">
        <v>5204</v>
      </c>
      <c r="G14" t="s">
        <v>5218</v>
      </c>
      <c r="H14" t="s">
        <v>4052</v>
      </c>
      <c r="I14" t="s">
        <v>5222</v>
      </c>
      <c r="J14" t="s">
        <v>3467</v>
      </c>
      <c r="K14" t="s">
        <v>3467</v>
      </c>
    </row>
    <row r="15" spans="1:11" ht="15" customHeight="1" x14ac:dyDescent="0.25">
      <c r="A15" t="s">
        <v>5224</v>
      </c>
      <c r="B15" t="s">
        <v>5225</v>
      </c>
      <c r="C15" t="s">
        <v>4028</v>
      </c>
      <c r="D15" t="s">
        <v>187</v>
      </c>
      <c r="E15" t="s">
        <v>3467</v>
      </c>
      <c r="F15" t="s">
        <v>4342</v>
      </c>
      <c r="G15" t="s">
        <v>5221</v>
      </c>
      <c r="H15" t="s">
        <v>4052</v>
      </c>
      <c r="I15" t="s">
        <v>5226</v>
      </c>
      <c r="J15" t="s">
        <v>3467</v>
      </c>
      <c r="K15" t="s">
        <v>3467</v>
      </c>
    </row>
    <row r="16" spans="1:11" ht="15" customHeight="1" x14ac:dyDescent="0.25">
      <c r="A16" t="s">
        <v>5227</v>
      </c>
      <c r="B16" t="s">
        <v>5228</v>
      </c>
      <c r="C16" t="s">
        <v>3757</v>
      </c>
      <c r="D16" t="s">
        <v>4034</v>
      </c>
      <c r="E16" t="s">
        <v>3467</v>
      </c>
      <c r="F16" t="s">
        <v>4342</v>
      </c>
      <c r="G16" t="s">
        <v>39</v>
      </c>
      <c r="H16" t="s">
        <v>4069</v>
      </c>
      <c r="I16" t="s">
        <v>5229</v>
      </c>
      <c r="J16" t="s">
        <v>3467</v>
      </c>
      <c r="K16" t="s">
        <v>3467</v>
      </c>
    </row>
    <row r="17" spans="1:11" ht="15" customHeight="1" x14ac:dyDescent="0.25">
      <c r="A17" t="s">
        <v>3528</v>
      </c>
      <c r="B17" t="s">
        <v>5230</v>
      </c>
      <c r="C17" t="s">
        <v>4016</v>
      </c>
      <c r="D17" t="s">
        <v>187</v>
      </c>
      <c r="E17" t="s">
        <v>3467</v>
      </c>
      <c r="F17" t="s">
        <v>4342</v>
      </c>
      <c r="G17" t="s">
        <v>39</v>
      </c>
      <c r="H17" t="s">
        <v>4069</v>
      </c>
      <c r="I17" t="s">
        <v>3528</v>
      </c>
      <c r="J17" t="s">
        <v>3530</v>
      </c>
      <c r="K17" t="s">
        <v>3467</v>
      </c>
    </row>
    <row r="18" spans="1:11" ht="15" customHeight="1" x14ac:dyDescent="0.25">
      <c r="A18" t="s">
        <v>5231</v>
      </c>
      <c r="B18" t="s">
        <v>5232</v>
      </c>
      <c r="C18" t="s">
        <v>4016</v>
      </c>
      <c r="D18" t="s">
        <v>187</v>
      </c>
      <c r="E18" t="s">
        <v>3467</v>
      </c>
      <c r="F18" t="s">
        <v>5233</v>
      </c>
      <c r="G18" t="s">
        <v>39</v>
      </c>
      <c r="H18" t="s">
        <v>4069</v>
      </c>
      <c r="I18" t="s">
        <v>5231</v>
      </c>
      <c r="J18" t="s">
        <v>3518</v>
      </c>
      <c r="K18" t="s">
        <v>3467</v>
      </c>
    </row>
    <row r="19" spans="1:11" ht="15" customHeight="1" x14ac:dyDescent="0.25">
      <c r="A19" t="s">
        <v>5234</v>
      </c>
      <c r="B19" t="s">
        <v>5235</v>
      </c>
      <c r="C19" t="s">
        <v>4028</v>
      </c>
      <c r="D19" t="s">
        <v>187</v>
      </c>
      <c r="E19" t="s">
        <v>3467</v>
      </c>
      <c r="F19" t="s">
        <v>4342</v>
      </c>
      <c r="G19" t="s">
        <v>39</v>
      </c>
      <c r="H19" t="s">
        <v>4052</v>
      </c>
      <c r="I19" t="s">
        <v>5234</v>
      </c>
      <c r="J19" t="s">
        <v>3530</v>
      </c>
      <c r="K19" t="s">
        <v>3467</v>
      </c>
    </row>
    <row r="20" spans="1:11" ht="15" customHeight="1" x14ac:dyDescent="0.25">
      <c r="A20" t="s">
        <v>5236</v>
      </c>
      <c r="B20" t="s">
        <v>5237</v>
      </c>
      <c r="C20" t="s">
        <v>4016</v>
      </c>
      <c r="D20" t="s">
        <v>187</v>
      </c>
      <c r="E20" t="s">
        <v>3467</v>
      </c>
      <c r="F20" t="s">
        <v>5204</v>
      </c>
      <c r="G20" t="s">
        <v>5218</v>
      </c>
      <c r="H20" t="s">
        <v>4069</v>
      </c>
      <c r="I20" t="s">
        <v>5238</v>
      </c>
      <c r="J20" t="s">
        <v>3518</v>
      </c>
      <c r="K20" t="s">
        <v>3467</v>
      </c>
    </row>
    <row r="21" spans="1:11" ht="15" customHeight="1" x14ac:dyDescent="0.25">
      <c r="A21" t="s">
        <v>5239</v>
      </c>
      <c r="B21" t="s">
        <v>5240</v>
      </c>
      <c r="C21" t="s">
        <v>4028</v>
      </c>
      <c r="D21" t="s">
        <v>187</v>
      </c>
      <c r="E21" t="s">
        <v>3467</v>
      </c>
      <c r="F21" t="s">
        <v>5204</v>
      </c>
      <c r="G21" t="s">
        <v>39</v>
      </c>
      <c r="H21" t="s">
        <v>4052</v>
      </c>
      <c r="I21" t="s">
        <v>5239</v>
      </c>
      <c r="J21" t="s">
        <v>3518</v>
      </c>
      <c r="K21" t="s">
        <v>3467</v>
      </c>
    </row>
    <row r="22" spans="1:11" ht="15" customHeight="1" x14ac:dyDescent="0.25">
      <c r="A22" t="s">
        <v>5241</v>
      </c>
      <c r="B22" t="s">
        <v>5242</v>
      </c>
      <c r="C22" t="s">
        <v>3757</v>
      </c>
      <c r="D22" t="s">
        <v>187</v>
      </c>
      <c r="E22" t="s">
        <v>3467</v>
      </c>
      <c r="F22" t="s">
        <v>4342</v>
      </c>
      <c r="G22" t="s">
        <v>5218</v>
      </c>
      <c r="H22" t="s">
        <v>4069</v>
      </c>
      <c r="I22" t="s">
        <v>5241</v>
      </c>
      <c r="J22" t="s">
        <v>3467</v>
      </c>
      <c r="K22" t="s">
        <v>3467</v>
      </c>
    </row>
    <row r="23" spans="1:11" ht="15" customHeight="1" x14ac:dyDescent="0.25">
      <c r="A23" t="s">
        <v>5243</v>
      </c>
      <c r="B23" t="s">
        <v>5244</v>
      </c>
      <c r="C23" t="s">
        <v>3757</v>
      </c>
      <c r="D23" t="s">
        <v>187</v>
      </c>
      <c r="E23" t="s">
        <v>3467</v>
      </c>
      <c r="F23" t="s">
        <v>4342</v>
      </c>
      <c r="G23" t="s">
        <v>5218</v>
      </c>
      <c r="H23" t="s">
        <v>4069</v>
      </c>
      <c r="I23" t="s">
        <v>5243</v>
      </c>
      <c r="J23" t="s">
        <v>3467</v>
      </c>
      <c r="K23" t="s">
        <v>3467</v>
      </c>
    </row>
    <row r="24" spans="1:11" ht="15" customHeight="1" x14ac:dyDescent="0.25">
      <c r="A24" t="s">
        <v>5245</v>
      </c>
      <c r="B24" t="s">
        <v>5246</v>
      </c>
      <c r="C24" t="s">
        <v>4028</v>
      </c>
      <c r="D24" t="s">
        <v>187</v>
      </c>
      <c r="E24" t="s">
        <v>3467</v>
      </c>
      <c r="F24" t="s">
        <v>5204</v>
      </c>
      <c r="G24" t="s">
        <v>39</v>
      </c>
      <c r="H24" t="s">
        <v>4052</v>
      </c>
      <c r="I24" t="s">
        <v>5247</v>
      </c>
      <c r="J24" t="s">
        <v>3467</v>
      </c>
      <c r="K24" t="s">
        <v>3467</v>
      </c>
    </row>
    <row r="25" spans="1:11" ht="15" customHeight="1" x14ac:dyDescent="0.25">
      <c r="A25" t="s">
        <v>5248</v>
      </c>
      <c r="B25" t="s">
        <v>5249</v>
      </c>
      <c r="C25" t="s">
        <v>4028</v>
      </c>
      <c r="D25" t="s">
        <v>187</v>
      </c>
      <c r="E25" t="s">
        <v>3467</v>
      </c>
      <c r="F25" t="s">
        <v>5250</v>
      </c>
      <c r="G25" t="s">
        <v>5218</v>
      </c>
      <c r="H25" t="s">
        <v>4052</v>
      </c>
      <c r="I25" t="s">
        <v>5248</v>
      </c>
      <c r="J25" t="s">
        <v>3530</v>
      </c>
      <c r="K25" t="s">
        <v>3467</v>
      </c>
    </row>
    <row r="26" spans="1:11" ht="15" customHeight="1" x14ac:dyDescent="0.25">
      <c r="A26" t="s">
        <v>5251</v>
      </c>
      <c r="B26" t="s">
        <v>5252</v>
      </c>
      <c r="C26" t="s">
        <v>3757</v>
      </c>
      <c r="D26" t="s">
        <v>187</v>
      </c>
      <c r="E26" t="s">
        <v>3467</v>
      </c>
      <c r="F26" t="s">
        <v>4342</v>
      </c>
      <c r="G26" t="s">
        <v>5218</v>
      </c>
      <c r="H26" t="s">
        <v>4069</v>
      </c>
      <c r="I26" t="s">
        <v>5253</v>
      </c>
      <c r="J26" t="s">
        <v>3467</v>
      </c>
      <c r="K26" t="s">
        <v>3467</v>
      </c>
    </row>
    <row r="27" spans="1:11" ht="15" customHeight="1" x14ac:dyDescent="0.25">
      <c r="A27" t="s">
        <v>5254</v>
      </c>
      <c r="B27" t="s">
        <v>5255</v>
      </c>
      <c r="C27" t="s">
        <v>3757</v>
      </c>
      <c r="D27" t="s">
        <v>187</v>
      </c>
      <c r="E27" t="s">
        <v>3467</v>
      </c>
      <c r="F27" t="s">
        <v>4342</v>
      </c>
      <c r="G27" t="s">
        <v>5218</v>
      </c>
      <c r="H27" t="s">
        <v>4069</v>
      </c>
      <c r="I27" t="s">
        <v>5256</v>
      </c>
      <c r="J27" t="s">
        <v>3467</v>
      </c>
      <c r="K27" t="s">
        <v>3467</v>
      </c>
    </row>
    <row r="28" spans="1:11" ht="15" customHeight="1" x14ac:dyDescent="0.25">
      <c r="A28" t="s">
        <v>5257</v>
      </c>
      <c r="B28" t="s">
        <v>5258</v>
      </c>
      <c r="C28" t="s">
        <v>4016</v>
      </c>
      <c r="D28" t="s">
        <v>187</v>
      </c>
      <c r="E28" t="s">
        <v>3467</v>
      </c>
      <c r="F28" t="s">
        <v>5217</v>
      </c>
      <c r="G28" t="s">
        <v>39</v>
      </c>
      <c r="H28" t="s">
        <v>4069</v>
      </c>
      <c r="I28" t="s">
        <v>5259</v>
      </c>
      <c r="J28" t="s">
        <v>3530</v>
      </c>
      <c r="K28" t="s">
        <v>3467</v>
      </c>
    </row>
    <row r="29" spans="1:11" ht="15" customHeight="1" x14ac:dyDescent="0.25">
      <c r="A29" t="s">
        <v>5260</v>
      </c>
      <c r="B29" t="s">
        <v>5261</v>
      </c>
      <c r="C29" t="s">
        <v>3757</v>
      </c>
      <c r="D29" t="s">
        <v>4034</v>
      </c>
      <c r="E29" t="s">
        <v>3467</v>
      </c>
      <c r="F29" t="s">
        <v>5262</v>
      </c>
      <c r="G29" t="s">
        <v>5221</v>
      </c>
      <c r="H29" t="s">
        <v>4052</v>
      </c>
      <c r="I29" t="s">
        <v>5260</v>
      </c>
      <c r="J29" t="s">
        <v>3467</v>
      </c>
      <c r="K29" t="s">
        <v>3467</v>
      </c>
    </row>
    <row r="30" spans="1:11" ht="15" customHeight="1" x14ac:dyDescent="0.25">
      <c r="A30" t="s">
        <v>5263</v>
      </c>
      <c r="B30" t="s">
        <v>5264</v>
      </c>
      <c r="C30" t="s">
        <v>3757</v>
      </c>
      <c r="D30" t="s">
        <v>4034</v>
      </c>
      <c r="E30" t="s">
        <v>3467</v>
      </c>
      <c r="F30" t="s">
        <v>4342</v>
      </c>
      <c r="G30" t="s">
        <v>5221</v>
      </c>
      <c r="H30" t="s">
        <v>4080</v>
      </c>
      <c r="I30" t="s">
        <v>5263</v>
      </c>
      <c r="J30" t="s">
        <v>3467</v>
      </c>
      <c r="K30" t="s">
        <v>3467</v>
      </c>
    </row>
    <row r="31" spans="1:11" ht="15" customHeight="1" x14ac:dyDescent="0.25">
      <c r="A31" t="s">
        <v>5265</v>
      </c>
      <c r="B31" t="s">
        <v>5266</v>
      </c>
      <c r="C31" t="s">
        <v>4028</v>
      </c>
      <c r="D31" t="s">
        <v>187</v>
      </c>
      <c r="E31" t="s">
        <v>3467</v>
      </c>
      <c r="F31" t="s">
        <v>5204</v>
      </c>
      <c r="G31" t="s">
        <v>5218</v>
      </c>
      <c r="H31" t="s">
        <v>4052</v>
      </c>
      <c r="I31" t="s">
        <v>5265</v>
      </c>
      <c r="J31" t="s">
        <v>41</v>
      </c>
      <c r="K31" t="s">
        <v>3467</v>
      </c>
    </row>
    <row r="32" spans="1:11" ht="15" customHeight="1" x14ac:dyDescent="0.25">
      <c r="A32" t="s">
        <v>5267</v>
      </c>
      <c r="B32" t="s">
        <v>5268</v>
      </c>
      <c r="C32" t="s">
        <v>4016</v>
      </c>
      <c r="D32" t="s">
        <v>187</v>
      </c>
      <c r="E32" t="s">
        <v>3467</v>
      </c>
      <c r="F32" t="s">
        <v>5204</v>
      </c>
      <c r="G32" t="s">
        <v>39</v>
      </c>
      <c r="H32" t="s">
        <v>4069</v>
      </c>
      <c r="I32" t="s">
        <v>5267</v>
      </c>
      <c r="J32" t="s">
        <v>3518</v>
      </c>
      <c r="K32" t="s">
        <v>3467</v>
      </c>
    </row>
    <row r="33" spans="1:11" ht="15" customHeight="1" x14ac:dyDescent="0.25">
      <c r="A33" t="s">
        <v>5269</v>
      </c>
      <c r="B33" t="s">
        <v>5270</v>
      </c>
      <c r="C33" t="s">
        <v>4028</v>
      </c>
      <c r="D33" t="s">
        <v>187</v>
      </c>
      <c r="E33" t="s">
        <v>3467</v>
      </c>
      <c r="F33" t="s">
        <v>4342</v>
      </c>
      <c r="G33" t="s">
        <v>39</v>
      </c>
      <c r="H33" t="s">
        <v>4052</v>
      </c>
      <c r="I33" t="s">
        <v>5269</v>
      </c>
      <c r="J33" t="s">
        <v>3530</v>
      </c>
      <c r="K33" t="s">
        <v>3467</v>
      </c>
    </row>
    <row r="34" spans="1:11" ht="15" customHeight="1" x14ac:dyDescent="0.25">
      <c r="A34" t="s">
        <v>5271</v>
      </c>
      <c r="B34" t="s">
        <v>5272</v>
      </c>
      <c r="C34" t="s">
        <v>3757</v>
      </c>
      <c r="D34" t="s">
        <v>4034</v>
      </c>
      <c r="E34" t="s">
        <v>3467</v>
      </c>
      <c r="F34" t="s">
        <v>4342</v>
      </c>
      <c r="G34" t="s">
        <v>5221</v>
      </c>
      <c r="H34" t="s">
        <v>4069</v>
      </c>
      <c r="I34" t="s">
        <v>5273</v>
      </c>
      <c r="J34" t="s">
        <v>3467</v>
      </c>
      <c r="K34" t="s">
        <v>3467</v>
      </c>
    </row>
    <row r="35" spans="1:11" ht="15" customHeight="1" x14ac:dyDescent="0.25">
      <c r="A35" t="s">
        <v>5274</v>
      </c>
      <c r="B35" t="s">
        <v>5275</v>
      </c>
      <c r="C35" t="s">
        <v>4016</v>
      </c>
      <c r="D35" t="s">
        <v>5276</v>
      </c>
      <c r="E35" t="s">
        <v>3467</v>
      </c>
      <c r="F35" t="s">
        <v>5277</v>
      </c>
      <c r="G35" t="s">
        <v>5218</v>
      </c>
      <c r="H35" t="s">
        <v>4069</v>
      </c>
      <c r="I35" t="s">
        <v>5278</v>
      </c>
      <c r="J35" t="s">
        <v>41</v>
      </c>
      <c r="K35" t="s">
        <v>3467</v>
      </c>
    </row>
    <row r="36" spans="1:11" ht="15" customHeight="1" x14ac:dyDescent="0.25">
      <c r="A36" t="s">
        <v>5279</v>
      </c>
      <c r="B36" t="s">
        <v>5280</v>
      </c>
      <c r="C36" t="s">
        <v>4016</v>
      </c>
      <c r="D36" t="s">
        <v>5276</v>
      </c>
      <c r="E36" t="s">
        <v>3467</v>
      </c>
      <c r="F36" t="s">
        <v>5277</v>
      </c>
      <c r="G36" t="s">
        <v>5218</v>
      </c>
      <c r="H36" t="s">
        <v>4069</v>
      </c>
      <c r="I36" t="s">
        <v>5281</v>
      </c>
      <c r="J36" t="s">
        <v>3518</v>
      </c>
      <c r="K36" t="s">
        <v>3467</v>
      </c>
    </row>
    <row r="37" spans="1:11" ht="15" customHeight="1" x14ac:dyDescent="0.25">
      <c r="A37" t="s">
        <v>5282</v>
      </c>
      <c r="B37" t="s">
        <v>5283</v>
      </c>
      <c r="C37" t="s">
        <v>4016</v>
      </c>
      <c r="D37" t="s">
        <v>5276</v>
      </c>
      <c r="E37" t="s">
        <v>3467</v>
      </c>
      <c r="F37" t="s">
        <v>5277</v>
      </c>
      <c r="G37" t="s">
        <v>5218</v>
      </c>
      <c r="H37" t="s">
        <v>4069</v>
      </c>
      <c r="I37" t="s">
        <v>5284</v>
      </c>
      <c r="J37" t="s">
        <v>3518</v>
      </c>
      <c r="K37" t="s">
        <v>3467</v>
      </c>
    </row>
    <row r="38" spans="1:11" ht="15" customHeight="1" x14ac:dyDescent="0.25">
      <c r="A38" t="s">
        <v>5285</v>
      </c>
      <c r="B38" t="s">
        <v>5286</v>
      </c>
      <c r="C38" t="s">
        <v>4028</v>
      </c>
      <c r="D38" t="s">
        <v>4034</v>
      </c>
      <c r="E38" t="s">
        <v>3467</v>
      </c>
      <c r="F38" t="s">
        <v>5204</v>
      </c>
      <c r="G38" t="s">
        <v>5218</v>
      </c>
      <c r="H38" t="s">
        <v>4052</v>
      </c>
      <c r="I38" t="s">
        <v>5287</v>
      </c>
      <c r="J38" t="s">
        <v>3467</v>
      </c>
      <c r="K38" t="s">
        <v>3467</v>
      </c>
    </row>
    <row r="39" spans="1:11" ht="15" customHeight="1" x14ac:dyDescent="0.25">
      <c r="A39" t="s">
        <v>5288</v>
      </c>
      <c r="B39" t="s">
        <v>5289</v>
      </c>
      <c r="C39" t="s">
        <v>4028</v>
      </c>
      <c r="D39" t="s">
        <v>187</v>
      </c>
      <c r="E39" t="s">
        <v>3467</v>
      </c>
      <c r="F39" t="s">
        <v>5204</v>
      </c>
      <c r="G39" t="s">
        <v>39</v>
      </c>
      <c r="H39" t="s">
        <v>4052</v>
      </c>
      <c r="I39" t="s">
        <v>5288</v>
      </c>
      <c r="J39" t="s">
        <v>3467</v>
      </c>
      <c r="K39" t="s">
        <v>3467</v>
      </c>
    </row>
    <row r="40" spans="1:11" ht="15" customHeight="1" x14ac:dyDescent="0.25">
      <c r="A40" t="s">
        <v>5290</v>
      </c>
      <c r="B40" t="s">
        <v>5291</v>
      </c>
      <c r="C40" t="s">
        <v>4016</v>
      </c>
      <c r="D40" t="s">
        <v>187</v>
      </c>
      <c r="E40" t="s">
        <v>3467</v>
      </c>
      <c r="F40" t="s">
        <v>4342</v>
      </c>
      <c r="G40" t="s">
        <v>39</v>
      </c>
      <c r="H40" t="s">
        <v>4069</v>
      </c>
      <c r="I40" t="s">
        <v>5290</v>
      </c>
      <c r="J40" t="s">
        <v>3518</v>
      </c>
      <c r="K40" t="s">
        <v>3467</v>
      </c>
    </row>
    <row r="41" spans="1:11" ht="15" customHeight="1" x14ac:dyDescent="0.25">
      <c r="A41" t="s">
        <v>5292</v>
      </c>
      <c r="B41" t="s">
        <v>5293</v>
      </c>
      <c r="C41" t="s">
        <v>3757</v>
      </c>
      <c r="D41" t="s">
        <v>4034</v>
      </c>
      <c r="E41" t="s">
        <v>3467</v>
      </c>
      <c r="F41" t="s">
        <v>4342</v>
      </c>
      <c r="G41" t="s">
        <v>5221</v>
      </c>
      <c r="H41" t="s">
        <v>4080</v>
      </c>
      <c r="I41" t="s">
        <v>5294</v>
      </c>
      <c r="J41" t="s">
        <v>3467</v>
      </c>
      <c r="K41" t="s">
        <v>3467</v>
      </c>
    </row>
    <row r="42" spans="1:11" ht="15" customHeight="1" x14ac:dyDescent="0.25">
      <c r="A42" t="s">
        <v>5295</v>
      </c>
      <c r="B42" t="s">
        <v>5296</v>
      </c>
      <c r="C42" t="s">
        <v>4016</v>
      </c>
      <c r="D42" t="s">
        <v>187</v>
      </c>
      <c r="E42" t="s">
        <v>3467</v>
      </c>
      <c r="F42" t="s">
        <v>5297</v>
      </c>
      <c r="G42" t="s">
        <v>39</v>
      </c>
      <c r="H42" t="s">
        <v>4069</v>
      </c>
      <c r="I42" t="s">
        <v>5298</v>
      </c>
      <c r="J42" t="s">
        <v>3530</v>
      </c>
      <c r="K42" t="s">
        <v>3467</v>
      </c>
    </row>
    <row r="43" spans="1:11" ht="15" customHeight="1" x14ac:dyDescent="0.25">
      <c r="A43" t="s">
        <v>5299</v>
      </c>
      <c r="B43" t="s">
        <v>5300</v>
      </c>
      <c r="C43" t="s">
        <v>4028</v>
      </c>
      <c r="D43" t="s">
        <v>187</v>
      </c>
      <c r="E43" t="s">
        <v>3467</v>
      </c>
      <c r="F43" t="s">
        <v>5301</v>
      </c>
      <c r="G43" t="s">
        <v>39</v>
      </c>
      <c r="H43" t="s">
        <v>4052</v>
      </c>
      <c r="I43" t="s">
        <v>5299</v>
      </c>
      <c r="J43" t="s">
        <v>41</v>
      </c>
      <c r="K43" t="s">
        <v>3467</v>
      </c>
    </row>
    <row r="44" spans="1:11" ht="15" customHeight="1" x14ac:dyDescent="0.25">
      <c r="A44" t="s">
        <v>4642</v>
      </c>
      <c r="B44" t="s">
        <v>5302</v>
      </c>
      <c r="C44" t="s">
        <v>4016</v>
      </c>
      <c r="D44" t="s">
        <v>187</v>
      </c>
      <c r="E44" t="s">
        <v>3467</v>
      </c>
      <c r="F44" t="s">
        <v>4342</v>
      </c>
      <c r="G44" t="s">
        <v>39</v>
      </c>
      <c r="H44" t="s">
        <v>4069</v>
      </c>
      <c r="I44" t="s">
        <v>4642</v>
      </c>
      <c r="J44" t="s">
        <v>3530</v>
      </c>
      <c r="K44" t="s">
        <v>3467</v>
      </c>
    </row>
    <row r="45" spans="1:11" ht="15" customHeight="1" x14ac:dyDescent="0.25">
      <c r="A45" t="s">
        <v>5303</v>
      </c>
      <c r="B45" t="s">
        <v>5304</v>
      </c>
      <c r="C45" t="s">
        <v>4016</v>
      </c>
      <c r="D45" t="s">
        <v>187</v>
      </c>
      <c r="E45" t="s">
        <v>3467</v>
      </c>
      <c r="F45" t="s">
        <v>5204</v>
      </c>
      <c r="G45" t="s">
        <v>39</v>
      </c>
      <c r="H45" t="s">
        <v>4069</v>
      </c>
      <c r="I45" t="s">
        <v>5303</v>
      </c>
      <c r="J45" t="s">
        <v>3530</v>
      </c>
      <c r="K45" t="s">
        <v>3467</v>
      </c>
    </row>
    <row r="46" spans="1:11" ht="15" customHeight="1" x14ac:dyDescent="0.25">
      <c r="A46" t="s">
        <v>5305</v>
      </c>
      <c r="B46" t="s">
        <v>5306</v>
      </c>
      <c r="C46" t="s">
        <v>3757</v>
      </c>
      <c r="D46" t="s">
        <v>4034</v>
      </c>
      <c r="E46" t="s">
        <v>3467</v>
      </c>
      <c r="F46" t="s">
        <v>4342</v>
      </c>
      <c r="G46" t="s">
        <v>5221</v>
      </c>
      <c r="H46" t="s">
        <v>4080</v>
      </c>
      <c r="I46" t="s">
        <v>5305</v>
      </c>
      <c r="J46" t="s">
        <v>3467</v>
      </c>
      <c r="K46" t="s">
        <v>3467</v>
      </c>
    </row>
    <row r="47" spans="1:11" ht="15" customHeight="1" x14ac:dyDescent="0.25">
      <c r="A47" t="s">
        <v>5307</v>
      </c>
      <c r="B47" t="s">
        <v>5308</v>
      </c>
      <c r="C47" t="s">
        <v>4016</v>
      </c>
      <c r="D47" t="s">
        <v>187</v>
      </c>
      <c r="E47" t="s">
        <v>3467</v>
      </c>
      <c r="F47" t="s">
        <v>4342</v>
      </c>
      <c r="G47" t="s">
        <v>39</v>
      </c>
      <c r="H47" t="s">
        <v>4069</v>
      </c>
      <c r="I47" t="s">
        <v>5307</v>
      </c>
      <c r="J47" t="s">
        <v>3518</v>
      </c>
      <c r="K47" t="s">
        <v>3467</v>
      </c>
    </row>
    <row r="48" spans="1:11" ht="15" customHeight="1" x14ac:dyDescent="0.25">
      <c r="A48" t="s">
        <v>5309</v>
      </c>
      <c r="B48" t="s">
        <v>5310</v>
      </c>
      <c r="C48" t="s">
        <v>4028</v>
      </c>
      <c r="D48" t="s">
        <v>187</v>
      </c>
      <c r="E48" t="s">
        <v>3467</v>
      </c>
      <c r="F48" t="s">
        <v>5311</v>
      </c>
      <c r="G48" t="s">
        <v>39</v>
      </c>
      <c r="H48" t="s">
        <v>4052</v>
      </c>
      <c r="I48" t="s">
        <v>5309</v>
      </c>
      <c r="J48" t="s">
        <v>3467</v>
      </c>
      <c r="K48" t="s">
        <v>3467</v>
      </c>
    </row>
    <row r="49" spans="1:11" ht="15" customHeight="1" x14ac:dyDescent="0.25">
      <c r="A49" t="s">
        <v>5312</v>
      </c>
      <c r="B49" t="s">
        <v>5313</v>
      </c>
      <c r="C49" t="s">
        <v>3757</v>
      </c>
      <c r="D49" t="s">
        <v>4034</v>
      </c>
      <c r="E49" t="s">
        <v>3467</v>
      </c>
      <c r="F49" t="s">
        <v>4342</v>
      </c>
      <c r="G49" t="s">
        <v>5221</v>
      </c>
      <c r="H49" t="s">
        <v>4080</v>
      </c>
      <c r="I49" t="s">
        <v>5312</v>
      </c>
      <c r="J49" t="s">
        <v>3467</v>
      </c>
      <c r="K49" t="s">
        <v>3467</v>
      </c>
    </row>
    <row r="50" spans="1:11" ht="15" customHeight="1" x14ac:dyDescent="0.25">
      <c r="A50" t="s">
        <v>5314</v>
      </c>
      <c r="B50" t="s">
        <v>5315</v>
      </c>
      <c r="C50" t="s">
        <v>4016</v>
      </c>
      <c r="D50" t="s">
        <v>187</v>
      </c>
      <c r="E50" t="s">
        <v>3467</v>
      </c>
      <c r="F50" t="s">
        <v>5277</v>
      </c>
      <c r="G50" t="s">
        <v>39</v>
      </c>
      <c r="H50" t="s">
        <v>4069</v>
      </c>
      <c r="I50" t="s">
        <v>5314</v>
      </c>
      <c r="J50" t="s">
        <v>3467</v>
      </c>
      <c r="K50" t="s">
        <v>3467</v>
      </c>
    </row>
    <row r="51" spans="1:11" ht="15" customHeight="1" x14ac:dyDescent="0.25">
      <c r="A51" t="s">
        <v>5316</v>
      </c>
      <c r="B51" t="s">
        <v>5317</v>
      </c>
      <c r="C51" t="s">
        <v>4028</v>
      </c>
      <c r="D51" t="s">
        <v>4034</v>
      </c>
      <c r="E51" t="s">
        <v>3467</v>
      </c>
      <c r="F51" t="s">
        <v>4342</v>
      </c>
      <c r="G51" t="s">
        <v>39</v>
      </c>
      <c r="H51" t="s">
        <v>4052</v>
      </c>
      <c r="I51" t="s">
        <v>5316</v>
      </c>
      <c r="J51" t="s">
        <v>3467</v>
      </c>
      <c r="K51" t="s">
        <v>3467</v>
      </c>
    </row>
    <row r="52" spans="1:11" ht="15" customHeight="1" x14ac:dyDescent="0.25">
      <c r="A52" t="s">
        <v>5318</v>
      </c>
      <c r="B52" t="s">
        <v>5319</v>
      </c>
      <c r="C52" t="s">
        <v>4028</v>
      </c>
      <c r="D52" t="s">
        <v>4034</v>
      </c>
      <c r="E52" t="s">
        <v>3467</v>
      </c>
      <c r="F52" t="s">
        <v>4342</v>
      </c>
      <c r="G52" t="s">
        <v>39</v>
      </c>
      <c r="H52" t="s">
        <v>4052</v>
      </c>
      <c r="I52" t="s">
        <v>5320</v>
      </c>
      <c r="J52" t="s">
        <v>3518</v>
      </c>
      <c r="K52" t="s">
        <v>3467</v>
      </c>
    </row>
    <row r="53" spans="1:11" ht="15" customHeight="1" x14ac:dyDescent="0.25">
      <c r="A53" t="s">
        <v>5321</v>
      </c>
      <c r="B53" t="s">
        <v>5322</v>
      </c>
      <c r="C53" t="s">
        <v>3757</v>
      </c>
      <c r="D53" t="s">
        <v>4034</v>
      </c>
      <c r="E53" t="s">
        <v>3467</v>
      </c>
      <c r="F53" t="s">
        <v>4342</v>
      </c>
      <c r="G53" t="s">
        <v>5221</v>
      </c>
      <c r="H53" t="s">
        <v>4069</v>
      </c>
      <c r="I53" t="s">
        <v>5321</v>
      </c>
      <c r="J53" t="s">
        <v>3467</v>
      </c>
      <c r="K53" t="s">
        <v>3467</v>
      </c>
    </row>
    <row r="54" spans="1:11" ht="15" customHeight="1" x14ac:dyDescent="0.25">
      <c r="A54" t="s">
        <v>5323</v>
      </c>
      <c r="B54" t="s">
        <v>5324</v>
      </c>
      <c r="C54" t="s">
        <v>3757</v>
      </c>
      <c r="D54" t="s">
        <v>4034</v>
      </c>
      <c r="E54" t="s">
        <v>3467</v>
      </c>
      <c r="F54" t="s">
        <v>4342</v>
      </c>
      <c r="G54" t="s">
        <v>5221</v>
      </c>
      <c r="H54" t="s">
        <v>4052</v>
      </c>
      <c r="I54" t="s">
        <v>5325</v>
      </c>
      <c r="J54" t="s">
        <v>3467</v>
      </c>
      <c r="K54" t="s">
        <v>3467</v>
      </c>
    </row>
    <row r="55" spans="1:11" ht="15" customHeight="1" x14ac:dyDescent="0.25">
      <c r="A55" t="s">
        <v>5325</v>
      </c>
      <c r="B55" t="s">
        <v>5326</v>
      </c>
      <c r="C55" t="s">
        <v>4028</v>
      </c>
      <c r="D55" t="s">
        <v>4034</v>
      </c>
      <c r="E55">
        <v>1</v>
      </c>
      <c r="F55" t="s">
        <v>5204</v>
      </c>
      <c r="G55" t="s">
        <v>5221</v>
      </c>
      <c r="H55" t="s">
        <v>4052</v>
      </c>
      <c r="I55" t="s">
        <v>5325</v>
      </c>
      <c r="J55" t="s">
        <v>3467</v>
      </c>
      <c r="K55" t="s">
        <v>3467</v>
      </c>
    </row>
    <row r="56" spans="1:11" ht="15" customHeight="1" x14ac:dyDescent="0.25">
      <c r="A56" t="s">
        <v>5327</v>
      </c>
      <c r="B56" t="s">
        <v>5328</v>
      </c>
      <c r="C56" t="s">
        <v>4016</v>
      </c>
      <c r="D56" t="s">
        <v>187</v>
      </c>
      <c r="E56" t="s">
        <v>3467</v>
      </c>
      <c r="F56" t="s">
        <v>4342</v>
      </c>
      <c r="G56" t="s">
        <v>39</v>
      </c>
      <c r="H56" t="s">
        <v>4069</v>
      </c>
      <c r="I56" t="s">
        <v>5327</v>
      </c>
      <c r="J56" t="s">
        <v>3530</v>
      </c>
      <c r="K56" t="s">
        <v>3467</v>
      </c>
    </row>
    <row r="57" spans="1:11" ht="15" customHeight="1" x14ac:dyDescent="0.25">
      <c r="A57" t="s">
        <v>5329</v>
      </c>
      <c r="B57" t="s">
        <v>5330</v>
      </c>
      <c r="C57" t="s">
        <v>5331</v>
      </c>
      <c r="D57" t="s">
        <v>4034</v>
      </c>
      <c r="E57" t="s">
        <v>3467</v>
      </c>
      <c r="F57" t="s">
        <v>4342</v>
      </c>
      <c r="G57" t="s">
        <v>5221</v>
      </c>
      <c r="H57" t="s">
        <v>4080</v>
      </c>
      <c r="I57" t="s">
        <v>5329</v>
      </c>
      <c r="J57" t="s">
        <v>3467</v>
      </c>
      <c r="K57" t="s">
        <v>3467</v>
      </c>
    </row>
    <row r="58" spans="1:11" ht="15" customHeight="1" x14ac:dyDescent="0.25">
      <c r="A58" t="s">
        <v>5332</v>
      </c>
      <c r="B58" t="s">
        <v>5333</v>
      </c>
      <c r="C58" t="s">
        <v>4028</v>
      </c>
      <c r="D58" t="s">
        <v>187</v>
      </c>
      <c r="E58" t="s">
        <v>3467</v>
      </c>
      <c r="F58" t="s">
        <v>5204</v>
      </c>
      <c r="G58" t="s">
        <v>39</v>
      </c>
      <c r="H58" t="s">
        <v>4052</v>
      </c>
      <c r="I58" t="s">
        <v>5332</v>
      </c>
      <c r="J58" t="s">
        <v>41</v>
      </c>
      <c r="K58" t="s">
        <v>3467</v>
      </c>
    </row>
    <row r="59" spans="1:11" ht="15" customHeight="1" x14ac:dyDescent="0.25">
      <c r="A59" t="s">
        <v>5334</v>
      </c>
      <c r="B59" t="s">
        <v>5335</v>
      </c>
      <c r="C59" t="s">
        <v>4028</v>
      </c>
      <c r="D59" t="s">
        <v>187</v>
      </c>
      <c r="E59" t="s">
        <v>3467</v>
      </c>
      <c r="F59" t="s">
        <v>5204</v>
      </c>
      <c r="G59" t="s">
        <v>39</v>
      </c>
      <c r="H59" t="s">
        <v>4052</v>
      </c>
      <c r="I59" t="s">
        <v>5334</v>
      </c>
      <c r="J59" t="s">
        <v>41</v>
      </c>
      <c r="K59" t="s">
        <v>3467</v>
      </c>
    </row>
    <row r="60" spans="1:11" ht="15" customHeight="1" x14ac:dyDescent="0.25">
      <c r="A60" t="s">
        <v>5336</v>
      </c>
      <c r="B60" t="s">
        <v>5337</v>
      </c>
      <c r="C60" t="s">
        <v>3757</v>
      </c>
      <c r="D60" t="s">
        <v>187</v>
      </c>
      <c r="E60" t="s">
        <v>3467</v>
      </c>
      <c r="F60" t="s">
        <v>5217</v>
      </c>
      <c r="G60" t="s">
        <v>5218</v>
      </c>
      <c r="H60" t="s">
        <v>4069</v>
      </c>
      <c r="I60" t="s">
        <v>5338</v>
      </c>
      <c r="J60" t="s">
        <v>3467</v>
      </c>
      <c r="K60" t="s">
        <v>3467</v>
      </c>
    </row>
    <row r="61" spans="1:11" ht="15" customHeight="1" x14ac:dyDescent="0.25">
      <c r="A61" t="s">
        <v>5339</v>
      </c>
      <c r="B61" t="s">
        <v>5340</v>
      </c>
      <c r="C61" t="s">
        <v>3757</v>
      </c>
      <c r="D61" t="s">
        <v>187</v>
      </c>
      <c r="E61" t="s">
        <v>3467</v>
      </c>
      <c r="F61" t="s">
        <v>5204</v>
      </c>
      <c r="G61" t="s">
        <v>39</v>
      </c>
      <c r="H61" t="s">
        <v>4080</v>
      </c>
      <c r="I61" t="s">
        <v>5339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5190</v>
      </c>
      <c r="G1" t="s">
        <v>4303</v>
      </c>
      <c r="H1" t="s">
        <v>5191</v>
      </c>
      <c r="I1" t="s">
        <v>4047</v>
      </c>
      <c r="J1" t="s">
        <v>5341</v>
      </c>
      <c r="K1" t="s">
        <v>6</v>
      </c>
      <c r="L1" t="s">
        <v>5342</v>
      </c>
      <c r="M1" t="s">
        <v>5343</v>
      </c>
    </row>
    <row r="2" spans="1:13" ht="15" customHeight="1" x14ac:dyDescent="0.25">
      <c r="A2" t="s">
        <v>5193</v>
      </c>
      <c r="B2" t="s">
        <v>5194</v>
      </c>
      <c r="C2" t="s">
        <v>5344</v>
      </c>
      <c r="D2" t="s">
        <v>4016</v>
      </c>
      <c r="E2" t="s">
        <v>187</v>
      </c>
      <c r="F2" t="s">
        <v>3467</v>
      </c>
      <c r="G2" t="s">
        <v>4342</v>
      </c>
      <c r="H2" t="s">
        <v>39</v>
      </c>
      <c r="I2" t="s">
        <v>4069</v>
      </c>
      <c r="J2" t="s">
        <v>5193</v>
      </c>
      <c r="K2" t="s">
        <v>3530</v>
      </c>
      <c r="L2" t="s">
        <v>187</v>
      </c>
      <c r="M2" t="s">
        <v>3467</v>
      </c>
    </row>
    <row r="3" spans="1:13" ht="15" customHeight="1" x14ac:dyDescent="0.25">
      <c r="A3" t="s">
        <v>5196</v>
      </c>
      <c r="B3" t="s">
        <v>5345</v>
      </c>
      <c r="C3" t="s">
        <v>5346</v>
      </c>
      <c r="D3" t="s">
        <v>4028</v>
      </c>
      <c r="E3" t="s">
        <v>187</v>
      </c>
      <c r="F3" t="s">
        <v>3467</v>
      </c>
      <c r="G3" t="s">
        <v>5347</v>
      </c>
      <c r="H3" t="s">
        <v>39</v>
      </c>
      <c r="I3" t="s">
        <v>4052</v>
      </c>
      <c r="J3" t="s">
        <v>5196</v>
      </c>
      <c r="K3" t="s">
        <v>3530</v>
      </c>
      <c r="L3" t="s">
        <v>4034</v>
      </c>
      <c r="M3" t="s">
        <v>5348</v>
      </c>
    </row>
    <row r="4" spans="1:13" ht="15" customHeight="1" x14ac:dyDescent="0.25">
      <c r="A4" t="s">
        <v>5199</v>
      </c>
      <c r="B4" t="s">
        <v>5349</v>
      </c>
      <c r="C4" t="s">
        <v>5350</v>
      </c>
      <c r="D4" t="s">
        <v>4016</v>
      </c>
      <c r="E4" t="s">
        <v>187</v>
      </c>
      <c r="F4" t="s">
        <v>3467</v>
      </c>
      <c r="G4" t="s">
        <v>4342</v>
      </c>
      <c r="H4" t="s">
        <v>39</v>
      </c>
      <c r="I4" t="s">
        <v>4069</v>
      </c>
      <c r="J4" t="s">
        <v>5201</v>
      </c>
      <c r="K4" t="s">
        <v>3518</v>
      </c>
      <c r="L4" t="s">
        <v>187</v>
      </c>
      <c r="M4" t="s">
        <v>3467</v>
      </c>
    </row>
    <row r="5" spans="1:13" ht="15" customHeight="1" x14ac:dyDescent="0.25">
      <c r="A5" s="5" t="s">
        <v>5202</v>
      </c>
      <c r="B5" s="5" t="s">
        <v>5351</v>
      </c>
      <c r="C5" s="5" t="s">
        <v>5352</v>
      </c>
      <c r="D5" s="5" t="s">
        <v>4028</v>
      </c>
      <c r="E5" s="5" t="s">
        <v>187</v>
      </c>
      <c r="F5" s="5" t="s">
        <v>3467</v>
      </c>
      <c r="G5" s="5" t="s">
        <v>5204</v>
      </c>
      <c r="H5" s="5" t="s">
        <v>39</v>
      </c>
      <c r="I5" s="5" t="s">
        <v>4052</v>
      </c>
      <c r="J5" s="5" t="s">
        <v>5202</v>
      </c>
      <c r="K5" s="5" t="s">
        <v>41</v>
      </c>
      <c r="L5" t="s">
        <v>187</v>
      </c>
      <c r="M5" t="s">
        <v>3467</v>
      </c>
    </row>
    <row r="6" spans="1:13" ht="15" customHeight="1" x14ac:dyDescent="0.25">
      <c r="A6" t="s">
        <v>5209</v>
      </c>
      <c r="B6" t="s">
        <v>5353</v>
      </c>
      <c r="C6" t="s">
        <v>5354</v>
      </c>
      <c r="D6" t="s">
        <v>4028</v>
      </c>
      <c r="E6" t="s">
        <v>187</v>
      </c>
      <c r="F6" t="s">
        <v>3467</v>
      </c>
      <c r="G6" t="s">
        <v>4342</v>
      </c>
      <c r="H6" t="s">
        <v>39</v>
      </c>
      <c r="I6" t="s">
        <v>4052</v>
      </c>
      <c r="J6" t="s">
        <v>5209</v>
      </c>
      <c r="K6" t="s">
        <v>41</v>
      </c>
      <c r="L6" t="s">
        <v>187</v>
      </c>
      <c r="M6" t="s">
        <v>3467</v>
      </c>
    </row>
    <row r="7" spans="1:13" ht="15" customHeight="1" x14ac:dyDescent="0.25">
      <c r="A7" s="6" t="s">
        <v>5211</v>
      </c>
      <c r="B7" s="7" t="s">
        <v>5212</v>
      </c>
      <c r="C7" s="7" t="s">
        <v>5355</v>
      </c>
      <c r="D7" s="7" t="s">
        <v>4016</v>
      </c>
      <c r="E7" s="7" t="s">
        <v>187</v>
      </c>
      <c r="F7" s="7" t="s">
        <v>3467</v>
      </c>
      <c r="G7" s="8" t="s">
        <v>5233</v>
      </c>
      <c r="H7" s="7" t="s">
        <v>39</v>
      </c>
      <c r="I7" s="7" t="s">
        <v>4069</v>
      </c>
      <c r="J7" s="7" t="s">
        <v>5211</v>
      </c>
      <c r="K7" s="7" t="s">
        <v>3518</v>
      </c>
      <c r="L7" t="s">
        <v>187</v>
      </c>
      <c r="M7" t="s">
        <v>3467</v>
      </c>
    </row>
    <row r="8" spans="1:13" ht="15" customHeight="1" x14ac:dyDescent="0.25">
      <c r="A8" t="s">
        <v>4039</v>
      </c>
      <c r="B8" t="s">
        <v>5214</v>
      </c>
      <c r="C8" t="s">
        <v>5356</v>
      </c>
      <c r="D8" t="s">
        <v>4028</v>
      </c>
      <c r="E8" t="s">
        <v>187</v>
      </c>
      <c r="F8" t="s">
        <v>3467</v>
      </c>
      <c r="G8" t="s">
        <v>5204</v>
      </c>
      <c r="H8" t="s">
        <v>39</v>
      </c>
      <c r="I8" t="s">
        <v>4052</v>
      </c>
      <c r="J8" t="s">
        <v>4039</v>
      </c>
      <c r="K8" t="s">
        <v>41</v>
      </c>
      <c r="L8" t="s">
        <v>187</v>
      </c>
      <c r="M8" t="s">
        <v>3467</v>
      </c>
    </row>
    <row r="9" spans="1:13" ht="15" customHeight="1" x14ac:dyDescent="0.25">
      <c r="A9" t="s">
        <v>5222</v>
      </c>
      <c r="B9" s="9" t="s">
        <v>5357</v>
      </c>
      <c r="C9" s="9" t="s">
        <v>5358</v>
      </c>
      <c r="D9" t="s">
        <v>4028</v>
      </c>
      <c r="E9" t="s">
        <v>187</v>
      </c>
      <c r="F9" t="s">
        <v>3467</v>
      </c>
      <c r="G9" t="s">
        <v>5204</v>
      </c>
      <c r="H9" t="s">
        <v>5218</v>
      </c>
      <c r="I9" t="s">
        <v>4052</v>
      </c>
      <c r="J9" t="s">
        <v>5222</v>
      </c>
      <c r="K9" t="s">
        <v>3467</v>
      </c>
      <c r="L9" t="s">
        <v>187</v>
      </c>
      <c r="M9" t="s">
        <v>3467</v>
      </c>
    </row>
    <row r="10" spans="1:13" ht="15" customHeight="1" x14ac:dyDescent="0.25">
      <c r="A10" t="s">
        <v>5359</v>
      </c>
      <c r="B10" t="s">
        <v>5360</v>
      </c>
      <c r="C10" t="s">
        <v>5361</v>
      </c>
      <c r="D10" t="s">
        <v>4016</v>
      </c>
      <c r="E10" t="s">
        <v>187</v>
      </c>
      <c r="F10" t="s">
        <v>3467</v>
      </c>
      <c r="G10" t="s">
        <v>4342</v>
      </c>
      <c r="H10" t="s">
        <v>39</v>
      </c>
      <c r="I10" t="s">
        <v>4069</v>
      </c>
      <c r="J10" t="s">
        <v>5362</v>
      </c>
      <c r="K10" t="s">
        <v>41</v>
      </c>
      <c r="L10" t="s">
        <v>187</v>
      </c>
      <c r="M10" t="s">
        <v>3467</v>
      </c>
    </row>
    <row r="11" spans="1:13" ht="15" customHeight="1" x14ac:dyDescent="0.25">
      <c r="A11" t="s">
        <v>5227</v>
      </c>
      <c r="B11" s="9" t="s">
        <v>5363</v>
      </c>
      <c r="C11" s="9" t="s">
        <v>5364</v>
      </c>
      <c r="D11" t="s">
        <v>3757</v>
      </c>
      <c r="E11" t="s">
        <v>4034</v>
      </c>
      <c r="F11" t="s">
        <v>3467</v>
      </c>
      <c r="G11" t="s">
        <v>4342</v>
      </c>
      <c r="H11" t="s">
        <v>39</v>
      </c>
      <c r="I11" t="s">
        <v>4069</v>
      </c>
      <c r="J11" t="s">
        <v>5229</v>
      </c>
      <c r="K11" t="s">
        <v>3467</v>
      </c>
      <c r="L11" t="s">
        <v>187</v>
      </c>
      <c r="M11" t="s">
        <v>3467</v>
      </c>
    </row>
    <row r="12" spans="1:13" ht="15" customHeight="1" x14ac:dyDescent="0.25">
      <c r="A12" t="s">
        <v>3528</v>
      </c>
      <c r="B12" t="s">
        <v>5230</v>
      </c>
      <c r="C12" t="s">
        <v>5365</v>
      </c>
      <c r="D12" t="s">
        <v>4016</v>
      </c>
      <c r="E12" t="s">
        <v>187</v>
      </c>
      <c r="F12" t="s">
        <v>3467</v>
      </c>
      <c r="G12" t="s">
        <v>4342</v>
      </c>
      <c r="H12" t="s">
        <v>39</v>
      </c>
      <c r="I12" t="s">
        <v>4069</v>
      </c>
      <c r="J12" t="s">
        <v>3528</v>
      </c>
      <c r="K12" t="s">
        <v>3530</v>
      </c>
      <c r="L12" t="s">
        <v>187</v>
      </c>
      <c r="M12" t="s">
        <v>3467</v>
      </c>
    </row>
    <row r="13" spans="1:13" ht="15" customHeight="1" x14ac:dyDescent="0.25">
      <c r="A13" t="s">
        <v>5231</v>
      </c>
      <c r="B13" t="s">
        <v>5232</v>
      </c>
      <c r="C13" t="s">
        <v>5355</v>
      </c>
      <c r="D13" t="s">
        <v>4016</v>
      </c>
      <c r="E13" t="s">
        <v>187</v>
      </c>
      <c r="F13" t="s">
        <v>3467</v>
      </c>
      <c r="G13" t="s">
        <v>5213</v>
      </c>
      <c r="H13" t="s">
        <v>39</v>
      </c>
      <c r="I13" t="s">
        <v>4069</v>
      </c>
      <c r="J13" t="s">
        <v>5231</v>
      </c>
      <c r="K13" t="s">
        <v>3518</v>
      </c>
      <c r="L13" t="s">
        <v>187</v>
      </c>
      <c r="M13" t="s">
        <v>3467</v>
      </c>
    </row>
    <row r="14" spans="1:13" ht="15" customHeight="1" x14ac:dyDescent="0.25">
      <c r="A14" t="s">
        <v>5247</v>
      </c>
      <c r="B14" s="9" t="s">
        <v>5246</v>
      </c>
      <c r="C14" s="9" t="s">
        <v>5366</v>
      </c>
      <c r="D14" t="s">
        <v>4028</v>
      </c>
      <c r="E14" t="s">
        <v>187</v>
      </c>
      <c r="F14" t="s">
        <v>3467</v>
      </c>
      <c r="G14" t="s">
        <v>5204</v>
      </c>
      <c r="H14" t="s">
        <v>39</v>
      </c>
      <c r="I14" t="s">
        <v>4052</v>
      </c>
      <c r="J14" t="s">
        <v>5247</v>
      </c>
      <c r="K14" t="s">
        <v>3467</v>
      </c>
      <c r="L14" t="s">
        <v>187</v>
      </c>
      <c r="M14" t="s">
        <v>3467</v>
      </c>
    </row>
    <row r="15" spans="1:13" ht="15" customHeight="1" x14ac:dyDescent="0.25">
      <c r="A15" t="s">
        <v>5248</v>
      </c>
      <c r="B15" t="s">
        <v>5249</v>
      </c>
      <c r="C15" t="s">
        <v>3467</v>
      </c>
      <c r="D15" t="s">
        <v>4028</v>
      </c>
      <c r="E15" t="s">
        <v>187</v>
      </c>
      <c r="F15" t="s">
        <v>3467</v>
      </c>
      <c r="G15" t="s">
        <v>5250</v>
      </c>
      <c r="H15" t="s">
        <v>5218</v>
      </c>
      <c r="I15" t="s">
        <v>4052</v>
      </c>
      <c r="J15" t="s">
        <v>5248</v>
      </c>
      <c r="K15" t="s">
        <v>3530</v>
      </c>
      <c r="L15" t="s">
        <v>4034</v>
      </c>
      <c r="M15" t="s">
        <v>5367</v>
      </c>
    </row>
    <row r="16" spans="1:13" ht="15" customHeight="1" x14ac:dyDescent="0.25">
      <c r="A16" t="s">
        <v>5265</v>
      </c>
      <c r="B16" t="s">
        <v>5266</v>
      </c>
      <c r="C16" t="s">
        <v>5368</v>
      </c>
      <c r="D16" t="s">
        <v>4028</v>
      </c>
      <c r="E16" t="s">
        <v>187</v>
      </c>
      <c r="F16" t="s">
        <v>3467</v>
      </c>
      <c r="G16" t="s">
        <v>5204</v>
      </c>
      <c r="H16" t="s">
        <v>39</v>
      </c>
      <c r="I16" t="s">
        <v>4052</v>
      </c>
      <c r="J16" t="s">
        <v>5265</v>
      </c>
      <c r="K16" t="s">
        <v>41</v>
      </c>
      <c r="L16" t="s">
        <v>187</v>
      </c>
      <c r="M16" t="s">
        <v>3467</v>
      </c>
    </row>
    <row r="17" spans="1:13" ht="15" customHeight="1" x14ac:dyDescent="0.25">
      <c r="A17" t="s">
        <v>5290</v>
      </c>
      <c r="B17" t="s">
        <v>5291</v>
      </c>
      <c r="C17" t="s">
        <v>5369</v>
      </c>
      <c r="D17" t="s">
        <v>4016</v>
      </c>
      <c r="E17" t="s">
        <v>187</v>
      </c>
      <c r="F17" t="s">
        <v>3467</v>
      </c>
      <c r="G17" t="s">
        <v>4342</v>
      </c>
      <c r="H17" t="s">
        <v>39</v>
      </c>
      <c r="I17" t="s">
        <v>4069</v>
      </c>
      <c r="J17" t="s">
        <v>5290</v>
      </c>
      <c r="K17" t="s">
        <v>3518</v>
      </c>
      <c r="L17" t="s">
        <v>187</v>
      </c>
      <c r="M17" t="s">
        <v>3467</v>
      </c>
    </row>
    <row r="18" spans="1:13" ht="15" customHeight="1" x14ac:dyDescent="0.25">
      <c r="A18" t="s">
        <v>5295</v>
      </c>
      <c r="B18" t="s">
        <v>5296</v>
      </c>
      <c r="C18" t="s">
        <v>5370</v>
      </c>
      <c r="D18" t="s">
        <v>4016</v>
      </c>
      <c r="E18" t="s">
        <v>187</v>
      </c>
      <c r="F18" t="s">
        <v>3467</v>
      </c>
      <c r="G18" s="3" t="s">
        <v>5297</v>
      </c>
      <c r="H18" t="s">
        <v>39</v>
      </c>
      <c r="I18" t="s">
        <v>4069</v>
      </c>
      <c r="J18" t="s">
        <v>5298</v>
      </c>
      <c r="K18" t="s">
        <v>3530</v>
      </c>
      <c r="L18" t="s">
        <v>3467</v>
      </c>
      <c r="M18" t="s">
        <v>3467</v>
      </c>
    </row>
    <row r="19" spans="1:13" ht="15" customHeight="1" x14ac:dyDescent="0.25">
      <c r="A19" t="s">
        <v>5299</v>
      </c>
      <c r="B19" t="s">
        <v>5300</v>
      </c>
      <c r="C19" t="s">
        <v>5371</v>
      </c>
      <c r="D19" t="s">
        <v>4028</v>
      </c>
      <c r="E19" t="s">
        <v>187</v>
      </c>
      <c r="F19" t="s">
        <v>3467</v>
      </c>
      <c r="G19" t="s">
        <v>5301</v>
      </c>
      <c r="H19" t="s">
        <v>39</v>
      </c>
      <c r="I19" t="s">
        <v>4052</v>
      </c>
      <c r="J19" t="s">
        <v>5299</v>
      </c>
      <c r="K19" t="s">
        <v>41</v>
      </c>
      <c r="L19" t="s">
        <v>187</v>
      </c>
      <c r="M19" t="s">
        <v>3467</v>
      </c>
    </row>
    <row r="20" spans="1:13" ht="15" customHeight="1" x14ac:dyDescent="0.25">
      <c r="A20" t="s">
        <v>4642</v>
      </c>
      <c r="B20" t="s">
        <v>5302</v>
      </c>
      <c r="C20" t="s">
        <v>5372</v>
      </c>
      <c r="D20" t="s">
        <v>4016</v>
      </c>
      <c r="E20" t="s">
        <v>187</v>
      </c>
      <c r="F20" t="s">
        <v>3467</v>
      </c>
      <c r="G20" t="s">
        <v>4342</v>
      </c>
      <c r="H20" t="s">
        <v>39</v>
      </c>
      <c r="I20" t="s">
        <v>4069</v>
      </c>
      <c r="J20" t="s">
        <v>4642</v>
      </c>
      <c r="K20" t="s">
        <v>3530</v>
      </c>
      <c r="L20" t="s">
        <v>187</v>
      </c>
      <c r="M20" t="s">
        <v>3467</v>
      </c>
    </row>
    <row r="21" spans="1:13" ht="15" customHeight="1" x14ac:dyDescent="0.25">
      <c r="A21" t="s">
        <v>5303</v>
      </c>
      <c r="B21" t="s">
        <v>5304</v>
      </c>
      <c r="C21" t="s">
        <v>5373</v>
      </c>
      <c r="D21" t="s">
        <v>4016</v>
      </c>
      <c r="E21" t="s">
        <v>187</v>
      </c>
      <c r="F21" t="s">
        <v>3467</v>
      </c>
      <c r="G21" t="s">
        <v>5204</v>
      </c>
      <c r="H21" t="s">
        <v>39</v>
      </c>
      <c r="I21" t="s">
        <v>4069</v>
      </c>
      <c r="J21" t="s">
        <v>5303</v>
      </c>
      <c r="K21" t="s">
        <v>3530</v>
      </c>
      <c r="L21" t="s">
        <v>187</v>
      </c>
      <c r="M21" t="s">
        <v>3467</v>
      </c>
    </row>
    <row r="22" spans="1:13" ht="15" customHeight="1" x14ac:dyDescent="0.25">
      <c r="A22" t="s">
        <v>5307</v>
      </c>
      <c r="B22" s="9" t="s">
        <v>5308</v>
      </c>
      <c r="C22" s="9" t="s">
        <v>5374</v>
      </c>
      <c r="D22" t="s">
        <v>4016</v>
      </c>
      <c r="E22" t="s">
        <v>187</v>
      </c>
      <c r="F22" t="s">
        <v>3467</v>
      </c>
      <c r="G22" t="s">
        <v>4342</v>
      </c>
      <c r="H22" t="s">
        <v>39</v>
      </c>
      <c r="I22" t="s">
        <v>4069</v>
      </c>
      <c r="J22" t="s">
        <v>5307</v>
      </c>
      <c r="K22" t="s">
        <v>3518</v>
      </c>
      <c r="L22" t="s">
        <v>187</v>
      </c>
      <c r="M22" t="s">
        <v>3467</v>
      </c>
    </row>
    <row r="23" spans="1:13" ht="15" customHeight="1" x14ac:dyDescent="0.25">
      <c r="A23" t="s">
        <v>5314</v>
      </c>
      <c r="B23" s="9" t="s">
        <v>5375</v>
      </c>
      <c r="C23" s="9" t="s">
        <v>5376</v>
      </c>
      <c r="D23" t="s">
        <v>4016</v>
      </c>
      <c r="E23" t="s">
        <v>187</v>
      </c>
      <c r="F23" t="s">
        <v>3467</v>
      </c>
      <c r="G23" t="s">
        <v>5277</v>
      </c>
      <c r="H23" t="s">
        <v>39</v>
      </c>
      <c r="I23" t="s">
        <v>4069</v>
      </c>
      <c r="J23" t="s">
        <v>5314</v>
      </c>
      <c r="K23" t="s">
        <v>3467</v>
      </c>
      <c r="L23" t="s">
        <v>187</v>
      </c>
      <c r="M23" t="s">
        <v>3467</v>
      </c>
    </row>
    <row r="24" spans="1:13" ht="15" customHeight="1" x14ac:dyDescent="0.25">
      <c r="A24" t="s">
        <v>5316</v>
      </c>
      <c r="B24" s="9" t="s">
        <v>5377</v>
      </c>
      <c r="C24" s="9" t="s">
        <v>5378</v>
      </c>
      <c r="D24" t="s">
        <v>4028</v>
      </c>
      <c r="E24" t="s">
        <v>4034</v>
      </c>
      <c r="F24" t="s">
        <v>3467</v>
      </c>
      <c r="G24" t="s">
        <v>4342</v>
      </c>
      <c r="H24" t="s">
        <v>39</v>
      </c>
      <c r="I24" t="s">
        <v>4052</v>
      </c>
      <c r="J24" t="s">
        <v>5316</v>
      </c>
      <c r="K24" t="s">
        <v>3467</v>
      </c>
      <c r="L24" t="s">
        <v>187</v>
      </c>
      <c r="M24" t="s">
        <v>3467</v>
      </c>
    </row>
    <row r="25" spans="1:13" ht="15" customHeight="1" x14ac:dyDescent="0.25">
      <c r="A25" t="s">
        <v>5318</v>
      </c>
      <c r="B25" t="s">
        <v>5319</v>
      </c>
      <c r="C25" t="s">
        <v>5379</v>
      </c>
      <c r="D25" t="s">
        <v>4028</v>
      </c>
      <c r="E25" t="s">
        <v>4034</v>
      </c>
      <c r="F25" t="s">
        <v>3467</v>
      </c>
      <c r="G25" t="s">
        <v>4342</v>
      </c>
      <c r="H25" t="s">
        <v>39</v>
      </c>
      <c r="I25" t="s">
        <v>4052</v>
      </c>
      <c r="J25" t="s">
        <v>5320</v>
      </c>
      <c r="K25" t="s">
        <v>3518</v>
      </c>
      <c r="L25" t="s">
        <v>187</v>
      </c>
      <c r="M25" t="s">
        <v>3467</v>
      </c>
    </row>
    <row r="26" spans="1:13" ht="15" customHeight="1" x14ac:dyDescent="0.25">
      <c r="A26" t="s">
        <v>5321</v>
      </c>
      <c r="B26" s="9" t="s">
        <v>5380</v>
      </c>
      <c r="C26" s="9" t="s">
        <v>5381</v>
      </c>
      <c r="D26" t="s">
        <v>3757</v>
      </c>
      <c r="E26" t="s">
        <v>4034</v>
      </c>
      <c r="F26" t="s">
        <v>3467</v>
      </c>
      <c r="G26" t="s">
        <v>4342</v>
      </c>
      <c r="H26" t="s">
        <v>5221</v>
      </c>
      <c r="I26" t="s">
        <v>4069</v>
      </c>
      <c r="J26" t="s">
        <v>5321</v>
      </c>
      <c r="K26" t="s">
        <v>3467</v>
      </c>
      <c r="L26" t="s">
        <v>187</v>
      </c>
      <c r="M26" t="s">
        <v>3467</v>
      </c>
    </row>
    <row r="27" spans="1:13" ht="15" customHeight="1" x14ac:dyDescent="0.25">
      <c r="A27" t="s">
        <v>5327</v>
      </c>
      <c r="B27" t="s">
        <v>5382</v>
      </c>
      <c r="C27" t="s">
        <v>5383</v>
      </c>
      <c r="D27" t="s">
        <v>4016</v>
      </c>
      <c r="E27" t="s">
        <v>187</v>
      </c>
      <c r="F27" t="s">
        <v>3467</v>
      </c>
      <c r="G27" t="s">
        <v>4342</v>
      </c>
      <c r="H27" t="s">
        <v>39</v>
      </c>
      <c r="I27" t="s">
        <v>4069</v>
      </c>
      <c r="J27" t="s">
        <v>5327</v>
      </c>
      <c r="K27" t="s">
        <v>3530</v>
      </c>
      <c r="L27" t="s">
        <v>187</v>
      </c>
      <c r="M27" t="s">
        <v>3467</v>
      </c>
    </row>
    <row r="28" spans="1:13" ht="15" customHeight="1" x14ac:dyDescent="0.25">
      <c r="A28" t="s">
        <v>5332</v>
      </c>
      <c r="B28" t="s">
        <v>5333</v>
      </c>
      <c r="C28" t="s">
        <v>5384</v>
      </c>
      <c r="D28" t="s">
        <v>4028</v>
      </c>
      <c r="E28" t="s">
        <v>187</v>
      </c>
      <c r="F28" t="s">
        <v>3467</v>
      </c>
      <c r="G28" t="s">
        <v>5204</v>
      </c>
      <c r="H28" t="s">
        <v>39</v>
      </c>
      <c r="I28" t="s">
        <v>4052</v>
      </c>
      <c r="J28" t="s">
        <v>5332</v>
      </c>
      <c r="K28" t="s">
        <v>41</v>
      </c>
      <c r="L28" t="s">
        <v>187</v>
      </c>
      <c r="M28" t="s">
        <v>3467</v>
      </c>
    </row>
    <row r="29" spans="1:13" ht="15" customHeight="1" x14ac:dyDescent="0.25">
      <c r="A29" t="s">
        <v>5334</v>
      </c>
      <c r="B29" t="s">
        <v>5335</v>
      </c>
      <c r="C29" t="s">
        <v>5385</v>
      </c>
      <c r="D29" t="s">
        <v>4028</v>
      </c>
      <c r="E29" t="s">
        <v>187</v>
      </c>
      <c r="F29" t="s">
        <v>3467</v>
      </c>
      <c r="G29" t="s">
        <v>5204</v>
      </c>
      <c r="H29" t="s">
        <v>39</v>
      </c>
      <c r="I29" t="s">
        <v>4052</v>
      </c>
      <c r="J29" t="s">
        <v>5334</v>
      </c>
      <c r="K29" t="s">
        <v>41</v>
      </c>
      <c r="L29" t="s">
        <v>187</v>
      </c>
      <c r="M29" t="s">
        <v>3467</v>
      </c>
    </row>
    <row r="30" spans="1:13" ht="15" customHeight="1" x14ac:dyDescent="0.25">
      <c r="A30" t="s">
        <v>5325</v>
      </c>
      <c r="B30" t="s">
        <v>5326</v>
      </c>
      <c r="C30" t="s">
        <v>5386</v>
      </c>
      <c r="D30" t="s">
        <v>4028</v>
      </c>
      <c r="E30" t="s">
        <v>4034</v>
      </c>
      <c r="F30">
        <v>1</v>
      </c>
      <c r="G30" t="s">
        <v>5204</v>
      </c>
      <c r="H30" t="s">
        <v>39</v>
      </c>
      <c r="I30" t="s">
        <v>4052</v>
      </c>
      <c r="J30" t="s">
        <v>5325</v>
      </c>
      <c r="K30" t="s">
        <v>3467</v>
      </c>
      <c r="L30" t="s">
        <v>187</v>
      </c>
      <c r="M30" t="s">
        <v>5387</v>
      </c>
    </row>
    <row r="31" spans="1:13" ht="60" customHeight="1" x14ac:dyDescent="0.25">
      <c r="A31" t="s">
        <v>5282</v>
      </c>
      <c r="B31" s="9" t="s">
        <v>5388</v>
      </c>
      <c r="C31" s="9" t="s">
        <v>5389</v>
      </c>
      <c r="D31" t="s">
        <v>4016</v>
      </c>
      <c r="E31" t="s">
        <v>187</v>
      </c>
      <c r="F31" t="s">
        <v>3467</v>
      </c>
      <c r="G31" t="s">
        <v>5277</v>
      </c>
      <c r="H31" t="s">
        <v>5218</v>
      </c>
      <c r="I31" t="s">
        <v>4069</v>
      </c>
      <c r="J31" t="s">
        <v>5284</v>
      </c>
      <c r="K31" t="s">
        <v>3530</v>
      </c>
      <c r="L31" t="s">
        <v>4034</v>
      </c>
      <c r="M31" s="9" t="s">
        <v>5390</v>
      </c>
    </row>
    <row r="32" spans="1:13" ht="45" customHeight="1" x14ac:dyDescent="0.25">
      <c r="A32" t="s">
        <v>5279</v>
      </c>
      <c r="B32" s="9" t="s">
        <v>5391</v>
      </c>
      <c r="C32" s="9" t="s">
        <v>5392</v>
      </c>
      <c r="D32" t="s">
        <v>4016</v>
      </c>
      <c r="E32" t="s">
        <v>187</v>
      </c>
      <c r="F32" t="s">
        <v>3467</v>
      </c>
      <c r="G32" t="s">
        <v>5277</v>
      </c>
      <c r="H32" t="s">
        <v>5218</v>
      </c>
      <c r="I32" t="s">
        <v>4069</v>
      </c>
      <c r="J32" t="s">
        <v>5281</v>
      </c>
      <c r="K32" t="s">
        <v>3530</v>
      </c>
      <c r="L32" t="s">
        <v>4034</v>
      </c>
      <c r="M32" s="9" t="s">
        <v>5393</v>
      </c>
    </row>
    <row r="33" spans="1:13" ht="60" customHeight="1" x14ac:dyDescent="0.25">
      <c r="A33" t="s">
        <v>5285</v>
      </c>
      <c r="B33" s="9" t="s">
        <v>5394</v>
      </c>
      <c r="C33" s="9" t="s">
        <v>5395</v>
      </c>
      <c r="D33" t="s">
        <v>4028</v>
      </c>
      <c r="E33" t="s">
        <v>187</v>
      </c>
      <c r="F33" t="s">
        <v>3467</v>
      </c>
      <c r="G33" t="s">
        <v>5204</v>
      </c>
      <c r="H33" t="s">
        <v>5218</v>
      </c>
      <c r="I33" t="s">
        <v>4052</v>
      </c>
      <c r="J33" t="s">
        <v>5287</v>
      </c>
      <c r="K33" t="s">
        <v>3467</v>
      </c>
      <c r="L33" t="s">
        <v>4034</v>
      </c>
      <c r="M33" s="9" t="s">
        <v>5396</v>
      </c>
    </row>
    <row r="34" spans="1:13" ht="45" customHeight="1" x14ac:dyDescent="0.25">
      <c r="A34" t="s">
        <v>5267</v>
      </c>
      <c r="B34" s="9" t="s">
        <v>5268</v>
      </c>
      <c r="C34" s="9" t="s">
        <v>5397</v>
      </c>
      <c r="D34" t="s">
        <v>4016</v>
      </c>
      <c r="E34" t="s">
        <v>187</v>
      </c>
      <c r="F34" t="s">
        <v>3467</v>
      </c>
      <c r="G34" t="s">
        <v>5204</v>
      </c>
      <c r="H34" t="s">
        <v>39</v>
      </c>
      <c r="I34" t="s">
        <v>4069</v>
      </c>
      <c r="J34" t="s">
        <v>5267</v>
      </c>
      <c r="K34" t="s">
        <v>3518</v>
      </c>
      <c r="L34" t="s">
        <v>187</v>
      </c>
      <c r="M34" s="9" t="s">
        <v>5398</v>
      </c>
    </row>
    <row r="35" spans="1:13" ht="45" customHeight="1" x14ac:dyDescent="0.25">
      <c r="A35" t="s">
        <v>5219</v>
      </c>
      <c r="B35" s="9" t="s">
        <v>5399</v>
      </c>
      <c r="C35" s="9" t="s">
        <v>5400</v>
      </c>
      <c r="D35" t="s">
        <v>4028</v>
      </c>
      <c r="E35" t="s">
        <v>187</v>
      </c>
      <c r="F35" t="s">
        <v>3467</v>
      </c>
      <c r="G35" t="s">
        <v>5401</v>
      </c>
      <c r="H35" t="s">
        <v>5221</v>
      </c>
      <c r="I35" t="s">
        <v>4052</v>
      </c>
      <c r="J35" t="s">
        <v>5219</v>
      </c>
      <c r="K35" t="s">
        <v>3467</v>
      </c>
      <c r="L35" t="s">
        <v>187</v>
      </c>
      <c r="M35" s="9" t="s">
        <v>5402</v>
      </c>
    </row>
    <row r="36" spans="1:13" x14ac:dyDescent="0.25">
      <c r="A36" t="s">
        <v>5257</v>
      </c>
      <c r="B36" s="9" t="s">
        <v>5403</v>
      </c>
      <c r="C36" s="9" t="s">
        <v>5404</v>
      </c>
      <c r="D36" t="s">
        <v>5405</v>
      </c>
      <c r="E36" t="s">
        <v>187</v>
      </c>
      <c r="F36" t="s">
        <v>3467</v>
      </c>
      <c r="G36" t="s">
        <v>5406</v>
      </c>
      <c r="H36" t="s">
        <v>5218</v>
      </c>
      <c r="I36" t="s">
        <v>4069</v>
      </c>
      <c r="J36" t="s">
        <v>5259</v>
      </c>
      <c r="K36" t="s">
        <v>3530</v>
      </c>
      <c r="L36" t="s">
        <v>4034</v>
      </c>
      <c r="M36" t="s">
        <v>3467</v>
      </c>
    </row>
    <row r="37" spans="1:13" x14ac:dyDescent="0.25">
      <c r="A37" t="s">
        <v>5407</v>
      </c>
      <c r="B37" s="9" t="s">
        <v>5408</v>
      </c>
      <c r="C37" s="9" t="s">
        <v>5404</v>
      </c>
      <c r="D37" t="s">
        <v>5405</v>
      </c>
      <c r="E37" t="s">
        <v>187</v>
      </c>
      <c r="F37" t="s">
        <v>3467</v>
      </c>
      <c r="G37" t="s">
        <v>5406</v>
      </c>
      <c r="H37" t="s">
        <v>5218</v>
      </c>
      <c r="I37" t="s">
        <v>4069</v>
      </c>
      <c r="J37" t="s">
        <v>5407</v>
      </c>
      <c r="K37" t="s">
        <v>3530</v>
      </c>
      <c r="L37" t="s">
        <v>4034</v>
      </c>
      <c r="M37" t="s">
        <v>3467</v>
      </c>
    </row>
    <row r="38" spans="1:13" x14ac:dyDescent="0.25">
      <c r="A38" t="s">
        <v>5409</v>
      </c>
      <c r="B38" s="9" t="s">
        <v>5410</v>
      </c>
      <c r="C38" s="9" t="s">
        <v>5404</v>
      </c>
      <c r="D38" t="s">
        <v>5405</v>
      </c>
      <c r="E38" t="s">
        <v>187</v>
      </c>
      <c r="F38" t="s">
        <v>3467</v>
      </c>
      <c r="G38" t="s">
        <v>5406</v>
      </c>
      <c r="H38" t="s">
        <v>5218</v>
      </c>
      <c r="I38" t="s">
        <v>4069</v>
      </c>
      <c r="J38" t="s">
        <v>5411</v>
      </c>
      <c r="K38" t="s">
        <v>3518</v>
      </c>
      <c r="L38" t="s">
        <v>4034</v>
      </c>
      <c r="M38" t="s">
        <v>3467</v>
      </c>
    </row>
    <row r="39" spans="1:13" x14ac:dyDescent="0.25">
      <c r="A39" t="s">
        <v>5205</v>
      </c>
      <c r="B39" s="9" t="s">
        <v>5412</v>
      </c>
      <c r="C39" s="9" t="s">
        <v>5413</v>
      </c>
      <c r="D39" t="s">
        <v>4016</v>
      </c>
      <c r="E39" t="s">
        <v>187</v>
      </c>
      <c r="F39" t="s">
        <v>3467</v>
      </c>
      <c r="G39" t="s">
        <v>5414</v>
      </c>
      <c r="H39" t="s">
        <v>5218</v>
      </c>
      <c r="I39" t="s">
        <v>4069</v>
      </c>
      <c r="J39" t="s">
        <v>5205</v>
      </c>
      <c r="K39" t="s">
        <v>3530</v>
      </c>
      <c r="L39" t="s">
        <v>4034</v>
      </c>
      <c r="M39" t="s">
        <v>5415</v>
      </c>
    </row>
    <row r="40" spans="1:13" x14ac:dyDescent="0.25">
      <c r="A40" t="s">
        <v>5215</v>
      </c>
      <c r="B40" s="9" t="s">
        <v>5416</v>
      </c>
      <c r="C40" s="9" t="s">
        <v>5404</v>
      </c>
      <c r="D40" t="s">
        <v>5405</v>
      </c>
      <c r="E40" t="s">
        <v>187</v>
      </c>
      <c r="F40" t="s">
        <v>3467</v>
      </c>
      <c r="G40" t="s">
        <v>5406</v>
      </c>
      <c r="H40" t="s">
        <v>5218</v>
      </c>
      <c r="I40" t="s">
        <v>4069</v>
      </c>
      <c r="J40" t="s">
        <v>5215</v>
      </c>
      <c r="K40" t="s">
        <v>3518</v>
      </c>
      <c r="L40" t="s">
        <v>4034</v>
      </c>
      <c r="M40" t="s">
        <v>3467</v>
      </c>
    </row>
    <row r="41" spans="1:13" x14ac:dyDescent="0.25">
      <c r="A41" t="s">
        <v>5274</v>
      </c>
      <c r="B41" s="9" t="s">
        <v>5417</v>
      </c>
      <c r="C41" s="9" t="s">
        <v>5418</v>
      </c>
      <c r="D41" t="s">
        <v>4016</v>
      </c>
      <c r="E41" t="s">
        <v>187</v>
      </c>
      <c r="F41" t="s">
        <v>3467</v>
      </c>
      <c r="G41" t="s">
        <v>5277</v>
      </c>
      <c r="H41" t="s">
        <v>5218</v>
      </c>
      <c r="I41" t="s">
        <v>4069</v>
      </c>
      <c r="J41" t="s">
        <v>5278</v>
      </c>
      <c r="K41" t="s">
        <v>3530</v>
      </c>
      <c r="L41" t="s">
        <v>4034</v>
      </c>
      <c r="M41" t="s">
        <v>5419</v>
      </c>
    </row>
    <row r="42" spans="1:13" x14ac:dyDescent="0.25">
      <c r="A42" t="s">
        <v>5236</v>
      </c>
      <c r="B42" s="9" t="s">
        <v>5420</v>
      </c>
      <c r="C42" s="9" t="s">
        <v>5421</v>
      </c>
      <c r="D42" t="s">
        <v>4016</v>
      </c>
      <c r="E42" t="s">
        <v>187</v>
      </c>
      <c r="F42" t="s">
        <v>3467</v>
      </c>
      <c r="G42" t="s">
        <v>5204</v>
      </c>
      <c r="H42" t="s">
        <v>39</v>
      </c>
      <c r="I42" t="s">
        <v>4069</v>
      </c>
      <c r="J42" t="s">
        <v>5238</v>
      </c>
      <c r="K42" t="s">
        <v>3518</v>
      </c>
      <c r="L42" t="s">
        <v>187</v>
      </c>
      <c r="M42" t="s">
        <v>3467</v>
      </c>
    </row>
    <row r="43" spans="1:13" x14ac:dyDescent="0.25">
      <c r="A43" t="s">
        <v>5224</v>
      </c>
      <c r="B43" s="9" t="s">
        <v>5422</v>
      </c>
      <c r="C43" s="9" t="s">
        <v>5423</v>
      </c>
      <c r="D43" t="s">
        <v>4028</v>
      </c>
      <c r="E43" t="s">
        <v>4034</v>
      </c>
      <c r="F43" t="s">
        <v>3467</v>
      </c>
      <c r="G43" t="s">
        <v>4342</v>
      </c>
      <c r="H43" t="s">
        <v>5221</v>
      </c>
      <c r="I43" t="s">
        <v>4052</v>
      </c>
      <c r="J43" t="s">
        <v>5226</v>
      </c>
      <c r="K43" t="s">
        <v>3518</v>
      </c>
      <c r="L43" t="s">
        <v>4034</v>
      </c>
      <c r="M43" t="s">
        <v>5424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5425</v>
      </c>
      <c r="C1" t="s">
        <v>5426</v>
      </c>
      <c r="D1" t="s">
        <v>5427</v>
      </c>
      <c r="E1" t="s">
        <v>5106</v>
      </c>
    </row>
    <row r="2" spans="1:5" ht="15" customHeight="1" x14ac:dyDescent="0.25">
      <c r="A2" t="s">
        <v>5428</v>
      </c>
      <c r="B2" t="s">
        <v>5429</v>
      </c>
      <c r="E2" t="s">
        <v>5430</v>
      </c>
    </row>
    <row r="3" spans="1:5" ht="15" customHeight="1" x14ac:dyDescent="0.25">
      <c r="A3" t="s">
        <v>5431</v>
      </c>
      <c r="B3" t="s">
        <v>5432</v>
      </c>
      <c r="E3" t="s">
        <v>5433</v>
      </c>
    </row>
    <row r="4" spans="1:5" ht="15" customHeight="1" x14ac:dyDescent="0.25">
      <c r="A4" t="s">
        <v>5434</v>
      </c>
      <c r="B4" t="s">
        <v>3467</v>
      </c>
      <c r="E4" t="s">
        <v>5435</v>
      </c>
    </row>
    <row r="5" spans="1:5" ht="15" customHeight="1" x14ac:dyDescent="0.25">
      <c r="A5" t="s">
        <v>5436</v>
      </c>
      <c r="B5" t="s">
        <v>5437</v>
      </c>
      <c r="E5" t="s">
        <v>5438</v>
      </c>
    </row>
    <row r="6" spans="1:5" ht="15" customHeight="1" x14ac:dyDescent="0.25">
      <c r="A6" t="s">
        <v>4305</v>
      </c>
      <c r="B6" t="s">
        <v>5439</v>
      </c>
      <c r="E6" t="s">
        <v>5440</v>
      </c>
    </row>
    <row r="7" spans="1:5" ht="15" customHeight="1" x14ac:dyDescent="0.25">
      <c r="A7" t="s">
        <v>5299</v>
      </c>
      <c r="B7" t="s">
        <v>5441</v>
      </c>
      <c r="E7" t="s">
        <v>5442</v>
      </c>
    </row>
    <row r="8" spans="1:5" ht="15" customHeight="1" x14ac:dyDescent="0.25">
      <c r="A8" t="s">
        <v>5443</v>
      </c>
      <c r="B8" t="s">
        <v>5444</v>
      </c>
      <c r="C8" t="s">
        <v>5445</v>
      </c>
      <c r="D8" t="s">
        <v>5446</v>
      </c>
      <c r="E8" t="s">
        <v>5447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5448</v>
      </c>
      <c r="D1" t="s">
        <v>5449</v>
      </c>
    </row>
    <row r="2" spans="1:4" ht="15" customHeight="1" x14ac:dyDescent="0.25">
      <c r="A2" t="s">
        <v>5450</v>
      </c>
      <c r="B2" t="s">
        <v>5451</v>
      </c>
      <c r="C2" t="s">
        <v>39</v>
      </c>
      <c r="D2" t="s">
        <v>3467</v>
      </c>
    </row>
    <row r="3" spans="1:4" ht="15" customHeight="1" x14ac:dyDescent="0.25">
      <c r="A3" t="s">
        <v>5452</v>
      </c>
      <c r="B3" t="s">
        <v>5453</v>
      </c>
      <c r="C3" t="s">
        <v>5454</v>
      </c>
      <c r="D3" t="s">
        <v>3467</v>
      </c>
    </row>
    <row r="4" spans="1:4" ht="15" customHeight="1" x14ac:dyDescent="0.25">
      <c r="A4" t="s">
        <v>5455</v>
      </c>
      <c r="B4" t="s">
        <v>5456</v>
      </c>
      <c r="C4" t="s">
        <v>39</v>
      </c>
      <c r="D4" t="s">
        <v>3467</v>
      </c>
    </row>
    <row r="5" spans="1:4" ht="15" customHeight="1" x14ac:dyDescent="0.25">
      <c r="A5" t="s">
        <v>5457</v>
      </c>
      <c r="B5" t="s">
        <v>5458</v>
      </c>
      <c r="C5" t="s">
        <v>5454</v>
      </c>
      <c r="D5" t="s">
        <v>3467</v>
      </c>
    </row>
    <row r="6" spans="1:4" ht="15" customHeight="1" x14ac:dyDescent="0.25">
      <c r="A6" t="s">
        <v>5459</v>
      </c>
      <c r="B6" t="s">
        <v>5460</v>
      </c>
      <c r="C6" t="s">
        <v>5454</v>
      </c>
      <c r="D6" t="s">
        <v>3467</v>
      </c>
    </row>
    <row r="7" spans="1:4" ht="15" customHeight="1" x14ac:dyDescent="0.25">
      <c r="A7" t="s">
        <v>5461</v>
      </c>
      <c r="B7" t="s">
        <v>5462</v>
      </c>
      <c r="C7" t="s">
        <v>39</v>
      </c>
      <c r="D7" t="s">
        <v>3467</v>
      </c>
    </row>
    <row r="8" spans="1:4" ht="15" customHeight="1" x14ac:dyDescent="0.25">
      <c r="A8" t="s">
        <v>5463</v>
      </c>
      <c r="B8" t="s">
        <v>5464</v>
      </c>
      <c r="C8" t="s">
        <v>39</v>
      </c>
      <c r="D8" t="s">
        <v>3467</v>
      </c>
    </row>
    <row r="9" spans="1:4" ht="15" customHeight="1" x14ac:dyDescent="0.25">
      <c r="A9" t="s">
        <v>5465</v>
      </c>
      <c r="B9" t="s">
        <v>5466</v>
      </c>
      <c r="C9" t="s">
        <v>39</v>
      </c>
      <c r="D9" t="s">
        <v>3467</v>
      </c>
    </row>
    <row r="10" spans="1:4" ht="15" customHeight="1" x14ac:dyDescent="0.25">
      <c r="A10" t="s">
        <v>5467</v>
      </c>
      <c r="B10" t="s">
        <v>5468</v>
      </c>
      <c r="C10" t="s">
        <v>5469</v>
      </c>
      <c r="D10" t="s">
        <v>3467</v>
      </c>
    </row>
    <row r="11" spans="1:4" ht="15" customHeight="1" x14ac:dyDescent="0.25">
      <c r="A11" t="s">
        <v>5470</v>
      </c>
      <c r="B11" t="s">
        <v>5471</v>
      </c>
      <c r="C11" t="s">
        <v>4473</v>
      </c>
      <c r="D11" t="s">
        <v>3467</v>
      </c>
    </row>
    <row r="12" spans="1:4" ht="15" customHeight="1" x14ac:dyDescent="0.25">
      <c r="A12" t="s">
        <v>5472</v>
      </c>
      <c r="B12" t="s">
        <v>5473</v>
      </c>
      <c r="C12" t="s">
        <v>4473</v>
      </c>
      <c r="D12" t="s">
        <v>3467</v>
      </c>
    </row>
    <row r="13" spans="1:4" ht="15" customHeight="1" x14ac:dyDescent="0.25">
      <c r="A13" t="s">
        <v>5474</v>
      </c>
      <c r="B13" t="s">
        <v>5475</v>
      </c>
      <c r="C13" t="s">
        <v>5454</v>
      </c>
      <c r="D13" t="s">
        <v>3467</v>
      </c>
    </row>
    <row r="14" spans="1:4" ht="15" customHeight="1" x14ac:dyDescent="0.25">
      <c r="A14" t="s">
        <v>5476</v>
      </c>
      <c r="B14" t="s">
        <v>5477</v>
      </c>
      <c r="C14" t="s">
        <v>39</v>
      </c>
      <c r="D14" t="s">
        <v>3467</v>
      </c>
    </row>
    <row r="15" spans="1:4" ht="15" customHeight="1" x14ac:dyDescent="0.25">
      <c r="A15" t="s">
        <v>5478</v>
      </c>
      <c r="B15" t="s">
        <v>5479</v>
      </c>
      <c r="C15" t="s">
        <v>39</v>
      </c>
      <c r="D15" t="s">
        <v>3467</v>
      </c>
    </row>
    <row r="16" spans="1:4" ht="15" customHeight="1" x14ac:dyDescent="0.25">
      <c r="A16" t="s">
        <v>5480</v>
      </c>
      <c r="B16" t="s">
        <v>5481</v>
      </c>
      <c r="C16" t="s">
        <v>5469</v>
      </c>
      <c r="D16" t="s">
        <v>3467</v>
      </c>
    </row>
    <row r="17" spans="1:4" ht="15" customHeight="1" x14ac:dyDescent="0.25">
      <c r="A17" t="s">
        <v>5482</v>
      </c>
      <c r="B17" t="s">
        <v>5483</v>
      </c>
      <c r="C17" t="s">
        <v>39</v>
      </c>
      <c r="D17" t="s">
        <v>3467</v>
      </c>
    </row>
    <row r="18" spans="1:4" ht="15" customHeight="1" x14ac:dyDescent="0.25">
      <c r="A18" t="s">
        <v>5484</v>
      </c>
      <c r="B18" t="s">
        <v>5485</v>
      </c>
      <c r="C18" t="s">
        <v>5486</v>
      </c>
      <c r="D18" t="s">
        <v>3467</v>
      </c>
    </row>
    <row r="19" spans="1:4" ht="15" customHeight="1" x14ac:dyDescent="0.25">
      <c r="A19" t="s">
        <v>5487</v>
      </c>
      <c r="B19" t="s">
        <v>5488</v>
      </c>
      <c r="C19" t="s">
        <v>39</v>
      </c>
      <c r="D19" t="s">
        <v>3467</v>
      </c>
    </row>
    <row r="20" spans="1:4" ht="15" customHeight="1" x14ac:dyDescent="0.25">
      <c r="A20" t="s">
        <v>5489</v>
      </c>
      <c r="B20" t="s">
        <v>5490</v>
      </c>
      <c r="C20" t="s">
        <v>39</v>
      </c>
      <c r="D20" t="s">
        <v>3467</v>
      </c>
    </row>
    <row r="21" spans="1:4" ht="15" customHeight="1" x14ac:dyDescent="0.25">
      <c r="A21" t="s">
        <v>5491</v>
      </c>
      <c r="B21" t="s">
        <v>5492</v>
      </c>
      <c r="C21" t="s">
        <v>39</v>
      </c>
      <c r="D21" t="s">
        <v>5493</v>
      </c>
    </row>
    <row r="22" spans="1:4" ht="15" customHeight="1" x14ac:dyDescent="0.25">
      <c r="A22" t="s">
        <v>5494</v>
      </c>
      <c r="B22" t="s">
        <v>5495</v>
      </c>
      <c r="C22" t="s">
        <v>5496</v>
      </c>
      <c r="D22" t="s">
        <v>3467</v>
      </c>
    </row>
    <row r="23" spans="1:4" ht="15" customHeight="1" x14ac:dyDescent="0.25">
      <c r="A23" t="s">
        <v>5497</v>
      </c>
      <c r="B23" t="s">
        <v>5498</v>
      </c>
      <c r="C23" t="s">
        <v>5469</v>
      </c>
      <c r="D23" t="s">
        <v>3467</v>
      </c>
    </row>
    <row r="24" spans="1:4" ht="15" customHeight="1" x14ac:dyDescent="0.25">
      <c r="A24" t="s">
        <v>5499</v>
      </c>
      <c r="B24" t="s">
        <v>5500</v>
      </c>
      <c r="C24" t="s">
        <v>5469</v>
      </c>
      <c r="D24" t="s">
        <v>5501</v>
      </c>
    </row>
    <row r="25" spans="1:4" ht="15" customHeight="1" x14ac:dyDescent="0.25">
      <c r="A25" t="s">
        <v>5502</v>
      </c>
      <c r="B25" t="s">
        <v>5503</v>
      </c>
      <c r="C25" t="s">
        <v>5486</v>
      </c>
      <c r="D25" t="s">
        <v>3467</v>
      </c>
    </row>
    <row r="26" spans="1:4" ht="15" customHeight="1" x14ac:dyDescent="0.25">
      <c r="A26" t="s">
        <v>5504</v>
      </c>
      <c r="B26" t="s">
        <v>5505</v>
      </c>
      <c r="C26" t="s">
        <v>5454</v>
      </c>
      <c r="D26" t="s">
        <v>3467</v>
      </c>
    </row>
    <row r="27" spans="1:4" ht="15" customHeight="1" x14ac:dyDescent="0.25">
      <c r="A27" t="s">
        <v>5506</v>
      </c>
      <c r="B27" t="s">
        <v>5507</v>
      </c>
      <c r="C27" t="s">
        <v>5469</v>
      </c>
      <c r="D27" t="s">
        <v>3467</v>
      </c>
    </row>
    <row r="28" spans="1:4" ht="15" customHeight="1" x14ac:dyDescent="0.25">
      <c r="A28" t="s">
        <v>5508</v>
      </c>
      <c r="B28" t="s">
        <v>5509</v>
      </c>
      <c r="C28" t="s">
        <v>5469</v>
      </c>
      <c r="D28" t="s">
        <v>3467</v>
      </c>
    </row>
    <row r="29" spans="1:4" ht="15" customHeight="1" x14ac:dyDescent="0.25">
      <c r="A29" t="s">
        <v>5510</v>
      </c>
      <c r="B29" t="s">
        <v>5511</v>
      </c>
      <c r="C29" t="s">
        <v>5512</v>
      </c>
      <c r="D29" t="s">
        <v>3467</v>
      </c>
    </row>
    <row r="30" spans="1:4" ht="15" customHeight="1" x14ac:dyDescent="0.25">
      <c r="A30" t="s">
        <v>5513</v>
      </c>
      <c r="B30" t="s">
        <v>5514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5515</v>
      </c>
      <c r="F1" t="s">
        <v>5516</v>
      </c>
      <c r="G1" t="s">
        <v>5449</v>
      </c>
      <c r="H1" t="s">
        <v>5517</v>
      </c>
      <c r="I1" t="s">
        <v>5518</v>
      </c>
      <c r="J1" t="s">
        <v>5519</v>
      </c>
      <c r="K1" t="s">
        <v>5520</v>
      </c>
      <c r="L1" t="s">
        <v>5521</v>
      </c>
      <c r="M1" t="s">
        <v>5522</v>
      </c>
    </row>
    <row r="2" spans="1:13" ht="15" customHeight="1" x14ac:dyDescent="0.25">
      <c r="A2" t="s">
        <v>5455</v>
      </c>
      <c r="B2" t="s">
        <v>5456</v>
      </c>
      <c r="C2" t="s">
        <v>5523</v>
      </c>
      <c r="D2" t="s">
        <v>5524</v>
      </c>
      <c r="E2" t="s">
        <v>4034</v>
      </c>
      <c r="F2" t="s">
        <v>39</v>
      </c>
      <c r="G2" t="s">
        <v>3467</v>
      </c>
      <c r="H2" t="s">
        <v>5525</v>
      </c>
      <c r="I2" t="s">
        <v>5526</v>
      </c>
      <c r="J2" t="s">
        <v>5527</v>
      </c>
    </row>
    <row r="3" spans="1:13" ht="15" customHeight="1" x14ac:dyDescent="0.25">
      <c r="A3" t="s">
        <v>5461</v>
      </c>
      <c r="B3" t="s">
        <v>5462</v>
      </c>
      <c r="C3" t="s">
        <v>5462</v>
      </c>
      <c r="D3" t="s">
        <v>5462</v>
      </c>
      <c r="E3" t="s">
        <v>4034</v>
      </c>
      <c r="F3" t="s">
        <v>39</v>
      </c>
      <c r="G3" t="s">
        <v>3467</v>
      </c>
      <c r="H3" t="s">
        <v>5528</v>
      </c>
      <c r="I3" t="s">
        <v>5529</v>
      </c>
    </row>
    <row r="4" spans="1:13" ht="15" customHeight="1" x14ac:dyDescent="0.25">
      <c r="A4" t="s">
        <v>5530</v>
      </c>
      <c r="B4" s="9" t="s">
        <v>5531</v>
      </c>
      <c r="C4" s="9" t="s">
        <v>5531</v>
      </c>
      <c r="D4" s="9" t="s">
        <v>5531</v>
      </c>
      <c r="E4" t="s">
        <v>187</v>
      </c>
      <c r="F4" t="s">
        <v>39</v>
      </c>
      <c r="G4" t="s">
        <v>3467</v>
      </c>
      <c r="H4" t="s">
        <v>5532</v>
      </c>
      <c r="I4" t="s">
        <v>5533</v>
      </c>
    </row>
    <row r="5" spans="1:13" ht="15" customHeight="1" x14ac:dyDescent="0.25">
      <c r="A5" t="s">
        <v>5534</v>
      </c>
      <c r="B5" t="s">
        <v>5535</v>
      </c>
      <c r="C5" t="s">
        <v>5535</v>
      </c>
      <c r="D5" t="s">
        <v>5535</v>
      </c>
      <c r="E5" t="s">
        <v>4034</v>
      </c>
      <c r="F5" t="s">
        <v>5469</v>
      </c>
      <c r="G5" t="s">
        <v>3467</v>
      </c>
      <c r="H5" t="s">
        <v>5536</v>
      </c>
      <c r="I5" t="s">
        <v>5529</v>
      </c>
    </row>
    <row r="6" spans="1:13" ht="15" customHeight="1" x14ac:dyDescent="0.25">
      <c r="A6" t="s">
        <v>5467</v>
      </c>
      <c r="B6" t="s">
        <v>5468</v>
      </c>
      <c r="C6" t="s">
        <v>5537</v>
      </c>
      <c r="D6" t="s">
        <v>5468</v>
      </c>
      <c r="E6" t="s">
        <v>4034</v>
      </c>
      <c r="F6" t="s">
        <v>5469</v>
      </c>
      <c r="G6" t="s">
        <v>3467</v>
      </c>
      <c r="H6" t="s">
        <v>5538</v>
      </c>
      <c r="I6" t="s">
        <v>5529</v>
      </c>
      <c r="K6" t="s">
        <v>5539</v>
      </c>
      <c r="L6" t="s">
        <v>5540</v>
      </c>
    </row>
    <row r="7" spans="1:13" ht="15" customHeight="1" x14ac:dyDescent="0.25">
      <c r="A7" t="s">
        <v>5541</v>
      </c>
      <c r="B7" t="s">
        <v>5542</v>
      </c>
      <c r="C7" t="s">
        <v>5543</v>
      </c>
      <c r="D7" t="s">
        <v>5542</v>
      </c>
      <c r="E7" t="s">
        <v>4034</v>
      </c>
      <c r="F7" t="s">
        <v>5469</v>
      </c>
      <c r="G7" t="s">
        <v>3467</v>
      </c>
      <c r="H7" t="s">
        <v>5544</v>
      </c>
      <c r="I7" t="s">
        <v>5529</v>
      </c>
      <c r="K7" t="s">
        <v>5545</v>
      </c>
      <c r="L7" t="s">
        <v>5546</v>
      </c>
    </row>
    <row r="8" spans="1:13" ht="15" customHeight="1" x14ac:dyDescent="0.25">
      <c r="A8" t="s">
        <v>5470</v>
      </c>
      <c r="B8" t="s">
        <v>5547</v>
      </c>
      <c r="C8" t="s">
        <v>5548</v>
      </c>
      <c r="D8" t="s">
        <v>5548</v>
      </c>
      <c r="E8" t="s">
        <v>4034</v>
      </c>
      <c r="F8" t="s">
        <v>4473</v>
      </c>
      <c r="G8" t="s">
        <v>3467</v>
      </c>
      <c r="H8" t="s">
        <v>5549</v>
      </c>
      <c r="I8" t="s">
        <v>5550</v>
      </c>
      <c r="J8" t="s">
        <v>5549</v>
      </c>
    </row>
    <row r="9" spans="1:13" ht="15" customHeight="1" x14ac:dyDescent="0.25">
      <c r="A9" t="s">
        <v>5472</v>
      </c>
      <c r="B9" t="s">
        <v>5473</v>
      </c>
      <c r="C9" t="s">
        <v>5473</v>
      </c>
      <c r="D9" t="s">
        <v>5473</v>
      </c>
      <c r="E9" t="s">
        <v>4034</v>
      </c>
      <c r="F9" t="s">
        <v>39</v>
      </c>
      <c r="G9" t="s">
        <v>3467</v>
      </c>
      <c r="H9" t="s">
        <v>5551</v>
      </c>
      <c r="I9" t="s">
        <v>5552</v>
      </c>
      <c r="J9" t="s">
        <v>3871</v>
      </c>
    </row>
    <row r="10" spans="1:13" ht="15" customHeight="1" x14ac:dyDescent="0.25">
      <c r="A10" t="s">
        <v>5476</v>
      </c>
      <c r="B10" t="s">
        <v>5477</v>
      </c>
      <c r="C10" t="s">
        <v>5553</v>
      </c>
      <c r="D10" t="s">
        <v>5553</v>
      </c>
      <c r="E10" t="s">
        <v>4034</v>
      </c>
      <c r="F10" t="s">
        <v>39</v>
      </c>
      <c r="G10" t="s">
        <v>3467</v>
      </c>
      <c r="H10" t="s">
        <v>5554</v>
      </c>
      <c r="I10" t="s">
        <v>5550</v>
      </c>
      <c r="J10" t="s">
        <v>5554</v>
      </c>
    </row>
    <row r="11" spans="1:13" ht="15" customHeight="1" x14ac:dyDescent="0.25">
      <c r="A11" t="s">
        <v>5555</v>
      </c>
      <c r="B11" t="s">
        <v>5479</v>
      </c>
      <c r="C11" t="s">
        <v>5556</v>
      </c>
      <c r="D11" t="s">
        <v>5479</v>
      </c>
      <c r="E11" t="s">
        <v>187</v>
      </c>
      <c r="F11" t="s">
        <v>39</v>
      </c>
      <c r="G11" t="s">
        <v>3467</v>
      </c>
      <c r="H11" t="s">
        <v>5557</v>
      </c>
      <c r="I11" t="s">
        <v>5533</v>
      </c>
    </row>
    <row r="12" spans="1:13" ht="15" customHeight="1" x14ac:dyDescent="0.25">
      <c r="A12" t="s">
        <v>5480</v>
      </c>
      <c r="B12" t="s">
        <v>5481</v>
      </c>
      <c r="C12" t="s">
        <v>5558</v>
      </c>
      <c r="D12" t="s">
        <v>5481</v>
      </c>
      <c r="E12" t="s">
        <v>4034</v>
      </c>
      <c r="F12" t="s">
        <v>5469</v>
      </c>
      <c r="G12" t="s">
        <v>3467</v>
      </c>
      <c r="H12" t="s">
        <v>5559</v>
      </c>
      <c r="I12" t="s">
        <v>5529</v>
      </c>
      <c r="K12" t="s">
        <v>5560</v>
      </c>
      <c r="L12" t="s">
        <v>5561</v>
      </c>
    </row>
    <row r="13" spans="1:13" ht="15" customHeight="1" x14ac:dyDescent="0.25">
      <c r="A13" t="s">
        <v>5482</v>
      </c>
      <c r="B13" t="s">
        <v>5483</v>
      </c>
      <c r="C13" t="s">
        <v>5483</v>
      </c>
      <c r="D13" t="s">
        <v>5483</v>
      </c>
      <c r="E13" t="s">
        <v>4034</v>
      </c>
      <c r="F13" t="s">
        <v>39</v>
      </c>
      <c r="G13" t="s">
        <v>3467</v>
      </c>
      <c r="H13" t="s">
        <v>5562</v>
      </c>
      <c r="I13" t="s">
        <v>5550</v>
      </c>
      <c r="J13" t="s">
        <v>5562</v>
      </c>
    </row>
    <row r="14" spans="1:13" ht="15" customHeight="1" x14ac:dyDescent="0.25">
      <c r="A14" t="s">
        <v>5487</v>
      </c>
      <c r="B14" t="s">
        <v>5563</v>
      </c>
      <c r="C14" t="s">
        <v>5564</v>
      </c>
      <c r="D14" t="s">
        <v>5564</v>
      </c>
      <c r="E14" t="s">
        <v>4034</v>
      </c>
      <c r="F14" t="s">
        <v>39</v>
      </c>
      <c r="G14" t="s">
        <v>3467</v>
      </c>
      <c r="H14" t="s">
        <v>5565</v>
      </c>
      <c r="I14" t="s">
        <v>5529</v>
      </c>
    </row>
    <row r="15" spans="1:13" ht="15" customHeight="1" x14ac:dyDescent="0.25">
      <c r="A15" t="s">
        <v>5566</v>
      </c>
      <c r="B15" t="s">
        <v>5567</v>
      </c>
      <c r="C15" t="s">
        <v>5567</v>
      </c>
      <c r="D15" t="s">
        <v>5567</v>
      </c>
      <c r="E15" t="s">
        <v>4034</v>
      </c>
      <c r="F15" t="s">
        <v>5568</v>
      </c>
      <c r="G15" t="s">
        <v>3467</v>
      </c>
      <c r="H15" t="s">
        <v>5569</v>
      </c>
      <c r="I15" t="s">
        <v>5569</v>
      </c>
    </row>
    <row r="16" spans="1:13" ht="15" customHeight="1" x14ac:dyDescent="0.25">
      <c r="A16" t="s">
        <v>5570</v>
      </c>
      <c r="B16" t="s">
        <v>5571</v>
      </c>
      <c r="C16" t="s">
        <v>5571</v>
      </c>
      <c r="D16" t="s">
        <v>5571</v>
      </c>
      <c r="E16" t="s">
        <v>187</v>
      </c>
      <c r="F16" t="s">
        <v>5568</v>
      </c>
      <c r="G16" t="s">
        <v>3467</v>
      </c>
      <c r="H16" t="s">
        <v>5572</v>
      </c>
      <c r="I16" t="s">
        <v>5572</v>
      </c>
    </row>
    <row r="17" spans="1:12" ht="15" customHeight="1" x14ac:dyDescent="0.25">
      <c r="A17" t="s">
        <v>5494</v>
      </c>
      <c r="B17" t="s">
        <v>5495</v>
      </c>
      <c r="C17" t="s">
        <v>5573</v>
      </c>
      <c r="D17" t="s">
        <v>5573</v>
      </c>
      <c r="E17" t="s">
        <v>4034</v>
      </c>
      <c r="F17" t="s">
        <v>39</v>
      </c>
      <c r="G17" t="s">
        <v>3467</v>
      </c>
      <c r="H17" t="s">
        <v>5574</v>
      </c>
      <c r="I17" t="s">
        <v>5529</v>
      </c>
    </row>
    <row r="18" spans="1:12" ht="15" customHeight="1" x14ac:dyDescent="0.25">
      <c r="A18" t="s">
        <v>5575</v>
      </c>
      <c r="B18" t="s">
        <v>5576</v>
      </c>
      <c r="C18" t="s">
        <v>5576</v>
      </c>
      <c r="D18" t="s">
        <v>5577</v>
      </c>
      <c r="E18" t="s">
        <v>187</v>
      </c>
      <c r="F18" t="s">
        <v>5469</v>
      </c>
      <c r="G18" t="s">
        <v>3467</v>
      </c>
      <c r="H18" t="s">
        <v>5578</v>
      </c>
      <c r="I18" t="s">
        <v>5579</v>
      </c>
    </row>
    <row r="19" spans="1:12" ht="15" customHeight="1" x14ac:dyDescent="0.25">
      <c r="A19" t="s">
        <v>5497</v>
      </c>
      <c r="B19" t="s">
        <v>5498</v>
      </c>
      <c r="C19" t="s">
        <v>5580</v>
      </c>
      <c r="D19" t="s">
        <v>5498</v>
      </c>
      <c r="E19" t="s">
        <v>4034</v>
      </c>
      <c r="F19" t="s">
        <v>5469</v>
      </c>
      <c r="G19" t="s">
        <v>3467</v>
      </c>
      <c r="H19" t="s">
        <v>5581</v>
      </c>
      <c r="I19" t="s">
        <v>5529</v>
      </c>
    </row>
    <row r="20" spans="1:12" ht="15" customHeight="1" x14ac:dyDescent="0.25">
      <c r="A20" t="s">
        <v>5506</v>
      </c>
      <c r="B20" t="s">
        <v>5582</v>
      </c>
      <c r="C20" t="s">
        <v>5583</v>
      </c>
      <c r="D20" t="s">
        <v>5582</v>
      </c>
      <c r="E20" t="s">
        <v>4034</v>
      </c>
      <c r="F20" t="s">
        <v>5469</v>
      </c>
      <c r="G20" t="s">
        <v>3467</v>
      </c>
      <c r="H20" t="s">
        <v>5584</v>
      </c>
      <c r="I20" t="s">
        <v>5529</v>
      </c>
    </row>
    <row r="21" spans="1:12" ht="15" customHeight="1" x14ac:dyDescent="0.25">
      <c r="A21" t="s">
        <v>5508</v>
      </c>
      <c r="B21" t="s">
        <v>5585</v>
      </c>
      <c r="C21" t="s">
        <v>5537</v>
      </c>
      <c r="D21" t="s">
        <v>5585</v>
      </c>
      <c r="E21" t="s">
        <v>4034</v>
      </c>
      <c r="F21" t="s">
        <v>5469</v>
      </c>
      <c r="G21" t="s">
        <v>3467</v>
      </c>
      <c r="H21" t="s">
        <v>5586</v>
      </c>
      <c r="I21" t="s">
        <v>5529</v>
      </c>
      <c r="K21" t="s">
        <v>5587</v>
      </c>
      <c r="L21" t="s">
        <v>5540</v>
      </c>
    </row>
    <row r="22" spans="1:12" ht="15" customHeight="1" x14ac:dyDescent="0.25">
      <c r="A22" t="s">
        <v>5510</v>
      </c>
      <c r="B22" t="s">
        <v>5588</v>
      </c>
      <c r="C22" t="s">
        <v>5588</v>
      </c>
      <c r="D22" t="s">
        <v>5588</v>
      </c>
      <c r="E22" t="s">
        <v>4034</v>
      </c>
      <c r="F22" t="s">
        <v>4473</v>
      </c>
      <c r="G22" t="s">
        <v>3467</v>
      </c>
      <c r="H22" t="s">
        <v>5589</v>
      </c>
      <c r="I22" t="s">
        <v>5590</v>
      </c>
    </row>
    <row r="23" spans="1:12" ht="15" customHeight="1" x14ac:dyDescent="0.25">
      <c r="A23" t="s">
        <v>5513</v>
      </c>
      <c r="B23" t="s">
        <v>5514</v>
      </c>
      <c r="C23" t="s">
        <v>5514</v>
      </c>
      <c r="D23" t="s">
        <v>5514</v>
      </c>
      <c r="E23" t="s">
        <v>4034</v>
      </c>
      <c r="F23" t="s">
        <v>39</v>
      </c>
      <c r="G23" t="s">
        <v>3467</v>
      </c>
      <c r="H23" t="s">
        <v>5591</v>
      </c>
      <c r="I23" t="s">
        <v>5552</v>
      </c>
      <c r="J23" t="s">
        <v>5592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5593</v>
      </c>
      <c r="D1" t="s">
        <v>5594</v>
      </c>
      <c r="E1" t="s">
        <v>5595</v>
      </c>
      <c r="F1" t="s">
        <v>5596</v>
      </c>
      <c r="G1" t="s">
        <v>5597</v>
      </c>
      <c r="H1" t="s">
        <v>5598</v>
      </c>
      <c r="I1" t="s">
        <v>5599</v>
      </c>
      <c r="J1" t="s">
        <v>5600</v>
      </c>
      <c r="K1" t="s">
        <v>3513</v>
      </c>
      <c r="L1" t="s">
        <v>4047</v>
      </c>
      <c r="M1" t="s">
        <v>171</v>
      </c>
    </row>
    <row r="2" spans="1:13" ht="15" customHeight="1" x14ac:dyDescent="0.25">
      <c r="A2" t="s">
        <v>5601</v>
      </c>
      <c r="B2" t="s">
        <v>3530</v>
      </c>
      <c r="C2" t="s">
        <v>5602</v>
      </c>
      <c r="D2" t="s">
        <v>101</v>
      </c>
      <c r="E2" t="s">
        <v>5602</v>
      </c>
      <c r="F2" t="s">
        <v>101</v>
      </c>
      <c r="G2" t="s">
        <v>5602</v>
      </c>
      <c r="H2" t="s">
        <v>101</v>
      </c>
      <c r="I2" t="s">
        <v>5602</v>
      </c>
      <c r="J2" t="s">
        <v>101</v>
      </c>
      <c r="K2" t="s">
        <v>2155</v>
      </c>
      <c r="L2" t="s">
        <v>4080</v>
      </c>
    </row>
    <row r="3" spans="1:13" ht="15" customHeight="1" x14ac:dyDescent="0.25">
      <c r="A3" t="s">
        <v>4051</v>
      </c>
      <c r="B3" t="s">
        <v>3530</v>
      </c>
      <c r="C3" t="s">
        <v>5603</v>
      </c>
      <c r="D3" t="s">
        <v>5604</v>
      </c>
      <c r="E3" t="s">
        <v>5605</v>
      </c>
      <c r="F3" t="s">
        <v>5606</v>
      </c>
      <c r="G3" t="s">
        <v>5607</v>
      </c>
      <c r="H3" t="s">
        <v>5608</v>
      </c>
      <c r="I3" t="s">
        <v>5609</v>
      </c>
      <c r="J3" t="s">
        <v>5610</v>
      </c>
      <c r="K3" t="s">
        <v>2155</v>
      </c>
      <c r="L3" t="s">
        <v>4052</v>
      </c>
    </row>
    <row r="4" spans="1:13" ht="15" customHeight="1" x14ac:dyDescent="0.25">
      <c r="A4" t="s">
        <v>4057</v>
      </c>
      <c r="B4" t="s">
        <v>3530</v>
      </c>
      <c r="C4" t="s">
        <v>5611</v>
      </c>
      <c r="D4" t="s">
        <v>5612</v>
      </c>
      <c r="E4" t="s">
        <v>5613</v>
      </c>
      <c r="F4" t="s">
        <v>5614</v>
      </c>
      <c r="G4" t="s">
        <v>5615</v>
      </c>
      <c r="H4" t="s">
        <v>5616</v>
      </c>
      <c r="I4" t="s">
        <v>5617</v>
      </c>
      <c r="J4" t="s">
        <v>5618</v>
      </c>
      <c r="K4" t="s">
        <v>1285</v>
      </c>
      <c r="L4" t="s">
        <v>4052</v>
      </c>
      <c r="M4" t="s">
        <v>4060</v>
      </c>
    </row>
    <row r="5" spans="1:13" ht="15" customHeight="1" x14ac:dyDescent="0.25">
      <c r="A5" t="s">
        <v>5619</v>
      </c>
      <c r="B5" t="s">
        <v>3530</v>
      </c>
      <c r="C5" t="s">
        <v>5620</v>
      </c>
      <c r="D5" t="s">
        <v>5621</v>
      </c>
      <c r="E5" t="s">
        <v>5622</v>
      </c>
      <c r="F5" t="s">
        <v>5623</v>
      </c>
      <c r="G5" t="s">
        <v>5624</v>
      </c>
      <c r="H5" t="s">
        <v>5625</v>
      </c>
      <c r="I5" t="s">
        <v>5626</v>
      </c>
      <c r="J5" t="s">
        <v>5627</v>
      </c>
      <c r="K5" t="s">
        <v>1726</v>
      </c>
      <c r="L5" t="s">
        <v>4069</v>
      </c>
    </row>
    <row r="6" spans="1:13" ht="15" customHeight="1" x14ac:dyDescent="0.25">
      <c r="A6" t="s">
        <v>4063</v>
      </c>
      <c r="B6" t="s">
        <v>41</v>
      </c>
      <c r="C6" t="s">
        <v>5628</v>
      </c>
      <c r="D6" t="s">
        <v>5629</v>
      </c>
      <c r="E6" t="s">
        <v>5630</v>
      </c>
      <c r="F6" t="s">
        <v>5631</v>
      </c>
      <c r="G6" t="s">
        <v>5632</v>
      </c>
      <c r="H6" t="s">
        <v>5633</v>
      </c>
      <c r="I6" t="s">
        <v>5634</v>
      </c>
      <c r="J6" t="s">
        <v>5635</v>
      </c>
      <c r="K6" t="s">
        <v>2155</v>
      </c>
      <c r="L6" t="s">
        <v>4052</v>
      </c>
    </row>
    <row r="7" spans="1:13" ht="15" customHeight="1" x14ac:dyDescent="0.25">
      <c r="A7" t="s">
        <v>5636</v>
      </c>
      <c r="B7" t="s">
        <v>41</v>
      </c>
      <c r="C7" t="s">
        <v>5637</v>
      </c>
      <c r="D7" t="s">
        <v>5638</v>
      </c>
      <c r="E7" t="s">
        <v>5639</v>
      </c>
      <c r="F7" t="s">
        <v>5640</v>
      </c>
      <c r="G7" t="s">
        <v>5641</v>
      </c>
      <c r="H7" t="s">
        <v>5642</v>
      </c>
      <c r="I7" t="s">
        <v>5643</v>
      </c>
      <c r="J7" t="s">
        <v>5644</v>
      </c>
      <c r="K7" t="s">
        <v>2155</v>
      </c>
      <c r="L7" t="s">
        <v>4069</v>
      </c>
      <c r="M7" t="s">
        <v>5645</v>
      </c>
    </row>
    <row r="8" spans="1:13" ht="15" customHeight="1" x14ac:dyDescent="0.25">
      <c r="A8" t="s">
        <v>4086</v>
      </c>
      <c r="B8" t="s">
        <v>3530</v>
      </c>
      <c r="C8" t="s">
        <v>5646</v>
      </c>
      <c r="D8" t="s">
        <v>5647</v>
      </c>
      <c r="E8" t="s">
        <v>5648</v>
      </c>
      <c r="F8" t="s">
        <v>5649</v>
      </c>
      <c r="G8" t="s">
        <v>5650</v>
      </c>
      <c r="H8" t="s">
        <v>5651</v>
      </c>
      <c r="I8" t="s">
        <v>5652</v>
      </c>
      <c r="J8" t="s">
        <v>5653</v>
      </c>
      <c r="K8" t="s">
        <v>1285</v>
      </c>
      <c r="L8" t="s">
        <v>4052</v>
      </c>
    </row>
    <row r="9" spans="1:13" ht="15" customHeight="1" x14ac:dyDescent="0.25">
      <c r="A9" t="s">
        <v>4068</v>
      </c>
      <c r="B9" t="s">
        <v>41</v>
      </c>
      <c r="C9" t="s">
        <v>5654</v>
      </c>
      <c r="D9" t="s">
        <v>5655</v>
      </c>
      <c r="E9" t="s">
        <v>5656</v>
      </c>
      <c r="F9" t="s">
        <v>5657</v>
      </c>
      <c r="G9" t="s">
        <v>5658</v>
      </c>
      <c r="H9" t="s">
        <v>5659</v>
      </c>
      <c r="I9" t="s">
        <v>5660</v>
      </c>
      <c r="J9" t="s">
        <v>5661</v>
      </c>
      <c r="K9" t="s">
        <v>2155</v>
      </c>
      <c r="L9" t="s">
        <v>4069</v>
      </c>
      <c r="M9" t="s">
        <v>4072</v>
      </c>
    </row>
    <row r="10" spans="1:13" ht="15" customHeight="1" x14ac:dyDescent="0.25">
      <c r="A10" t="s">
        <v>4075</v>
      </c>
      <c r="B10" t="s">
        <v>3530</v>
      </c>
      <c r="C10" t="s">
        <v>5662</v>
      </c>
      <c r="D10" t="s">
        <v>5663</v>
      </c>
      <c r="E10" t="s">
        <v>5664</v>
      </c>
      <c r="F10" t="s">
        <v>5665</v>
      </c>
      <c r="G10" t="s">
        <v>5666</v>
      </c>
      <c r="H10" t="s">
        <v>4076</v>
      </c>
      <c r="I10" t="s">
        <v>5667</v>
      </c>
      <c r="J10" t="s">
        <v>5668</v>
      </c>
      <c r="K10" t="s">
        <v>2155</v>
      </c>
      <c r="L10" t="s">
        <v>4069</v>
      </c>
    </row>
    <row r="11" spans="1:13" ht="15" customHeight="1" x14ac:dyDescent="0.25">
      <c r="A11" t="s">
        <v>5669</v>
      </c>
      <c r="B11" t="s">
        <v>3530</v>
      </c>
      <c r="C11" t="s">
        <v>5670</v>
      </c>
      <c r="D11" t="s">
        <v>5671</v>
      </c>
      <c r="E11" t="s">
        <v>5672</v>
      </c>
      <c r="F11" t="s">
        <v>5673</v>
      </c>
      <c r="G11" t="s">
        <v>5674</v>
      </c>
      <c r="H11" t="s">
        <v>5675</v>
      </c>
      <c r="I11" t="s">
        <v>5676</v>
      </c>
      <c r="J11" t="s">
        <v>5677</v>
      </c>
      <c r="K11" t="s">
        <v>2155</v>
      </c>
      <c r="L11" t="s">
        <v>4052</v>
      </c>
    </row>
    <row r="12" spans="1:13" ht="15" customHeight="1" x14ac:dyDescent="0.25">
      <c r="A12" t="s">
        <v>5678</v>
      </c>
      <c r="B12" t="s">
        <v>41</v>
      </c>
      <c r="C12" t="s">
        <v>5679</v>
      </c>
      <c r="D12" t="s">
        <v>5680</v>
      </c>
      <c r="E12" t="s">
        <v>5681</v>
      </c>
      <c r="F12" t="s">
        <v>5682</v>
      </c>
      <c r="G12" t="s">
        <v>5683</v>
      </c>
      <c r="H12" t="s">
        <v>5684</v>
      </c>
      <c r="I12" t="s">
        <v>5685</v>
      </c>
      <c r="J12" t="s">
        <v>5686</v>
      </c>
      <c r="K12" t="s">
        <v>2155</v>
      </c>
      <c r="L12" t="s">
        <v>4080</v>
      </c>
      <c r="M12" t="s">
        <v>4083</v>
      </c>
    </row>
    <row r="13" spans="1:13" ht="15" customHeight="1" x14ac:dyDescent="0.25">
      <c r="A13" t="s">
        <v>5687</v>
      </c>
      <c r="B13" t="s">
        <v>3518</v>
      </c>
      <c r="C13" t="s">
        <v>5688</v>
      </c>
      <c r="D13" t="s">
        <v>5689</v>
      </c>
      <c r="E13" t="s">
        <v>5690</v>
      </c>
      <c r="F13" t="s">
        <v>5691</v>
      </c>
      <c r="G13" t="s">
        <v>5692</v>
      </c>
      <c r="H13" t="s">
        <v>5693</v>
      </c>
      <c r="I13" t="s">
        <v>5694</v>
      </c>
      <c r="J13" t="s">
        <v>5695</v>
      </c>
      <c r="K13" t="s">
        <v>2155</v>
      </c>
      <c r="L13" t="s">
        <v>4069</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4201</v>
      </c>
      <c r="B2" t="s">
        <v>41</v>
      </c>
      <c r="C2" t="s">
        <v>5696</v>
      </c>
      <c r="D2" t="s">
        <v>90</v>
      </c>
      <c r="E2" t="s">
        <v>4206</v>
      </c>
    </row>
    <row r="3" spans="1:5" ht="15" customHeight="1" x14ac:dyDescent="0.25">
      <c r="A3" t="s">
        <v>4207</v>
      </c>
      <c r="B3" t="s">
        <v>41</v>
      </c>
      <c r="C3" t="s">
        <v>5697</v>
      </c>
      <c r="D3" t="s">
        <v>90</v>
      </c>
      <c r="E3" t="s">
        <v>4210</v>
      </c>
    </row>
    <row r="4" spans="1:5" ht="15" customHeight="1" x14ac:dyDescent="0.25">
      <c r="A4" t="s">
        <v>5698</v>
      </c>
      <c r="B4" t="s">
        <v>41</v>
      </c>
      <c r="C4" t="s">
        <v>5699</v>
      </c>
      <c r="D4" t="s">
        <v>90</v>
      </c>
      <c r="E4" t="s">
        <v>5700</v>
      </c>
    </row>
    <row r="5" spans="1:5" ht="15" customHeight="1" x14ac:dyDescent="0.25">
      <c r="A5" t="s">
        <v>5701</v>
      </c>
      <c r="B5" t="s">
        <v>41</v>
      </c>
      <c r="C5" t="s">
        <v>5702</v>
      </c>
      <c r="D5" t="s">
        <v>90</v>
      </c>
      <c r="E5" t="s">
        <v>5703</v>
      </c>
    </row>
    <row r="6" spans="1:5" ht="15" customHeight="1" x14ac:dyDescent="0.25">
      <c r="A6" t="s">
        <v>5704</v>
      </c>
      <c r="B6" t="s">
        <v>41</v>
      </c>
      <c r="C6" t="s">
        <v>5705</v>
      </c>
      <c r="D6" t="s">
        <v>90</v>
      </c>
      <c r="E6" t="s">
        <v>5706</v>
      </c>
    </row>
    <row r="7" spans="1:5" ht="15" customHeight="1" x14ac:dyDescent="0.25">
      <c r="A7" t="s">
        <v>4211</v>
      </c>
      <c r="B7" t="s">
        <v>41</v>
      </c>
      <c r="C7" t="s">
        <v>5707</v>
      </c>
      <c r="D7" t="s">
        <v>90</v>
      </c>
      <c r="E7" t="s">
        <v>4216</v>
      </c>
    </row>
    <row r="8" spans="1:5" ht="15" customHeight="1" x14ac:dyDescent="0.25">
      <c r="A8" t="s">
        <v>4217</v>
      </c>
      <c r="B8" t="s">
        <v>41</v>
      </c>
      <c r="C8" t="s">
        <v>5708</v>
      </c>
      <c r="D8" t="s">
        <v>90</v>
      </c>
      <c r="E8" t="s">
        <v>4222</v>
      </c>
    </row>
    <row r="9" spans="1:5" ht="15" customHeight="1" x14ac:dyDescent="0.25">
      <c r="A9" t="s">
        <v>4223</v>
      </c>
      <c r="B9" t="s">
        <v>3518</v>
      </c>
      <c r="C9" t="s">
        <v>5709</v>
      </c>
      <c r="D9" t="s">
        <v>90</v>
      </c>
      <c r="E9" t="s">
        <v>4226</v>
      </c>
    </row>
    <row r="10" spans="1:5" ht="15" customHeight="1" x14ac:dyDescent="0.25">
      <c r="A10" t="s">
        <v>4227</v>
      </c>
      <c r="B10" t="s">
        <v>41</v>
      </c>
      <c r="C10" t="s">
        <v>5710</v>
      </c>
      <c r="D10" t="s">
        <v>90</v>
      </c>
      <c r="E10" t="s">
        <v>4232</v>
      </c>
    </row>
    <row r="11" spans="1:5" ht="15" customHeight="1" x14ac:dyDescent="0.25">
      <c r="A11" t="s">
        <v>4233</v>
      </c>
      <c r="B11" t="s">
        <v>41</v>
      </c>
      <c r="C11" t="s">
        <v>5711</v>
      </c>
      <c r="D11" t="s">
        <v>90</v>
      </c>
      <c r="E11" t="s">
        <v>4238</v>
      </c>
    </row>
    <row r="12" spans="1:5" ht="15" customHeight="1" x14ac:dyDescent="0.25">
      <c r="A12" t="s">
        <v>4239</v>
      </c>
      <c r="B12" t="s">
        <v>41</v>
      </c>
      <c r="C12" t="s">
        <v>5712</v>
      </c>
      <c r="D12" t="s">
        <v>90</v>
      </c>
      <c r="E12" t="s">
        <v>4244</v>
      </c>
    </row>
    <row r="13" spans="1:5" ht="15" customHeight="1" x14ac:dyDescent="0.25">
      <c r="A13" t="s">
        <v>5713</v>
      </c>
      <c r="B13" t="s">
        <v>3530</v>
      </c>
      <c r="C13" t="s">
        <v>5714</v>
      </c>
      <c r="D13" t="s">
        <v>90</v>
      </c>
      <c r="E13" t="s">
        <v>5715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4578</v>
      </c>
      <c r="E1" t="s">
        <v>5716</v>
      </c>
      <c r="F1" t="s">
        <v>5717</v>
      </c>
      <c r="G1" t="s">
        <v>5718</v>
      </c>
      <c r="H1" t="s">
        <v>5719</v>
      </c>
      <c r="I1" t="s">
        <v>3458</v>
      </c>
      <c r="J1" t="s">
        <v>5720</v>
      </c>
      <c r="K1" t="s">
        <v>3452</v>
      </c>
      <c r="L1" t="s">
        <v>5721</v>
      </c>
      <c r="M1" t="s">
        <v>3862</v>
      </c>
      <c r="N1" t="s">
        <v>5722</v>
      </c>
      <c r="O1" t="s">
        <v>5723</v>
      </c>
      <c r="P1" t="s">
        <v>3459</v>
      </c>
      <c r="Q1" t="s">
        <v>3460</v>
      </c>
      <c r="R1" t="s">
        <v>3461</v>
      </c>
      <c r="S1" t="s">
        <v>5724</v>
      </c>
      <c r="T1" t="s">
        <v>5725</v>
      </c>
      <c r="U1" t="s">
        <v>5726</v>
      </c>
      <c r="V1" t="s">
        <v>5727</v>
      </c>
      <c r="W1" t="s">
        <v>5728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5729</v>
      </c>
      <c r="R2" t="s">
        <v>3502</v>
      </c>
      <c r="S2" t="s">
        <v>5469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5730</v>
      </c>
      <c r="Q3" t="s">
        <v>5731</v>
      </c>
      <c r="R3" t="s">
        <v>3482</v>
      </c>
      <c r="S3" t="s">
        <v>5486</v>
      </c>
      <c r="T3">
        <v>5</v>
      </c>
      <c r="U3">
        <v>4</v>
      </c>
      <c r="V3" t="s">
        <v>5732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5733</v>
      </c>
      <c r="R4" t="s">
        <v>3510</v>
      </c>
      <c r="S4" t="s">
        <v>4595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5734</v>
      </c>
      <c r="R5" t="s">
        <v>3491</v>
      </c>
      <c r="S5" t="s">
        <v>5735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5736</v>
      </c>
      <c r="Q6" t="s">
        <v>5737</v>
      </c>
      <c r="R6" t="s">
        <v>3477</v>
      </c>
      <c r="S6" t="s">
        <v>5469</v>
      </c>
      <c r="T6">
        <v>5</v>
      </c>
      <c r="U6">
        <v>4</v>
      </c>
      <c r="V6" t="s">
        <v>3451</v>
      </c>
      <c r="X6" t="s">
        <v>3478</v>
      </c>
    </row>
    <row r="7" spans="1:24" ht="15" customHeight="1" x14ac:dyDescent="0.25">
      <c r="A7" t="s">
        <v>5738</v>
      </c>
      <c r="B7" t="s">
        <v>90</v>
      </c>
      <c r="C7">
        <v>70</v>
      </c>
      <c r="D7">
        <v>3</v>
      </c>
      <c r="E7">
        <v>0</v>
      </c>
      <c r="F7">
        <v>2</v>
      </c>
      <c r="G7">
        <v>0</v>
      </c>
      <c r="H7">
        <v>0</v>
      </c>
      <c r="I7">
        <v>0</v>
      </c>
      <c r="J7">
        <v>0</v>
      </c>
      <c r="K7">
        <v>0</v>
      </c>
      <c r="L7">
        <v>0</v>
      </c>
      <c r="M7">
        <v>0</v>
      </c>
      <c r="N7">
        <v>0</v>
      </c>
      <c r="O7">
        <v>0</v>
      </c>
      <c r="P7" t="s">
        <v>5736</v>
      </c>
      <c r="Q7" t="s">
        <v>5739</v>
      </c>
      <c r="R7" t="s">
        <v>5740</v>
      </c>
      <c r="S7" t="s">
        <v>5469</v>
      </c>
      <c r="T7">
        <v>5</v>
      </c>
      <c r="U7">
        <v>5</v>
      </c>
      <c r="V7" t="s">
        <v>5741</v>
      </c>
      <c r="W7" t="s">
        <v>5742</v>
      </c>
      <c r="X7" t="s">
        <v>4847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5743</v>
      </c>
      <c r="E1" t="s">
        <v>3461</v>
      </c>
      <c r="F1" t="s">
        <v>5744</v>
      </c>
      <c r="G1" t="s">
        <v>5745</v>
      </c>
      <c r="H1" t="s">
        <v>4304</v>
      </c>
      <c r="I1" t="s">
        <v>1</v>
      </c>
      <c r="J1" t="s">
        <v>170</v>
      </c>
    </row>
    <row r="2" spans="1:10" ht="15" customHeight="1" x14ac:dyDescent="0.25">
      <c r="A2" t="s">
        <v>5746</v>
      </c>
      <c r="B2" t="s">
        <v>3530</v>
      </c>
      <c r="C2" t="s">
        <v>4642</v>
      </c>
      <c r="D2">
        <v>1</v>
      </c>
      <c r="E2" t="s">
        <v>5747</v>
      </c>
      <c r="F2" t="s">
        <v>5748</v>
      </c>
      <c r="G2">
        <v>1</v>
      </c>
      <c r="H2" t="s">
        <v>5746</v>
      </c>
      <c r="I2" t="s">
        <v>90</v>
      </c>
      <c r="J2" t="s">
        <v>5749</v>
      </c>
    </row>
    <row r="3" spans="1:10" ht="15" customHeight="1" x14ac:dyDescent="0.25">
      <c r="A3" t="s">
        <v>5750</v>
      </c>
      <c r="B3" t="s">
        <v>41</v>
      </c>
      <c r="C3" t="s">
        <v>5405</v>
      </c>
      <c r="D3">
        <v>1</v>
      </c>
      <c r="E3" t="s">
        <v>5751</v>
      </c>
      <c r="F3" t="s">
        <v>5752</v>
      </c>
      <c r="G3">
        <v>1</v>
      </c>
      <c r="H3" t="s">
        <v>5750</v>
      </c>
      <c r="I3" t="s">
        <v>90</v>
      </c>
      <c r="J3" t="s">
        <v>5753</v>
      </c>
    </row>
    <row r="4" spans="1:10" ht="15" customHeight="1" x14ac:dyDescent="0.25">
      <c r="A4" t="s">
        <v>5754</v>
      </c>
      <c r="B4" t="s">
        <v>3518</v>
      </c>
      <c r="C4" t="s">
        <v>5405</v>
      </c>
      <c r="D4">
        <v>0</v>
      </c>
      <c r="E4" t="s">
        <v>5755</v>
      </c>
      <c r="F4" t="s">
        <v>5756</v>
      </c>
      <c r="G4">
        <v>0</v>
      </c>
      <c r="H4" t="s">
        <v>5754</v>
      </c>
      <c r="I4" t="s">
        <v>90</v>
      </c>
      <c r="J4" t="s">
        <v>5757</v>
      </c>
    </row>
    <row r="5" spans="1:10" ht="15" customHeight="1" x14ac:dyDescent="0.25">
      <c r="A5" t="s">
        <v>5758</v>
      </c>
      <c r="B5" t="s">
        <v>3518</v>
      </c>
      <c r="C5" t="s">
        <v>4642</v>
      </c>
      <c r="D5">
        <v>1</v>
      </c>
      <c r="E5" t="s">
        <v>5759</v>
      </c>
      <c r="F5" t="s">
        <v>5760</v>
      </c>
      <c r="G5">
        <v>1</v>
      </c>
      <c r="H5" t="s">
        <v>5761</v>
      </c>
      <c r="I5" t="s">
        <v>90</v>
      </c>
      <c r="J5" t="s">
        <v>5762</v>
      </c>
    </row>
    <row r="6" spans="1:10" ht="15" customHeight="1" x14ac:dyDescent="0.25">
      <c r="A6" t="s">
        <v>5763</v>
      </c>
      <c r="B6" t="s">
        <v>3518</v>
      </c>
      <c r="C6" t="s">
        <v>5405</v>
      </c>
      <c r="D6">
        <v>1</v>
      </c>
      <c r="E6" t="s">
        <v>5764</v>
      </c>
      <c r="F6" t="s">
        <v>5764</v>
      </c>
      <c r="G6">
        <v>0</v>
      </c>
      <c r="H6" t="s">
        <v>5763</v>
      </c>
      <c r="I6" t="s">
        <v>90</v>
      </c>
      <c r="J6" t="s">
        <v>5765</v>
      </c>
    </row>
    <row r="7" spans="1:10" ht="15" customHeight="1" x14ac:dyDescent="0.25">
      <c r="A7" t="s">
        <v>5766</v>
      </c>
      <c r="B7" t="s">
        <v>3518</v>
      </c>
      <c r="C7" t="s">
        <v>5767</v>
      </c>
      <c r="D7">
        <v>2</v>
      </c>
      <c r="E7" t="s">
        <v>5768</v>
      </c>
      <c r="F7" t="s">
        <v>5769</v>
      </c>
      <c r="G7">
        <v>2</v>
      </c>
      <c r="H7" t="s">
        <v>5770</v>
      </c>
      <c r="I7" t="s">
        <v>90</v>
      </c>
      <c r="J7" t="s">
        <v>5771</v>
      </c>
    </row>
    <row r="8" spans="1:10" ht="15" customHeight="1" x14ac:dyDescent="0.25">
      <c r="A8" t="s">
        <v>5772</v>
      </c>
      <c r="B8" t="s">
        <v>3530</v>
      </c>
      <c r="C8" t="s">
        <v>5767</v>
      </c>
      <c r="D8">
        <v>1</v>
      </c>
      <c r="E8" t="s">
        <v>5773</v>
      </c>
      <c r="F8" t="s">
        <v>5774</v>
      </c>
      <c r="G8">
        <v>1</v>
      </c>
      <c r="H8" t="s">
        <v>5775</v>
      </c>
      <c r="I8" t="s">
        <v>90</v>
      </c>
      <c r="J8" t="s">
        <v>5776</v>
      </c>
    </row>
    <row r="9" spans="1:10" ht="15" customHeight="1" x14ac:dyDescent="0.25">
      <c r="A9" t="s">
        <v>5777</v>
      </c>
      <c r="B9" t="s">
        <v>41</v>
      </c>
      <c r="C9" t="s">
        <v>5767</v>
      </c>
      <c r="D9">
        <v>0</v>
      </c>
      <c r="E9" t="s">
        <v>5778</v>
      </c>
      <c r="F9" t="s">
        <v>5779</v>
      </c>
      <c r="G9">
        <v>0</v>
      </c>
      <c r="H9" t="s">
        <v>5777</v>
      </c>
      <c r="I9" t="s">
        <v>90</v>
      </c>
      <c r="J9" t="s">
        <v>5780</v>
      </c>
    </row>
    <row r="10" spans="1:10" ht="15" customHeight="1" x14ac:dyDescent="0.25">
      <c r="A10" t="s">
        <v>5781</v>
      </c>
      <c r="B10" t="s">
        <v>41</v>
      </c>
      <c r="C10" t="s">
        <v>5405</v>
      </c>
      <c r="D10">
        <v>1</v>
      </c>
      <c r="E10" t="s">
        <v>5782</v>
      </c>
      <c r="F10" t="s">
        <v>5783</v>
      </c>
      <c r="G10">
        <v>1</v>
      </c>
      <c r="H10" t="s">
        <v>5781</v>
      </c>
      <c r="I10" t="s">
        <v>90</v>
      </c>
      <c r="J10" t="s">
        <v>5784</v>
      </c>
    </row>
    <row r="11" spans="1:10" ht="15" customHeight="1" x14ac:dyDescent="0.25">
      <c r="A11" t="s">
        <v>5785</v>
      </c>
      <c r="B11" t="s">
        <v>41</v>
      </c>
      <c r="C11" t="s">
        <v>5405</v>
      </c>
      <c r="D11">
        <v>1</v>
      </c>
      <c r="E11" t="s">
        <v>5786</v>
      </c>
      <c r="F11" t="s">
        <v>5787</v>
      </c>
      <c r="G11">
        <v>1</v>
      </c>
      <c r="H11" t="s">
        <v>5785</v>
      </c>
      <c r="I11" t="s">
        <v>90</v>
      </c>
      <c r="J11" t="s">
        <v>5788</v>
      </c>
    </row>
    <row r="12" spans="1:10" ht="15" customHeight="1" x14ac:dyDescent="0.25">
      <c r="A12" t="s">
        <v>5789</v>
      </c>
      <c r="B12" t="s">
        <v>3530</v>
      </c>
      <c r="C12" t="s">
        <v>5767</v>
      </c>
      <c r="D12">
        <v>0</v>
      </c>
      <c r="E12" t="s">
        <v>5790</v>
      </c>
      <c r="F12" t="s">
        <v>5791</v>
      </c>
      <c r="G12">
        <v>0</v>
      </c>
      <c r="H12" t="s">
        <v>5789</v>
      </c>
      <c r="I12" t="s">
        <v>90</v>
      </c>
      <c r="J12" t="s">
        <v>5792</v>
      </c>
    </row>
    <row r="13" spans="1:10" ht="15" customHeight="1" x14ac:dyDescent="0.25">
      <c r="A13" t="s">
        <v>4472</v>
      </c>
      <c r="B13" t="s">
        <v>3530</v>
      </c>
      <c r="C13" t="s">
        <v>5405</v>
      </c>
      <c r="D13">
        <v>1</v>
      </c>
      <c r="E13" t="s">
        <v>5793</v>
      </c>
      <c r="F13" t="s">
        <v>5793</v>
      </c>
      <c r="G13">
        <v>1</v>
      </c>
      <c r="H13" t="s">
        <v>4477</v>
      </c>
      <c r="I13" t="s">
        <v>1650</v>
      </c>
      <c r="J13" t="s">
        <v>5794</v>
      </c>
    </row>
    <row r="14" spans="1:10" ht="15" customHeight="1" x14ac:dyDescent="0.25">
      <c r="A14" t="s">
        <v>5795</v>
      </c>
      <c r="B14" t="s">
        <v>41</v>
      </c>
      <c r="C14" t="s">
        <v>5767</v>
      </c>
      <c r="D14">
        <v>1</v>
      </c>
      <c r="E14" t="s">
        <v>5796</v>
      </c>
      <c r="F14" t="s">
        <v>5797</v>
      </c>
      <c r="G14">
        <v>1</v>
      </c>
      <c r="H14" t="s">
        <v>5795</v>
      </c>
      <c r="I14" t="s">
        <v>90</v>
      </c>
      <c r="J14" t="s">
        <v>5798</v>
      </c>
    </row>
    <row r="15" spans="1:10" ht="15" customHeight="1" x14ac:dyDescent="0.25">
      <c r="A15" t="s">
        <v>4483</v>
      </c>
      <c r="B15" t="s">
        <v>3530</v>
      </c>
      <c r="C15" t="s">
        <v>5767</v>
      </c>
      <c r="D15">
        <v>1</v>
      </c>
      <c r="E15" t="s">
        <v>5799</v>
      </c>
      <c r="F15" t="s">
        <v>5799</v>
      </c>
      <c r="G15">
        <v>1</v>
      </c>
      <c r="H15" t="s">
        <v>4483</v>
      </c>
      <c r="I15" t="s">
        <v>1047</v>
      </c>
      <c r="J15" t="s">
        <v>5800</v>
      </c>
    </row>
    <row r="16" spans="1:10" ht="15" customHeight="1" x14ac:dyDescent="0.25">
      <c r="A16" t="s">
        <v>3537</v>
      </c>
      <c r="B16" t="s">
        <v>3518</v>
      </c>
      <c r="C16" t="s">
        <v>4642</v>
      </c>
      <c r="D16">
        <v>3</v>
      </c>
      <c r="E16" t="s">
        <v>5801</v>
      </c>
      <c r="F16" t="s">
        <v>5801</v>
      </c>
      <c r="G16">
        <v>2</v>
      </c>
      <c r="H16" t="s">
        <v>3537</v>
      </c>
      <c r="I16" t="s">
        <v>90</v>
      </c>
      <c r="J16" t="s">
        <v>5784</v>
      </c>
    </row>
    <row r="17" spans="1:10" ht="15" customHeight="1" x14ac:dyDescent="0.25">
      <c r="A17" t="s">
        <v>3451</v>
      </c>
      <c r="B17" t="s">
        <v>3563</v>
      </c>
      <c r="C17" t="s">
        <v>5767</v>
      </c>
      <c r="D17">
        <v>2</v>
      </c>
      <c r="E17" t="s">
        <v>5802</v>
      </c>
      <c r="F17" t="s">
        <v>5803</v>
      </c>
      <c r="G17">
        <v>2</v>
      </c>
      <c r="H17" t="s">
        <v>3451</v>
      </c>
      <c r="I17" t="s">
        <v>90</v>
      </c>
      <c r="J17" t="s">
        <v>5780</v>
      </c>
    </row>
    <row r="18" spans="1:10" ht="15" customHeight="1" x14ac:dyDescent="0.25">
      <c r="A18" t="s">
        <v>5804</v>
      </c>
      <c r="B18" t="s">
        <v>3530</v>
      </c>
      <c r="C18" t="s">
        <v>5405</v>
      </c>
      <c r="D18">
        <v>0</v>
      </c>
      <c r="E18" t="s">
        <v>5805</v>
      </c>
      <c r="F18" t="s">
        <v>5806</v>
      </c>
      <c r="G18">
        <v>0</v>
      </c>
      <c r="H18" t="s">
        <v>5807</v>
      </c>
      <c r="I18" t="s">
        <v>90</v>
      </c>
      <c r="J18" t="s">
        <v>5808</v>
      </c>
    </row>
    <row r="19" spans="1:10" ht="15" customHeight="1" x14ac:dyDescent="0.25">
      <c r="A19" t="s">
        <v>5809</v>
      </c>
      <c r="B19" t="s">
        <v>41</v>
      </c>
      <c r="C19" t="s">
        <v>5767</v>
      </c>
      <c r="D19">
        <v>0</v>
      </c>
      <c r="E19" t="s">
        <v>5810</v>
      </c>
      <c r="F19" t="s">
        <v>5811</v>
      </c>
      <c r="G19">
        <v>0</v>
      </c>
      <c r="H19" t="s">
        <v>5812</v>
      </c>
      <c r="I19" t="s">
        <v>90</v>
      </c>
      <c r="J19" t="s">
        <v>5813</v>
      </c>
    </row>
    <row r="20" spans="1:10" ht="15" customHeight="1" x14ac:dyDescent="0.25">
      <c r="A20" t="s">
        <v>5814</v>
      </c>
      <c r="B20" t="s">
        <v>3518</v>
      </c>
      <c r="C20" t="s">
        <v>4642</v>
      </c>
      <c r="D20">
        <v>0</v>
      </c>
      <c r="E20" t="s">
        <v>5815</v>
      </c>
      <c r="F20" t="s">
        <v>5816</v>
      </c>
      <c r="G20">
        <v>0</v>
      </c>
      <c r="H20" t="s">
        <v>5814</v>
      </c>
      <c r="I20" t="s">
        <v>90</v>
      </c>
      <c r="J20" t="s">
        <v>5817</v>
      </c>
    </row>
    <row r="21" spans="1:10" ht="15" customHeight="1" x14ac:dyDescent="0.25">
      <c r="A21" t="s">
        <v>5818</v>
      </c>
      <c r="B21" t="s">
        <v>41</v>
      </c>
      <c r="C21" t="s">
        <v>5405</v>
      </c>
      <c r="D21">
        <v>1</v>
      </c>
      <c r="E21" t="s">
        <v>5819</v>
      </c>
      <c r="F21" t="s">
        <v>5820</v>
      </c>
      <c r="G21">
        <v>1</v>
      </c>
      <c r="H21" t="s">
        <v>5821</v>
      </c>
      <c r="I21" t="s">
        <v>90</v>
      </c>
      <c r="J21" t="s">
        <v>5822</v>
      </c>
    </row>
    <row r="22" spans="1:10" ht="15" customHeight="1" x14ac:dyDescent="0.25">
      <c r="A22" t="s">
        <v>4510</v>
      </c>
      <c r="B22" t="s">
        <v>41</v>
      </c>
      <c r="C22" t="s">
        <v>5767</v>
      </c>
      <c r="D22">
        <v>1</v>
      </c>
      <c r="E22" t="s">
        <v>5823</v>
      </c>
      <c r="F22" t="s">
        <v>5823</v>
      </c>
      <c r="G22">
        <v>1</v>
      </c>
      <c r="H22" t="s">
        <v>4513</v>
      </c>
      <c r="I22" t="s">
        <v>1105</v>
      </c>
      <c r="J22" t="s">
        <v>5800</v>
      </c>
    </row>
    <row r="23" spans="1:10" ht="15" customHeight="1" x14ac:dyDescent="0.25">
      <c r="A23" t="s">
        <v>5824</v>
      </c>
      <c r="B23" t="s">
        <v>3530</v>
      </c>
      <c r="C23" t="s">
        <v>5767</v>
      </c>
      <c r="D23">
        <v>4</v>
      </c>
      <c r="E23" t="s">
        <v>5825</v>
      </c>
      <c r="F23" t="s">
        <v>5826</v>
      </c>
      <c r="G23">
        <v>3</v>
      </c>
      <c r="H23" t="s">
        <v>5827</v>
      </c>
      <c r="I23" t="s">
        <v>90</v>
      </c>
      <c r="J23" t="s">
        <v>5808</v>
      </c>
    </row>
    <row r="24" spans="1:10" ht="15" customHeight="1" x14ac:dyDescent="0.25">
      <c r="A24" t="s">
        <v>4514</v>
      </c>
      <c r="B24" t="s">
        <v>3518</v>
      </c>
      <c r="C24" t="s">
        <v>5767</v>
      </c>
      <c r="D24">
        <v>1</v>
      </c>
      <c r="E24" t="s">
        <v>5828</v>
      </c>
      <c r="F24" t="s">
        <v>5828</v>
      </c>
      <c r="G24">
        <v>1</v>
      </c>
      <c r="H24" t="s">
        <v>4517</v>
      </c>
      <c r="I24" t="s">
        <v>1622</v>
      </c>
      <c r="J24" t="s">
        <v>5800</v>
      </c>
    </row>
    <row r="25" spans="1:10" ht="15" customHeight="1" x14ac:dyDescent="0.25">
      <c r="A25" t="s">
        <v>5829</v>
      </c>
      <c r="B25" t="s">
        <v>3530</v>
      </c>
      <c r="C25" t="s">
        <v>5405</v>
      </c>
      <c r="D25">
        <v>0</v>
      </c>
      <c r="E25" t="s">
        <v>5830</v>
      </c>
      <c r="F25" t="s">
        <v>5831</v>
      </c>
      <c r="G25">
        <v>0</v>
      </c>
      <c r="H25" t="s">
        <v>5829</v>
      </c>
      <c r="I25" t="s">
        <v>90</v>
      </c>
      <c r="J25" t="s">
        <v>5817</v>
      </c>
    </row>
    <row r="26" spans="1:10" ht="15" customHeight="1" x14ac:dyDescent="0.25">
      <c r="A26" t="s">
        <v>5832</v>
      </c>
      <c r="B26" t="s">
        <v>3518</v>
      </c>
      <c r="C26" t="s">
        <v>5767</v>
      </c>
      <c r="D26">
        <v>3</v>
      </c>
      <c r="E26" t="s">
        <v>5833</v>
      </c>
      <c r="F26" t="s">
        <v>5834</v>
      </c>
      <c r="G26">
        <v>3</v>
      </c>
      <c r="H26" t="s">
        <v>5832</v>
      </c>
      <c r="I26" t="s">
        <v>90</v>
      </c>
      <c r="J26" t="s">
        <v>5780</v>
      </c>
    </row>
    <row r="27" spans="1:10" ht="15" customHeight="1" x14ac:dyDescent="0.25">
      <c r="A27" t="s">
        <v>5835</v>
      </c>
      <c r="B27" t="s">
        <v>4342</v>
      </c>
      <c r="C27" t="s">
        <v>3674</v>
      </c>
      <c r="D27">
        <v>1</v>
      </c>
      <c r="E27" t="s">
        <v>5836</v>
      </c>
      <c r="F27" t="s">
        <v>3467</v>
      </c>
      <c r="G27" t="s">
        <v>3467</v>
      </c>
      <c r="H27" t="s">
        <v>5837</v>
      </c>
      <c r="I27" t="s">
        <v>501</v>
      </c>
      <c r="J27" t="s">
        <v>5838</v>
      </c>
    </row>
    <row r="28" spans="1:10" ht="15" customHeight="1" x14ac:dyDescent="0.25">
      <c r="A28" t="s">
        <v>5205</v>
      </c>
      <c r="B28" t="s">
        <v>3530</v>
      </c>
      <c r="C28" t="s">
        <v>5405</v>
      </c>
      <c r="D28">
        <v>1</v>
      </c>
      <c r="E28" t="s">
        <v>5839</v>
      </c>
      <c r="F28" t="s">
        <v>5840</v>
      </c>
      <c r="G28">
        <v>1</v>
      </c>
      <c r="H28" t="s">
        <v>5205</v>
      </c>
      <c r="I28" t="s">
        <v>90</v>
      </c>
      <c r="J28" t="s">
        <v>5762</v>
      </c>
    </row>
    <row r="29" spans="1:10" ht="15" customHeight="1" x14ac:dyDescent="0.25">
      <c r="A29" t="s">
        <v>5841</v>
      </c>
      <c r="B29" t="s">
        <v>41</v>
      </c>
      <c r="C29" t="s">
        <v>5767</v>
      </c>
      <c r="D29">
        <v>1</v>
      </c>
      <c r="E29" t="s">
        <v>5842</v>
      </c>
      <c r="F29" t="s">
        <v>5842</v>
      </c>
      <c r="G29">
        <v>0</v>
      </c>
      <c r="H29" t="s">
        <v>5843</v>
      </c>
      <c r="I29" t="s">
        <v>90</v>
      </c>
      <c r="J29" t="s">
        <v>5780</v>
      </c>
    </row>
    <row r="30" spans="1:10" ht="15" customHeight="1" x14ac:dyDescent="0.25">
      <c r="A30" t="s">
        <v>5844</v>
      </c>
      <c r="B30" t="s">
        <v>3530</v>
      </c>
      <c r="C30" t="s">
        <v>5405</v>
      </c>
      <c r="D30">
        <v>0</v>
      </c>
      <c r="E30" t="s">
        <v>5845</v>
      </c>
      <c r="F30" t="s">
        <v>5846</v>
      </c>
      <c r="G30">
        <v>0</v>
      </c>
      <c r="H30" t="s">
        <v>5847</v>
      </c>
      <c r="I30" t="s">
        <v>90</v>
      </c>
      <c r="J30" t="s">
        <v>5848</v>
      </c>
    </row>
    <row r="31" spans="1:10" ht="15" customHeight="1" x14ac:dyDescent="0.25">
      <c r="A31" t="s">
        <v>5849</v>
      </c>
      <c r="B31" t="s">
        <v>3530</v>
      </c>
      <c r="C31" t="s">
        <v>5850</v>
      </c>
      <c r="D31">
        <v>3</v>
      </c>
      <c r="E31" t="s">
        <v>5851</v>
      </c>
      <c r="F31" t="s">
        <v>5852</v>
      </c>
      <c r="G31">
        <v>3</v>
      </c>
      <c r="H31" t="s">
        <v>5853</v>
      </c>
      <c r="I31" t="s">
        <v>1673</v>
      </c>
    </row>
    <row r="32" spans="1:10" ht="15" customHeight="1" x14ac:dyDescent="0.25">
      <c r="A32" t="s">
        <v>5854</v>
      </c>
      <c r="B32" t="s">
        <v>3530</v>
      </c>
      <c r="C32" t="s">
        <v>5405</v>
      </c>
      <c r="D32">
        <v>2</v>
      </c>
      <c r="E32" t="s">
        <v>5855</v>
      </c>
      <c r="F32" t="s">
        <v>5856</v>
      </c>
      <c r="G32">
        <v>2</v>
      </c>
      <c r="H32" t="s">
        <v>5857</v>
      </c>
      <c r="I32" t="s">
        <v>90</v>
      </c>
      <c r="J32" t="s">
        <v>5858</v>
      </c>
    </row>
    <row r="33" spans="1:10" ht="15" customHeight="1" x14ac:dyDescent="0.25">
      <c r="A33" t="s">
        <v>5859</v>
      </c>
      <c r="B33" t="s">
        <v>3518</v>
      </c>
      <c r="C33" t="s">
        <v>4642</v>
      </c>
      <c r="D33">
        <v>0</v>
      </c>
      <c r="E33" t="s">
        <v>5860</v>
      </c>
      <c r="F33" t="s">
        <v>5861</v>
      </c>
      <c r="G33">
        <v>0</v>
      </c>
      <c r="H33" t="s">
        <v>5859</v>
      </c>
      <c r="I33" t="s">
        <v>90</v>
      </c>
      <c r="J33" t="s">
        <v>5808</v>
      </c>
    </row>
    <row r="34" spans="1:10" ht="15" customHeight="1" x14ac:dyDescent="0.25">
      <c r="A34" t="s">
        <v>5211</v>
      </c>
      <c r="B34" t="s">
        <v>3518</v>
      </c>
      <c r="C34" t="s">
        <v>4642</v>
      </c>
      <c r="D34">
        <v>2</v>
      </c>
      <c r="E34" t="s">
        <v>5862</v>
      </c>
      <c r="F34" t="s">
        <v>5863</v>
      </c>
      <c r="G34">
        <v>2</v>
      </c>
      <c r="H34" t="s">
        <v>5211</v>
      </c>
      <c r="I34" t="s">
        <v>90</v>
      </c>
      <c r="J34" t="s">
        <v>5864</v>
      </c>
    </row>
    <row r="35" spans="1:10" ht="15" customHeight="1" x14ac:dyDescent="0.25">
      <c r="A35" t="s">
        <v>5865</v>
      </c>
      <c r="B35" t="s">
        <v>3518</v>
      </c>
      <c r="C35" t="s">
        <v>5405</v>
      </c>
      <c r="D35">
        <v>3</v>
      </c>
      <c r="E35" t="s">
        <v>5866</v>
      </c>
      <c r="F35" t="s">
        <v>5866</v>
      </c>
      <c r="G35">
        <v>2</v>
      </c>
      <c r="H35" t="s">
        <v>5867</v>
      </c>
      <c r="I35" t="s">
        <v>90</v>
      </c>
      <c r="J35" t="s">
        <v>5868</v>
      </c>
    </row>
    <row r="36" spans="1:10" ht="15" customHeight="1" x14ac:dyDescent="0.25">
      <c r="A36" t="s">
        <v>4039</v>
      </c>
      <c r="B36" t="s">
        <v>4342</v>
      </c>
      <c r="C36" t="s">
        <v>3674</v>
      </c>
      <c r="D36" t="s">
        <v>4034</v>
      </c>
      <c r="E36" t="s">
        <v>5869</v>
      </c>
      <c r="F36" t="s">
        <v>5870</v>
      </c>
      <c r="G36" t="s">
        <v>4034</v>
      </c>
      <c r="H36" t="s">
        <v>4039</v>
      </c>
      <c r="I36" t="s">
        <v>90</v>
      </c>
    </row>
    <row r="37" spans="1:10" ht="15" customHeight="1" x14ac:dyDescent="0.25">
      <c r="A37" t="s">
        <v>5871</v>
      </c>
      <c r="B37" t="s">
        <v>3530</v>
      </c>
      <c r="C37" t="s">
        <v>5405</v>
      </c>
      <c r="D37">
        <v>1</v>
      </c>
      <c r="E37" t="s">
        <v>5872</v>
      </c>
      <c r="F37" t="s">
        <v>5873</v>
      </c>
      <c r="G37">
        <v>1</v>
      </c>
      <c r="H37" t="s">
        <v>5874</v>
      </c>
      <c r="I37" t="s">
        <v>90</v>
      </c>
      <c r="J37" t="s">
        <v>5875</v>
      </c>
    </row>
    <row r="38" spans="1:10" ht="15" customHeight="1" x14ac:dyDescent="0.25">
      <c r="A38" t="s">
        <v>5215</v>
      </c>
      <c r="B38" t="s">
        <v>3518</v>
      </c>
      <c r="C38" t="s">
        <v>5405</v>
      </c>
      <c r="D38">
        <v>1</v>
      </c>
      <c r="E38" t="s">
        <v>5876</v>
      </c>
      <c r="F38" t="s">
        <v>5877</v>
      </c>
      <c r="G38">
        <v>1</v>
      </c>
      <c r="H38" t="s">
        <v>5215</v>
      </c>
      <c r="I38" t="s">
        <v>90</v>
      </c>
      <c r="J38" t="s">
        <v>5868</v>
      </c>
    </row>
    <row r="39" spans="1:10" ht="15" customHeight="1" x14ac:dyDescent="0.25">
      <c r="A39" t="s">
        <v>5878</v>
      </c>
      <c r="B39" t="s">
        <v>3530</v>
      </c>
      <c r="C39" t="s">
        <v>5405</v>
      </c>
      <c r="D39">
        <v>0</v>
      </c>
      <c r="E39" t="s">
        <v>5879</v>
      </c>
      <c r="F39" t="s">
        <v>5880</v>
      </c>
      <c r="G39">
        <v>0</v>
      </c>
      <c r="H39" t="s">
        <v>5881</v>
      </c>
      <c r="I39" t="s">
        <v>90</v>
      </c>
      <c r="J39" t="s">
        <v>5882</v>
      </c>
    </row>
    <row r="40" spans="1:10" ht="15" customHeight="1" x14ac:dyDescent="0.25">
      <c r="A40" t="s">
        <v>5883</v>
      </c>
      <c r="B40" t="s">
        <v>3530</v>
      </c>
      <c r="C40" t="s">
        <v>4642</v>
      </c>
      <c r="D40">
        <v>1</v>
      </c>
      <c r="E40" t="s">
        <v>5714</v>
      </c>
      <c r="F40" t="s">
        <v>5884</v>
      </c>
      <c r="G40">
        <v>1</v>
      </c>
      <c r="H40" t="s">
        <v>5883</v>
      </c>
      <c r="I40" t="s">
        <v>90</v>
      </c>
      <c r="J40" t="s">
        <v>5762</v>
      </c>
    </row>
    <row r="41" spans="1:10" ht="15" customHeight="1" x14ac:dyDescent="0.25">
      <c r="A41" t="s">
        <v>5885</v>
      </c>
      <c r="B41" t="s">
        <v>3530</v>
      </c>
      <c r="C41" t="s">
        <v>5767</v>
      </c>
      <c r="D41">
        <v>2</v>
      </c>
      <c r="E41" t="s">
        <v>5886</v>
      </c>
      <c r="F41" t="s">
        <v>5887</v>
      </c>
      <c r="G41">
        <v>2</v>
      </c>
      <c r="H41" t="s">
        <v>5885</v>
      </c>
      <c r="I41" t="s">
        <v>90</v>
      </c>
      <c r="J41" t="s">
        <v>5780</v>
      </c>
    </row>
    <row r="42" spans="1:10" ht="15" customHeight="1" x14ac:dyDescent="0.25">
      <c r="A42" t="s">
        <v>5888</v>
      </c>
      <c r="B42" t="s">
        <v>3530</v>
      </c>
      <c r="C42" t="s">
        <v>5405</v>
      </c>
      <c r="D42">
        <v>1</v>
      </c>
      <c r="E42" t="s">
        <v>5889</v>
      </c>
      <c r="F42" t="s">
        <v>5890</v>
      </c>
      <c r="G42">
        <v>1</v>
      </c>
      <c r="H42" t="s">
        <v>5888</v>
      </c>
      <c r="I42" t="s">
        <v>90</v>
      </c>
      <c r="J42" t="s">
        <v>5858</v>
      </c>
    </row>
    <row r="43" spans="1:10" ht="15" customHeight="1" x14ac:dyDescent="0.25">
      <c r="A43" t="s">
        <v>5891</v>
      </c>
      <c r="B43" t="s">
        <v>3530</v>
      </c>
      <c r="C43" t="s">
        <v>5767</v>
      </c>
      <c r="D43">
        <v>2</v>
      </c>
      <c r="E43" t="s">
        <v>5892</v>
      </c>
      <c r="F43" t="s">
        <v>5893</v>
      </c>
      <c r="G43">
        <v>2</v>
      </c>
      <c r="H43" t="s">
        <v>5891</v>
      </c>
      <c r="I43" t="s">
        <v>90</v>
      </c>
      <c r="J43" t="s">
        <v>5894</v>
      </c>
    </row>
    <row r="44" spans="1:10" ht="15" customHeight="1" x14ac:dyDescent="0.25">
      <c r="A44" t="s">
        <v>5895</v>
      </c>
      <c r="B44" t="s">
        <v>41</v>
      </c>
      <c r="C44" t="s">
        <v>5767</v>
      </c>
      <c r="D44">
        <v>0</v>
      </c>
      <c r="E44" t="s">
        <v>5896</v>
      </c>
      <c r="F44" t="s">
        <v>5897</v>
      </c>
      <c r="G44">
        <v>0</v>
      </c>
      <c r="H44" t="s">
        <v>5895</v>
      </c>
      <c r="I44" t="s">
        <v>90</v>
      </c>
      <c r="J44" t="s">
        <v>5780</v>
      </c>
    </row>
    <row r="45" spans="1:10" ht="15" customHeight="1" x14ac:dyDescent="0.25">
      <c r="A45" t="s">
        <v>5898</v>
      </c>
      <c r="B45" t="s">
        <v>41</v>
      </c>
      <c r="C45" t="s">
        <v>5767</v>
      </c>
      <c r="D45">
        <v>0</v>
      </c>
      <c r="E45" t="s">
        <v>5899</v>
      </c>
      <c r="F45" t="s">
        <v>5900</v>
      </c>
      <c r="G45">
        <v>0</v>
      </c>
      <c r="H45" t="s">
        <v>5898</v>
      </c>
      <c r="I45" t="s">
        <v>90</v>
      </c>
      <c r="J45" t="s">
        <v>5901</v>
      </c>
    </row>
    <row r="46" spans="1:10" ht="15" customHeight="1" x14ac:dyDescent="0.25">
      <c r="A46" t="s">
        <v>5455</v>
      </c>
      <c r="B46" t="s">
        <v>41</v>
      </c>
      <c r="C46" t="s">
        <v>5767</v>
      </c>
      <c r="D46">
        <v>1</v>
      </c>
      <c r="E46" t="s">
        <v>5902</v>
      </c>
      <c r="F46" t="s">
        <v>5903</v>
      </c>
      <c r="G46">
        <v>1</v>
      </c>
      <c r="H46" t="s">
        <v>5455</v>
      </c>
      <c r="I46" t="s">
        <v>90</v>
      </c>
      <c r="J46" t="s">
        <v>5904</v>
      </c>
    </row>
    <row r="47" spans="1:10" ht="15" customHeight="1" x14ac:dyDescent="0.25">
      <c r="A47" t="s">
        <v>5905</v>
      </c>
      <c r="B47" t="s">
        <v>41</v>
      </c>
      <c r="C47" t="s">
        <v>5405</v>
      </c>
      <c r="D47">
        <v>1</v>
      </c>
      <c r="E47" t="s">
        <v>5906</v>
      </c>
      <c r="F47" t="s">
        <v>5907</v>
      </c>
      <c r="G47">
        <v>1</v>
      </c>
      <c r="H47" t="s">
        <v>5908</v>
      </c>
      <c r="I47" t="s">
        <v>90</v>
      </c>
      <c r="J47" t="s">
        <v>5762</v>
      </c>
    </row>
    <row r="48" spans="1:10" ht="15" customHeight="1" x14ac:dyDescent="0.25">
      <c r="A48" t="s">
        <v>5909</v>
      </c>
      <c r="B48" t="s">
        <v>41</v>
      </c>
      <c r="C48" t="s">
        <v>5767</v>
      </c>
      <c r="D48">
        <v>2</v>
      </c>
      <c r="E48" t="s">
        <v>5910</v>
      </c>
      <c r="F48" t="s">
        <v>5911</v>
      </c>
      <c r="G48">
        <v>2</v>
      </c>
      <c r="H48" t="s">
        <v>5909</v>
      </c>
      <c r="I48" t="s">
        <v>90</v>
      </c>
      <c r="J48" t="s">
        <v>5912</v>
      </c>
    </row>
    <row r="49" spans="1:10" ht="15" customHeight="1" x14ac:dyDescent="0.25">
      <c r="A49" t="s">
        <v>5913</v>
      </c>
      <c r="B49" t="s">
        <v>4342</v>
      </c>
      <c r="C49" t="s">
        <v>4289</v>
      </c>
      <c r="D49" t="s">
        <v>4034</v>
      </c>
      <c r="E49" t="s">
        <v>5914</v>
      </c>
      <c r="F49" t="s">
        <v>3467</v>
      </c>
      <c r="G49" t="s">
        <v>3467</v>
      </c>
      <c r="H49" t="s">
        <v>5913</v>
      </c>
      <c r="I49" t="s">
        <v>90</v>
      </c>
      <c r="J49" t="s">
        <v>5915</v>
      </c>
    </row>
    <row r="50" spans="1:10" ht="15" customHeight="1" x14ac:dyDescent="0.25">
      <c r="A50" t="s">
        <v>5913</v>
      </c>
      <c r="B50" t="s">
        <v>41</v>
      </c>
      <c r="C50" t="s">
        <v>5486</v>
      </c>
      <c r="D50">
        <v>1</v>
      </c>
      <c r="E50" t="s">
        <v>5916</v>
      </c>
      <c r="F50" t="s">
        <v>5917</v>
      </c>
      <c r="G50">
        <v>1</v>
      </c>
      <c r="H50" t="s">
        <v>5913</v>
      </c>
      <c r="I50" t="s">
        <v>5918</v>
      </c>
      <c r="J50" t="s">
        <v>5919</v>
      </c>
    </row>
    <row r="51" spans="1:10" ht="15" customHeight="1" x14ac:dyDescent="0.25">
      <c r="A51" t="s">
        <v>5920</v>
      </c>
      <c r="B51" t="s">
        <v>3530</v>
      </c>
      <c r="C51" t="s">
        <v>4642</v>
      </c>
      <c r="D51">
        <v>1</v>
      </c>
      <c r="E51" t="s">
        <v>5921</v>
      </c>
      <c r="F51" t="s">
        <v>5922</v>
      </c>
      <c r="G51">
        <v>1</v>
      </c>
      <c r="H51" t="s">
        <v>5920</v>
      </c>
      <c r="I51" t="s">
        <v>90</v>
      </c>
      <c r="J51" t="s">
        <v>5780</v>
      </c>
    </row>
    <row r="52" spans="1:10" ht="15" customHeight="1" x14ac:dyDescent="0.25">
      <c r="A52" t="s">
        <v>5923</v>
      </c>
      <c r="B52" t="s">
        <v>3530</v>
      </c>
      <c r="C52" t="s">
        <v>5405</v>
      </c>
      <c r="D52">
        <v>0</v>
      </c>
      <c r="E52" t="s">
        <v>5924</v>
      </c>
      <c r="F52" t="s">
        <v>5925</v>
      </c>
      <c r="G52">
        <v>0</v>
      </c>
      <c r="H52" t="s">
        <v>5923</v>
      </c>
      <c r="I52" t="s">
        <v>90</v>
      </c>
      <c r="J52" t="s">
        <v>5926</v>
      </c>
    </row>
    <row r="53" spans="1:10" ht="15" customHeight="1" x14ac:dyDescent="0.25">
      <c r="A53" t="s">
        <v>5224</v>
      </c>
      <c r="B53" t="s">
        <v>3518</v>
      </c>
      <c r="C53" t="s">
        <v>5405</v>
      </c>
      <c r="D53">
        <v>2</v>
      </c>
      <c r="E53" t="s">
        <v>5927</v>
      </c>
      <c r="F53" t="s">
        <v>5928</v>
      </c>
      <c r="G53">
        <v>2</v>
      </c>
      <c r="H53" t="s">
        <v>5226</v>
      </c>
      <c r="I53" t="s">
        <v>90</v>
      </c>
      <c r="J53" t="s">
        <v>5929</v>
      </c>
    </row>
    <row r="54" spans="1:10" ht="15" customHeight="1" x14ac:dyDescent="0.25">
      <c r="A54" t="s">
        <v>5930</v>
      </c>
      <c r="B54" t="s">
        <v>3518</v>
      </c>
      <c r="C54" t="s">
        <v>4642</v>
      </c>
      <c r="D54">
        <v>3</v>
      </c>
      <c r="E54" t="s">
        <v>5931</v>
      </c>
      <c r="F54" t="s">
        <v>5931</v>
      </c>
      <c r="G54">
        <v>2</v>
      </c>
      <c r="H54" t="s">
        <v>5930</v>
      </c>
      <c r="I54" t="s">
        <v>90</v>
      </c>
      <c r="J54" t="s">
        <v>5817</v>
      </c>
    </row>
    <row r="55" spans="1:10" ht="15" customHeight="1" x14ac:dyDescent="0.25">
      <c r="A55" t="s">
        <v>5932</v>
      </c>
      <c r="B55" t="s">
        <v>3530</v>
      </c>
      <c r="C55" t="s">
        <v>5405</v>
      </c>
      <c r="D55">
        <v>2</v>
      </c>
      <c r="E55" t="s">
        <v>5933</v>
      </c>
      <c r="F55" t="s">
        <v>5934</v>
      </c>
      <c r="G55">
        <v>2</v>
      </c>
      <c r="H55" t="s">
        <v>5935</v>
      </c>
      <c r="I55" t="s">
        <v>90</v>
      </c>
      <c r="J55" t="s">
        <v>5929</v>
      </c>
    </row>
    <row r="56" spans="1:10" ht="15" customHeight="1" x14ac:dyDescent="0.25">
      <c r="A56" t="s">
        <v>5936</v>
      </c>
      <c r="B56" t="s">
        <v>3518</v>
      </c>
      <c r="C56" t="s">
        <v>5486</v>
      </c>
      <c r="D56">
        <v>1</v>
      </c>
      <c r="E56" t="s">
        <v>5916</v>
      </c>
      <c r="F56" t="s">
        <v>5917</v>
      </c>
      <c r="G56">
        <v>1</v>
      </c>
      <c r="H56" t="s">
        <v>5936</v>
      </c>
      <c r="I56" t="s">
        <v>5918</v>
      </c>
      <c r="J56" t="s">
        <v>5919</v>
      </c>
    </row>
    <row r="57" spans="1:10" ht="15" customHeight="1" x14ac:dyDescent="0.25">
      <c r="A57" t="s">
        <v>5937</v>
      </c>
      <c r="B57" t="s">
        <v>41</v>
      </c>
      <c r="C57" t="s">
        <v>5767</v>
      </c>
      <c r="D57">
        <v>1</v>
      </c>
      <c r="E57" t="s">
        <v>5938</v>
      </c>
      <c r="F57" t="s">
        <v>5939</v>
      </c>
      <c r="G57">
        <v>1</v>
      </c>
      <c r="H57" t="s">
        <v>5940</v>
      </c>
      <c r="I57" t="s">
        <v>90</v>
      </c>
      <c r="J57" t="s">
        <v>5941</v>
      </c>
    </row>
    <row r="58" spans="1:10" ht="15" customHeight="1" x14ac:dyDescent="0.25">
      <c r="A58" t="s">
        <v>5942</v>
      </c>
      <c r="B58" t="s">
        <v>41</v>
      </c>
      <c r="C58" t="s">
        <v>5767</v>
      </c>
      <c r="D58">
        <v>1</v>
      </c>
      <c r="E58" t="s">
        <v>5943</v>
      </c>
      <c r="F58" t="s">
        <v>5944</v>
      </c>
      <c r="G58">
        <v>1</v>
      </c>
      <c r="H58" t="s">
        <v>5945</v>
      </c>
      <c r="I58" t="s">
        <v>90</v>
      </c>
      <c r="J58" t="s">
        <v>5946</v>
      </c>
    </row>
    <row r="59" spans="1:10" ht="15" customHeight="1" x14ac:dyDescent="0.25">
      <c r="A59" t="s">
        <v>5947</v>
      </c>
      <c r="B59" t="s">
        <v>3530</v>
      </c>
      <c r="C59" t="s">
        <v>4642</v>
      </c>
      <c r="D59">
        <v>2</v>
      </c>
      <c r="E59" t="s">
        <v>5948</v>
      </c>
      <c r="F59" t="s">
        <v>5948</v>
      </c>
      <c r="G59">
        <v>1</v>
      </c>
      <c r="H59" t="s">
        <v>5949</v>
      </c>
      <c r="I59" t="s">
        <v>90</v>
      </c>
      <c r="J59" t="s">
        <v>5875</v>
      </c>
    </row>
    <row r="60" spans="1:10" ht="15" customHeight="1" x14ac:dyDescent="0.25">
      <c r="A60" t="s">
        <v>3452</v>
      </c>
      <c r="B60" t="s">
        <v>3530</v>
      </c>
      <c r="C60" t="s">
        <v>5767</v>
      </c>
      <c r="D60">
        <v>2</v>
      </c>
      <c r="E60" t="s">
        <v>5950</v>
      </c>
      <c r="F60" t="s">
        <v>5951</v>
      </c>
      <c r="G60">
        <v>2</v>
      </c>
      <c r="H60" t="s">
        <v>3452</v>
      </c>
      <c r="I60" t="s">
        <v>90</v>
      </c>
      <c r="J60" t="s">
        <v>5952</v>
      </c>
    </row>
    <row r="61" spans="1:10" ht="15" customHeight="1" x14ac:dyDescent="0.25">
      <c r="A61" t="s">
        <v>5953</v>
      </c>
      <c r="B61" t="s">
        <v>4342</v>
      </c>
      <c r="C61" t="s">
        <v>3674</v>
      </c>
      <c r="D61" t="s">
        <v>4034</v>
      </c>
      <c r="E61" t="s">
        <v>5954</v>
      </c>
      <c r="F61" t="s">
        <v>3467</v>
      </c>
      <c r="G61" t="s">
        <v>4034</v>
      </c>
      <c r="H61" t="s">
        <v>5953</v>
      </c>
      <c r="I61" t="s">
        <v>90</v>
      </c>
    </row>
    <row r="62" spans="1:10" ht="15" customHeight="1" x14ac:dyDescent="0.25">
      <c r="A62" t="s">
        <v>5955</v>
      </c>
      <c r="B62" t="s">
        <v>41</v>
      </c>
      <c r="C62" t="s">
        <v>5405</v>
      </c>
      <c r="D62">
        <v>1</v>
      </c>
      <c r="E62" t="s">
        <v>5956</v>
      </c>
      <c r="F62" t="s">
        <v>5957</v>
      </c>
      <c r="G62">
        <v>1</v>
      </c>
      <c r="H62" t="s">
        <v>5958</v>
      </c>
      <c r="I62" t="s">
        <v>90</v>
      </c>
      <c r="J62" t="s">
        <v>5858</v>
      </c>
    </row>
    <row r="63" spans="1:10" ht="15" customHeight="1" x14ac:dyDescent="0.25">
      <c r="A63" t="s">
        <v>4303</v>
      </c>
      <c r="B63" t="s">
        <v>4342</v>
      </c>
      <c r="C63" t="s">
        <v>4289</v>
      </c>
      <c r="D63" t="s">
        <v>4034</v>
      </c>
      <c r="E63" t="s">
        <v>5959</v>
      </c>
      <c r="F63" t="s">
        <v>3467</v>
      </c>
      <c r="G63" t="s">
        <v>3467</v>
      </c>
      <c r="H63" t="s">
        <v>4303</v>
      </c>
      <c r="I63" t="s">
        <v>90</v>
      </c>
      <c r="J63" t="s">
        <v>5915</v>
      </c>
    </row>
    <row r="64" spans="1:10" ht="15" customHeight="1" x14ac:dyDescent="0.25">
      <c r="A64" t="s">
        <v>5960</v>
      </c>
      <c r="B64" t="s">
        <v>3563</v>
      </c>
      <c r="C64" t="s">
        <v>5405</v>
      </c>
      <c r="D64">
        <v>1</v>
      </c>
      <c r="E64" t="s">
        <v>5961</v>
      </c>
      <c r="F64" t="s">
        <v>5962</v>
      </c>
      <c r="G64">
        <v>1</v>
      </c>
      <c r="H64" t="s">
        <v>3467</v>
      </c>
      <c r="I64" t="s">
        <v>3467</v>
      </c>
    </row>
    <row r="65" spans="1:10" ht="15" customHeight="1" x14ac:dyDescent="0.25">
      <c r="A65" t="s">
        <v>5963</v>
      </c>
      <c r="B65" t="s">
        <v>41</v>
      </c>
      <c r="C65" t="s">
        <v>5486</v>
      </c>
      <c r="D65">
        <v>1</v>
      </c>
      <c r="E65" t="s">
        <v>5916</v>
      </c>
      <c r="F65" t="s">
        <v>5917</v>
      </c>
      <c r="G65">
        <v>1</v>
      </c>
      <c r="H65" t="s">
        <v>5963</v>
      </c>
      <c r="I65" t="s">
        <v>5918</v>
      </c>
      <c r="J65" t="s">
        <v>5964</v>
      </c>
    </row>
    <row r="66" spans="1:10" ht="15" customHeight="1" x14ac:dyDescent="0.25">
      <c r="A66" t="s">
        <v>5965</v>
      </c>
      <c r="B66" t="s">
        <v>41</v>
      </c>
      <c r="C66" t="s">
        <v>5405</v>
      </c>
      <c r="D66">
        <v>0</v>
      </c>
      <c r="E66" t="s">
        <v>5966</v>
      </c>
      <c r="F66" t="s">
        <v>5967</v>
      </c>
      <c r="G66">
        <v>0</v>
      </c>
      <c r="H66" t="s">
        <v>5965</v>
      </c>
      <c r="I66" t="s">
        <v>90</v>
      </c>
      <c r="J66" t="s">
        <v>5762</v>
      </c>
    </row>
    <row r="67" spans="1:10" ht="15" customHeight="1" x14ac:dyDescent="0.25">
      <c r="A67" t="s">
        <v>5968</v>
      </c>
      <c r="B67" t="s">
        <v>3518</v>
      </c>
      <c r="C67" t="s">
        <v>4642</v>
      </c>
      <c r="D67">
        <v>3</v>
      </c>
      <c r="E67" t="s">
        <v>5969</v>
      </c>
      <c r="F67" t="s">
        <v>5970</v>
      </c>
      <c r="G67">
        <v>3</v>
      </c>
      <c r="H67" t="s">
        <v>5971</v>
      </c>
      <c r="I67" t="s">
        <v>90</v>
      </c>
      <c r="J67" t="s">
        <v>5972</v>
      </c>
    </row>
    <row r="68" spans="1:10" ht="15" customHeight="1" x14ac:dyDescent="0.25">
      <c r="A68" t="s">
        <v>4627</v>
      </c>
      <c r="B68" t="s">
        <v>3530</v>
      </c>
      <c r="C68" t="s">
        <v>5767</v>
      </c>
      <c r="D68">
        <v>0</v>
      </c>
      <c r="E68" t="s">
        <v>5973</v>
      </c>
      <c r="F68" t="s">
        <v>5973</v>
      </c>
      <c r="G68">
        <v>1</v>
      </c>
      <c r="H68" t="s">
        <v>4627</v>
      </c>
      <c r="I68" t="s">
        <v>1622</v>
      </c>
      <c r="J68" t="s">
        <v>5800</v>
      </c>
    </row>
    <row r="69" spans="1:10" ht="15" customHeight="1" x14ac:dyDescent="0.25">
      <c r="A69" t="s">
        <v>5974</v>
      </c>
      <c r="B69" t="s">
        <v>3518</v>
      </c>
      <c r="C69" t="s">
        <v>5767</v>
      </c>
      <c r="D69">
        <v>1</v>
      </c>
      <c r="E69" t="s">
        <v>5975</v>
      </c>
      <c r="F69" t="s">
        <v>5976</v>
      </c>
      <c r="G69">
        <v>1</v>
      </c>
      <c r="H69" t="s">
        <v>5977</v>
      </c>
      <c r="I69" t="s">
        <v>90</v>
      </c>
      <c r="J69" t="s">
        <v>5978</v>
      </c>
    </row>
    <row r="70" spans="1:10" ht="15" customHeight="1" x14ac:dyDescent="0.25">
      <c r="A70" t="s">
        <v>5979</v>
      </c>
      <c r="B70" t="s">
        <v>3530</v>
      </c>
      <c r="C70" t="s">
        <v>5405</v>
      </c>
      <c r="D70">
        <v>1</v>
      </c>
      <c r="E70" t="s">
        <v>5980</v>
      </c>
      <c r="F70" t="s">
        <v>5981</v>
      </c>
      <c r="G70">
        <v>1</v>
      </c>
      <c r="H70" t="s">
        <v>5979</v>
      </c>
      <c r="I70" t="s">
        <v>90</v>
      </c>
      <c r="J70" t="s">
        <v>5982</v>
      </c>
    </row>
    <row r="71" spans="1:10" ht="15" customHeight="1" x14ac:dyDescent="0.25">
      <c r="A71" t="s">
        <v>5983</v>
      </c>
      <c r="B71" t="s">
        <v>3530</v>
      </c>
      <c r="C71" t="s">
        <v>5405</v>
      </c>
      <c r="D71">
        <v>1</v>
      </c>
      <c r="E71" t="s">
        <v>5984</v>
      </c>
      <c r="F71" t="s">
        <v>5984</v>
      </c>
      <c r="G71">
        <v>0</v>
      </c>
      <c r="H71" t="s">
        <v>5983</v>
      </c>
      <c r="I71" t="s">
        <v>90</v>
      </c>
      <c r="J71" t="s">
        <v>5985</v>
      </c>
    </row>
    <row r="72" spans="1:10" ht="15" customHeight="1" x14ac:dyDescent="0.25">
      <c r="A72" t="s">
        <v>5986</v>
      </c>
      <c r="B72" t="s">
        <v>41</v>
      </c>
      <c r="C72" t="s">
        <v>5405</v>
      </c>
      <c r="D72">
        <v>1</v>
      </c>
      <c r="E72" t="s">
        <v>5987</v>
      </c>
      <c r="F72" t="s">
        <v>5988</v>
      </c>
      <c r="G72">
        <v>1</v>
      </c>
      <c r="H72" t="s">
        <v>5989</v>
      </c>
      <c r="I72" t="s">
        <v>90</v>
      </c>
      <c r="J72" t="s">
        <v>5762</v>
      </c>
    </row>
    <row r="73" spans="1:10" ht="15" customHeight="1" x14ac:dyDescent="0.25">
      <c r="A73" t="s">
        <v>5990</v>
      </c>
      <c r="B73" t="s">
        <v>3518</v>
      </c>
      <c r="C73" t="s">
        <v>5405</v>
      </c>
      <c r="D73" t="s">
        <v>5991</v>
      </c>
      <c r="E73" t="s">
        <v>5992</v>
      </c>
      <c r="F73" t="s">
        <v>5993</v>
      </c>
      <c r="G73" t="s">
        <v>5991</v>
      </c>
      <c r="H73" t="s">
        <v>5990</v>
      </c>
      <c r="I73" t="s">
        <v>90</v>
      </c>
      <c r="J73" t="s">
        <v>5994</v>
      </c>
    </row>
    <row r="74" spans="1:10" ht="15" customHeight="1" x14ac:dyDescent="0.25">
      <c r="A74" t="s">
        <v>5409</v>
      </c>
      <c r="B74" t="s">
        <v>3518</v>
      </c>
      <c r="C74" t="s">
        <v>5405</v>
      </c>
      <c r="D74">
        <v>1</v>
      </c>
      <c r="E74" t="s">
        <v>5995</v>
      </c>
      <c r="F74" t="s">
        <v>5996</v>
      </c>
      <c r="G74">
        <v>1</v>
      </c>
      <c r="H74" t="s">
        <v>5411</v>
      </c>
      <c r="I74" t="s">
        <v>90</v>
      </c>
      <c r="J74" t="s">
        <v>5997</v>
      </c>
    </row>
    <row r="75" spans="1:10" ht="15" customHeight="1" x14ac:dyDescent="0.25">
      <c r="A75" t="s">
        <v>5998</v>
      </c>
      <c r="B75" t="s">
        <v>4342</v>
      </c>
      <c r="C75" t="s">
        <v>4289</v>
      </c>
      <c r="D75" t="s">
        <v>4034</v>
      </c>
      <c r="E75" t="s">
        <v>5999</v>
      </c>
      <c r="F75" t="s">
        <v>3467</v>
      </c>
      <c r="G75" t="s">
        <v>3467</v>
      </c>
      <c r="H75" t="s">
        <v>5998</v>
      </c>
      <c r="I75" t="s">
        <v>90</v>
      </c>
      <c r="J75" t="s">
        <v>5915</v>
      </c>
    </row>
    <row r="76" spans="1:10" ht="15" customHeight="1" x14ac:dyDescent="0.25">
      <c r="A76" t="s">
        <v>6000</v>
      </c>
      <c r="B76" t="s">
        <v>3530</v>
      </c>
      <c r="C76" t="s">
        <v>5767</v>
      </c>
      <c r="D76">
        <v>1</v>
      </c>
      <c r="E76" t="s">
        <v>6001</v>
      </c>
      <c r="F76" t="s">
        <v>6002</v>
      </c>
      <c r="G76">
        <v>1</v>
      </c>
      <c r="H76" t="s">
        <v>6000</v>
      </c>
      <c r="I76" t="s">
        <v>90</v>
      </c>
      <c r="J76" t="s">
        <v>6003</v>
      </c>
    </row>
    <row r="77" spans="1:10" ht="15" customHeight="1" x14ac:dyDescent="0.25">
      <c r="A77" t="s">
        <v>6004</v>
      </c>
      <c r="B77" t="s">
        <v>3530</v>
      </c>
      <c r="C77" t="s">
        <v>5486</v>
      </c>
      <c r="D77">
        <v>1</v>
      </c>
      <c r="E77" t="s">
        <v>6005</v>
      </c>
      <c r="F77" t="s">
        <v>6006</v>
      </c>
      <c r="G77">
        <v>1</v>
      </c>
      <c r="H77" t="s">
        <v>6004</v>
      </c>
      <c r="I77" t="s">
        <v>5918</v>
      </c>
      <c r="J77" t="s">
        <v>6007</v>
      </c>
    </row>
    <row r="78" spans="1:10" ht="15" customHeight="1" x14ac:dyDescent="0.25">
      <c r="A78" t="s">
        <v>6008</v>
      </c>
      <c r="B78" t="s">
        <v>3530</v>
      </c>
      <c r="C78" t="s">
        <v>5405</v>
      </c>
      <c r="D78">
        <v>1</v>
      </c>
      <c r="E78" t="s">
        <v>6009</v>
      </c>
      <c r="F78" t="s">
        <v>6010</v>
      </c>
      <c r="G78">
        <v>1</v>
      </c>
      <c r="H78" t="s">
        <v>6011</v>
      </c>
      <c r="I78" t="s">
        <v>90</v>
      </c>
      <c r="J78" t="s">
        <v>5808</v>
      </c>
    </row>
    <row r="79" spans="1:10" ht="15" customHeight="1" x14ac:dyDescent="0.25">
      <c r="A79" t="s">
        <v>6012</v>
      </c>
      <c r="B79" t="s">
        <v>3530</v>
      </c>
      <c r="C79" t="s">
        <v>5767</v>
      </c>
      <c r="D79">
        <v>0</v>
      </c>
      <c r="E79" t="s">
        <v>6013</v>
      </c>
      <c r="F79" t="s">
        <v>6014</v>
      </c>
      <c r="G79">
        <v>0</v>
      </c>
      <c r="H79" t="s">
        <v>6015</v>
      </c>
      <c r="I79" t="s">
        <v>90</v>
      </c>
      <c r="J79" t="s">
        <v>5822</v>
      </c>
    </row>
    <row r="80" spans="1:10" ht="15" customHeight="1" x14ac:dyDescent="0.25">
      <c r="A80" t="s">
        <v>6016</v>
      </c>
      <c r="B80" t="s">
        <v>3530</v>
      </c>
      <c r="C80" t="s">
        <v>5405</v>
      </c>
      <c r="D80">
        <v>2</v>
      </c>
      <c r="E80" t="s">
        <v>6017</v>
      </c>
      <c r="F80" t="s">
        <v>6017</v>
      </c>
      <c r="G80">
        <v>1</v>
      </c>
      <c r="H80" t="s">
        <v>6016</v>
      </c>
      <c r="I80" t="s">
        <v>90</v>
      </c>
      <c r="J80" t="s">
        <v>5784</v>
      </c>
    </row>
    <row r="81" spans="1:10" ht="15" customHeight="1" x14ac:dyDescent="0.25">
      <c r="A81" t="s">
        <v>5241</v>
      </c>
      <c r="B81" t="s">
        <v>3518</v>
      </c>
      <c r="C81" t="s">
        <v>4642</v>
      </c>
      <c r="D81">
        <v>2</v>
      </c>
      <c r="E81" t="s">
        <v>6018</v>
      </c>
      <c r="F81" t="s">
        <v>6018</v>
      </c>
      <c r="G81">
        <v>1</v>
      </c>
      <c r="H81" t="s">
        <v>5241</v>
      </c>
      <c r="I81" t="s">
        <v>90</v>
      </c>
      <c r="J81" t="s">
        <v>5894</v>
      </c>
    </row>
    <row r="82" spans="1:10" ht="15" customHeight="1" x14ac:dyDescent="0.25">
      <c r="A82" t="s">
        <v>6019</v>
      </c>
      <c r="B82" t="s">
        <v>3530</v>
      </c>
      <c r="C82" t="s">
        <v>5405</v>
      </c>
      <c r="D82">
        <v>0</v>
      </c>
      <c r="E82" t="s">
        <v>6020</v>
      </c>
      <c r="F82" t="s">
        <v>6021</v>
      </c>
      <c r="G82">
        <v>0</v>
      </c>
      <c r="H82" t="s">
        <v>6022</v>
      </c>
      <c r="I82" t="s">
        <v>90</v>
      </c>
      <c r="J82" t="s">
        <v>6023</v>
      </c>
    </row>
    <row r="83" spans="1:10" ht="15" customHeight="1" x14ac:dyDescent="0.25">
      <c r="A83" t="s">
        <v>6024</v>
      </c>
      <c r="B83" t="s">
        <v>3530</v>
      </c>
      <c r="C83" t="s">
        <v>5767</v>
      </c>
      <c r="D83">
        <v>3</v>
      </c>
      <c r="E83" t="s">
        <v>6025</v>
      </c>
      <c r="F83" t="s">
        <v>6026</v>
      </c>
      <c r="G83">
        <v>3</v>
      </c>
      <c r="H83" t="s">
        <v>6024</v>
      </c>
      <c r="I83" t="s">
        <v>90</v>
      </c>
      <c r="J83" t="s">
        <v>6027</v>
      </c>
    </row>
    <row r="84" spans="1:10" ht="15" customHeight="1" x14ac:dyDescent="0.25">
      <c r="A84" t="s">
        <v>5243</v>
      </c>
      <c r="B84" t="s">
        <v>3530</v>
      </c>
      <c r="C84" t="s">
        <v>4642</v>
      </c>
      <c r="D84">
        <v>1</v>
      </c>
      <c r="E84" t="s">
        <v>6028</v>
      </c>
      <c r="F84" t="s">
        <v>6029</v>
      </c>
      <c r="G84">
        <v>1</v>
      </c>
      <c r="H84" t="s">
        <v>5243</v>
      </c>
      <c r="I84" t="s">
        <v>90</v>
      </c>
      <c r="J84" t="s">
        <v>6030</v>
      </c>
    </row>
    <row r="85" spans="1:10" ht="15" customHeight="1" x14ac:dyDescent="0.25">
      <c r="A85" t="s">
        <v>6031</v>
      </c>
      <c r="B85" t="s">
        <v>3518</v>
      </c>
      <c r="C85" t="s">
        <v>5405</v>
      </c>
      <c r="D85">
        <v>1</v>
      </c>
      <c r="E85" t="s">
        <v>6032</v>
      </c>
      <c r="F85" t="s">
        <v>6032</v>
      </c>
      <c r="G85">
        <v>0</v>
      </c>
      <c r="H85" t="s">
        <v>6031</v>
      </c>
      <c r="I85" t="s">
        <v>90</v>
      </c>
      <c r="J85" t="s">
        <v>6033</v>
      </c>
    </row>
    <row r="86" spans="1:10" ht="15" customHeight="1" x14ac:dyDescent="0.25">
      <c r="A86" t="s">
        <v>6034</v>
      </c>
      <c r="B86" t="s">
        <v>3530</v>
      </c>
      <c r="C86" t="s">
        <v>5405</v>
      </c>
      <c r="D86">
        <v>1</v>
      </c>
      <c r="E86" t="s">
        <v>6035</v>
      </c>
      <c r="F86" t="s">
        <v>6036</v>
      </c>
      <c r="G86">
        <v>1</v>
      </c>
      <c r="H86" t="s">
        <v>6034</v>
      </c>
      <c r="I86" t="s">
        <v>90</v>
      </c>
      <c r="J86" t="s">
        <v>6037</v>
      </c>
    </row>
    <row r="87" spans="1:10" ht="15" customHeight="1" x14ac:dyDescent="0.25">
      <c r="A87" t="s">
        <v>6038</v>
      </c>
      <c r="B87" t="s">
        <v>3518</v>
      </c>
      <c r="C87" t="s">
        <v>5767</v>
      </c>
      <c r="D87">
        <v>1</v>
      </c>
      <c r="E87" t="s">
        <v>6039</v>
      </c>
      <c r="F87" t="s">
        <v>6040</v>
      </c>
      <c r="G87">
        <v>1</v>
      </c>
      <c r="H87" t="s">
        <v>6038</v>
      </c>
      <c r="I87" t="s">
        <v>90</v>
      </c>
      <c r="J87" t="s">
        <v>6041</v>
      </c>
    </row>
    <row r="88" spans="1:10" ht="15" customHeight="1" x14ac:dyDescent="0.25">
      <c r="A88" t="s">
        <v>5251</v>
      </c>
      <c r="B88" t="s">
        <v>3530</v>
      </c>
      <c r="C88" t="s">
        <v>4642</v>
      </c>
      <c r="D88">
        <v>1</v>
      </c>
      <c r="E88" t="s">
        <v>6042</v>
      </c>
      <c r="F88" t="s">
        <v>6043</v>
      </c>
      <c r="G88">
        <v>1</v>
      </c>
      <c r="H88" t="s">
        <v>5253</v>
      </c>
      <c r="I88" t="s">
        <v>90</v>
      </c>
      <c r="J88" t="s">
        <v>6044</v>
      </c>
    </row>
    <row r="89" spans="1:10" ht="15" customHeight="1" x14ac:dyDescent="0.25">
      <c r="A89" t="s">
        <v>6045</v>
      </c>
      <c r="B89" t="s">
        <v>3518</v>
      </c>
      <c r="C89" t="s">
        <v>5767</v>
      </c>
      <c r="D89">
        <v>2</v>
      </c>
      <c r="E89" t="s">
        <v>6046</v>
      </c>
      <c r="F89" t="s">
        <v>6047</v>
      </c>
      <c r="G89">
        <v>2</v>
      </c>
      <c r="H89" t="s">
        <v>6048</v>
      </c>
      <c r="I89" t="s">
        <v>90</v>
      </c>
      <c r="J89" t="s">
        <v>6049</v>
      </c>
    </row>
    <row r="90" spans="1:10" ht="15" customHeight="1" x14ac:dyDescent="0.25">
      <c r="A90" t="s">
        <v>6050</v>
      </c>
      <c r="B90" t="s">
        <v>41</v>
      </c>
      <c r="C90" t="s">
        <v>5486</v>
      </c>
      <c r="D90">
        <v>1</v>
      </c>
      <c r="E90" t="s">
        <v>5916</v>
      </c>
      <c r="F90" t="s">
        <v>5917</v>
      </c>
      <c r="G90">
        <v>1</v>
      </c>
      <c r="H90" t="s">
        <v>6050</v>
      </c>
      <c r="I90" t="s">
        <v>2362</v>
      </c>
      <c r="J90" t="s">
        <v>6051</v>
      </c>
    </row>
    <row r="91" spans="1:10" ht="15" customHeight="1" x14ac:dyDescent="0.25">
      <c r="A91" t="s">
        <v>6052</v>
      </c>
      <c r="B91" t="s">
        <v>3530</v>
      </c>
      <c r="C91" t="s">
        <v>5767</v>
      </c>
      <c r="D91">
        <v>1</v>
      </c>
      <c r="E91" t="s">
        <v>6053</v>
      </c>
      <c r="F91" t="s">
        <v>6054</v>
      </c>
      <c r="G91">
        <v>1</v>
      </c>
      <c r="H91" t="s">
        <v>6052</v>
      </c>
      <c r="I91" t="s">
        <v>90</v>
      </c>
      <c r="J91" t="s">
        <v>5822</v>
      </c>
    </row>
    <row r="92" spans="1:10" ht="15" customHeight="1" x14ac:dyDescent="0.25">
      <c r="A92" t="s">
        <v>5254</v>
      </c>
      <c r="B92" t="s">
        <v>3530</v>
      </c>
      <c r="C92" t="s">
        <v>4642</v>
      </c>
      <c r="D92">
        <v>1</v>
      </c>
      <c r="E92" t="s">
        <v>6055</v>
      </c>
      <c r="F92" t="s">
        <v>6056</v>
      </c>
      <c r="G92">
        <v>1</v>
      </c>
      <c r="H92" t="s">
        <v>5256</v>
      </c>
      <c r="I92" t="s">
        <v>90</v>
      </c>
      <c r="J92" t="s">
        <v>6057</v>
      </c>
    </row>
    <row r="93" spans="1:10" ht="15" customHeight="1" x14ac:dyDescent="0.25">
      <c r="A93" t="s">
        <v>5257</v>
      </c>
      <c r="B93" t="s">
        <v>3530</v>
      </c>
      <c r="C93" t="s">
        <v>5405</v>
      </c>
      <c r="D93">
        <v>2</v>
      </c>
      <c r="E93" t="s">
        <v>6058</v>
      </c>
      <c r="F93" t="s">
        <v>6059</v>
      </c>
      <c r="G93">
        <v>2</v>
      </c>
      <c r="H93" t="s">
        <v>5259</v>
      </c>
      <c r="I93" t="s">
        <v>90</v>
      </c>
      <c r="J93" t="s">
        <v>5784</v>
      </c>
    </row>
    <row r="94" spans="1:10" ht="15" customHeight="1" x14ac:dyDescent="0.25">
      <c r="A94" t="s">
        <v>6060</v>
      </c>
      <c r="B94" t="s">
        <v>3530</v>
      </c>
      <c r="C94" t="s">
        <v>5767</v>
      </c>
      <c r="D94">
        <v>1</v>
      </c>
      <c r="E94" t="s">
        <v>6061</v>
      </c>
      <c r="F94" t="s">
        <v>6062</v>
      </c>
      <c r="G94">
        <v>1</v>
      </c>
      <c r="H94" t="s">
        <v>6060</v>
      </c>
      <c r="I94" t="s">
        <v>90</v>
      </c>
      <c r="J94" t="s">
        <v>5822</v>
      </c>
    </row>
    <row r="95" spans="1:10" ht="15" customHeight="1" x14ac:dyDescent="0.25">
      <c r="A95" t="s">
        <v>6063</v>
      </c>
      <c r="B95" t="s">
        <v>41</v>
      </c>
      <c r="C95" t="s">
        <v>5405</v>
      </c>
      <c r="D95">
        <v>0</v>
      </c>
      <c r="E95" t="s">
        <v>6064</v>
      </c>
      <c r="F95" t="s">
        <v>6065</v>
      </c>
      <c r="G95">
        <v>0</v>
      </c>
      <c r="H95" t="s">
        <v>6063</v>
      </c>
      <c r="I95" t="s">
        <v>90</v>
      </c>
      <c r="J95" t="s">
        <v>5780</v>
      </c>
    </row>
    <row r="96" spans="1:10" ht="15" customHeight="1" x14ac:dyDescent="0.25">
      <c r="A96" t="s">
        <v>6066</v>
      </c>
      <c r="B96" t="s">
        <v>41</v>
      </c>
      <c r="C96" t="s">
        <v>5767</v>
      </c>
      <c r="D96">
        <v>1</v>
      </c>
      <c r="E96" t="s">
        <v>6067</v>
      </c>
      <c r="F96" t="s">
        <v>6068</v>
      </c>
      <c r="G96">
        <v>1</v>
      </c>
      <c r="H96" t="s">
        <v>6069</v>
      </c>
      <c r="I96" t="s">
        <v>90</v>
      </c>
      <c r="J96" t="s">
        <v>6070</v>
      </c>
    </row>
    <row r="97" spans="1:10" ht="15" customHeight="1" x14ac:dyDescent="0.25">
      <c r="A97" t="s">
        <v>6071</v>
      </c>
      <c r="B97" t="s">
        <v>3530</v>
      </c>
      <c r="C97" t="s">
        <v>4642</v>
      </c>
      <c r="D97">
        <v>1</v>
      </c>
      <c r="E97" t="s">
        <v>5710</v>
      </c>
      <c r="F97" t="s">
        <v>6072</v>
      </c>
      <c r="G97">
        <v>1</v>
      </c>
      <c r="H97" t="s">
        <v>6071</v>
      </c>
      <c r="I97" t="s">
        <v>90</v>
      </c>
      <c r="J97" t="s">
        <v>5762</v>
      </c>
    </row>
    <row r="98" spans="1:10" ht="15" customHeight="1" x14ac:dyDescent="0.25">
      <c r="A98" t="s">
        <v>6073</v>
      </c>
      <c r="B98" t="s">
        <v>3530</v>
      </c>
      <c r="C98" t="s">
        <v>5486</v>
      </c>
      <c r="D98">
        <v>1</v>
      </c>
      <c r="E98" t="s">
        <v>5916</v>
      </c>
      <c r="F98" t="s">
        <v>5917</v>
      </c>
      <c r="G98">
        <v>1</v>
      </c>
      <c r="H98" t="s">
        <v>6073</v>
      </c>
      <c r="I98" t="s">
        <v>2362</v>
      </c>
      <c r="J98" t="s">
        <v>5919</v>
      </c>
    </row>
    <row r="99" spans="1:10" ht="15" customHeight="1" x14ac:dyDescent="0.25">
      <c r="A99" t="s">
        <v>6074</v>
      </c>
      <c r="B99" t="s">
        <v>3530</v>
      </c>
      <c r="C99" t="s">
        <v>5405</v>
      </c>
      <c r="D99">
        <v>1</v>
      </c>
      <c r="E99" t="s">
        <v>6075</v>
      </c>
      <c r="F99" t="s">
        <v>6076</v>
      </c>
      <c r="G99">
        <v>1</v>
      </c>
      <c r="H99" t="s">
        <v>6077</v>
      </c>
      <c r="I99" t="s">
        <v>90</v>
      </c>
      <c r="J99" t="s">
        <v>5784</v>
      </c>
    </row>
    <row r="100" spans="1:10" ht="15" customHeight="1" x14ac:dyDescent="0.25">
      <c r="A100" t="s">
        <v>6078</v>
      </c>
      <c r="B100" t="s">
        <v>3530</v>
      </c>
      <c r="C100" t="s">
        <v>5486</v>
      </c>
      <c r="D100">
        <v>1</v>
      </c>
      <c r="E100" t="s">
        <v>5916</v>
      </c>
      <c r="F100" t="s">
        <v>5917</v>
      </c>
      <c r="G100">
        <v>1</v>
      </c>
      <c r="H100" t="s">
        <v>6078</v>
      </c>
      <c r="I100" t="s">
        <v>2362</v>
      </c>
      <c r="J100" t="s">
        <v>6051</v>
      </c>
    </row>
    <row r="101" spans="1:10" ht="15" customHeight="1" x14ac:dyDescent="0.25">
      <c r="A101" t="s">
        <v>6079</v>
      </c>
      <c r="B101" t="s">
        <v>3518</v>
      </c>
      <c r="C101" t="s">
        <v>5767</v>
      </c>
      <c r="D101">
        <v>1</v>
      </c>
      <c r="E101" t="s">
        <v>6080</v>
      </c>
      <c r="F101" t="s">
        <v>6081</v>
      </c>
      <c r="G101">
        <v>1</v>
      </c>
      <c r="H101" t="s">
        <v>6082</v>
      </c>
      <c r="I101" t="s">
        <v>90</v>
      </c>
      <c r="J101" t="s">
        <v>5822</v>
      </c>
    </row>
    <row r="102" spans="1:10" ht="15" customHeight="1" x14ac:dyDescent="0.25">
      <c r="A102" t="s">
        <v>6083</v>
      </c>
      <c r="B102" t="s">
        <v>41</v>
      </c>
      <c r="C102" t="s">
        <v>5767</v>
      </c>
      <c r="D102">
        <v>0</v>
      </c>
      <c r="E102" t="s">
        <v>6084</v>
      </c>
      <c r="F102" t="s">
        <v>6085</v>
      </c>
      <c r="G102">
        <v>0</v>
      </c>
      <c r="H102" t="s">
        <v>6086</v>
      </c>
      <c r="I102" t="s">
        <v>90</v>
      </c>
      <c r="J102" t="s">
        <v>5813</v>
      </c>
    </row>
    <row r="103" spans="1:10" ht="15" customHeight="1" x14ac:dyDescent="0.25">
      <c r="A103" t="s">
        <v>6087</v>
      </c>
      <c r="B103" t="s">
        <v>3518</v>
      </c>
      <c r="C103" t="s">
        <v>5767</v>
      </c>
      <c r="D103">
        <v>0</v>
      </c>
      <c r="E103" t="s">
        <v>6088</v>
      </c>
      <c r="F103" t="s">
        <v>6089</v>
      </c>
      <c r="G103">
        <v>0</v>
      </c>
      <c r="H103" t="s">
        <v>6090</v>
      </c>
      <c r="I103" t="s">
        <v>90</v>
      </c>
      <c r="J103" t="s">
        <v>5822</v>
      </c>
    </row>
    <row r="104" spans="1:10" ht="15" customHeight="1" x14ac:dyDescent="0.25">
      <c r="A104" t="s">
        <v>5177</v>
      </c>
      <c r="B104" t="s">
        <v>4342</v>
      </c>
      <c r="C104" t="s">
        <v>4289</v>
      </c>
      <c r="D104" t="s">
        <v>4034</v>
      </c>
      <c r="E104" t="s">
        <v>6091</v>
      </c>
      <c r="F104" t="s">
        <v>3467</v>
      </c>
      <c r="G104" t="s">
        <v>3467</v>
      </c>
      <c r="H104" t="s">
        <v>5177</v>
      </c>
      <c r="I104" t="s">
        <v>38</v>
      </c>
      <c r="J104" t="s">
        <v>5915</v>
      </c>
    </row>
    <row r="105" spans="1:10" ht="15" customHeight="1" x14ac:dyDescent="0.25">
      <c r="A105" t="s">
        <v>6092</v>
      </c>
      <c r="B105" t="s">
        <v>41</v>
      </c>
      <c r="C105" t="s">
        <v>5405</v>
      </c>
      <c r="D105">
        <v>1</v>
      </c>
      <c r="E105" t="s">
        <v>6093</v>
      </c>
      <c r="F105" t="s">
        <v>6093</v>
      </c>
      <c r="G105">
        <v>0</v>
      </c>
      <c r="H105" t="s">
        <v>6092</v>
      </c>
      <c r="I105" t="s">
        <v>90</v>
      </c>
      <c r="J105" t="s">
        <v>6049</v>
      </c>
    </row>
    <row r="106" spans="1:10" ht="15" customHeight="1" x14ac:dyDescent="0.25">
      <c r="A106" t="s">
        <v>6094</v>
      </c>
      <c r="B106" t="s">
        <v>41</v>
      </c>
      <c r="C106" t="s">
        <v>5767</v>
      </c>
      <c r="D106">
        <v>1</v>
      </c>
      <c r="E106" t="s">
        <v>6095</v>
      </c>
      <c r="F106" t="s">
        <v>6096</v>
      </c>
      <c r="G106">
        <v>1</v>
      </c>
      <c r="H106" t="s">
        <v>6094</v>
      </c>
      <c r="I106" t="s">
        <v>90</v>
      </c>
      <c r="J106" t="s">
        <v>5780</v>
      </c>
    </row>
    <row r="107" spans="1:10" ht="15" customHeight="1" x14ac:dyDescent="0.25">
      <c r="A107" t="s">
        <v>6097</v>
      </c>
      <c r="B107" t="s">
        <v>41</v>
      </c>
      <c r="C107" t="s">
        <v>5486</v>
      </c>
      <c r="D107">
        <v>1</v>
      </c>
      <c r="E107" t="s">
        <v>6098</v>
      </c>
      <c r="F107" t="s">
        <v>6099</v>
      </c>
      <c r="G107">
        <v>1</v>
      </c>
      <c r="H107" t="s">
        <v>6097</v>
      </c>
      <c r="I107" t="s">
        <v>2362</v>
      </c>
      <c r="J107" t="s">
        <v>6007</v>
      </c>
    </row>
    <row r="108" spans="1:10" ht="15" customHeight="1" x14ac:dyDescent="0.25">
      <c r="A108" t="s">
        <v>6100</v>
      </c>
      <c r="B108" t="s">
        <v>41</v>
      </c>
      <c r="C108" t="s">
        <v>5767</v>
      </c>
      <c r="D108">
        <v>2</v>
      </c>
      <c r="E108" t="s">
        <v>6101</v>
      </c>
      <c r="F108" t="s">
        <v>6102</v>
      </c>
      <c r="G108">
        <v>2</v>
      </c>
      <c r="H108" t="s">
        <v>6103</v>
      </c>
      <c r="I108" t="s">
        <v>90</v>
      </c>
      <c r="J108" t="s">
        <v>6104</v>
      </c>
    </row>
    <row r="109" spans="1:10" ht="15" customHeight="1" x14ac:dyDescent="0.25">
      <c r="A109" t="s">
        <v>6105</v>
      </c>
      <c r="B109" t="s">
        <v>3530</v>
      </c>
      <c r="C109" t="s">
        <v>5767</v>
      </c>
      <c r="D109">
        <v>1</v>
      </c>
      <c r="E109" t="s">
        <v>6106</v>
      </c>
      <c r="F109" t="s">
        <v>6107</v>
      </c>
      <c r="G109">
        <v>1</v>
      </c>
      <c r="H109" t="s">
        <v>6108</v>
      </c>
      <c r="I109" t="s">
        <v>90</v>
      </c>
      <c r="J109" t="s">
        <v>5894</v>
      </c>
    </row>
    <row r="110" spans="1:10" ht="15" customHeight="1" x14ac:dyDescent="0.25">
      <c r="A110" t="s">
        <v>6109</v>
      </c>
      <c r="B110" t="s">
        <v>3530</v>
      </c>
      <c r="C110" t="s">
        <v>5767</v>
      </c>
      <c r="D110">
        <v>1</v>
      </c>
      <c r="E110" t="s">
        <v>6110</v>
      </c>
      <c r="F110" t="s">
        <v>6111</v>
      </c>
      <c r="G110">
        <v>1</v>
      </c>
      <c r="H110" t="s">
        <v>6109</v>
      </c>
      <c r="I110" t="s">
        <v>90</v>
      </c>
      <c r="J110" t="s">
        <v>5780</v>
      </c>
    </row>
    <row r="111" spans="1:10" ht="15" customHeight="1" x14ac:dyDescent="0.25">
      <c r="A111" t="s">
        <v>6112</v>
      </c>
      <c r="B111" t="s">
        <v>41</v>
      </c>
      <c r="C111" t="s">
        <v>5405</v>
      </c>
      <c r="D111">
        <v>1</v>
      </c>
      <c r="E111" t="s">
        <v>6113</v>
      </c>
      <c r="F111" t="s">
        <v>6114</v>
      </c>
      <c r="G111">
        <v>1</v>
      </c>
      <c r="H111" t="s">
        <v>6112</v>
      </c>
      <c r="I111" t="s">
        <v>90</v>
      </c>
      <c r="J111" t="s">
        <v>6115</v>
      </c>
    </row>
    <row r="112" spans="1:10" ht="15" customHeight="1" x14ac:dyDescent="0.25">
      <c r="A112" t="s">
        <v>6116</v>
      </c>
      <c r="B112" t="s">
        <v>3518</v>
      </c>
      <c r="C112" t="s">
        <v>5767</v>
      </c>
      <c r="D112">
        <v>2</v>
      </c>
      <c r="E112" t="s">
        <v>6117</v>
      </c>
      <c r="F112" t="s">
        <v>6118</v>
      </c>
      <c r="G112">
        <v>2</v>
      </c>
      <c r="H112" t="s">
        <v>6116</v>
      </c>
      <c r="I112" t="s">
        <v>90</v>
      </c>
      <c r="J112" t="s">
        <v>5780</v>
      </c>
    </row>
    <row r="113" spans="1:10" ht="15" customHeight="1" x14ac:dyDescent="0.25">
      <c r="A113" t="s">
        <v>6119</v>
      </c>
      <c r="B113" t="s">
        <v>3518</v>
      </c>
      <c r="C113" t="s">
        <v>5405</v>
      </c>
      <c r="D113">
        <v>2</v>
      </c>
      <c r="E113" t="s">
        <v>6120</v>
      </c>
      <c r="F113" t="s">
        <v>6121</v>
      </c>
      <c r="G113">
        <v>2</v>
      </c>
      <c r="H113" t="s">
        <v>6119</v>
      </c>
      <c r="I113" t="s">
        <v>90</v>
      </c>
      <c r="J113" t="s">
        <v>6044</v>
      </c>
    </row>
    <row r="114" spans="1:10" ht="15" customHeight="1" x14ac:dyDescent="0.25">
      <c r="A114" t="s">
        <v>6122</v>
      </c>
      <c r="B114" t="s">
        <v>3530</v>
      </c>
      <c r="C114" t="s">
        <v>5405</v>
      </c>
      <c r="D114">
        <v>1</v>
      </c>
      <c r="E114" t="s">
        <v>6123</v>
      </c>
      <c r="F114" t="s">
        <v>6123</v>
      </c>
      <c r="G114">
        <v>0</v>
      </c>
      <c r="H114" t="s">
        <v>6124</v>
      </c>
      <c r="I114" t="s">
        <v>90</v>
      </c>
      <c r="J114" t="s">
        <v>6125</v>
      </c>
    </row>
    <row r="115" spans="1:10" ht="15" customHeight="1" x14ac:dyDescent="0.25">
      <c r="A115" t="s">
        <v>6126</v>
      </c>
      <c r="B115" t="s">
        <v>3530</v>
      </c>
      <c r="C115" t="s">
        <v>4642</v>
      </c>
      <c r="D115">
        <v>1</v>
      </c>
      <c r="E115" t="s">
        <v>6127</v>
      </c>
      <c r="F115" t="s">
        <v>6128</v>
      </c>
      <c r="G115">
        <v>1</v>
      </c>
      <c r="H115" t="s">
        <v>6129</v>
      </c>
      <c r="I115" t="s">
        <v>90</v>
      </c>
      <c r="J115" t="s">
        <v>5822</v>
      </c>
    </row>
    <row r="116" spans="1:10" ht="15" customHeight="1" x14ac:dyDescent="0.25">
      <c r="A116" t="s">
        <v>6130</v>
      </c>
      <c r="B116" t="s">
        <v>3530</v>
      </c>
      <c r="C116" t="s">
        <v>4642</v>
      </c>
      <c r="D116">
        <v>1</v>
      </c>
      <c r="E116" t="s">
        <v>6131</v>
      </c>
      <c r="F116" t="s">
        <v>6132</v>
      </c>
      <c r="G116">
        <v>1</v>
      </c>
      <c r="H116" t="s">
        <v>6130</v>
      </c>
      <c r="I116" t="s">
        <v>90</v>
      </c>
      <c r="J116" t="s">
        <v>5972</v>
      </c>
    </row>
    <row r="117" spans="1:10" ht="15" customHeight="1" x14ac:dyDescent="0.25">
      <c r="A117" t="s">
        <v>4297</v>
      </c>
      <c r="B117" t="s">
        <v>4342</v>
      </c>
      <c r="C117" t="s">
        <v>4289</v>
      </c>
      <c r="D117" t="s">
        <v>4034</v>
      </c>
      <c r="E117" t="s">
        <v>6133</v>
      </c>
      <c r="F117" t="s">
        <v>3467</v>
      </c>
      <c r="G117" t="s">
        <v>3467</v>
      </c>
      <c r="H117" t="s">
        <v>4297</v>
      </c>
      <c r="I117" t="s">
        <v>90</v>
      </c>
      <c r="J117" t="s">
        <v>5915</v>
      </c>
    </row>
    <row r="118" spans="1:10" ht="15" customHeight="1" x14ac:dyDescent="0.25">
      <c r="A118" t="s">
        <v>6134</v>
      </c>
      <c r="B118" t="s">
        <v>3530</v>
      </c>
      <c r="C118" t="s">
        <v>5405</v>
      </c>
      <c r="D118">
        <v>0</v>
      </c>
      <c r="E118" t="s">
        <v>6135</v>
      </c>
      <c r="F118" t="s">
        <v>6136</v>
      </c>
      <c r="G118">
        <v>0</v>
      </c>
      <c r="H118" t="s">
        <v>6134</v>
      </c>
      <c r="I118" t="s">
        <v>90</v>
      </c>
      <c r="J118" t="s">
        <v>5982</v>
      </c>
    </row>
    <row r="119" spans="1:10" ht="15" customHeight="1" x14ac:dyDescent="0.25">
      <c r="A119" t="s">
        <v>6137</v>
      </c>
      <c r="B119" t="s">
        <v>41</v>
      </c>
      <c r="C119" t="s">
        <v>5767</v>
      </c>
      <c r="D119">
        <v>1</v>
      </c>
      <c r="E119" t="s">
        <v>6138</v>
      </c>
      <c r="F119" t="s">
        <v>6139</v>
      </c>
      <c r="G119">
        <v>1</v>
      </c>
      <c r="H119" t="s">
        <v>6140</v>
      </c>
      <c r="I119" t="s">
        <v>90</v>
      </c>
      <c r="J119" t="s">
        <v>6141</v>
      </c>
    </row>
    <row r="120" spans="1:10" ht="15" customHeight="1" x14ac:dyDescent="0.25">
      <c r="A120" t="s">
        <v>5732</v>
      </c>
      <c r="B120" t="s">
        <v>3563</v>
      </c>
      <c r="C120" t="s">
        <v>5486</v>
      </c>
      <c r="D120">
        <v>1</v>
      </c>
      <c r="E120" s="4" t="s">
        <v>6142</v>
      </c>
      <c r="F120" s="4" t="s">
        <v>6142</v>
      </c>
      <c r="G120" s="4">
        <v>0</v>
      </c>
      <c r="H120" t="s">
        <v>3467</v>
      </c>
      <c r="I120" t="s">
        <v>160</v>
      </c>
    </row>
    <row r="121" spans="1:10" ht="15" customHeight="1" x14ac:dyDescent="0.25">
      <c r="A121" t="s">
        <v>6143</v>
      </c>
      <c r="B121" t="s">
        <v>3530</v>
      </c>
      <c r="C121" t="s">
        <v>5486</v>
      </c>
      <c r="D121">
        <v>1</v>
      </c>
      <c r="E121" t="s">
        <v>6144</v>
      </c>
      <c r="F121" t="s">
        <v>6145</v>
      </c>
      <c r="G121">
        <v>1</v>
      </c>
      <c r="H121" t="s">
        <v>6143</v>
      </c>
      <c r="I121" t="s">
        <v>2362</v>
      </c>
      <c r="J121" t="s">
        <v>6146</v>
      </c>
    </row>
    <row r="122" spans="1:10" ht="15" customHeight="1" x14ac:dyDescent="0.25">
      <c r="A122" t="s">
        <v>6147</v>
      </c>
      <c r="B122" t="s">
        <v>3518</v>
      </c>
      <c r="C122" t="s">
        <v>4642</v>
      </c>
      <c r="D122">
        <v>2</v>
      </c>
      <c r="E122" t="s">
        <v>6148</v>
      </c>
      <c r="F122" t="s">
        <v>6149</v>
      </c>
      <c r="G122">
        <v>2</v>
      </c>
      <c r="H122" t="s">
        <v>6147</v>
      </c>
      <c r="I122" t="s">
        <v>90</v>
      </c>
      <c r="J122" t="s">
        <v>6141</v>
      </c>
    </row>
    <row r="123" spans="1:10" ht="15" customHeight="1" x14ac:dyDescent="0.25">
      <c r="A123" t="s">
        <v>6150</v>
      </c>
      <c r="B123" t="s">
        <v>3530</v>
      </c>
      <c r="C123" t="s">
        <v>5486</v>
      </c>
      <c r="D123">
        <v>1</v>
      </c>
      <c r="E123" t="s">
        <v>5916</v>
      </c>
      <c r="F123" t="s">
        <v>5917</v>
      </c>
      <c r="G123">
        <v>1</v>
      </c>
      <c r="H123" t="s">
        <v>6150</v>
      </c>
      <c r="I123" t="s">
        <v>2362</v>
      </c>
      <c r="J123" t="s">
        <v>5919</v>
      </c>
    </row>
    <row r="124" spans="1:10" ht="15" customHeight="1" x14ac:dyDescent="0.25">
      <c r="A124" t="s">
        <v>6151</v>
      </c>
      <c r="B124" t="s">
        <v>41</v>
      </c>
      <c r="C124" t="s">
        <v>5486</v>
      </c>
      <c r="D124">
        <v>1</v>
      </c>
      <c r="E124" t="s">
        <v>5916</v>
      </c>
      <c r="F124" t="s">
        <v>5917</v>
      </c>
      <c r="G124">
        <v>1</v>
      </c>
      <c r="H124" t="s">
        <v>6151</v>
      </c>
      <c r="I124" t="s">
        <v>2362</v>
      </c>
      <c r="J124" t="s">
        <v>6051</v>
      </c>
    </row>
    <row r="125" spans="1:10" ht="15" customHeight="1" x14ac:dyDescent="0.25">
      <c r="A125" t="s">
        <v>6152</v>
      </c>
      <c r="B125" t="s">
        <v>41</v>
      </c>
      <c r="C125" t="s">
        <v>5405</v>
      </c>
      <c r="D125">
        <v>1</v>
      </c>
      <c r="E125" t="s">
        <v>6153</v>
      </c>
      <c r="F125" t="s">
        <v>6154</v>
      </c>
      <c r="G125">
        <v>1</v>
      </c>
      <c r="H125" t="s">
        <v>6152</v>
      </c>
      <c r="I125" t="s">
        <v>90</v>
      </c>
      <c r="J125" t="s">
        <v>5864</v>
      </c>
    </row>
    <row r="126" spans="1:10" ht="15" customHeight="1" x14ac:dyDescent="0.25">
      <c r="A126" t="s">
        <v>6155</v>
      </c>
      <c r="B126" t="s">
        <v>3530</v>
      </c>
      <c r="C126" t="s">
        <v>5405</v>
      </c>
      <c r="D126">
        <v>2</v>
      </c>
      <c r="E126" t="s">
        <v>6156</v>
      </c>
      <c r="F126" t="s">
        <v>6157</v>
      </c>
      <c r="G126">
        <v>2</v>
      </c>
      <c r="H126" t="s">
        <v>6158</v>
      </c>
      <c r="I126" t="s">
        <v>90</v>
      </c>
      <c r="J126" t="s">
        <v>6159</v>
      </c>
    </row>
    <row r="127" spans="1:10" ht="15" customHeight="1" x14ac:dyDescent="0.25">
      <c r="A127" t="s">
        <v>4738</v>
      </c>
      <c r="B127" t="s">
        <v>41</v>
      </c>
      <c r="C127" t="s">
        <v>5767</v>
      </c>
      <c r="D127">
        <v>1</v>
      </c>
      <c r="E127" t="s">
        <v>6160</v>
      </c>
      <c r="F127" t="s">
        <v>6160</v>
      </c>
      <c r="G127">
        <v>1</v>
      </c>
      <c r="H127" t="s">
        <v>4741</v>
      </c>
      <c r="I127" t="s">
        <v>1047</v>
      </c>
      <c r="J127" t="s">
        <v>5800</v>
      </c>
    </row>
    <row r="128" spans="1:10" ht="15" customHeight="1" x14ac:dyDescent="0.25">
      <c r="A128" t="s">
        <v>6161</v>
      </c>
      <c r="B128" t="s">
        <v>3518</v>
      </c>
      <c r="C128" t="s">
        <v>5405</v>
      </c>
      <c r="D128">
        <v>1</v>
      </c>
      <c r="E128" t="s">
        <v>6162</v>
      </c>
      <c r="F128" t="s">
        <v>6163</v>
      </c>
      <c r="G128">
        <v>1</v>
      </c>
      <c r="H128" t="s">
        <v>6164</v>
      </c>
      <c r="I128" t="s">
        <v>90</v>
      </c>
      <c r="J128" t="s">
        <v>5972</v>
      </c>
    </row>
    <row r="129" spans="1:10" ht="15" customHeight="1" x14ac:dyDescent="0.25">
      <c r="A129" t="s">
        <v>6165</v>
      </c>
      <c r="B129" t="s">
        <v>3518</v>
      </c>
      <c r="C129" t="s">
        <v>4642</v>
      </c>
      <c r="D129">
        <v>1</v>
      </c>
      <c r="E129" t="s">
        <v>6166</v>
      </c>
      <c r="F129" t="s">
        <v>6167</v>
      </c>
      <c r="G129">
        <v>1</v>
      </c>
      <c r="H129" t="s">
        <v>6168</v>
      </c>
      <c r="I129" t="s">
        <v>90</v>
      </c>
      <c r="J129" t="s">
        <v>6169</v>
      </c>
    </row>
    <row r="130" spans="1:10" ht="15" customHeight="1" x14ac:dyDescent="0.25">
      <c r="A130" t="s">
        <v>6170</v>
      </c>
      <c r="B130" t="s">
        <v>41</v>
      </c>
      <c r="C130" t="s">
        <v>5486</v>
      </c>
      <c r="D130">
        <v>1</v>
      </c>
      <c r="E130" t="s">
        <v>6171</v>
      </c>
      <c r="F130" t="s">
        <v>6172</v>
      </c>
      <c r="G130">
        <v>1</v>
      </c>
      <c r="H130" t="s">
        <v>6170</v>
      </c>
      <c r="I130" t="s">
        <v>2362</v>
      </c>
      <c r="J130" t="s">
        <v>6146</v>
      </c>
    </row>
    <row r="131" spans="1:10" ht="15" customHeight="1" x14ac:dyDescent="0.25">
      <c r="A131" t="s">
        <v>6173</v>
      </c>
      <c r="B131" t="s">
        <v>3518</v>
      </c>
      <c r="C131" t="s">
        <v>5405</v>
      </c>
      <c r="D131" t="s">
        <v>5991</v>
      </c>
      <c r="E131" t="s">
        <v>6174</v>
      </c>
      <c r="F131" t="s">
        <v>6175</v>
      </c>
      <c r="G131" t="s">
        <v>5991</v>
      </c>
      <c r="H131" t="s">
        <v>6173</v>
      </c>
      <c r="I131" t="s">
        <v>90</v>
      </c>
      <c r="J131" t="s">
        <v>6176</v>
      </c>
    </row>
    <row r="132" spans="1:10" ht="15" customHeight="1" x14ac:dyDescent="0.25">
      <c r="A132" t="s">
        <v>6177</v>
      </c>
      <c r="B132" t="s">
        <v>3530</v>
      </c>
      <c r="C132" t="s">
        <v>5767</v>
      </c>
      <c r="D132">
        <v>0</v>
      </c>
      <c r="E132" t="s">
        <v>6178</v>
      </c>
      <c r="F132" t="s">
        <v>6179</v>
      </c>
      <c r="G132">
        <v>0</v>
      </c>
      <c r="H132" t="s">
        <v>6180</v>
      </c>
      <c r="I132" t="s">
        <v>90</v>
      </c>
      <c r="J132" t="s">
        <v>5822</v>
      </c>
    </row>
    <row r="133" spans="1:10" ht="15" customHeight="1" x14ac:dyDescent="0.25">
      <c r="A133" t="s">
        <v>6181</v>
      </c>
      <c r="B133" t="s">
        <v>3530</v>
      </c>
      <c r="C133" t="s">
        <v>4642</v>
      </c>
      <c r="D133">
        <v>1</v>
      </c>
      <c r="E133" t="s">
        <v>6182</v>
      </c>
      <c r="F133" t="s">
        <v>6183</v>
      </c>
      <c r="G133">
        <v>1</v>
      </c>
      <c r="H133" t="s">
        <v>6181</v>
      </c>
      <c r="I133" t="s">
        <v>90</v>
      </c>
      <c r="J133" t="s">
        <v>5784</v>
      </c>
    </row>
    <row r="134" spans="1:10" ht="15" customHeight="1" x14ac:dyDescent="0.25">
      <c r="A134" t="s">
        <v>6184</v>
      </c>
      <c r="B134" t="s">
        <v>3518</v>
      </c>
      <c r="C134" t="s">
        <v>5850</v>
      </c>
      <c r="D134">
        <v>5</v>
      </c>
      <c r="E134" t="s">
        <v>6185</v>
      </c>
      <c r="F134" t="s">
        <v>6185</v>
      </c>
      <c r="G134">
        <v>4</v>
      </c>
      <c r="H134" t="s">
        <v>6186</v>
      </c>
      <c r="I134" t="s">
        <v>1673</v>
      </c>
    </row>
    <row r="135" spans="1:10" ht="15" customHeight="1" x14ac:dyDescent="0.25">
      <c r="A135" t="s">
        <v>6187</v>
      </c>
      <c r="B135" t="s">
        <v>41</v>
      </c>
      <c r="C135" t="s">
        <v>5486</v>
      </c>
      <c r="D135">
        <v>1</v>
      </c>
      <c r="E135" t="s">
        <v>6188</v>
      </c>
      <c r="F135" t="s">
        <v>6189</v>
      </c>
      <c r="G135">
        <v>1</v>
      </c>
      <c r="H135" t="s">
        <v>6187</v>
      </c>
      <c r="I135" t="s">
        <v>2362</v>
      </c>
      <c r="J135" t="s">
        <v>6007</v>
      </c>
    </row>
    <row r="136" spans="1:10" ht="15" customHeight="1" x14ac:dyDescent="0.25">
      <c r="A136" t="s">
        <v>5742</v>
      </c>
      <c r="B136" t="s">
        <v>3563</v>
      </c>
      <c r="C136" t="s">
        <v>5767</v>
      </c>
      <c r="D136">
        <v>0</v>
      </c>
      <c r="E136" t="s">
        <v>6190</v>
      </c>
      <c r="F136" t="s">
        <v>6191</v>
      </c>
      <c r="G136">
        <v>0</v>
      </c>
      <c r="H136" t="s">
        <v>5742</v>
      </c>
      <c r="I136" t="s">
        <v>90</v>
      </c>
      <c r="J136" t="s">
        <v>5798</v>
      </c>
    </row>
    <row r="137" spans="1:10" ht="15" customHeight="1" x14ac:dyDescent="0.25">
      <c r="A137" t="s">
        <v>6192</v>
      </c>
      <c r="B137" t="s">
        <v>3518</v>
      </c>
      <c r="C137" t="s">
        <v>5405</v>
      </c>
      <c r="D137">
        <v>3</v>
      </c>
      <c r="E137" t="s">
        <v>6193</v>
      </c>
      <c r="F137" t="s">
        <v>6193</v>
      </c>
      <c r="G137">
        <v>2</v>
      </c>
      <c r="H137" t="s">
        <v>6192</v>
      </c>
      <c r="I137" t="s">
        <v>90</v>
      </c>
      <c r="J137" t="s">
        <v>6037</v>
      </c>
    </row>
    <row r="138" spans="1:10" ht="15" customHeight="1" x14ac:dyDescent="0.25">
      <c r="A138" t="s">
        <v>6194</v>
      </c>
      <c r="B138" t="s">
        <v>3530</v>
      </c>
      <c r="C138" t="s">
        <v>4642</v>
      </c>
      <c r="D138">
        <v>1</v>
      </c>
      <c r="E138" t="s">
        <v>6195</v>
      </c>
      <c r="F138" t="s">
        <v>6196</v>
      </c>
      <c r="G138">
        <v>1</v>
      </c>
      <c r="H138" t="s">
        <v>6197</v>
      </c>
      <c r="I138" t="s">
        <v>90</v>
      </c>
      <c r="J138" t="s">
        <v>5929</v>
      </c>
    </row>
    <row r="139" spans="1:10" ht="15" customHeight="1" x14ac:dyDescent="0.25">
      <c r="A139" t="s">
        <v>6198</v>
      </c>
      <c r="B139" t="s">
        <v>3518</v>
      </c>
      <c r="C139" t="s">
        <v>5405</v>
      </c>
      <c r="D139">
        <v>0</v>
      </c>
      <c r="E139" t="s">
        <v>6199</v>
      </c>
      <c r="F139" t="s">
        <v>6200</v>
      </c>
      <c r="G139">
        <v>0</v>
      </c>
      <c r="H139" t="s">
        <v>6198</v>
      </c>
      <c r="I139" t="s">
        <v>90</v>
      </c>
      <c r="J139" t="s">
        <v>6201</v>
      </c>
    </row>
    <row r="140" spans="1:10" ht="15" customHeight="1" x14ac:dyDescent="0.25">
      <c r="A140" t="s">
        <v>6202</v>
      </c>
      <c r="B140" t="s">
        <v>41</v>
      </c>
      <c r="C140" t="s">
        <v>5405</v>
      </c>
      <c r="D140">
        <v>1</v>
      </c>
      <c r="E140" t="s">
        <v>6203</v>
      </c>
      <c r="F140" t="s">
        <v>6204</v>
      </c>
      <c r="G140">
        <v>1</v>
      </c>
      <c r="H140" t="s">
        <v>6202</v>
      </c>
      <c r="I140" t="s">
        <v>90</v>
      </c>
      <c r="J140" t="s">
        <v>5868</v>
      </c>
    </row>
    <row r="141" spans="1:10" ht="15" customHeight="1" x14ac:dyDescent="0.25">
      <c r="A141" t="s">
        <v>6205</v>
      </c>
      <c r="B141" t="s">
        <v>4342</v>
      </c>
      <c r="C141" t="s">
        <v>4289</v>
      </c>
      <c r="D141" t="s">
        <v>4034</v>
      </c>
      <c r="E141" t="s">
        <v>6206</v>
      </c>
      <c r="F141" t="s">
        <v>3467</v>
      </c>
      <c r="G141" t="s">
        <v>3467</v>
      </c>
      <c r="H141" t="s">
        <v>6205</v>
      </c>
      <c r="I141" t="s">
        <v>90</v>
      </c>
      <c r="J141" t="s">
        <v>5915</v>
      </c>
    </row>
    <row r="142" spans="1:10" ht="15" customHeight="1" x14ac:dyDescent="0.25">
      <c r="A142" t="s">
        <v>6207</v>
      </c>
      <c r="B142" t="s">
        <v>41</v>
      </c>
      <c r="C142" t="s">
        <v>5767</v>
      </c>
      <c r="D142">
        <v>2</v>
      </c>
      <c r="E142" t="s">
        <v>6208</v>
      </c>
      <c r="F142" t="s">
        <v>6209</v>
      </c>
      <c r="G142">
        <v>2</v>
      </c>
      <c r="H142" t="s">
        <v>6210</v>
      </c>
      <c r="I142" t="s">
        <v>90</v>
      </c>
      <c r="J142" t="s">
        <v>5780</v>
      </c>
    </row>
    <row r="143" spans="1:10" ht="15" customHeight="1" x14ac:dyDescent="0.25">
      <c r="A143" t="s">
        <v>6211</v>
      </c>
      <c r="B143" t="s">
        <v>3518</v>
      </c>
      <c r="C143" t="s">
        <v>5405</v>
      </c>
      <c r="D143">
        <v>1</v>
      </c>
      <c r="E143" t="s">
        <v>6212</v>
      </c>
      <c r="F143" t="s">
        <v>6212</v>
      </c>
      <c r="G143">
        <v>0</v>
      </c>
      <c r="H143" t="s">
        <v>6213</v>
      </c>
      <c r="I143" t="s">
        <v>90</v>
      </c>
      <c r="J143" t="s">
        <v>5822</v>
      </c>
    </row>
    <row r="144" spans="1:10" ht="15" customHeight="1" x14ac:dyDescent="0.25">
      <c r="A144" t="s">
        <v>6214</v>
      </c>
      <c r="B144" t="s">
        <v>41</v>
      </c>
      <c r="C144" t="s">
        <v>5405</v>
      </c>
      <c r="D144">
        <v>1</v>
      </c>
      <c r="E144" t="s">
        <v>6215</v>
      </c>
      <c r="F144" t="s">
        <v>6216</v>
      </c>
      <c r="G144">
        <v>1</v>
      </c>
      <c r="H144" t="s">
        <v>6217</v>
      </c>
      <c r="I144" t="s">
        <v>90</v>
      </c>
      <c r="J144" t="s">
        <v>6176</v>
      </c>
    </row>
    <row r="145" spans="1:10" ht="15" customHeight="1" x14ac:dyDescent="0.25">
      <c r="A145" t="s">
        <v>6218</v>
      </c>
      <c r="B145" t="s">
        <v>41</v>
      </c>
      <c r="C145" t="s">
        <v>5767</v>
      </c>
      <c r="D145">
        <v>1</v>
      </c>
      <c r="E145" t="s">
        <v>6219</v>
      </c>
      <c r="F145" t="s">
        <v>6220</v>
      </c>
      <c r="G145">
        <v>1</v>
      </c>
      <c r="H145" t="s">
        <v>6221</v>
      </c>
      <c r="I145" t="s">
        <v>90</v>
      </c>
      <c r="J145" t="s">
        <v>5798</v>
      </c>
    </row>
    <row r="146" spans="1:10" ht="15" customHeight="1" x14ac:dyDescent="0.25">
      <c r="A146" t="s">
        <v>6222</v>
      </c>
      <c r="B146" t="s">
        <v>41</v>
      </c>
      <c r="C146" t="s">
        <v>5767</v>
      </c>
      <c r="D146">
        <v>1</v>
      </c>
      <c r="E146" t="s">
        <v>6223</v>
      </c>
      <c r="F146" t="s">
        <v>6224</v>
      </c>
      <c r="G146">
        <v>1</v>
      </c>
      <c r="H146" t="s">
        <v>6225</v>
      </c>
      <c r="I146" t="s">
        <v>90</v>
      </c>
      <c r="J146" t="s">
        <v>6226</v>
      </c>
    </row>
    <row r="147" spans="1:10" ht="15" customHeight="1" x14ac:dyDescent="0.25">
      <c r="A147" t="s">
        <v>6227</v>
      </c>
      <c r="B147" t="s">
        <v>3530</v>
      </c>
      <c r="C147" t="s">
        <v>5405</v>
      </c>
      <c r="D147">
        <v>1</v>
      </c>
      <c r="E147" t="s">
        <v>6228</v>
      </c>
      <c r="F147" t="s">
        <v>6229</v>
      </c>
      <c r="G147">
        <v>1</v>
      </c>
      <c r="H147" t="s">
        <v>6230</v>
      </c>
      <c r="I147" t="s">
        <v>90</v>
      </c>
      <c r="J147" t="s">
        <v>6231</v>
      </c>
    </row>
    <row r="148" spans="1:10" ht="15" customHeight="1" x14ac:dyDescent="0.25">
      <c r="A148" t="s">
        <v>6232</v>
      </c>
      <c r="B148" t="s">
        <v>3530</v>
      </c>
      <c r="C148" t="s">
        <v>5767</v>
      </c>
      <c r="D148">
        <v>2</v>
      </c>
      <c r="E148" t="s">
        <v>6233</v>
      </c>
      <c r="F148" t="s">
        <v>6234</v>
      </c>
      <c r="G148">
        <v>2</v>
      </c>
      <c r="H148" t="s">
        <v>6232</v>
      </c>
      <c r="I148" t="s">
        <v>90</v>
      </c>
      <c r="J148" t="s">
        <v>6070</v>
      </c>
    </row>
    <row r="149" spans="1:10" ht="15" customHeight="1" x14ac:dyDescent="0.25">
      <c r="A149" t="s">
        <v>6235</v>
      </c>
      <c r="B149" t="s">
        <v>41</v>
      </c>
      <c r="C149" t="s">
        <v>5405</v>
      </c>
      <c r="D149">
        <v>0</v>
      </c>
      <c r="E149" t="s">
        <v>6236</v>
      </c>
      <c r="F149" t="s">
        <v>6237</v>
      </c>
      <c r="G149">
        <v>0</v>
      </c>
      <c r="H149" t="s">
        <v>6235</v>
      </c>
      <c r="I149" t="s">
        <v>90</v>
      </c>
      <c r="J149" t="s">
        <v>5753</v>
      </c>
    </row>
    <row r="150" spans="1:10" ht="15" customHeight="1" x14ac:dyDescent="0.25">
      <c r="A150" t="s">
        <v>6238</v>
      </c>
      <c r="B150" t="s">
        <v>3530</v>
      </c>
      <c r="C150" t="s">
        <v>5767</v>
      </c>
      <c r="D150">
        <v>1</v>
      </c>
      <c r="E150" t="s">
        <v>6239</v>
      </c>
      <c r="F150" t="s">
        <v>6240</v>
      </c>
      <c r="G150">
        <v>1</v>
      </c>
      <c r="H150" t="s">
        <v>6238</v>
      </c>
      <c r="I150" t="s">
        <v>90</v>
      </c>
      <c r="J150" t="s">
        <v>6049</v>
      </c>
    </row>
    <row r="151" spans="1:10" ht="15" customHeight="1" x14ac:dyDescent="0.25">
      <c r="A151" t="s">
        <v>5189</v>
      </c>
      <c r="B151" t="s">
        <v>4342</v>
      </c>
      <c r="C151" t="s">
        <v>4289</v>
      </c>
      <c r="D151" t="s">
        <v>4034</v>
      </c>
      <c r="E151" t="s">
        <v>6241</v>
      </c>
      <c r="F151" t="s">
        <v>3467</v>
      </c>
      <c r="G151" t="s">
        <v>4034</v>
      </c>
      <c r="H151" t="s">
        <v>6242</v>
      </c>
      <c r="I151" t="s">
        <v>1650</v>
      </c>
    </row>
    <row r="152" spans="1:10" ht="15" customHeight="1" x14ac:dyDescent="0.25">
      <c r="A152" t="s">
        <v>6243</v>
      </c>
      <c r="B152" t="s">
        <v>4342</v>
      </c>
      <c r="C152" t="s">
        <v>3674</v>
      </c>
      <c r="D152">
        <v>1</v>
      </c>
      <c r="E152" t="s">
        <v>6244</v>
      </c>
      <c r="F152" t="s">
        <v>3467</v>
      </c>
      <c r="G152" t="s">
        <v>3467</v>
      </c>
      <c r="H152" t="s">
        <v>6245</v>
      </c>
      <c r="I152" t="s">
        <v>501</v>
      </c>
      <c r="J152" t="s">
        <v>5838</v>
      </c>
    </row>
    <row r="153" spans="1:10" ht="15" customHeight="1" x14ac:dyDescent="0.25">
      <c r="A153" t="s">
        <v>6246</v>
      </c>
      <c r="B153" t="s">
        <v>41</v>
      </c>
      <c r="C153" t="s">
        <v>5767</v>
      </c>
      <c r="D153">
        <v>1</v>
      </c>
      <c r="E153" t="s">
        <v>6247</v>
      </c>
      <c r="F153" t="s">
        <v>6248</v>
      </c>
      <c r="G153">
        <v>1</v>
      </c>
      <c r="H153" t="s">
        <v>6249</v>
      </c>
      <c r="I153" t="s">
        <v>90</v>
      </c>
      <c r="J153" t="s">
        <v>6250</v>
      </c>
    </row>
    <row r="154" spans="1:10" ht="15" customHeight="1" x14ac:dyDescent="0.25">
      <c r="A154" t="s">
        <v>5407</v>
      </c>
      <c r="B154" t="s">
        <v>3530</v>
      </c>
      <c r="C154" t="s">
        <v>5405</v>
      </c>
      <c r="D154">
        <v>0</v>
      </c>
      <c r="E154" t="s">
        <v>6251</v>
      </c>
      <c r="F154" t="s">
        <v>6252</v>
      </c>
      <c r="G154">
        <v>0</v>
      </c>
      <c r="H154" t="s">
        <v>5407</v>
      </c>
      <c r="I154" t="s">
        <v>90</v>
      </c>
      <c r="J154" t="s">
        <v>5784</v>
      </c>
    </row>
    <row r="155" spans="1:10" ht="15" customHeight="1" x14ac:dyDescent="0.25">
      <c r="A155" t="s">
        <v>6253</v>
      </c>
      <c r="B155" t="s">
        <v>3530</v>
      </c>
      <c r="C155" t="s">
        <v>5767</v>
      </c>
      <c r="D155">
        <v>1</v>
      </c>
      <c r="E155" t="s">
        <v>6254</v>
      </c>
      <c r="F155" t="s">
        <v>6255</v>
      </c>
      <c r="G155">
        <v>1</v>
      </c>
      <c r="H155" t="s">
        <v>6253</v>
      </c>
      <c r="I155" t="s">
        <v>90</v>
      </c>
      <c r="J155" t="s">
        <v>6104</v>
      </c>
    </row>
    <row r="156" spans="1:10" ht="15" customHeight="1" x14ac:dyDescent="0.25">
      <c r="A156" t="s">
        <v>6256</v>
      </c>
      <c r="B156" t="s">
        <v>3530</v>
      </c>
      <c r="C156" t="s">
        <v>5486</v>
      </c>
      <c r="D156">
        <v>1</v>
      </c>
      <c r="E156" t="s">
        <v>5916</v>
      </c>
      <c r="F156" t="s">
        <v>5917</v>
      </c>
      <c r="G156">
        <v>1</v>
      </c>
      <c r="H156" t="s">
        <v>6256</v>
      </c>
      <c r="I156" t="s">
        <v>2362</v>
      </c>
      <c r="J156" t="s">
        <v>5919</v>
      </c>
    </row>
    <row r="157" spans="1:10" ht="15" customHeight="1" x14ac:dyDescent="0.25">
      <c r="A157" t="s">
        <v>6257</v>
      </c>
      <c r="B157" t="s">
        <v>3518</v>
      </c>
      <c r="C157" t="s">
        <v>5767</v>
      </c>
      <c r="D157">
        <v>2</v>
      </c>
      <c r="E157" t="s">
        <v>6258</v>
      </c>
      <c r="F157" t="s">
        <v>6259</v>
      </c>
      <c r="G157">
        <v>2</v>
      </c>
      <c r="H157" t="s">
        <v>6257</v>
      </c>
      <c r="I157" t="s">
        <v>90</v>
      </c>
      <c r="J157" t="s">
        <v>6041</v>
      </c>
    </row>
    <row r="158" spans="1:10" ht="15" customHeight="1" x14ac:dyDescent="0.25">
      <c r="A158" t="s">
        <v>6260</v>
      </c>
      <c r="B158" t="s">
        <v>3530</v>
      </c>
      <c r="C158" t="s">
        <v>5767</v>
      </c>
      <c r="D158">
        <v>0</v>
      </c>
      <c r="E158" t="s">
        <v>6261</v>
      </c>
      <c r="F158" t="s">
        <v>6262</v>
      </c>
      <c r="G158">
        <v>0</v>
      </c>
      <c r="H158" t="s">
        <v>6263</v>
      </c>
      <c r="I158" t="s">
        <v>90</v>
      </c>
      <c r="J158" t="s">
        <v>6264</v>
      </c>
    </row>
    <row r="159" spans="1:10" ht="15" customHeight="1" x14ac:dyDescent="0.25">
      <c r="A159" t="s">
        <v>6265</v>
      </c>
      <c r="B159" t="s">
        <v>4342</v>
      </c>
      <c r="C159" t="s">
        <v>3674</v>
      </c>
      <c r="D159">
        <v>1</v>
      </c>
      <c r="E159" t="s">
        <v>6266</v>
      </c>
      <c r="F159" t="s">
        <v>3467</v>
      </c>
      <c r="G159" t="s">
        <v>3467</v>
      </c>
      <c r="H159" t="s">
        <v>6267</v>
      </c>
      <c r="I159" t="s">
        <v>501</v>
      </c>
      <c r="J159" t="s">
        <v>5838</v>
      </c>
    </row>
    <row r="160" spans="1:10" ht="15" customHeight="1" x14ac:dyDescent="0.25">
      <c r="A160" t="s">
        <v>6268</v>
      </c>
      <c r="B160" t="s">
        <v>3530</v>
      </c>
      <c r="C160" t="s">
        <v>5405</v>
      </c>
      <c r="D160" t="s">
        <v>4034</v>
      </c>
      <c r="E160" t="s">
        <v>6269</v>
      </c>
      <c r="F160" t="s">
        <v>6270</v>
      </c>
      <c r="G160" t="s">
        <v>4034</v>
      </c>
      <c r="H160" t="s">
        <v>6268</v>
      </c>
      <c r="I160" t="s">
        <v>90</v>
      </c>
      <c r="J160" t="s">
        <v>5882</v>
      </c>
    </row>
    <row r="161" spans="1:10" ht="15" customHeight="1" x14ac:dyDescent="0.25">
      <c r="A161" t="s">
        <v>5154</v>
      </c>
      <c r="B161" t="s">
        <v>4342</v>
      </c>
      <c r="C161" t="s">
        <v>4289</v>
      </c>
      <c r="D161" t="s">
        <v>4034</v>
      </c>
      <c r="E161" t="s">
        <v>6271</v>
      </c>
      <c r="F161" t="s">
        <v>3467</v>
      </c>
      <c r="G161" t="s">
        <v>3467</v>
      </c>
      <c r="H161" t="s">
        <v>5154</v>
      </c>
      <c r="I161" t="s">
        <v>90</v>
      </c>
      <c r="J161" t="s">
        <v>5915</v>
      </c>
    </row>
    <row r="162" spans="1:10" ht="15" customHeight="1" x14ac:dyDescent="0.25">
      <c r="A162" t="s">
        <v>6272</v>
      </c>
      <c r="B162" t="s">
        <v>3530</v>
      </c>
      <c r="C162" t="s">
        <v>5767</v>
      </c>
      <c r="D162">
        <v>2</v>
      </c>
      <c r="E162" t="s">
        <v>6273</v>
      </c>
      <c r="F162" t="s">
        <v>6274</v>
      </c>
      <c r="G162">
        <v>2</v>
      </c>
      <c r="H162" t="s">
        <v>6275</v>
      </c>
      <c r="I162" t="s">
        <v>90</v>
      </c>
      <c r="J162" t="s">
        <v>5822</v>
      </c>
    </row>
    <row r="163" spans="1:10" ht="15" customHeight="1" x14ac:dyDescent="0.25">
      <c r="A163" t="s">
        <v>6276</v>
      </c>
      <c r="B163" t="s">
        <v>3530</v>
      </c>
      <c r="C163" t="s">
        <v>5850</v>
      </c>
      <c r="D163">
        <v>2</v>
      </c>
      <c r="E163" t="s">
        <v>6277</v>
      </c>
      <c r="F163" t="s">
        <v>6278</v>
      </c>
      <c r="G163">
        <v>2</v>
      </c>
      <c r="H163" t="s">
        <v>6279</v>
      </c>
      <c r="I163" t="s">
        <v>1673</v>
      </c>
    </row>
    <row r="164" spans="1:10" ht="15" customHeight="1" x14ac:dyDescent="0.25">
      <c r="A164" t="s">
        <v>6280</v>
      </c>
      <c r="B164" t="s">
        <v>3530</v>
      </c>
      <c r="C164" t="s">
        <v>4642</v>
      </c>
      <c r="D164">
        <v>1</v>
      </c>
      <c r="E164" t="s">
        <v>6281</v>
      </c>
      <c r="F164" t="s">
        <v>6282</v>
      </c>
      <c r="G164">
        <v>1</v>
      </c>
      <c r="H164" t="s">
        <v>6280</v>
      </c>
      <c r="I164" t="s">
        <v>90</v>
      </c>
      <c r="J164" t="s">
        <v>5972</v>
      </c>
    </row>
    <row r="165" spans="1:10" ht="15" customHeight="1" x14ac:dyDescent="0.25">
      <c r="A165" t="s">
        <v>4861</v>
      </c>
      <c r="B165" t="s">
        <v>3530</v>
      </c>
      <c r="C165" t="s">
        <v>5405</v>
      </c>
      <c r="D165">
        <v>1</v>
      </c>
      <c r="E165" t="s">
        <v>6283</v>
      </c>
      <c r="F165" t="s">
        <v>6283</v>
      </c>
      <c r="G165">
        <v>1</v>
      </c>
      <c r="H165" t="s">
        <v>4864</v>
      </c>
      <c r="I165" t="s">
        <v>1650</v>
      </c>
      <c r="J165" t="s">
        <v>5800</v>
      </c>
    </row>
    <row r="166" spans="1:10" ht="15" customHeight="1" x14ac:dyDescent="0.25">
      <c r="A166" t="s">
        <v>6284</v>
      </c>
      <c r="B166" t="s">
        <v>3530</v>
      </c>
      <c r="C166" t="s">
        <v>5767</v>
      </c>
      <c r="D166">
        <v>2</v>
      </c>
      <c r="E166" t="s">
        <v>6285</v>
      </c>
      <c r="F166" t="s">
        <v>3467</v>
      </c>
      <c r="G166">
        <v>2</v>
      </c>
      <c r="H166" t="s">
        <v>6286</v>
      </c>
      <c r="I166" t="s">
        <v>90</v>
      </c>
      <c r="J166" t="s">
        <v>6104</v>
      </c>
    </row>
    <row r="167" spans="1:10" ht="15" customHeight="1" x14ac:dyDescent="0.25">
      <c r="A167" t="s">
        <v>6287</v>
      </c>
      <c r="B167" t="s">
        <v>3530</v>
      </c>
      <c r="C167" t="s">
        <v>5405</v>
      </c>
      <c r="D167">
        <v>1</v>
      </c>
      <c r="E167" t="s">
        <v>6288</v>
      </c>
      <c r="F167" t="s">
        <v>6289</v>
      </c>
      <c r="G167">
        <v>1</v>
      </c>
      <c r="H167" t="s">
        <v>6290</v>
      </c>
      <c r="I167" t="s">
        <v>90</v>
      </c>
      <c r="J167" t="s">
        <v>6044</v>
      </c>
    </row>
    <row r="168" spans="1:10" ht="15" customHeight="1" x14ac:dyDescent="0.25">
      <c r="A168" t="s">
        <v>6291</v>
      </c>
      <c r="B168" t="s">
        <v>3530</v>
      </c>
      <c r="C168" t="s">
        <v>5405</v>
      </c>
      <c r="D168">
        <v>1</v>
      </c>
      <c r="E168" t="s">
        <v>6292</v>
      </c>
      <c r="F168" t="s">
        <v>6292</v>
      </c>
      <c r="G168">
        <v>0</v>
      </c>
      <c r="H168" t="s">
        <v>6293</v>
      </c>
      <c r="I168" t="s">
        <v>90</v>
      </c>
      <c r="J168" t="s">
        <v>6294</v>
      </c>
    </row>
    <row r="169" spans="1:10" ht="15" customHeight="1" x14ac:dyDescent="0.25">
      <c r="A169" t="s">
        <v>6295</v>
      </c>
      <c r="B169" t="s">
        <v>3518</v>
      </c>
      <c r="C169" t="s">
        <v>5405</v>
      </c>
      <c r="D169">
        <v>0</v>
      </c>
      <c r="E169" t="s">
        <v>6296</v>
      </c>
      <c r="F169" t="s">
        <v>6297</v>
      </c>
      <c r="G169">
        <v>0</v>
      </c>
      <c r="H169" t="s">
        <v>6295</v>
      </c>
      <c r="I169" t="s">
        <v>90</v>
      </c>
      <c r="J169" t="s">
        <v>6298</v>
      </c>
    </row>
    <row r="170" spans="1:10" ht="15" customHeight="1" x14ac:dyDescent="0.25">
      <c r="A170" t="s">
        <v>6299</v>
      </c>
      <c r="B170" t="s">
        <v>3530</v>
      </c>
      <c r="C170" t="s">
        <v>5405</v>
      </c>
      <c r="D170">
        <v>1</v>
      </c>
      <c r="E170" t="s">
        <v>6300</v>
      </c>
      <c r="F170" t="s">
        <v>6301</v>
      </c>
      <c r="G170">
        <v>1</v>
      </c>
      <c r="H170" t="s">
        <v>6299</v>
      </c>
      <c r="I170" t="s">
        <v>90</v>
      </c>
      <c r="J170" t="s">
        <v>6044</v>
      </c>
    </row>
    <row r="171" spans="1:10" ht="15" customHeight="1" x14ac:dyDescent="0.25">
      <c r="A171" t="s">
        <v>6302</v>
      </c>
      <c r="B171" t="s">
        <v>3530</v>
      </c>
      <c r="C171" t="s">
        <v>5405</v>
      </c>
      <c r="D171">
        <v>1</v>
      </c>
      <c r="E171" t="s">
        <v>6303</v>
      </c>
      <c r="F171" t="s">
        <v>6303</v>
      </c>
      <c r="G171">
        <v>0</v>
      </c>
      <c r="H171" t="s">
        <v>6302</v>
      </c>
      <c r="I171" t="s">
        <v>90</v>
      </c>
      <c r="J171" t="s">
        <v>5868</v>
      </c>
    </row>
    <row r="172" spans="1:10" ht="15" customHeight="1" x14ac:dyDescent="0.25">
      <c r="A172" t="s">
        <v>6304</v>
      </c>
      <c r="B172" t="s">
        <v>3530</v>
      </c>
      <c r="C172" t="s">
        <v>5767</v>
      </c>
      <c r="D172">
        <v>2</v>
      </c>
      <c r="E172" t="s">
        <v>6305</v>
      </c>
      <c r="F172" t="s">
        <v>6306</v>
      </c>
      <c r="G172">
        <v>2</v>
      </c>
      <c r="H172" t="s">
        <v>6307</v>
      </c>
      <c r="I172" t="s">
        <v>90</v>
      </c>
      <c r="J172" t="s">
        <v>6049</v>
      </c>
    </row>
    <row r="173" spans="1:10" ht="15" customHeight="1" x14ac:dyDescent="0.25">
      <c r="A173" t="s">
        <v>6308</v>
      </c>
      <c r="B173" t="s">
        <v>4342</v>
      </c>
      <c r="C173" t="s">
        <v>4289</v>
      </c>
      <c r="D173" t="s">
        <v>4034</v>
      </c>
      <c r="E173" t="s">
        <v>6309</v>
      </c>
      <c r="F173" t="s">
        <v>3467</v>
      </c>
      <c r="G173" t="s">
        <v>3467</v>
      </c>
      <c r="H173" t="s">
        <v>6308</v>
      </c>
      <c r="I173" t="s">
        <v>90</v>
      </c>
      <c r="J173" t="s">
        <v>5915</v>
      </c>
    </row>
    <row r="174" spans="1:10" ht="15" customHeight="1" x14ac:dyDescent="0.25">
      <c r="A174" t="s">
        <v>6310</v>
      </c>
      <c r="B174" t="s">
        <v>4342</v>
      </c>
      <c r="C174" t="s">
        <v>5767</v>
      </c>
      <c r="D174">
        <v>0</v>
      </c>
      <c r="E174" t="s">
        <v>6311</v>
      </c>
      <c r="F174" t="s">
        <v>6312</v>
      </c>
      <c r="G174">
        <v>0</v>
      </c>
      <c r="H174" t="s">
        <v>6310</v>
      </c>
      <c r="I174" t="s">
        <v>90</v>
      </c>
    </row>
    <row r="175" spans="1:10" ht="15" customHeight="1" x14ac:dyDescent="0.25">
      <c r="A175" t="s">
        <v>6313</v>
      </c>
      <c r="B175" t="s">
        <v>3530</v>
      </c>
      <c r="C175" t="s">
        <v>5405</v>
      </c>
      <c r="D175">
        <v>2</v>
      </c>
      <c r="E175" t="s">
        <v>6314</v>
      </c>
      <c r="F175" t="s">
        <v>6315</v>
      </c>
      <c r="G175">
        <v>2</v>
      </c>
      <c r="H175" t="s">
        <v>6313</v>
      </c>
      <c r="I175" t="s">
        <v>90</v>
      </c>
      <c r="J175" t="s">
        <v>5982</v>
      </c>
    </row>
    <row r="176" spans="1:10" ht="15" customHeight="1" x14ac:dyDescent="0.25">
      <c r="A176" t="s">
        <v>6316</v>
      </c>
      <c r="B176" t="s">
        <v>41</v>
      </c>
      <c r="C176" t="s">
        <v>5405</v>
      </c>
      <c r="D176">
        <v>1</v>
      </c>
      <c r="E176" t="s">
        <v>6317</v>
      </c>
      <c r="F176" t="s">
        <v>6318</v>
      </c>
      <c r="G176">
        <v>1</v>
      </c>
      <c r="H176" t="s">
        <v>6319</v>
      </c>
      <c r="I176" t="s">
        <v>90</v>
      </c>
      <c r="J176" t="s">
        <v>6320</v>
      </c>
    </row>
    <row r="177" spans="1:10" ht="15" customHeight="1" x14ac:dyDescent="0.25">
      <c r="A177" t="s">
        <v>6321</v>
      </c>
      <c r="B177" t="s">
        <v>3530</v>
      </c>
      <c r="C177" t="s">
        <v>5767</v>
      </c>
      <c r="D177" t="s">
        <v>5991</v>
      </c>
      <c r="E177" t="s">
        <v>6322</v>
      </c>
      <c r="F177" t="s">
        <v>6323</v>
      </c>
      <c r="G177" t="s">
        <v>5991</v>
      </c>
      <c r="H177" t="s">
        <v>6321</v>
      </c>
      <c r="I177" t="s">
        <v>90</v>
      </c>
      <c r="J177" t="s">
        <v>5822</v>
      </c>
    </row>
    <row r="178" spans="1:10" ht="15" customHeight="1" x14ac:dyDescent="0.25">
      <c r="A178" t="s">
        <v>6324</v>
      </c>
      <c r="B178" t="s">
        <v>41</v>
      </c>
      <c r="C178" t="s">
        <v>5767</v>
      </c>
      <c r="D178">
        <v>0</v>
      </c>
      <c r="E178" t="s">
        <v>6325</v>
      </c>
      <c r="F178" t="s">
        <v>6326</v>
      </c>
      <c r="G178">
        <v>0</v>
      </c>
      <c r="H178" t="s">
        <v>6324</v>
      </c>
      <c r="I178" t="s">
        <v>90</v>
      </c>
      <c r="J178" t="s">
        <v>5822</v>
      </c>
    </row>
    <row r="179" spans="1:10" ht="15" customHeight="1" x14ac:dyDescent="0.25">
      <c r="A179" t="s">
        <v>6327</v>
      </c>
      <c r="B179" t="s">
        <v>4342</v>
      </c>
      <c r="C179" t="s">
        <v>3674</v>
      </c>
      <c r="D179">
        <v>1</v>
      </c>
      <c r="E179" t="s">
        <v>6328</v>
      </c>
      <c r="F179" t="s">
        <v>3467</v>
      </c>
      <c r="G179" t="s">
        <v>3467</v>
      </c>
      <c r="H179" t="s">
        <v>6327</v>
      </c>
      <c r="I179" t="s">
        <v>90</v>
      </c>
    </row>
    <row r="180" spans="1:10" ht="15" customHeight="1" x14ac:dyDescent="0.25">
      <c r="A180" t="s">
        <v>6329</v>
      </c>
      <c r="B180" t="s">
        <v>41</v>
      </c>
      <c r="C180" t="s">
        <v>5767</v>
      </c>
      <c r="D180">
        <v>2</v>
      </c>
      <c r="E180" t="s">
        <v>6330</v>
      </c>
      <c r="F180" t="s">
        <v>6331</v>
      </c>
      <c r="G180">
        <v>2</v>
      </c>
      <c r="H180" t="s">
        <v>6332</v>
      </c>
      <c r="I180" t="s">
        <v>90</v>
      </c>
      <c r="J180" t="s">
        <v>6070</v>
      </c>
    </row>
    <row r="181" spans="1:10" ht="15" customHeight="1" x14ac:dyDescent="0.25">
      <c r="A181" t="s">
        <v>6333</v>
      </c>
      <c r="B181" t="s">
        <v>3530</v>
      </c>
      <c r="C181" t="s">
        <v>5486</v>
      </c>
      <c r="D181">
        <v>1</v>
      </c>
      <c r="E181" t="s">
        <v>5916</v>
      </c>
      <c r="F181" t="s">
        <v>5917</v>
      </c>
      <c r="G181">
        <v>1</v>
      </c>
      <c r="H181" t="s">
        <v>6333</v>
      </c>
      <c r="I181" t="s">
        <v>2362</v>
      </c>
      <c r="J181" t="s">
        <v>6051</v>
      </c>
    </row>
    <row r="182" spans="1:10" ht="15" customHeight="1" x14ac:dyDescent="0.25">
      <c r="A182" t="s">
        <v>6334</v>
      </c>
      <c r="B182" t="s">
        <v>3530</v>
      </c>
      <c r="C182" t="s">
        <v>5405</v>
      </c>
      <c r="D182">
        <v>1</v>
      </c>
      <c r="E182" t="s">
        <v>6335</v>
      </c>
      <c r="F182" t="s">
        <v>6336</v>
      </c>
      <c r="G182">
        <v>1</v>
      </c>
      <c r="H182" t="s">
        <v>6337</v>
      </c>
      <c r="I182" t="s">
        <v>90</v>
      </c>
      <c r="J182" t="s">
        <v>5972</v>
      </c>
    </row>
    <row r="183" spans="1:10" ht="15" customHeight="1" x14ac:dyDescent="0.25">
      <c r="A183" t="s">
        <v>6338</v>
      </c>
      <c r="B183" t="s">
        <v>3518</v>
      </c>
      <c r="C183" t="s">
        <v>5405</v>
      </c>
      <c r="D183">
        <v>1</v>
      </c>
      <c r="E183" t="s">
        <v>6339</v>
      </c>
      <c r="F183" t="s">
        <v>6340</v>
      </c>
      <c r="G183">
        <v>1</v>
      </c>
      <c r="H183" t="s">
        <v>6341</v>
      </c>
      <c r="I183" t="s">
        <v>90</v>
      </c>
      <c r="J183" t="s">
        <v>6342</v>
      </c>
    </row>
    <row r="184" spans="1:10" ht="15" customHeight="1" x14ac:dyDescent="0.25">
      <c r="A184" t="s">
        <v>6343</v>
      </c>
      <c r="B184" t="s">
        <v>3563</v>
      </c>
      <c r="C184" t="s">
        <v>5767</v>
      </c>
      <c r="D184">
        <v>1</v>
      </c>
      <c r="E184" t="s">
        <v>6325</v>
      </c>
      <c r="F184" t="s">
        <v>6326</v>
      </c>
      <c r="G184">
        <v>1</v>
      </c>
      <c r="H184" t="s">
        <v>3467</v>
      </c>
      <c r="I184" t="s">
        <v>3467</v>
      </c>
    </row>
    <row r="185" spans="1:10" ht="15" customHeight="1" x14ac:dyDescent="0.25">
      <c r="A185" t="s">
        <v>6344</v>
      </c>
      <c r="B185" t="s">
        <v>41</v>
      </c>
      <c r="C185" t="s">
        <v>5767</v>
      </c>
      <c r="D185">
        <v>1</v>
      </c>
      <c r="E185" t="s">
        <v>6345</v>
      </c>
      <c r="F185" t="s">
        <v>6346</v>
      </c>
      <c r="G185">
        <v>1</v>
      </c>
      <c r="H185" t="s">
        <v>6347</v>
      </c>
      <c r="I185" t="s">
        <v>90</v>
      </c>
      <c r="J185" t="s">
        <v>5798</v>
      </c>
    </row>
    <row r="186" spans="1:10" ht="15" customHeight="1" x14ac:dyDescent="0.25">
      <c r="A186" t="s">
        <v>5741</v>
      </c>
      <c r="B186" t="s">
        <v>3563</v>
      </c>
      <c r="C186" t="s">
        <v>5405</v>
      </c>
      <c r="D186">
        <v>1</v>
      </c>
      <c r="E186" t="s">
        <v>6348</v>
      </c>
      <c r="F186" t="s">
        <v>6349</v>
      </c>
      <c r="G186">
        <v>1</v>
      </c>
      <c r="H186" t="s">
        <v>5741</v>
      </c>
      <c r="I186" t="s">
        <v>90</v>
      </c>
      <c r="J186" t="s">
        <v>6350</v>
      </c>
    </row>
    <row r="187" spans="1:10" ht="15" customHeight="1" x14ac:dyDescent="0.25">
      <c r="A187" t="s">
        <v>6351</v>
      </c>
      <c r="B187" t="s">
        <v>41</v>
      </c>
      <c r="C187" t="s">
        <v>5767</v>
      </c>
      <c r="D187">
        <v>1</v>
      </c>
      <c r="E187" t="s">
        <v>6352</v>
      </c>
      <c r="F187" t="s">
        <v>6353</v>
      </c>
      <c r="G187">
        <v>1</v>
      </c>
      <c r="H187" t="s">
        <v>6354</v>
      </c>
      <c r="I187" t="s">
        <v>90</v>
      </c>
      <c r="J187" t="s">
        <v>6355</v>
      </c>
    </row>
    <row r="188" spans="1:10" ht="15" customHeight="1" x14ac:dyDescent="0.25">
      <c r="A188" t="s">
        <v>6356</v>
      </c>
      <c r="B188" t="s">
        <v>41</v>
      </c>
      <c r="C188" t="s">
        <v>5767</v>
      </c>
      <c r="D188">
        <v>1</v>
      </c>
      <c r="E188" t="s">
        <v>6357</v>
      </c>
      <c r="F188" t="s">
        <v>6358</v>
      </c>
      <c r="G188">
        <v>1</v>
      </c>
      <c r="H188" t="s">
        <v>6359</v>
      </c>
      <c r="I188" t="s">
        <v>90</v>
      </c>
      <c r="J188" t="s">
        <v>5780</v>
      </c>
    </row>
    <row r="189" spans="1:10" ht="15" customHeight="1" x14ac:dyDescent="0.25">
      <c r="A189" t="s">
        <v>6360</v>
      </c>
      <c r="B189" t="s">
        <v>3530</v>
      </c>
      <c r="C189" t="s">
        <v>5405</v>
      </c>
      <c r="D189" t="s">
        <v>4034</v>
      </c>
      <c r="E189" t="s">
        <v>6361</v>
      </c>
      <c r="F189" t="s">
        <v>6362</v>
      </c>
      <c r="G189" t="s">
        <v>4034</v>
      </c>
      <c r="H189" t="s">
        <v>6360</v>
      </c>
      <c r="I189" t="s">
        <v>90</v>
      </c>
      <c r="J189" t="s">
        <v>6363</v>
      </c>
    </row>
    <row r="190" spans="1:10" ht="15" customHeight="1" x14ac:dyDescent="0.25">
      <c r="A190" t="s">
        <v>6364</v>
      </c>
      <c r="B190" t="s">
        <v>3530</v>
      </c>
      <c r="C190" t="s">
        <v>5850</v>
      </c>
      <c r="D190">
        <v>3</v>
      </c>
      <c r="E190" t="s">
        <v>6365</v>
      </c>
      <c r="F190" t="s">
        <v>6366</v>
      </c>
      <c r="G190">
        <v>3</v>
      </c>
      <c r="H190" t="s">
        <v>6367</v>
      </c>
      <c r="I190" t="s">
        <v>1673</v>
      </c>
    </row>
    <row r="191" spans="1:10" ht="15" customHeight="1" x14ac:dyDescent="0.25">
      <c r="A191" t="s">
        <v>6368</v>
      </c>
      <c r="B191" t="s">
        <v>3530</v>
      </c>
      <c r="C191" t="s">
        <v>5405</v>
      </c>
      <c r="D191">
        <v>1</v>
      </c>
      <c r="E191" t="s">
        <v>6369</v>
      </c>
      <c r="F191" t="s">
        <v>6369</v>
      </c>
      <c r="G191">
        <v>0</v>
      </c>
      <c r="H191" t="s">
        <v>6368</v>
      </c>
      <c r="I191" t="s">
        <v>90</v>
      </c>
      <c r="J191" t="s">
        <v>6176</v>
      </c>
    </row>
    <row r="192" spans="1:10" ht="15" customHeight="1" x14ac:dyDescent="0.25">
      <c r="A192" t="s">
        <v>6370</v>
      </c>
      <c r="B192" t="s">
        <v>41</v>
      </c>
      <c r="C192" t="s">
        <v>5767</v>
      </c>
      <c r="D192">
        <v>1</v>
      </c>
      <c r="E192" t="s">
        <v>6371</v>
      </c>
      <c r="F192" t="s">
        <v>6372</v>
      </c>
      <c r="G192">
        <v>1</v>
      </c>
      <c r="H192" t="s">
        <v>6370</v>
      </c>
      <c r="I192" t="s">
        <v>90</v>
      </c>
      <c r="J192" t="s">
        <v>5912</v>
      </c>
    </row>
    <row r="193" spans="1:10" ht="15" customHeight="1" x14ac:dyDescent="0.25">
      <c r="A193" t="s">
        <v>6373</v>
      </c>
      <c r="B193" t="s">
        <v>3518</v>
      </c>
      <c r="C193" t="s">
        <v>4642</v>
      </c>
      <c r="D193">
        <v>1</v>
      </c>
      <c r="E193" t="s">
        <v>6374</v>
      </c>
      <c r="F193" t="s">
        <v>6374</v>
      </c>
      <c r="G193">
        <v>0</v>
      </c>
      <c r="H193" t="s">
        <v>6375</v>
      </c>
      <c r="I193" t="s">
        <v>90</v>
      </c>
      <c r="J193" t="s">
        <v>5753</v>
      </c>
    </row>
    <row r="194" spans="1:10" ht="15" customHeight="1" x14ac:dyDescent="0.25">
      <c r="A194" t="s">
        <v>6376</v>
      </c>
      <c r="B194" t="s">
        <v>41</v>
      </c>
      <c r="C194" t="s">
        <v>5405</v>
      </c>
      <c r="D194">
        <v>1</v>
      </c>
      <c r="E194" t="s">
        <v>6377</v>
      </c>
      <c r="F194" t="s">
        <v>6378</v>
      </c>
      <c r="G194">
        <v>1</v>
      </c>
      <c r="H194" t="s">
        <v>6379</v>
      </c>
      <c r="I194" t="s">
        <v>90</v>
      </c>
      <c r="J194" t="s">
        <v>6044</v>
      </c>
    </row>
    <row r="195" spans="1:10" ht="15" customHeight="1" x14ac:dyDescent="0.25">
      <c r="A195" t="s">
        <v>6380</v>
      </c>
      <c r="B195" t="s">
        <v>41</v>
      </c>
      <c r="C195" t="s">
        <v>5767</v>
      </c>
      <c r="D195">
        <v>1</v>
      </c>
      <c r="E195" t="s">
        <v>6381</v>
      </c>
      <c r="F195" t="s">
        <v>6382</v>
      </c>
      <c r="G195">
        <v>1</v>
      </c>
      <c r="H195" t="s">
        <v>6383</v>
      </c>
      <c r="I195" t="s">
        <v>90</v>
      </c>
      <c r="J195" t="s">
        <v>5780</v>
      </c>
    </row>
    <row r="196" spans="1:10" ht="15" customHeight="1" x14ac:dyDescent="0.25">
      <c r="A196" t="s">
        <v>6384</v>
      </c>
      <c r="B196" t="s">
        <v>3518</v>
      </c>
      <c r="C196" t="s">
        <v>5767</v>
      </c>
      <c r="D196">
        <v>1</v>
      </c>
      <c r="E196" t="s">
        <v>6385</v>
      </c>
      <c r="F196" t="s">
        <v>6386</v>
      </c>
      <c r="G196">
        <v>1</v>
      </c>
      <c r="H196" t="s">
        <v>6384</v>
      </c>
      <c r="I196" t="s">
        <v>90</v>
      </c>
      <c r="J196" t="s">
        <v>6027</v>
      </c>
    </row>
    <row r="197" spans="1:10" ht="15" customHeight="1" x14ac:dyDescent="0.25">
      <c r="A197" t="s">
        <v>6387</v>
      </c>
      <c r="B197" t="s">
        <v>3530</v>
      </c>
      <c r="C197" t="s">
        <v>5767</v>
      </c>
      <c r="D197">
        <v>2</v>
      </c>
      <c r="E197" t="s">
        <v>6388</v>
      </c>
      <c r="F197" t="s">
        <v>6389</v>
      </c>
      <c r="G197">
        <v>2</v>
      </c>
      <c r="H197" t="s">
        <v>6387</v>
      </c>
      <c r="I197" t="s">
        <v>90</v>
      </c>
      <c r="J197" t="s">
        <v>5912</v>
      </c>
    </row>
    <row r="198" spans="1:10" ht="15" customHeight="1" x14ac:dyDescent="0.25">
      <c r="A198" t="s">
        <v>6390</v>
      </c>
      <c r="B198" t="s">
        <v>3518</v>
      </c>
      <c r="C198" t="s">
        <v>5486</v>
      </c>
      <c r="D198">
        <v>1</v>
      </c>
      <c r="E198" t="s">
        <v>5916</v>
      </c>
      <c r="F198" t="s">
        <v>5917</v>
      </c>
      <c r="G198">
        <v>1</v>
      </c>
      <c r="H198" t="s">
        <v>6390</v>
      </c>
      <c r="I198" t="s">
        <v>2362</v>
      </c>
      <c r="J198" t="s">
        <v>6051</v>
      </c>
    </row>
    <row r="199" spans="1:10" ht="15" customHeight="1" x14ac:dyDescent="0.25">
      <c r="A199" t="s">
        <v>6391</v>
      </c>
      <c r="B199" t="s">
        <v>41</v>
      </c>
      <c r="C199" t="s">
        <v>5405</v>
      </c>
      <c r="D199">
        <v>0</v>
      </c>
      <c r="E199" t="s">
        <v>6392</v>
      </c>
      <c r="F199" t="s">
        <v>6393</v>
      </c>
      <c r="G199">
        <v>0</v>
      </c>
      <c r="H199" t="s">
        <v>6391</v>
      </c>
      <c r="I199" t="s">
        <v>90</v>
      </c>
      <c r="J199" t="s">
        <v>5808</v>
      </c>
    </row>
    <row r="200" spans="1:10" ht="15" customHeight="1" x14ac:dyDescent="0.25">
      <c r="A200" t="s">
        <v>6394</v>
      </c>
      <c r="B200" t="s">
        <v>3530</v>
      </c>
      <c r="C200" t="s">
        <v>5486</v>
      </c>
      <c r="D200">
        <v>1</v>
      </c>
      <c r="E200" t="s">
        <v>5916</v>
      </c>
      <c r="F200" t="s">
        <v>5917</v>
      </c>
      <c r="G200">
        <v>1</v>
      </c>
      <c r="H200" t="s">
        <v>6394</v>
      </c>
      <c r="I200" t="s">
        <v>2362</v>
      </c>
      <c r="J200" t="s">
        <v>5964</v>
      </c>
    </row>
    <row r="201" spans="1:10" ht="15" customHeight="1" x14ac:dyDescent="0.25">
      <c r="A201" t="s">
        <v>5336</v>
      </c>
      <c r="B201" t="s">
        <v>3530</v>
      </c>
      <c r="C201" t="s">
        <v>4642</v>
      </c>
      <c r="D201">
        <v>1</v>
      </c>
      <c r="E201" t="s">
        <v>6395</v>
      </c>
      <c r="F201" t="s">
        <v>6396</v>
      </c>
      <c r="G201">
        <v>1</v>
      </c>
      <c r="H201" t="s">
        <v>5338</v>
      </c>
      <c r="I201" t="s">
        <v>90</v>
      </c>
      <c r="J201" t="s">
        <v>6037</v>
      </c>
    </row>
    <row r="202" spans="1:10" ht="15" customHeight="1" x14ac:dyDescent="0.25">
      <c r="A202" t="s">
        <v>6397</v>
      </c>
      <c r="B202" t="s">
        <v>3530</v>
      </c>
      <c r="C202" t="s">
        <v>5767</v>
      </c>
      <c r="D202" t="s">
        <v>5991</v>
      </c>
      <c r="E202" t="s">
        <v>6398</v>
      </c>
      <c r="F202" t="s">
        <v>6399</v>
      </c>
      <c r="G202" t="s">
        <v>5991</v>
      </c>
      <c r="H202" t="s">
        <v>6397</v>
      </c>
      <c r="I202" t="s">
        <v>90</v>
      </c>
      <c r="J202" t="s">
        <v>5780</v>
      </c>
    </row>
    <row r="203" spans="1:10" ht="15" customHeight="1" x14ac:dyDescent="0.25">
      <c r="A203" t="s">
        <v>6400</v>
      </c>
      <c r="B203" t="s">
        <v>3530</v>
      </c>
      <c r="C203" t="s">
        <v>5405</v>
      </c>
      <c r="D203">
        <v>1</v>
      </c>
      <c r="E203" t="s">
        <v>6401</v>
      </c>
      <c r="F203" t="s">
        <v>6401</v>
      </c>
      <c r="G203">
        <v>0</v>
      </c>
      <c r="H203" t="s">
        <v>6402</v>
      </c>
      <c r="I203" t="s">
        <v>90</v>
      </c>
      <c r="J203" t="s">
        <v>6403</v>
      </c>
    </row>
    <row r="204" spans="1:10" ht="15" customHeight="1" x14ac:dyDescent="0.25">
      <c r="A204" t="s">
        <v>6404</v>
      </c>
      <c r="B204" t="s">
        <v>41</v>
      </c>
      <c r="C204" t="s">
        <v>5767</v>
      </c>
      <c r="D204">
        <v>1</v>
      </c>
      <c r="E204" t="s">
        <v>6405</v>
      </c>
      <c r="F204" t="s">
        <v>6406</v>
      </c>
      <c r="G204">
        <v>1</v>
      </c>
      <c r="H204" t="s">
        <v>6407</v>
      </c>
      <c r="I204" t="s">
        <v>90</v>
      </c>
      <c r="J204" t="s">
        <v>6030</v>
      </c>
    </row>
    <row r="205" spans="1:10" ht="15" customHeight="1" x14ac:dyDescent="0.25">
      <c r="A205" t="s">
        <v>6408</v>
      </c>
      <c r="B205" t="s">
        <v>4342</v>
      </c>
      <c r="C205" t="s">
        <v>3674</v>
      </c>
      <c r="D205" t="s">
        <v>4034</v>
      </c>
      <c r="E205" t="s">
        <v>6133</v>
      </c>
      <c r="F205" t="s">
        <v>3467</v>
      </c>
      <c r="G205" t="s">
        <v>4034</v>
      </c>
      <c r="H205" t="s">
        <v>6408</v>
      </c>
      <c r="I205" t="s">
        <v>90</v>
      </c>
    </row>
    <row r="206" spans="1:10" ht="15" customHeight="1" x14ac:dyDescent="0.25">
      <c r="A206" t="s">
        <v>6409</v>
      </c>
      <c r="B206" t="s">
        <v>3518</v>
      </c>
      <c r="C206" t="s">
        <v>4642</v>
      </c>
      <c r="D206">
        <v>3</v>
      </c>
      <c r="E206" t="s">
        <v>6410</v>
      </c>
      <c r="F206" t="s">
        <v>6411</v>
      </c>
      <c r="G206">
        <v>3</v>
      </c>
      <c r="H206" t="s">
        <v>6412</v>
      </c>
      <c r="I206" t="s">
        <v>90</v>
      </c>
      <c r="J206" t="s">
        <v>5762</v>
      </c>
    </row>
    <row r="207" spans="1:10" ht="15" customHeight="1" x14ac:dyDescent="0.25">
      <c r="A207" t="s">
        <v>6413</v>
      </c>
      <c r="B207" t="s">
        <v>4342</v>
      </c>
      <c r="C207" t="s">
        <v>4289</v>
      </c>
      <c r="D207" t="s">
        <v>4034</v>
      </c>
      <c r="E207" t="s">
        <v>6414</v>
      </c>
      <c r="F207" t="s">
        <v>3467</v>
      </c>
      <c r="G207" t="s">
        <v>3467</v>
      </c>
      <c r="H207" t="s">
        <v>6413</v>
      </c>
      <c r="I207" t="s">
        <v>90</v>
      </c>
      <c r="J207" t="s">
        <v>5915</v>
      </c>
    </row>
    <row r="208" spans="1:10" ht="15" customHeight="1" x14ac:dyDescent="0.25">
      <c r="A208" t="s">
        <v>6415</v>
      </c>
      <c r="B208" t="s">
        <v>4342</v>
      </c>
      <c r="C208" t="s">
        <v>3674</v>
      </c>
      <c r="D208">
        <v>1</v>
      </c>
      <c r="E208" t="s">
        <v>6416</v>
      </c>
      <c r="F208" t="s">
        <v>3467</v>
      </c>
      <c r="G208" t="s">
        <v>3467</v>
      </c>
      <c r="H208" t="s">
        <v>6417</v>
      </c>
      <c r="I208" t="s">
        <v>501</v>
      </c>
      <c r="J208" t="s">
        <v>5838</v>
      </c>
    </row>
    <row r="209" spans="1:10" ht="15" customHeight="1" x14ac:dyDescent="0.25">
      <c r="A209" t="s">
        <v>4747</v>
      </c>
      <c r="B209" t="s">
        <v>41</v>
      </c>
      <c r="C209" t="s">
        <v>5767</v>
      </c>
      <c r="D209">
        <v>1</v>
      </c>
      <c r="E209" t="s">
        <v>6160</v>
      </c>
      <c r="F209" t="s">
        <v>6160</v>
      </c>
      <c r="G209">
        <v>1</v>
      </c>
      <c r="H209" t="s">
        <v>4750</v>
      </c>
      <c r="I209" t="s">
        <v>1047</v>
      </c>
      <c r="J209" t="s">
        <v>5800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5743</v>
      </c>
      <c r="E1" t="s">
        <v>3461</v>
      </c>
      <c r="F1" t="s">
        <v>6418</v>
      </c>
      <c r="G1" t="s">
        <v>6419</v>
      </c>
      <c r="H1" t="s">
        <v>6420</v>
      </c>
      <c r="I1" t="s">
        <v>6421</v>
      </c>
      <c r="J1" t="s">
        <v>5767</v>
      </c>
      <c r="K1" t="s">
        <v>4304</v>
      </c>
      <c r="L1" t="s">
        <v>1</v>
      </c>
      <c r="M1" t="s">
        <v>6422</v>
      </c>
      <c r="N1" t="s">
        <v>6423</v>
      </c>
      <c r="O1" t="s">
        <v>170</v>
      </c>
    </row>
    <row r="2" spans="1:15" ht="15" customHeight="1" x14ac:dyDescent="0.25">
      <c r="A2" t="s">
        <v>5746</v>
      </c>
      <c r="B2" t="s">
        <v>3530</v>
      </c>
      <c r="C2" t="s">
        <v>4642</v>
      </c>
      <c r="D2">
        <v>1</v>
      </c>
      <c r="E2" t="s">
        <v>5747</v>
      </c>
      <c r="F2" t="s">
        <v>6424</v>
      </c>
      <c r="G2" t="s">
        <v>5748</v>
      </c>
      <c r="H2" t="s">
        <v>6425</v>
      </c>
      <c r="I2">
        <v>1</v>
      </c>
      <c r="J2" t="s">
        <v>3467</v>
      </c>
      <c r="K2" t="s">
        <v>5746</v>
      </c>
      <c r="L2" t="s">
        <v>90</v>
      </c>
      <c r="M2" t="s">
        <v>3467</v>
      </c>
      <c r="N2" t="s">
        <v>3467</v>
      </c>
      <c r="O2" t="s">
        <v>5749</v>
      </c>
    </row>
    <row r="3" spans="1:15" ht="15" customHeight="1" x14ac:dyDescent="0.25">
      <c r="A3" t="s">
        <v>5750</v>
      </c>
      <c r="B3" t="s">
        <v>41</v>
      </c>
      <c r="C3" t="s">
        <v>5405</v>
      </c>
      <c r="D3">
        <v>1</v>
      </c>
      <c r="E3" t="s">
        <v>5751</v>
      </c>
      <c r="F3" t="s">
        <v>6426</v>
      </c>
      <c r="G3" t="s">
        <v>5752</v>
      </c>
      <c r="H3" t="s">
        <v>6427</v>
      </c>
      <c r="I3">
        <v>1</v>
      </c>
      <c r="J3" t="s">
        <v>3467</v>
      </c>
      <c r="K3" t="s">
        <v>5750</v>
      </c>
      <c r="L3" t="s">
        <v>90</v>
      </c>
      <c r="M3" t="s">
        <v>3467</v>
      </c>
      <c r="N3" t="s">
        <v>3467</v>
      </c>
      <c r="O3" t="s">
        <v>5753</v>
      </c>
    </row>
    <row r="4" spans="1:15" ht="15" customHeight="1" x14ac:dyDescent="0.25">
      <c r="A4" t="s">
        <v>5754</v>
      </c>
      <c r="B4" t="s">
        <v>3518</v>
      </c>
      <c r="C4" t="s">
        <v>5405</v>
      </c>
      <c r="D4">
        <v>0</v>
      </c>
      <c r="E4" t="s">
        <v>5755</v>
      </c>
      <c r="F4" t="s">
        <v>6428</v>
      </c>
      <c r="G4" t="s">
        <v>5756</v>
      </c>
      <c r="H4" t="s">
        <v>6429</v>
      </c>
      <c r="I4">
        <v>0</v>
      </c>
      <c r="J4" t="s">
        <v>3467</v>
      </c>
      <c r="K4" t="s">
        <v>5754</v>
      </c>
      <c r="L4" t="s">
        <v>90</v>
      </c>
      <c r="M4" t="s">
        <v>5541</v>
      </c>
      <c r="N4" t="s">
        <v>3467</v>
      </c>
      <c r="O4" t="s">
        <v>5757</v>
      </c>
    </row>
    <row r="5" spans="1:15" ht="15" customHeight="1" x14ac:dyDescent="0.25">
      <c r="A5" t="s">
        <v>5758</v>
      </c>
      <c r="B5" t="s">
        <v>3518</v>
      </c>
      <c r="C5" t="s">
        <v>4642</v>
      </c>
      <c r="D5">
        <v>1</v>
      </c>
      <c r="E5" t="s">
        <v>5759</v>
      </c>
      <c r="F5" t="s">
        <v>6430</v>
      </c>
      <c r="G5" t="s">
        <v>5760</v>
      </c>
      <c r="H5" t="s">
        <v>6430</v>
      </c>
      <c r="I5">
        <v>1</v>
      </c>
      <c r="J5" t="s">
        <v>3467</v>
      </c>
      <c r="K5" t="s">
        <v>5761</v>
      </c>
      <c r="L5" t="s">
        <v>90</v>
      </c>
      <c r="M5" t="s">
        <v>5480</v>
      </c>
      <c r="N5" t="s">
        <v>3467</v>
      </c>
      <c r="O5" t="s">
        <v>5762</v>
      </c>
    </row>
    <row r="6" spans="1:15" ht="15" customHeight="1" x14ac:dyDescent="0.25">
      <c r="A6" t="s">
        <v>5763</v>
      </c>
      <c r="B6" t="s">
        <v>3518</v>
      </c>
      <c r="C6" t="s">
        <v>5405</v>
      </c>
      <c r="D6">
        <v>1</v>
      </c>
      <c r="E6" t="s">
        <v>5764</v>
      </c>
      <c r="F6" t="s">
        <v>6431</v>
      </c>
      <c r="G6" t="s">
        <v>5764</v>
      </c>
      <c r="H6" t="s">
        <v>6431</v>
      </c>
      <c r="I6">
        <v>0</v>
      </c>
      <c r="J6" t="s">
        <v>3467</v>
      </c>
      <c r="K6" t="s">
        <v>5763</v>
      </c>
      <c r="L6" t="s">
        <v>90</v>
      </c>
      <c r="M6" t="s">
        <v>5541</v>
      </c>
      <c r="N6" t="s">
        <v>3467</v>
      </c>
      <c r="O6" t="s">
        <v>6432</v>
      </c>
    </row>
    <row r="7" spans="1:15" ht="15" customHeight="1" x14ac:dyDescent="0.25">
      <c r="A7" t="s">
        <v>5766</v>
      </c>
      <c r="B7" t="s">
        <v>3518</v>
      </c>
      <c r="C7" t="s">
        <v>5767</v>
      </c>
      <c r="D7">
        <v>2</v>
      </c>
      <c r="E7" t="s">
        <v>6433</v>
      </c>
      <c r="F7" t="s">
        <v>6434</v>
      </c>
      <c r="G7" t="s">
        <v>6435</v>
      </c>
      <c r="H7" t="s">
        <v>6436</v>
      </c>
      <c r="I7">
        <v>2</v>
      </c>
      <c r="J7" t="s">
        <v>6437</v>
      </c>
      <c r="K7" t="s">
        <v>5770</v>
      </c>
      <c r="L7" t="s">
        <v>90</v>
      </c>
      <c r="M7" t="s">
        <v>3467</v>
      </c>
      <c r="N7" t="s">
        <v>3467</v>
      </c>
      <c r="O7" t="s">
        <v>5771</v>
      </c>
    </row>
    <row r="8" spans="1:15" ht="15" customHeight="1" x14ac:dyDescent="0.25">
      <c r="A8" t="s">
        <v>5772</v>
      </c>
      <c r="B8" t="s">
        <v>3530</v>
      </c>
      <c r="C8" t="s">
        <v>5767</v>
      </c>
      <c r="D8">
        <v>1</v>
      </c>
      <c r="E8" t="s">
        <v>6438</v>
      </c>
      <c r="F8" t="s">
        <v>6439</v>
      </c>
      <c r="G8" t="s">
        <v>6440</v>
      </c>
      <c r="H8" t="s">
        <v>6441</v>
      </c>
      <c r="I8">
        <v>1</v>
      </c>
      <c r="J8" t="s">
        <v>6442</v>
      </c>
      <c r="K8" t="s">
        <v>5775</v>
      </c>
      <c r="L8" t="s">
        <v>90</v>
      </c>
      <c r="M8" t="s">
        <v>3467</v>
      </c>
      <c r="N8" t="s">
        <v>3467</v>
      </c>
      <c r="O8" t="s">
        <v>5776</v>
      </c>
    </row>
    <row r="9" spans="1:15" ht="15" customHeight="1" x14ac:dyDescent="0.25">
      <c r="A9" t="s">
        <v>5777</v>
      </c>
      <c r="B9" t="s">
        <v>41</v>
      </c>
      <c r="C9" t="s">
        <v>5767</v>
      </c>
      <c r="D9">
        <v>0</v>
      </c>
      <c r="E9" t="s">
        <v>5778</v>
      </c>
      <c r="F9" t="s">
        <v>6443</v>
      </c>
      <c r="G9" t="s">
        <v>5779</v>
      </c>
      <c r="H9" t="s">
        <v>6444</v>
      </c>
      <c r="I9">
        <v>0</v>
      </c>
      <c r="J9" t="s">
        <v>6445</v>
      </c>
      <c r="K9" t="s">
        <v>5777</v>
      </c>
      <c r="L9" t="s">
        <v>90</v>
      </c>
      <c r="M9" t="s">
        <v>3467</v>
      </c>
      <c r="N9" t="s">
        <v>3467</v>
      </c>
      <c r="O9" t="s">
        <v>5780</v>
      </c>
    </row>
    <row r="10" spans="1:15" ht="15" customHeight="1" x14ac:dyDescent="0.25">
      <c r="A10" t="s">
        <v>5781</v>
      </c>
      <c r="B10" t="s">
        <v>41</v>
      </c>
      <c r="C10" t="s">
        <v>5405</v>
      </c>
      <c r="D10">
        <v>1</v>
      </c>
      <c r="E10" t="s">
        <v>5782</v>
      </c>
      <c r="F10" t="s">
        <v>6446</v>
      </c>
      <c r="G10" t="s">
        <v>5783</v>
      </c>
      <c r="H10" t="s">
        <v>6447</v>
      </c>
      <c r="I10">
        <v>1</v>
      </c>
      <c r="J10" t="s">
        <v>3467</v>
      </c>
      <c r="K10" t="s">
        <v>5781</v>
      </c>
      <c r="L10" t="s">
        <v>90</v>
      </c>
      <c r="M10" t="s">
        <v>3467</v>
      </c>
      <c r="N10" t="s">
        <v>3467</v>
      </c>
      <c r="O10" t="s">
        <v>5784</v>
      </c>
    </row>
    <row r="11" spans="1:15" ht="15" customHeight="1" x14ac:dyDescent="0.25">
      <c r="A11" t="s">
        <v>5785</v>
      </c>
      <c r="B11" t="s">
        <v>41</v>
      </c>
      <c r="C11" t="s">
        <v>5405</v>
      </c>
      <c r="D11">
        <v>1</v>
      </c>
      <c r="E11" t="s">
        <v>5786</v>
      </c>
      <c r="F11" t="s">
        <v>6448</v>
      </c>
      <c r="G11" t="s">
        <v>5787</v>
      </c>
      <c r="H11" t="s">
        <v>6449</v>
      </c>
      <c r="I11">
        <v>1</v>
      </c>
      <c r="J11" t="s">
        <v>3467</v>
      </c>
      <c r="K11" t="s">
        <v>5785</v>
      </c>
      <c r="L11" t="s">
        <v>90</v>
      </c>
      <c r="M11" t="s">
        <v>3467</v>
      </c>
      <c r="N11" t="s">
        <v>3467</v>
      </c>
      <c r="O11" t="s">
        <v>5788</v>
      </c>
    </row>
    <row r="12" spans="1:15" ht="15" customHeight="1" x14ac:dyDescent="0.25">
      <c r="A12" t="s">
        <v>5789</v>
      </c>
      <c r="B12" t="s">
        <v>3530</v>
      </c>
      <c r="C12" t="s">
        <v>5767</v>
      </c>
      <c r="D12">
        <v>0</v>
      </c>
      <c r="E12" t="s">
        <v>5790</v>
      </c>
      <c r="F12" t="s">
        <v>6450</v>
      </c>
      <c r="G12" t="s">
        <v>5791</v>
      </c>
      <c r="H12" t="s">
        <v>6451</v>
      </c>
      <c r="I12">
        <v>0</v>
      </c>
      <c r="J12" t="s">
        <v>6437</v>
      </c>
      <c r="K12" t="s">
        <v>5789</v>
      </c>
      <c r="L12" t="s">
        <v>90</v>
      </c>
      <c r="M12" t="s">
        <v>6452</v>
      </c>
      <c r="N12" t="s">
        <v>3467</v>
      </c>
      <c r="O12" t="s">
        <v>5792</v>
      </c>
    </row>
    <row r="13" spans="1:15" ht="15" customHeight="1" x14ac:dyDescent="0.25">
      <c r="A13" t="s">
        <v>4472</v>
      </c>
      <c r="B13" t="s">
        <v>3530</v>
      </c>
      <c r="C13" t="s">
        <v>5405</v>
      </c>
      <c r="D13">
        <v>1</v>
      </c>
      <c r="E13" t="s">
        <v>5793</v>
      </c>
      <c r="F13" t="s">
        <v>6453</v>
      </c>
      <c r="G13" t="s">
        <v>5793</v>
      </c>
      <c r="H13" t="s">
        <v>6453</v>
      </c>
      <c r="I13">
        <v>1</v>
      </c>
      <c r="J13" t="s">
        <v>6454</v>
      </c>
      <c r="K13" t="s">
        <v>4477</v>
      </c>
      <c r="L13" t="s">
        <v>1650</v>
      </c>
      <c r="M13" t="s">
        <v>3467</v>
      </c>
      <c r="N13" t="s">
        <v>3467</v>
      </c>
      <c r="O13" t="s">
        <v>6455</v>
      </c>
    </row>
    <row r="14" spans="1:15" ht="15" customHeight="1" x14ac:dyDescent="0.25">
      <c r="A14" t="s">
        <v>5795</v>
      </c>
      <c r="B14" t="s">
        <v>41</v>
      </c>
      <c r="C14" t="s">
        <v>5767</v>
      </c>
      <c r="D14">
        <v>1</v>
      </c>
      <c r="E14" t="s">
        <v>6456</v>
      </c>
      <c r="F14" t="s">
        <v>6457</v>
      </c>
      <c r="G14" t="s">
        <v>6458</v>
      </c>
      <c r="H14" t="s">
        <v>6459</v>
      </c>
      <c r="I14">
        <v>1</v>
      </c>
      <c r="J14" t="s">
        <v>6454</v>
      </c>
      <c r="K14" t="s">
        <v>5795</v>
      </c>
      <c r="L14" t="s">
        <v>90</v>
      </c>
      <c r="M14" t="s">
        <v>3467</v>
      </c>
      <c r="N14" t="s">
        <v>3467</v>
      </c>
      <c r="O14" t="s">
        <v>6460</v>
      </c>
    </row>
    <row r="15" spans="1:15" ht="15" customHeight="1" x14ac:dyDescent="0.25">
      <c r="A15" t="s">
        <v>4483</v>
      </c>
      <c r="B15" t="s">
        <v>3530</v>
      </c>
      <c r="C15" t="s">
        <v>5767</v>
      </c>
      <c r="D15">
        <v>1</v>
      </c>
      <c r="E15" t="s">
        <v>5799</v>
      </c>
      <c r="F15" t="s">
        <v>6461</v>
      </c>
      <c r="G15" t="s">
        <v>5799</v>
      </c>
      <c r="H15" t="s">
        <v>6461</v>
      </c>
      <c r="I15">
        <v>1</v>
      </c>
      <c r="J15" t="s">
        <v>6462</v>
      </c>
      <c r="K15" t="s">
        <v>4483</v>
      </c>
      <c r="L15" t="s">
        <v>1047</v>
      </c>
      <c r="M15" t="s">
        <v>5472</v>
      </c>
      <c r="N15" t="s">
        <v>3467</v>
      </c>
      <c r="O15" t="s">
        <v>5800</v>
      </c>
    </row>
    <row r="16" spans="1:15" ht="15" customHeight="1" x14ac:dyDescent="0.25">
      <c r="A16" t="s">
        <v>3537</v>
      </c>
      <c r="B16" t="s">
        <v>3518</v>
      </c>
      <c r="C16" t="s">
        <v>4642</v>
      </c>
      <c r="D16">
        <v>3</v>
      </c>
      <c r="E16" s="9" t="s">
        <v>6463</v>
      </c>
      <c r="F16" t="s">
        <v>6464</v>
      </c>
      <c r="G16" s="9" t="s">
        <v>6463</v>
      </c>
      <c r="H16" t="s">
        <v>6464</v>
      </c>
      <c r="I16">
        <v>2</v>
      </c>
      <c r="J16" t="s">
        <v>3467</v>
      </c>
      <c r="K16" t="s">
        <v>3537</v>
      </c>
      <c r="L16" t="s">
        <v>90</v>
      </c>
      <c r="M16" t="s">
        <v>3467</v>
      </c>
      <c r="N16" t="s">
        <v>3467</v>
      </c>
      <c r="O16" t="s">
        <v>6465</v>
      </c>
    </row>
    <row r="17" spans="1:15" ht="15" customHeight="1" x14ac:dyDescent="0.25">
      <c r="A17" t="s">
        <v>3451</v>
      </c>
      <c r="B17" t="s">
        <v>3563</v>
      </c>
      <c r="C17" t="s">
        <v>5767</v>
      </c>
      <c r="D17">
        <v>2</v>
      </c>
      <c r="E17" t="s">
        <v>5802</v>
      </c>
      <c r="F17" t="s">
        <v>6466</v>
      </c>
      <c r="G17" t="s">
        <v>5803</v>
      </c>
      <c r="H17" t="s">
        <v>6467</v>
      </c>
      <c r="I17">
        <v>2</v>
      </c>
      <c r="J17" t="s">
        <v>6468</v>
      </c>
      <c r="K17" t="s">
        <v>3451</v>
      </c>
      <c r="L17" t="s">
        <v>90</v>
      </c>
      <c r="M17" t="s">
        <v>3467</v>
      </c>
      <c r="N17" t="s">
        <v>3467</v>
      </c>
      <c r="O17" t="s">
        <v>5780</v>
      </c>
    </row>
    <row r="18" spans="1:15" ht="15" customHeight="1" x14ac:dyDescent="0.25">
      <c r="A18" t="s">
        <v>5804</v>
      </c>
      <c r="B18" t="s">
        <v>3530</v>
      </c>
      <c r="C18" t="s">
        <v>5405</v>
      </c>
      <c r="D18">
        <v>0</v>
      </c>
      <c r="E18" s="9" t="s">
        <v>6469</v>
      </c>
      <c r="F18" t="s">
        <v>6470</v>
      </c>
      <c r="G18" s="9" t="s">
        <v>6471</v>
      </c>
      <c r="H18" t="s">
        <v>6472</v>
      </c>
      <c r="I18" t="s">
        <v>3467</v>
      </c>
      <c r="J18" t="s">
        <v>3467</v>
      </c>
      <c r="K18" t="s">
        <v>5807</v>
      </c>
      <c r="L18" t="s">
        <v>90</v>
      </c>
      <c r="M18" t="s">
        <v>3467</v>
      </c>
      <c r="N18" t="s">
        <v>3467</v>
      </c>
      <c r="O18" t="s">
        <v>5808</v>
      </c>
    </row>
    <row r="19" spans="1:15" ht="15" customHeight="1" x14ac:dyDescent="0.25">
      <c r="A19" t="s">
        <v>5809</v>
      </c>
      <c r="B19" t="s">
        <v>41</v>
      </c>
      <c r="C19" t="s">
        <v>5767</v>
      </c>
      <c r="D19">
        <v>0</v>
      </c>
      <c r="E19" t="s">
        <v>5810</v>
      </c>
      <c r="F19" t="s">
        <v>6473</v>
      </c>
      <c r="G19" t="s">
        <v>5811</v>
      </c>
      <c r="H19" t="s">
        <v>6474</v>
      </c>
      <c r="I19">
        <v>0</v>
      </c>
      <c r="J19" t="s">
        <v>6475</v>
      </c>
      <c r="K19" t="s">
        <v>5812</v>
      </c>
      <c r="L19" t="s">
        <v>90</v>
      </c>
      <c r="M19" t="s">
        <v>3467</v>
      </c>
      <c r="N19" t="s">
        <v>3467</v>
      </c>
      <c r="O19" t="s">
        <v>5813</v>
      </c>
    </row>
    <row r="20" spans="1:15" ht="15" customHeight="1" x14ac:dyDescent="0.25">
      <c r="A20" t="s">
        <v>5818</v>
      </c>
      <c r="B20" t="s">
        <v>41</v>
      </c>
      <c r="C20" t="s">
        <v>5405</v>
      </c>
      <c r="D20">
        <v>1</v>
      </c>
      <c r="E20" t="s">
        <v>5819</v>
      </c>
      <c r="F20" t="s">
        <v>6476</v>
      </c>
      <c r="G20" t="s">
        <v>5820</v>
      </c>
      <c r="H20" t="s">
        <v>6477</v>
      </c>
      <c r="I20">
        <v>1</v>
      </c>
      <c r="J20" t="s">
        <v>3467</v>
      </c>
      <c r="K20" t="s">
        <v>5821</v>
      </c>
      <c r="L20" t="s">
        <v>90</v>
      </c>
      <c r="M20" t="s">
        <v>3467</v>
      </c>
      <c r="N20" t="s">
        <v>3467</v>
      </c>
      <c r="O20" t="s">
        <v>5822</v>
      </c>
    </row>
    <row r="21" spans="1:15" ht="15" customHeight="1" x14ac:dyDescent="0.25">
      <c r="A21" t="s">
        <v>4510</v>
      </c>
      <c r="B21" t="s">
        <v>41</v>
      </c>
      <c r="C21" t="s">
        <v>5767</v>
      </c>
      <c r="D21">
        <v>1</v>
      </c>
      <c r="E21" t="s">
        <v>5823</v>
      </c>
      <c r="F21" t="s">
        <v>6478</v>
      </c>
      <c r="G21" t="s">
        <v>5823</v>
      </c>
      <c r="H21" t="s">
        <v>6478</v>
      </c>
      <c r="I21">
        <v>1</v>
      </c>
      <c r="J21" t="s">
        <v>6462</v>
      </c>
      <c r="K21" t="s">
        <v>4513</v>
      </c>
      <c r="L21" t="s">
        <v>1105</v>
      </c>
      <c r="M21" t="s">
        <v>5513</v>
      </c>
      <c r="N21" t="s">
        <v>3467</v>
      </c>
      <c r="O21" t="s">
        <v>5800</v>
      </c>
    </row>
    <row r="22" spans="1:15" ht="15" customHeight="1" x14ac:dyDescent="0.25">
      <c r="A22" t="s">
        <v>5824</v>
      </c>
      <c r="B22" t="s">
        <v>3530</v>
      </c>
      <c r="C22" t="s">
        <v>5767</v>
      </c>
      <c r="D22">
        <v>4</v>
      </c>
      <c r="E22" s="9" t="s">
        <v>5825</v>
      </c>
      <c r="F22" t="s">
        <v>6479</v>
      </c>
      <c r="G22" s="9" t="s">
        <v>5826</v>
      </c>
      <c r="H22" t="s">
        <v>6480</v>
      </c>
      <c r="I22">
        <v>3</v>
      </c>
      <c r="J22" t="s">
        <v>6445</v>
      </c>
      <c r="K22" t="s">
        <v>5827</v>
      </c>
      <c r="L22" t="s">
        <v>90</v>
      </c>
      <c r="M22" t="s">
        <v>3467</v>
      </c>
      <c r="N22" t="s">
        <v>3467</v>
      </c>
      <c r="O22" t="s">
        <v>5808</v>
      </c>
    </row>
    <row r="23" spans="1:15" ht="15" customHeight="1" x14ac:dyDescent="0.25">
      <c r="A23" t="s">
        <v>4514</v>
      </c>
      <c r="B23" t="s">
        <v>3518</v>
      </c>
      <c r="C23" t="s">
        <v>5767</v>
      </c>
      <c r="D23">
        <v>1</v>
      </c>
      <c r="E23" t="s">
        <v>6481</v>
      </c>
      <c r="F23" t="s">
        <v>6482</v>
      </c>
      <c r="G23" t="s">
        <v>6481</v>
      </c>
      <c r="H23" t="s">
        <v>6482</v>
      </c>
      <c r="I23">
        <v>1</v>
      </c>
      <c r="J23" t="s">
        <v>6483</v>
      </c>
      <c r="K23" t="s">
        <v>4517</v>
      </c>
      <c r="L23" t="s">
        <v>1622</v>
      </c>
      <c r="M23" t="s">
        <v>5476</v>
      </c>
      <c r="N23" t="s">
        <v>5428</v>
      </c>
      <c r="O23" t="s">
        <v>5800</v>
      </c>
    </row>
    <row r="24" spans="1:15" ht="15" customHeight="1" x14ac:dyDescent="0.25">
      <c r="A24" t="s">
        <v>5829</v>
      </c>
      <c r="B24" t="s">
        <v>41</v>
      </c>
      <c r="C24" t="s">
        <v>5405</v>
      </c>
      <c r="D24">
        <v>0</v>
      </c>
      <c r="E24" t="s">
        <v>5830</v>
      </c>
      <c r="F24" t="s">
        <v>6484</v>
      </c>
      <c r="G24" t="s">
        <v>5831</v>
      </c>
      <c r="H24" t="s">
        <v>6485</v>
      </c>
      <c r="I24">
        <v>0</v>
      </c>
      <c r="J24" t="s">
        <v>3467</v>
      </c>
      <c r="K24" t="s">
        <v>5829</v>
      </c>
      <c r="L24" t="s">
        <v>90</v>
      </c>
      <c r="M24" t="s">
        <v>3467</v>
      </c>
      <c r="N24" t="s">
        <v>3467</v>
      </c>
      <c r="O24" t="s">
        <v>5817</v>
      </c>
    </row>
    <row r="25" spans="1:15" ht="15" customHeight="1" x14ac:dyDescent="0.25">
      <c r="A25" t="s">
        <v>5832</v>
      </c>
      <c r="B25" t="s">
        <v>3518</v>
      </c>
      <c r="C25" t="s">
        <v>5767</v>
      </c>
      <c r="D25">
        <v>3</v>
      </c>
      <c r="E25" t="s">
        <v>5833</v>
      </c>
      <c r="F25" t="s">
        <v>6486</v>
      </c>
      <c r="G25" t="s">
        <v>5834</v>
      </c>
      <c r="H25" t="s">
        <v>6487</v>
      </c>
      <c r="I25">
        <v>3</v>
      </c>
      <c r="J25" t="s">
        <v>6488</v>
      </c>
      <c r="K25" t="s">
        <v>5832</v>
      </c>
      <c r="L25" t="s">
        <v>90</v>
      </c>
      <c r="M25" t="s">
        <v>3467</v>
      </c>
      <c r="N25" t="s">
        <v>3467</v>
      </c>
      <c r="O25" t="s">
        <v>5780</v>
      </c>
    </row>
    <row r="26" spans="1:15" ht="15" customHeight="1" x14ac:dyDescent="0.25">
      <c r="A26" t="s">
        <v>5205</v>
      </c>
      <c r="B26" t="s">
        <v>3530</v>
      </c>
      <c r="C26" t="s">
        <v>5405</v>
      </c>
      <c r="D26">
        <v>1</v>
      </c>
      <c r="E26" s="9" t="s">
        <v>6489</v>
      </c>
      <c r="F26" t="s">
        <v>6490</v>
      </c>
      <c r="G26" s="9" t="s">
        <v>6491</v>
      </c>
      <c r="H26" t="s">
        <v>6492</v>
      </c>
      <c r="I26">
        <v>1</v>
      </c>
      <c r="J26" t="s">
        <v>3467</v>
      </c>
      <c r="K26" t="s">
        <v>5205</v>
      </c>
      <c r="L26" t="s">
        <v>90</v>
      </c>
      <c r="M26" t="s">
        <v>3467</v>
      </c>
      <c r="N26" t="s">
        <v>3467</v>
      </c>
      <c r="O26" t="s">
        <v>5762</v>
      </c>
    </row>
    <row r="27" spans="1:15" ht="15" customHeight="1" x14ac:dyDescent="0.25">
      <c r="A27" t="s">
        <v>5841</v>
      </c>
      <c r="B27" t="s">
        <v>41</v>
      </c>
      <c r="C27" t="s">
        <v>5767</v>
      </c>
      <c r="D27">
        <v>1</v>
      </c>
      <c r="E27" t="s">
        <v>6493</v>
      </c>
      <c r="F27" t="s">
        <v>6494</v>
      </c>
      <c r="G27" t="s">
        <v>6493</v>
      </c>
      <c r="H27" t="s">
        <v>6494</v>
      </c>
      <c r="I27">
        <v>0</v>
      </c>
      <c r="J27" t="s">
        <v>6495</v>
      </c>
      <c r="K27" t="s">
        <v>5843</v>
      </c>
      <c r="L27" t="s">
        <v>90</v>
      </c>
      <c r="M27" t="s">
        <v>3467</v>
      </c>
      <c r="N27" t="s">
        <v>3467</v>
      </c>
      <c r="O27" t="s">
        <v>5780</v>
      </c>
    </row>
    <row r="28" spans="1:15" ht="15" customHeight="1" x14ac:dyDescent="0.25">
      <c r="A28" t="s">
        <v>5844</v>
      </c>
      <c r="B28" t="s">
        <v>3530</v>
      </c>
      <c r="C28" t="s">
        <v>5405</v>
      </c>
      <c r="D28">
        <v>0</v>
      </c>
      <c r="E28" t="s">
        <v>5845</v>
      </c>
      <c r="F28" t="s">
        <v>6496</v>
      </c>
      <c r="G28" t="s">
        <v>5846</v>
      </c>
      <c r="H28" t="s">
        <v>6497</v>
      </c>
      <c r="I28">
        <v>0</v>
      </c>
      <c r="J28" t="s">
        <v>3467</v>
      </c>
      <c r="K28" t="s">
        <v>5847</v>
      </c>
      <c r="L28" t="s">
        <v>90</v>
      </c>
      <c r="M28" t="s">
        <v>6452</v>
      </c>
      <c r="N28" t="s">
        <v>3467</v>
      </c>
      <c r="O28" t="s">
        <v>5848</v>
      </c>
    </row>
    <row r="29" spans="1:15" ht="15" customHeight="1" x14ac:dyDescent="0.25">
      <c r="A29" t="s">
        <v>5854</v>
      </c>
      <c r="B29" t="s">
        <v>3530</v>
      </c>
      <c r="C29" t="s">
        <v>5405</v>
      </c>
      <c r="D29">
        <v>2</v>
      </c>
      <c r="E29" t="s">
        <v>5855</v>
      </c>
      <c r="F29" t="s">
        <v>6498</v>
      </c>
      <c r="G29" t="s">
        <v>5856</v>
      </c>
      <c r="H29" t="s">
        <v>6499</v>
      </c>
      <c r="I29">
        <v>2</v>
      </c>
      <c r="J29" t="s">
        <v>6500</v>
      </c>
      <c r="K29" t="s">
        <v>5857</v>
      </c>
      <c r="L29" t="s">
        <v>90</v>
      </c>
      <c r="M29" t="s">
        <v>5476</v>
      </c>
      <c r="N29" t="s">
        <v>5299</v>
      </c>
      <c r="O29" t="s">
        <v>6501</v>
      </c>
    </row>
    <row r="30" spans="1:15" ht="15" customHeight="1" x14ac:dyDescent="0.25">
      <c r="A30" t="s">
        <v>5865</v>
      </c>
      <c r="B30" t="s">
        <v>3518</v>
      </c>
      <c r="C30" t="s">
        <v>5405</v>
      </c>
      <c r="D30">
        <v>3</v>
      </c>
      <c r="E30" s="9" t="s">
        <v>5866</v>
      </c>
      <c r="F30" t="s">
        <v>6502</v>
      </c>
      <c r="G30" s="9" t="s">
        <v>5866</v>
      </c>
      <c r="H30" t="s">
        <v>6502</v>
      </c>
      <c r="I30">
        <v>2</v>
      </c>
      <c r="J30" t="s">
        <v>3467</v>
      </c>
      <c r="K30" t="s">
        <v>5867</v>
      </c>
      <c r="L30" t="s">
        <v>90</v>
      </c>
      <c r="M30" t="s">
        <v>3467</v>
      </c>
      <c r="N30" t="s">
        <v>3467</v>
      </c>
      <c r="O30" t="s">
        <v>5868</v>
      </c>
    </row>
    <row r="31" spans="1:15" ht="15" customHeight="1" x14ac:dyDescent="0.25">
      <c r="A31" t="s">
        <v>4039</v>
      </c>
      <c r="B31" t="s">
        <v>4342</v>
      </c>
      <c r="C31" t="s">
        <v>3674</v>
      </c>
      <c r="D31" t="s">
        <v>4034</v>
      </c>
      <c r="E31" s="9" t="s">
        <v>5869</v>
      </c>
      <c r="F31" t="s">
        <v>6503</v>
      </c>
      <c r="G31" s="9" t="s">
        <v>3467</v>
      </c>
      <c r="H31" t="s">
        <v>3467</v>
      </c>
      <c r="I31" t="s">
        <v>3467</v>
      </c>
      <c r="J31" t="s">
        <v>3467</v>
      </c>
      <c r="K31" t="s">
        <v>4039</v>
      </c>
      <c r="L31" t="s">
        <v>90</v>
      </c>
      <c r="M31" t="s">
        <v>5508</v>
      </c>
      <c r="N31" t="s">
        <v>3467</v>
      </c>
      <c r="O31" t="s">
        <v>6504</v>
      </c>
    </row>
    <row r="32" spans="1:15" ht="15" customHeight="1" x14ac:dyDescent="0.25">
      <c r="A32" t="s">
        <v>5871</v>
      </c>
      <c r="B32" t="s">
        <v>3530</v>
      </c>
      <c r="C32" t="s">
        <v>5405</v>
      </c>
      <c r="D32">
        <v>1</v>
      </c>
      <c r="E32" t="s">
        <v>5872</v>
      </c>
      <c r="F32" t="s">
        <v>6505</v>
      </c>
      <c r="G32" t="s">
        <v>5873</v>
      </c>
      <c r="H32" t="s">
        <v>6506</v>
      </c>
      <c r="I32">
        <v>1</v>
      </c>
      <c r="J32" t="s">
        <v>3467</v>
      </c>
      <c r="K32" t="s">
        <v>5874</v>
      </c>
      <c r="L32" t="s">
        <v>90</v>
      </c>
      <c r="M32" t="s">
        <v>5541</v>
      </c>
      <c r="N32" t="s">
        <v>3467</v>
      </c>
      <c r="O32" t="s">
        <v>5875</v>
      </c>
    </row>
    <row r="33" spans="1:15" ht="15" customHeight="1" x14ac:dyDescent="0.25">
      <c r="A33" t="s">
        <v>5215</v>
      </c>
      <c r="B33" t="s">
        <v>3518</v>
      </c>
      <c r="C33" t="s">
        <v>5405</v>
      </c>
      <c r="D33">
        <v>1</v>
      </c>
      <c r="E33" s="9" t="s">
        <v>6507</v>
      </c>
      <c r="F33" t="s">
        <v>6508</v>
      </c>
      <c r="G33" s="9" t="s">
        <v>6509</v>
      </c>
      <c r="H33" t="s">
        <v>6510</v>
      </c>
      <c r="I33">
        <v>1</v>
      </c>
      <c r="J33" t="s">
        <v>3467</v>
      </c>
      <c r="K33" t="s">
        <v>5215</v>
      </c>
      <c r="L33" t="s">
        <v>90</v>
      </c>
      <c r="M33" t="s">
        <v>3467</v>
      </c>
      <c r="N33" t="s">
        <v>3467</v>
      </c>
      <c r="O33" t="s">
        <v>5868</v>
      </c>
    </row>
    <row r="34" spans="1:15" ht="15" customHeight="1" x14ac:dyDescent="0.25">
      <c r="A34" t="s">
        <v>5878</v>
      </c>
      <c r="B34" t="s">
        <v>3530</v>
      </c>
      <c r="C34" t="s">
        <v>5405</v>
      </c>
      <c r="D34">
        <v>0</v>
      </c>
      <c r="E34" s="9" t="s">
        <v>6511</v>
      </c>
      <c r="F34" t="s">
        <v>6512</v>
      </c>
      <c r="G34" s="9" t="s">
        <v>6513</v>
      </c>
      <c r="H34" t="s">
        <v>6514</v>
      </c>
      <c r="I34">
        <v>0</v>
      </c>
      <c r="J34" t="s">
        <v>3467</v>
      </c>
      <c r="K34" t="s">
        <v>5881</v>
      </c>
      <c r="L34" t="s">
        <v>90</v>
      </c>
      <c r="M34" t="s">
        <v>3467</v>
      </c>
      <c r="N34" t="s">
        <v>3467</v>
      </c>
      <c r="O34" t="s">
        <v>5882</v>
      </c>
    </row>
    <row r="35" spans="1:15" ht="15" customHeight="1" x14ac:dyDescent="0.25">
      <c r="A35" t="s">
        <v>5885</v>
      </c>
      <c r="B35" t="s">
        <v>3530</v>
      </c>
      <c r="C35" t="s">
        <v>5767</v>
      </c>
      <c r="D35">
        <v>2</v>
      </c>
      <c r="E35" t="s">
        <v>6515</v>
      </c>
      <c r="F35" t="s">
        <v>6516</v>
      </c>
      <c r="G35" t="s">
        <v>5887</v>
      </c>
      <c r="H35" t="s">
        <v>6517</v>
      </c>
      <c r="I35">
        <v>2</v>
      </c>
      <c r="J35" t="s">
        <v>6468</v>
      </c>
      <c r="K35" t="s">
        <v>5885</v>
      </c>
      <c r="L35" t="s">
        <v>90</v>
      </c>
      <c r="M35" t="s">
        <v>5467</v>
      </c>
      <c r="N35" t="s">
        <v>3467</v>
      </c>
      <c r="O35" t="s">
        <v>5780</v>
      </c>
    </row>
    <row r="36" spans="1:15" ht="15" customHeight="1" x14ac:dyDescent="0.25">
      <c r="A36" t="s">
        <v>5888</v>
      </c>
      <c r="B36" t="s">
        <v>3530</v>
      </c>
      <c r="C36" t="s">
        <v>5405</v>
      </c>
      <c r="D36">
        <v>1</v>
      </c>
      <c r="E36" s="9" t="s">
        <v>6518</v>
      </c>
      <c r="F36" t="s">
        <v>6519</v>
      </c>
      <c r="G36" s="9" t="s">
        <v>6520</v>
      </c>
      <c r="H36" t="s">
        <v>6521</v>
      </c>
      <c r="I36">
        <v>1</v>
      </c>
      <c r="J36" t="s">
        <v>3467</v>
      </c>
      <c r="K36" t="s">
        <v>5888</v>
      </c>
      <c r="L36" t="s">
        <v>90</v>
      </c>
      <c r="M36" t="s">
        <v>5541</v>
      </c>
      <c r="N36" t="s">
        <v>3467</v>
      </c>
      <c r="O36" t="s">
        <v>6522</v>
      </c>
    </row>
    <row r="37" spans="1:15" ht="15" customHeight="1" x14ac:dyDescent="0.25">
      <c r="A37" t="s">
        <v>5891</v>
      </c>
      <c r="B37" t="s">
        <v>3530</v>
      </c>
      <c r="C37" t="s">
        <v>5767</v>
      </c>
      <c r="D37">
        <v>2</v>
      </c>
      <c r="E37" s="9" t="s">
        <v>5892</v>
      </c>
      <c r="F37" t="s">
        <v>6523</v>
      </c>
      <c r="G37" s="9" t="s">
        <v>5893</v>
      </c>
      <c r="H37" t="s">
        <v>6524</v>
      </c>
      <c r="I37">
        <v>2</v>
      </c>
      <c r="J37" t="s">
        <v>6445</v>
      </c>
      <c r="K37" t="s">
        <v>5891</v>
      </c>
      <c r="L37" t="s">
        <v>90</v>
      </c>
      <c r="M37" t="s">
        <v>3467</v>
      </c>
      <c r="N37" t="s">
        <v>3467</v>
      </c>
      <c r="O37" t="s">
        <v>5894</v>
      </c>
    </row>
    <row r="38" spans="1:15" ht="15" customHeight="1" x14ac:dyDescent="0.25">
      <c r="A38" t="s">
        <v>5895</v>
      </c>
      <c r="B38" t="s">
        <v>41</v>
      </c>
      <c r="C38" t="s">
        <v>5767</v>
      </c>
      <c r="D38">
        <v>0</v>
      </c>
      <c r="E38" s="9" t="s">
        <v>6525</v>
      </c>
      <c r="F38" t="s">
        <v>6526</v>
      </c>
      <c r="G38" s="9" t="s">
        <v>6527</v>
      </c>
      <c r="H38" t="s">
        <v>6528</v>
      </c>
      <c r="I38">
        <v>0</v>
      </c>
      <c r="J38" t="s">
        <v>6529</v>
      </c>
      <c r="K38" t="s">
        <v>5895</v>
      </c>
      <c r="L38" t="s">
        <v>90</v>
      </c>
      <c r="M38" t="s">
        <v>3467</v>
      </c>
      <c r="N38" t="s">
        <v>3467</v>
      </c>
      <c r="O38" t="s">
        <v>5780</v>
      </c>
    </row>
    <row r="39" spans="1:15" ht="15" customHeight="1" x14ac:dyDescent="0.25">
      <c r="A39" t="s">
        <v>5898</v>
      </c>
      <c r="B39" t="s">
        <v>41</v>
      </c>
      <c r="C39" t="s">
        <v>5767</v>
      </c>
      <c r="D39">
        <v>0</v>
      </c>
      <c r="E39" t="s">
        <v>5899</v>
      </c>
      <c r="F39" t="s">
        <v>6530</v>
      </c>
      <c r="G39" t="s">
        <v>5900</v>
      </c>
      <c r="H39" t="s">
        <v>6531</v>
      </c>
      <c r="I39">
        <v>0</v>
      </c>
      <c r="J39" t="s">
        <v>6529</v>
      </c>
      <c r="K39" t="s">
        <v>5898</v>
      </c>
      <c r="L39" t="s">
        <v>90</v>
      </c>
      <c r="M39" t="s">
        <v>3467</v>
      </c>
      <c r="N39" t="s">
        <v>3467</v>
      </c>
      <c r="O39" t="s">
        <v>5901</v>
      </c>
    </row>
    <row r="40" spans="1:15" ht="15" customHeight="1" x14ac:dyDescent="0.25">
      <c r="A40" t="s">
        <v>5455</v>
      </c>
      <c r="B40" t="s">
        <v>41</v>
      </c>
      <c r="C40" t="s">
        <v>5767</v>
      </c>
      <c r="D40">
        <v>1</v>
      </c>
      <c r="E40" t="s">
        <v>5902</v>
      </c>
      <c r="F40" t="s">
        <v>6532</v>
      </c>
      <c r="G40" t="s">
        <v>5903</v>
      </c>
      <c r="H40" t="s">
        <v>6533</v>
      </c>
      <c r="I40">
        <v>1</v>
      </c>
      <c r="J40" t="s">
        <v>6534</v>
      </c>
      <c r="K40" t="s">
        <v>5455</v>
      </c>
      <c r="L40" t="s">
        <v>90</v>
      </c>
      <c r="M40" t="s">
        <v>3467</v>
      </c>
      <c r="N40" t="s">
        <v>3467</v>
      </c>
      <c r="O40" t="s">
        <v>6535</v>
      </c>
    </row>
    <row r="41" spans="1:15" ht="15" customHeight="1" x14ac:dyDescent="0.25">
      <c r="A41" t="s">
        <v>5905</v>
      </c>
      <c r="B41" t="s">
        <v>41</v>
      </c>
      <c r="C41" t="s">
        <v>5405</v>
      </c>
      <c r="D41">
        <v>1</v>
      </c>
      <c r="E41" t="s">
        <v>5906</v>
      </c>
      <c r="F41" t="s">
        <v>6536</v>
      </c>
      <c r="G41" t="s">
        <v>5907</v>
      </c>
      <c r="H41" t="s">
        <v>6537</v>
      </c>
      <c r="I41">
        <v>1</v>
      </c>
      <c r="J41" t="s">
        <v>3467</v>
      </c>
      <c r="K41" t="s">
        <v>5908</v>
      </c>
      <c r="L41" t="s">
        <v>90</v>
      </c>
      <c r="M41" t="s">
        <v>3467</v>
      </c>
      <c r="N41" t="s">
        <v>3467</v>
      </c>
      <c r="O41" t="s">
        <v>5762</v>
      </c>
    </row>
    <row r="42" spans="1:15" ht="15" customHeight="1" x14ac:dyDescent="0.25">
      <c r="A42" t="s">
        <v>5909</v>
      </c>
      <c r="B42" t="s">
        <v>41</v>
      </c>
      <c r="C42" t="s">
        <v>5767</v>
      </c>
      <c r="D42">
        <v>2</v>
      </c>
      <c r="E42" s="9" t="s">
        <v>6538</v>
      </c>
      <c r="F42" t="s">
        <v>6539</v>
      </c>
      <c r="G42" s="9" t="s">
        <v>6540</v>
      </c>
      <c r="H42" t="s">
        <v>6541</v>
      </c>
      <c r="I42" t="s">
        <v>3467</v>
      </c>
      <c r="J42" t="s">
        <v>6454</v>
      </c>
      <c r="K42" t="s">
        <v>5909</v>
      </c>
      <c r="L42" t="s">
        <v>90</v>
      </c>
      <c r="M42" t="s">
        <v>3467</v>
      </c>
      <c r="N42" t="s">
        <v>3467</v>
      </c>
      <c r="O42" t="s">
        <v>5912</v>
      </c>
    </row>
    <row r="43" spans="1:15" ht="15" customHeight="1" x14ac:dyDescent="0.25">
      <c r="A43" t="s">
        <v>5913</v>
      </c>
      <c r="B43" t="s">
        <v>4342</v>
      </c>
      <c r="C43" t="s">
        <v>4289</v>
      </c>
      <c r="D43" t="s">
        <v>4034</v>
      </c>
      <c r="E43" t="s">
        <v>5914</v>
      </c>
      <c r="F43" t="s">
        <v>4259</v>
      </c>
      <c r="G43" t="s">
        <v>3467</v>
      </c>
      <c r="H43" t="s">
        <v>3467</v>
      </c>
      <c r="I43" t="s">
        <v>3467</v>
      </c>
      <c r="J43" t="s">
        <v>3467</v>
      </c>
      <c r="K43" t="s">
        <v>5913</v>
      </c>
      <c r="L43" t="s">
        <v>90</v>
      </c>
      <c r="M43" t="s">
        <v>6542</v>
      </c>
      <c r="N43" t="s">
        <v>3467</v>
      </c>
      <c r="O43" t="s">
        <v>5915</v>
      </c>
    </row>
    <row r="44" spans="1:15" ht="15" customHeight="1" x14ac:dyDescent="0.25">
      <c r="A44" t="s">
        <v>5923</v>
      </c>
      <c r="B44" t="s">
        <v>3530</v>
      </c>
      <c r="C44" t="s">
        <v>5405</v>
      </c>
      <c r="D44">
        <v>0</v>
      </c>
      <c r="E44" s="9" t="s">
        <v>6543</v>
      </c>
      <c r="F44" t="s">
        <v>6544</v>
      </c>
      <c r="G44" s="9" t="s">
        <v>6545</v>
      </c>
      <c r="H44" t="s">
        <v>6546</v>
      </c>
      <c r="I44" t="s">
        <v>3467</v>
      </c>
      <c r="J44" t="s">
        <v>3467</v>
      </c>
      <c r="K44" t="s">
        <v>5923</v>
      </c>
      <c r="L44" t="s">
        <v>90</v>
      </c>
      <c r="M44" t="s">
        <v>3467</v>
      </c>
      <c r="N44" t="s">
        <v>3467</v>
      </c>
      <c r="O44" t="s">
        <v>6547</v>
      </c>
    </row>
    <row r="45" spans="1:15" ht="15" customHeight="1" x14ac:dyDescent="0.25">
      <c r="A45" t="s">
        <v>5224</v>
      </c>
      <c r="B45" t="s">
        <v>3518</v>
      </c>
      <c r="C45" t="s">
        <v>5405</v>
      </c>
      <c r="D45">
        <v>2</v>
      </c>
      <c r="E45" s="9" t="s">
        <v>5927</v>
      </c>
      <c r="F45" t="s">
        <v>6548</v>
      </c>
      <c r="G45" s="9" t="s">
        <v>5928</v>
      </c>
      <c r="H45" t="s">
        <v>6549</v>
      </c>
      <c r="I45">
        <v>2</v>
      </c>
      <c r="J45" t="s">
        <v>6550</v>
      </c>
      <c r="K45" t="s">
        <v>5226</v>
      </c>
      <c r="L45" t="s">
        <v>90</v>
      </c>
      <c r="M45" t="s">
        <v>3467</v>
      </c>
      <c r="N45" t="s">
        <v>3467</v>
      </c>
      <c r="O45" t="s">
        <v>6551</v>
      </c>
    </row>
    <row r="46" spans="1:15" ht="15" customHeight="1" x14ac:dyDescent="0.25">
      <c r="A46" t="s">
        <v>5932</v>
      </c>
      <c r="B46" t="s">
        <v>3530</v>
      </c>
      <c r="C46" t="s">
        <v>5405</v>
      </c>
      <c r="D46">
        <v>0</v>
      </c>
      <c r="E46" s="9" t="s">
        <v>6552</v>
      </c>
      <c r="F46" t="s">
        <v>6553</v>
      </c>
      <c r="G46" s="9" t="s">
        <v>6554</v>
      </c>
      <c r="H46" t="s">
        <v>6555</v>
      </c>
      <c r="I46" t="s">
        <v>3467</v>
      </c>
      <c r="J46" t="s">
        <v>6556</v>
      </c>
      <c r="K46" t="s">
        <v>5935</v>
      </c>
      <c r="L46" t="s">
        <v>90</v>
      </c>
      <c r="M46" t="s">
        <v>5541</v>
      </c>
      <c r="N46" t="s">
        <v>3467</v>
      </c>
      <c r="O46" t="s">
        <v>6557</v>
      </c>
    </row>
    <row r="47" spans="1:15" ht="15" customHeight="1" x14ac:dyDescent="0.25">
      <c r="A47" t="s">
        <v>5937</v>
      </c>
      <c r="B47" t="s">
        <v>41</v>
      </c>
      <c r="C47" t="s">
        <v>5767</v>
      </c>
      <c r="D47">
        <v>1</v>
      </c>
      <c r="E47" t="s">
        <v>5938</v>
      </c>
      <c r="F47" t="s">
        <v>6558</v>
      </c>
      <c r="G47" t="s">
        <v>5939</v>
      </c>
      <c r="H47" t="s">
        <v>6559</v>
      </c>
      <c r="I47">
        <v>1</v>
      </c>
      <c r="J47" t="s">
        <v>6560</v>
      </c>
      <c r="K47" t="s">
        <v>5940</v>
      </c>
      <c r="L47" t="s">
        <v>90</v>
      </c>
      <c r="M47" t="s">
        <v>3467</v>
      </c>
      <c r="N47" t="s">
        <v>3467</v>
      </c>
      <c r="O47" t="s">
        <v>5941</v>
      </c>
    </row>
    <row r="48" spans="1:15" ht="15" customHeight="1" x14ac:dyDescent="0.25">
      <c r="A48" t="s">
        <v>5942</v>
      </c>
      <c r="B48" t="s">
        <v>41</v>
      </c>
      <c r="C48" t="s">
        <v>5767</v>
      </c>
      <c r="D48">
        <v>1</v>
      </c>
      <c r="E48" t="s">
        <v>5943</v>
      </c>
      <c r="F48" t="s">
        <v>6561</v>
      </c>
      <c r="G48" t="s">
        <v>5944</v>
      </c>
      <c r="H48" t="s">
        <v>6562</v>
      </c>
      <c r="I48">
        <v>1</v>
      </c>
      <c r="J48" t="s">
        <v>6462</v>
      </c>
      <c r="K48" t="s">
        <v>5945</v>
      </c>
      <c r="L48" t="s">
        <v>90</v>
      </c>
      <c r="M48" t="s">
        <v>3467</v>
      </c>
      <c r="N48" t="s">
        <v>3467</v>
      </c>
      <c r="O48" t="s">
        <v>5946</v>
      </c>
    </row>
    <row r="49" spans="1:15" ht="15" customHeight="1" x14ac:dyDescent="0.25">
      <c r="A49" t="s">
        <v>3452</v>
      </c>
      <c r="B49" t="s">
        <v>3530</v>
      </c>
      <c r="C49" t="s">
        <v>5767</v>
      </c>
      <c r="D49">
        <v>2</v>
      </c>
      <c r="E49" s="9" t="s">
        <v>5950</v>
      </c>
      <c r="F49" t="s">
        <v>6563</v>
      </c>
      <c r="G49" s="9" t="s">
        <v>5951</v>
      </c>
      <c r="H49" t="s">
        <v>6564</v>
      </c>
      <c r="I49">
        <v>2</v>
      </c>
      <c r="J49" t="s">
        <v>6437</v>
      </c>
      <c r="K49" t="s">
        <v>3452</v>
      </c>
      <c r="L49" t="s">
        <v>90</v>
      </c>
      <c r="M49" t="s">
        <v>3467</v>
      </c>
      <c r="N49" t="s">
        <v>3467</v>
      </c>
      <c r="O49" t="s">
        <v>5952</v>
      </c>
    </row>
    <row r="50" spans="1:15" ht="15" customHeight="1" x14ac:dyDescent="0.25">
      <c r="A50" t="s">
        <v>5953</v>
      </c>
      <c r="B50" t="s">
        <v>4342</v>
      </c>
      <c r="C50" t="s">
        <v>3674</v>
      </c>
      <c r="D50" t="s">
        <v>4034</v>
      </c>
      <c r="E50" s="9" t="s">
        <v>6565</v>
      </c>
      <c r="F50" t="s">
        <v>4259</v>
      </c>
      <c r="G50" s="9" t="s">
        <v>3467</v>
      </c>
      <c r="H50" t="s">
        <v>3467</v>
      </c>
      <c r="I50" t="s">
        <v>3467</v>
      </c>
      <c r="J50" t="s">
        <v>3467</v>
      </c>
      <c r="K50" t="s">
        <v>5953</v>
      </c>
      <c r="L50" t="s">
        <v>90</v>
      </c>
      <c r="M50" t="s">
        <v>5467</v>
      </c>
      <c r="N50" t="s">
        <v>3467</v>
      </c>
      <c r="O50" t="s">
        <v>6504</v>
      </c>
    </row>
    <row r="51" spans="1:15" ht="15" customHeight="1" x14ac:dyDescent="0.25">
      <c r="A51" t="s">
        <v>5955</v>
      </c>
      <c r="B51" t="s">
        <v>41</v>
      </c>
      <c r="C51" t="s">
        <v>5405</v>
      </c>
      <c r="D51">
        <v>1</v>
      </c>
      <c r="E51" s="9" t="s">
        <v>5956</v>
      </c>
      <c r="F51" t="s">
        <v>6566</v>
      </c>
      <c r="G51" s="9" t="s">
        <v>5957</v>
      </c>
      <c r="H51" t="s">
        <v>6567</v>
      </c>
      <c r="I51">
        <v>1</v>
      </c>
      <c r="J51" t="s">
        <v>3467</v>
      </c>
      <c r="K51" t="s">
        <v>5958</v>
      </c>
      <c r="L51" t="s">
        <v>90</v>
      </c>
      <c r="M51" t="s">
        <v>3467</v>
      </c>
      <c r="N51" t="s">
        <v>3467</v>
      </c>
      <c r="O51" t="s">
        <v>6501</v>
      </c>
    </row>
    <row r="52" spans="1:15" ht="15" customHeight="1" x14ac:dyDescent="0.25">
      <c r="A52" t="s">
        <v>4303</v>
      </c>
      <c r="B52" t="s">
        <v>4342</v>
      </c>
      <c r="C52" t="s">
        <v>4289</v>
      </c>
      <c r="D52" t="s">
        <v>4034</v>
      </c>
      <c r="E52" t="s">
        <v>5959</v>
      </c>
      <c r="F52" t="s">
        <v>6503</v>
      </c>
      <c r="G52" t="s">
        <v>3467</v>
      </c>
      <c r="H52" t="s">
        <v>3467</v>
      </c>
      <c r="I52" t="s">
        <v>3467</v>
      </c>
      <c r="J52" t="s">
        <v>3467</v>
      </c>
      <c r="K52" t="s">
        <v>4303</v>
      </c>
      <c r="L52" t="s">
        <v>90</v>
      </c>
      <c r="M52" t="s">
        <v>5508</v>
      </c>
      <c r="N52" t="s">
        <v>3467</v>
      </c>
      <c r="O52" t="s">
        <v>5915</v>
      </c>
    </row>
    <row r="53" spans="1:15" ht="15" customHeight="1" x14ac:dyDescent="0.25">
      <c r="A53" t="s">
        <v>6568</v>
      </c>
      <c r="B53" t="s">
        <v>3563</v>
      </c>
      <c r="C53" t="s">
        <v>5405</v>
      </c>
      <c r="D53">
        <v>1</v>
      </c>
      <c r="E53" t="s">
        <v>5961</v>
      </c>
      <c r="F53" t="s">
        <v>6569</v>
      </c>
      <c r="G53" t="s">
        <v>5962</v>
      </c>
      <c r="H53" t="s">
        <v>6570</v>
      </c>
      <c r="I53">
        <v>1</v>
      </c>
      <c r="J53" t="s">
        <v>3467</v>
      </c>
      <c r="K53" t="s">
        <v>6571</v>
      </c>
      <c r="L53" t="s">
        <v>90</v>
      </c>
      <c r="M53" t="s">
        <v>3467</v>
      </c>
      <c r="N53" t="s">
        <v>3467</v>
      </c>
      <c r="O53" t="s">
        <v>6572</v>
      </c>
    </row>
    <row r="54" spans="1:15" ht="15" customHeight="1" x14ac:dyDescent="0.25">
      <c r="A54" t="s">
        <v>6573</v>
      </c>
      <c r="B54" t="s">
        <v>3563</v>
      </c>
      <c r="C54" t="s">
        <v>5405</v>
      </c>
      <c r="D54">
        <v>1</v>
      </c>
      <c r="E54" t="s">
        <v>5961</v>
      </c>
      <c r="F54" t="s">
        <v>6569</v>
      </c>
      <c r="G54" t="s">
        <v>5962</v>
      </c>
      <c r="H54" t="s">
        <v>6570</v>
      </c>
      <c r="I54">
        <v>1</v>
      </c>
      <c r="J54" t="s">
        <v>3467</v>
      </c>
      <c r="K54" t="s">
        <v>6574</v>
      </c>
      <c r="L54" t="s">
        <v>90</v>
      </c>
      <c r="M54" t="s">
        <v>3467</v>
      </c>
      <c r="N54" t="s">
        <v>3467</v>
      </c>
      <c r="O54" t="s">
        <v>6572</v>
      </c>
    </row>
    <row r="55" spans="1:15" ht="15" customHeight="1" x14ac:dyDescent="0.25">
      <c r="A55" t="s">
        <v>5965</v>
      </c>
      <c r="B55" t="s">
        <v>41</v>
      </c>
      <c r="C55" t="s">
        <v>5405</v>
      </c>
      <c r="D55">
        <v>0</v>
      </c>
      <c r="E55" s="9" t="s">
        <v>5966</v>
      </c>
      <c r="F55" t="s">
        <v>6575</v>
      </c>
      <c r="G55" s="9" t="s">
        <v>6576</v>
      </c>
      <c r="H55" t="s">
        <v>6577</v>
      </c>
      <c r="I55">
        <v>0</v>
      </c>
      <c r="J55" t="s">
        <v>3467</v>
      </c>
      <c r="K55" t="s">
        <v>5965</v>
      </c>
      <c r="L55" t="s">
        <v>90</v>
      </c>
      <c r="M55" t="s">
        <v>3467</v>
      </c>
      <c r="N55" t="s">
        <v>3467</v>
      </c>
      <c r="O55" t="s">
        <v>5762</v>
      </c>
    </row>
    <row r="56" spans="1:15" ht="15" customHeight="1" x14ac:dyDescent="0.25">
      <c r="A56" t="s">
        <v>4627</v>
      </c>
      <c r="B56" t="s">
        <v>3530</v>
      </c>
      <c r="C56" t="s">
        <v>5767</v>
      </c>
      <c r="D56">
        <v>1</v>
      </c>
      <c r="E56" t="s">
        <v>6578</v>
      </c>
      <c r="F56" t="s">
        <v>6579</v>
      </c>
      <c r="G56" t="s">
        <v>6578</v>
      </c>
      <c r="H56" t="s">
        <v>6579</v>
      </c>
      <c r="I56">
        <v>1</v>
      </c>
      <c r="J56" t="s">
        <v>6437</v>
      </c>
      <c r="K56" t="s">
        <v>4627</v>
      </c>
      <c r="L56" t="s">
        <v>1622</v>
      </c>
      <c r="M56" t="s">
        <v>5470</v>
      </c>
      <c r="N56" t="s">
        <v>3467</v>
      </c>
      <c r="O56" t="s">
        <v>5800</v>
      </c>
    </row>
    <row r="57" spans="1:15" ht="15" customHeight="1" x14ac:dyDescent="0.25">
      <c r="A57" t="s">
        <v>5974</v>
      </c>
      <c r="B57" t="s">
        <v>3518</v>
      </c>
      <c r="C57" t="s">
        <v>5767</v>
      </c>
      <c r="D57">
        <v>1</v>
      </c>
      <c r="E57" t="s">
        <v>5975</v>
      </c>
      <c r="F57" t="s">
        <v>6580</v>
      </c>
      <c r="G57" t="s">
        <v>5976</v>
      </c>
      <c r="H57" t="s">
        <v>6581</v>
      </c>
      <c r="I57">
        <v>1</v>
      </c>
      <c r="J57" t="s">
        <v>6582</v>
      </c>
      <c r="K57" t="s">
        <v>5977</v>
      </c>
      <c r="L57" t="s">
        <v>90</v>
      </c>
      <c r="M57" t="s">
        <v>5541</v>
      </c>
      <c r="N57" t="s">
        <v>3467</v>
      </c>
      <c r="O57" t="s">
        <v>5978</v>
      </c>
    </row>
    <row r="58" spans="1:15" ht="15" customHeight="1" x14ac:dyDescent="0.25">
      <c r="A58" t="s">
        <v>5979</v>
      </c>
      <c r="B58" t="s">
        <v>3530</v>
      </c>
      <c r="C58" t="s">
        <v>5405</v>
      </c>
      <c r="D58">
        <v>1</v>
      </c>
      <c r="E58" s="9" t="s">
        <v>5980</v>
      </c>
      <c r="F58" t="s">
        <v>6583</v>
      </c>
      <c r="G58" s="9" t="s">
        <v>5981</v>
      </c>
      <c r="H58" t="s">
        <v>6584</v>
      </c>
      <c r="I58">
        <v>1</v>
      </c>
      <c r="J58" t="s">
        <v>3467</v>
      </c>
      <c r="K58" t="s">
        <v>5979</v>
      </c>
      <c r="L58" t="s">
        <v>90</v>
      </c>
      <c r="M58" t="s">
        <v>5541</v>
      </c>
      <c r="N58" t="s">
        <v>3467</v>
      </c>
      <c r="O58" t="s">
        <v>5982</v>
      </c>
    </row>
    <row r="59" spans="1:15" ht="15" customHeight="1" x14ac:dyDescent="0.25">
      <c r="A59" t="s">
        <v>5983</v>
      </c>
      <c r="B59" t="s">
        <v>3530</v>
      </c>
      <c r="C59" t="s">
        <v>5405</v>
      </c>
      <c r="D59">
        <v>1</v>
      </c>
      <c r="E59" s="9" t="s">
        <v>5984</v>
      </c>
      <c r="F59" t="s">
        <v>6585</v>
      </c>
      <c r="G59" s="9" t="s">
        <v>5984</v>
      </c>
      <c r="H59" t="s">
        <v>6585</v>
      </c>
      <c r="I59">
        <v>0</v>
      </c>
      <c r="J59" t="s">
        <v>3467</v>
      </c>
      <c r="K59" t="s">
        <v>5983</v>
      </c>
      <c r="L59" t="s">
        <v>90</v>
      </c>
      <c r="M59" t="s">
        <v>5541</v>
      </c>
      <c r="N59" t="s">
        <v>3467</v>
      </c>
      <c r="O59" t="s">
        <v>5985</v>
      </c>
    </row>
    <row r="60" spans="1:15" ht="15" customHeight="1" x14ac:dyDescent="0.25">
      <c r="A60" t="s">
        <v>5986</v>
      </c>
      <c r="B60" t="s">
        <v>41</v>
      </c>
      <c r="C60" t="s">
        <v>5405</v>
      </c>
      <c r="D60">
        <v>1</v>
      </c>
      <c r="E60" s="9" t="s">
        <v>6586</v>
      </c>
      <c r="F60" t="s">
        <v>6587</v>
      </c>
      <c r="G60" s="9" t="s">
        <v>6588</v>
      </c>
      <c r="H60" t="s">
        <v>6589</v>
      </c>
      <c r="I60">
        <v>1</v>
      </c>
      <c r="J60" t="s">
        <v>3467</v>
      </c>
      <c r="K60" t="s">
        <v>5989</v>
      </c>
      <c r="L60" t="s">
        <v>90</v>
      </c>
      <c r="M60" t="s">
        <v>3467</v>
      </c>
      <c r="N60" t="s">
        <v>3467</v>
      </c>
      <c r="O60" t="s">
        <v>5762</v>
      </c>
    </row>
    <row r="61" spans="1:15" ht="15" customHeight="1" x14ac:dyDescent="0.25">
      <c r="A61" t="s">
        <v>5990</v>
      </c>
      <c r="B61" t="s">
        <v>3518</v>
      </c>
      <c r="C61" t="s">
        <v>5405</v>
      </c>
      <c r="D61" t="s">
        <v>5991</v>
      </c>
      <c r="E61" s="9" t="s">
        <v>6590</v>
      </c>
      <c r="F61" t="s">
        <v>6591</v>
      </c>
      <c r="G61" s="9" t="s">
        <v>6592</v>
      </c>
      <c r="H61" t="s">
        <v>6593</v>
      </c>
      <c r="I61" t="s">
        <v>3467</v>
      </c>
      <c r="J61" t="s">
        <v>3467</v>
      </c>
      <c r="K61" t="s">
        <v>5990</v>
      </c>
      <c r="L61" t="s">
        <v>90</v>
      </c>
      <c r="M61" t="s">
        <v>5541</v>
      </c>
      <c r="N61" t="s">
        <v>3467</v>
      </c>
      <c r="O61" t="s">
        <v>5994</v>
      </c>
    </row>
    <row r="62" spans="1:15" ht="15" customHeight="1" x14ac:dyDescent="0.25">
      <c r="A62" t="s">
        <v>5409</v>
      </c>
      <c r="B62" t="s">
        <v>3518</v>
      </c>
      <c r="C62" t="s">
        <v>5405</v>
      </c>
      <c r="D62">
        <v>1</v>
      </c>
      <c r="E62" s="9" t="s">
        <v>5995</v>
      </c>
      <c r="F62" t="s">
        <v>6594</v>
      </c>
      <c r="G62" s="9" t="s">
        <v>5996</v>
      </c>
      <c r="H62" t="s">
        <v>6595</v>
      </c>
      <c r="I62">
        <v>1</v>
      </c>
      <c r="J62" t="s">
        <v>3467</v>
      </c>
      <c r="K62" t="s">
        <v>5411</v>
      </c>
      <c r="L62" t="s">
        <v>90</v>
      </c>
      <c r="M62" t="s">
        <v>3467</v>
      </c>
      <c r="N62" t="s">
        <v>3467</v>
      </c>
      <c r="O62" t="s">
        <v>5780</v>
      </c>
    </row>
    <row r="63" spans="1:15" ht="15" customHeight="1" x14ac:dyDescent="0.25">
      <c r="A63" t="s">
        <v>5998</v>
      </c>
      <c r="B63" t="s">
        <v>4342</v>
      </c>
      <c r="C63" t="s">
        <v>4289</v>
      </c>
      <c r="D63" t="s">
        <v>4034</v>
      </c>
      <c r="E63" t="s">
        <v>5999</v>
      </c>
      <c r="F63" t="s">
        <v>6596</v>
      </c>
      <c r="G63" t="s">
        <v>3467</v>
      </c>
      <c r="H63" t="s">
        <v>3467</v>
      </c>
      <c r="I63" t="s">
        <v>3467</v>
      </c>
      <c r="J63" t="s">
        <v>3467</v>
      </c>
      <c r="K63" t="s">
        <v>5998</v>
      </c>
      <c r="L63" t="s">
        <v>90</v>
      </c>
      <c r="M63" t="s">
        <v>5508</v>
      </c>
      <c r="N63" t="s">
        <v>3467</v>
      </c>
      <c r="O63" t="s">
        <v>5915</v>
      </c>
    </row>
    <row r="64" spans="1:15" ht="15" customHeight="1" x14ac:dyDescent="0.25">
      <c r="A64" t="s">
        <v>6000</v>
      </c>
      <c r="B64" t="s">
        <v>3530</v>
      </c>
      <c r="C64" t="s">
        <v>5767</v>
      </c>
      <c r="D64">
        <v>1</v>
      </c>
      <c r="E64" s="9" t="s">
        <v>6597</v>
      </c>
      <c r="F64" t="s">
        <v>6598</v>
      </c>
      <c r="G64" s="9" t="s">
        <v>6599</v>
      </c>
      <c r="H64" t="s">
        <v>6600</v>
      </c>
      <c r="I64">
        <v>1</v>
      </c>
      <c r="J64" t="s">
        <v>6437</v>
      </c>
      <c r="K64" t="s">
        <v>6000</v>
      </c>
      <c r="L64" t="s">
        <v>90</v>
      </c>
      <c r="M64" t="s">
        <v>3467</v>
      </c>
      <c r="N64" t="s">
        <v>3467</v>
      </c>
      <c r="O64" t="s">
        <v>6003</v>
      </c>
    </row>
    <row r="65" spans="1:15" ht="15" customHeight="1" x14ac:dyDescent="0.25">
      <c r="A65" t="s">
        <v>6008</v>
      </c>
      <c r="B65" t="s">
        <v>3530</v>
      </c>
      <c r="C65" t="s">
        <v>5405</v>
      </c>
      <c r="D65">
        <v>1</v>
      </c>
      <c r="E65" s="9" t="s">
        <v>6009</v>
      </c>
      <c r="F65" t="s">
        <v>6601</v>
      </c>
      <c r="G65" s="9" t="s">
        <v>6010</v>
      </c>
      <c r="H65" t="s">
        <v>6602</v>
      </c>
      <c r="I65">
        <v>1</v>
      </c>
      <c r="J65" t="s">
        <v>3467</v>
      </c>
      <c r="K65" t="s">
        <v>6011</v>
      </c>
      <c r="L65" t="s">
        <v>90</v>
      </c>
      <c r="M65" t="s">
        <v>3467</v>
      </c>
      <c r="N65" t="s">
        <v>3467</v>
      </c>
      <c r="O65" t="s">
        <v>5808</v>
      </c>
    </row>
    <row r="66" spans="1:15" ht="15" customHeight="1" x14ac:dyDescent="0.25">
      <c r="A66" t="s">
        <v>6012</v>
      </c>
      <c r="B66" t="s">
        <v>3530</v>
      </c>
      <c r="C66" t="s">
        <v>5767</v>
      </c>
      <c r="D66">
        <v>0</v>
      </c>
      <c r="E66" s="9" t="s">
        <v>6603</v>
      </c>
      <c r="F66" t="s">
        <v>6604</v>
      </c>
      <c r="G66" s="9" t="s">
        <v>6605</v>
      </c>
      <c r="H66" t="s">
        <v>6606</v>
      </c>
      <c r="I66">
        <v>0</v>
      </c>
      <c r="J66" t="s">
        <v>6495</v>
      </c>
      <c r="K66" t="s">
        <v>6015</v>
      </c>
      <c r="L66" t="s">
        <v>90</v>
      </c>
      <c r="M66" t="s">
        <v>5541</v>
      </c>
      <c r="N66" t="s">
        <v>3467</v>
      </c>
      <c r="O66" t="s">
        <v>5822</v>
      </c>
    </row>
    <row r="67" spans="1:15" x14ac:dyDescent="0.25">
      <c r="A67" t="s">
        <v>6016</v>
      </c>
      <c r="B67" t="s">
        <v>3530</v>
      </c>
      <c r="C67" t="s">
        <v>5405</v>
      </c>
      <c r="D67">
        <v>2</v>
      </c>
      <c r="E67" s="9" t="s">
        <v>6017</v>
      </c>
      <c r="F67" t="s">
        <v>6607</v>
      </c>
      <c r="G67" s="9" t="s">
        <v>6017</v>
      </c>
      <c r="H67" t="s">
        <v>6607</v>
      </c>
      <c r="I67">
        <v>1</v>
      </c>
      <c r="J67" t="s">
        <v>3467</v>
      </c>
      <c r="K67" t="s">
        <v>6016</v>
      </c>
      <c r="L67" t="s">
        <v>90</v>
      </c>
      <c r="M67" t="s">
        <v>3467</v>
      </c>
      <c r="N67" t="s">
        <v>3467</v>
      </c>
      <c r="O67" t="s">
        <v>5784</v>
      </c>
    </row>
    <row r="68" spans="1:15" x14ac:dyDescent="0.25">
      <c r="A68" t="s">
        <v>5241</v>
      </c>
      <c r="B68" t="s">
        <v>3518</v>
      </c>
      <c r="C68" t="s">
        <v>4642</v>
      </c>
      <c r="D68">
        <v>2</v>
      </c>
      <c r="E68" s="9" t="s">
        <v>6608</v>
      </c>
      <c r="F68" t="s">
        <v>6609</v>
      </c>
      <c r="G68" s="9" t="s">
        <v>6608</v>
      </c>
      <c r="H68" t="s">
        <v>6609</v>
      </c>
      <c r="I68">
        <v>1</v>
      </c>
      <c r="J68" t="s">
        <v>3467</v>
      </c>
      <c r="K68" t="s">
        <v>5241</v>
      </c>
      <c r="L68" t="s">
        <v>90</v>
      </c>
      <c r="M68" t="s">
        <v>3467</v>
      </c>
      <c r="N68" t="s">
        <v>3467</v>
      </c>
      <c r="O68" t="s">
        <v>6610</v>
      </c>
    </row>
    <row r="69" spans="1:15" x14ac:dyDescent="0.25">
      <c r="A69" t="s">
        <v>6019</v>
      </c>
      <c r="B69" t="s">
        <v>3530</v>
      </c>
      <c r="C69" t="s">
        <v>5405</v>
      </c>
      <c r="D69">
        <v>0</v>
      </c>
      <c r="E69" s="9" t="s">
        <v>6020</v>
      </c>
      <c r="F69" t="s">
        <v>6611</v>
      </c>
      <c r="G69" s="9" t="s">
        <v>6021</v>
      </c>
      <c r="H69" t="s">
        <v>6612</v>
      </c>
      <c r="I69">
        <v>0</v>
      </c>
      <c r="J69" t="s">
        <v>3467</v>
      </c>
      <c r="K69" t="s">
        <v>6022</v>
      </c>
      <c r="L69" t="s">
        <v>90</v>
      </c>
      <c r="M69" t="s">
        <v>3467</v>
      </c>
      <c r="N69" t="s">
        <v>3467</v>
      </c>
      <c r="O69" t="s">
        <v>6023</v>
      </c>
    </row>
    <row r="70" spans="1:15" x14ac:dyDescent="0.25">
      <c r="A70" t="s">
        <v>6024</v>
      </c>
      <c r="B70" t="s">
        <v>3530</v>
      </c>
      <c r="C70" t="s">
        <v>5767</v>
      </c>
      <c r="D70">
        <v>3</v>
      </c>
      <c r="E70" s="9" t="s">
        <v>6613</v>
      </c>
      <c r="F70" t="s">
        <v>6614</v>
      </c>
      <c r="G70" s="9" t="s">
        <v>6615</v>
      </c>
      <c r="H70" t="s">
        <v>6616</v>
      </c>
      <c r="I70">
        <v>3</v>
      </c>
      <c r="J70" t="s">
        <v>6445</v>
      </c>
      <c r="K70" t="s">
        <v>6024</v>
      </c>
      <c r="L70" t="s">
        <v>90</v>
      </c>
      <c r="M70" t="s">
        <v>3467</v>
      </c>
      <c r="N70" t="s">
        <v>3467</v>
      </c>
      <c r="O70" t="s">
        <v>6027</v>
      </c>
    </row>
    <row r="71" spans="1:15" x14ac:dyDescent="0.25">
      <c r="A71" t="s">
        <v>5243</v>
      </c>
      <c r="B71" t="s">
        <v>3530</v>
      </c>
      <c r="C71" t="s">
        <v>4642</v>
      </c>
      <c r="D71">
        <v>1</v>
      </c>
      <c r="E71" s="9" t="s">
        <v>6617</v>
      </c>
      <c r="F71" t="s">
        <v>6618</v>
      </c>
      <c r="G71" s="9" t="s">
        <v>6619</v>
      </c>
      <c r="H71" t="s">
        <v>6620</v>
      </c>
      <c r="I71">
        <v>1</v>
      </c>
      <c r="J71" t="s">
        <v>3467</v>
      </c>
      <c r="K71" t="s">
        <v>5243</v>
      </c>
      <c r="L71" t="s">
        <v>90</v>
      </c>
      <c r="M71" t="s">
        <v>3467</v>
      </c>
      <c r="N71" t="s">
        <v>3467</v>
      </c>
      <c r="O71" t="s">
        <v>6030</v>
      </c>
    </row>
    <row r="72" spans="1:15" x14ac:dyDescent="0.25">
      <c r="A72" t="s">
        <v>6031</v>
      </c>
      <c r="B72" t="s">
        <v>3518</v>
      </c>
      <c r="C72" t="s">
        <v>5405</v>
      </c>
      <c r="D72">
        <v>1</v>
      </c>
      <c r="E72" s="9" t="s">
        <v>6032</v>
      </c>
      <c r="F72" t="s">
        <v>6621</v>
      </c>
      <c r="G72" s="9" t="s">
        <v>6032</v>
      </c>
      <c r="H72" t="s">
        <v>6621</v>
      </c>
      <c r="I72">
        <v>0</v>
      </c>
      <c r="J72" t="s">
        <v>3467</v>
      </c>
      <c r="K72" t="s">
        <v>6031</v>
      </c>
      <c r="L72" t="s">
        <v>90</v>
      </c>
      <c r="M72" t="s">
        <v>5541</v>
      </c>
      <c r="N72" t="s">
        <v>3467</v>
      </c>
      <c r="O72" t="s">
        <v>6033</v>
      </c>
    </row>
    <row r="73" spans="1:15" x14ac:dyDescent="0.25">
      <c r="A73" t="s">
        <v>6034</v>
      </c>
      <c r="B73" t="s">
        <v>3530</v>
      </c>
      <c r="C73" t="s">
        <v>5405</v>
      </c>
      <c r="D73">
        <v>1</v>
      </c>
      <c r="E73" s="9" t="s">
        <v>6622</v>
      </c>
      <c r="F73" t="s">
        <v>6623</v>
      </c>
      <c r="G73" s="9" t="s">
        <v>6624</v>
      </c>
      <c r="H73" t="s">
        <v>6625</v>
      </c>
      <c r="I73">
        <v>1</v>
      </c>
      <c r="J73" t="s">
        <v>3467</v>
      </c>
      <c r="K73" t="s">
        <v>6034</v>
      </c>
      <c r="L73" t="s">
        <v>90</v>
      </c>
      <c r="M73" t="s">
        <v>3467</v>
      </c>
      <c r="N73" t="s">
        <v>3467</v>
      </c>
      <c r="O73" t="s">
        <v>6037</v>
      </c>
    </row>
    <row r="74" spans="1:15" x14ac:dyDescent="0.25">
      <c r="A74" t="s">
        <v>6038</v>
      </c>
      <c r="B74" t="s">
        <v>3518</v>
      </c>
      <c r="C74" t="s">
        <v>5767</v>
      </c>
      <c r="D74">
        <v>1</v>
      </c>
      <c r="E74" s="9" t="s">
        <v>6626</v>
      </c>
      <c r="F74" t="s">
        <v>6627</v>
      </c>
      <c r="G74" s="9" t="s">
        <v>6628</v>
      </c>
      <c r="H74" t="s">
        <v>6629</v>
      </c>
      <c r="I74" t="s">
        <v>3467</v>
      </c>
      <c r="J74" t="s">
        <v>6445</v>
      </c>
      <c r="K74" t="s">
        <v>6038</v>
      </c>
      <c r="L74" t="s">
        <v>90</v>
      </c>
      <c r="M74" t="s">
        <v>5541</v>
      </c>
      <c r="N74" t="s">
        <v>3467</v>
      </c>
      <c r="O74" t="s">
        <v>6041</v>
      </c>
    </row>
    <row r="75" spans="1:15" x14ac:dyDescent="0.25">
      <c r="A75" t="s">
        <v>5251</v>
      </c>
      <c r="B75" t="s">
        <v>3530</v>
      </c>
      <c r="C75" t="s">
        <v>4642</v>
      </c>
      <c r="D75">
        <v>1</v>
      </c>
      <c r="E75" s="9" t="s">
        <v>6630</v>
      </c>
      <c r="F75" t="s">
        <v>6631</v>
      </c>
      <c r="G75" s="9" t="s">
        <v>6632</v>
      </c>
      <c r="H75" t="s">
        <v>6633</v>
      </c>
      <c r="I75">
        <v>1</v>
      </c>
      <c r="J75" t="s">
        <v>3467</v>
      </c>
      <c r="K75" t="s">
        <v>5253</v>
      </c>
      <c r="L75" t="s">
        <v>90</v>
      </c>
      <c r="M75" t="s">
        <v>3467</v>
      </c>
      <c r="N75" t="s">
        <v>3467</v>
      </c>
      <c r="O75" t="s">
        <v>6044</v>
      </c>
    </row>
    <row r="76" spans="1:15" x14ac:dyDescent="0.25">
      <c r="A76" t="s">
        <v>6045</v>
      </c>
      <c r="B76" t="s">
        <v>3518</v>
      </c>
      <c r="C76" t="s">
        <v>5767</v>
      </c>
      <c r="D76">
        <v>2</v>
      </c>
      <c r="E76" s="9" t="s">
        <v>6634</v>
      </c>
      <c r="F76" t="s">
        <v>6635</v>
      </c>
      <c r="G76" s="9" t="s">
        <v>6636</v>
      </c>
      <c r="H76" t="s">
        <v>6637</v>
      </c>
      <c r="I76">
        <v>2</v>
      </c>
      <c r="J76" t="s">
        <v>6462</v>
      </c>
      <c r="K76" t="s">
        <v>6048</v>
      </c>
      <c r="L76" t="s">
        <v>90</v>
      </c>
      <c r="M76" t="s">
        <v>5541</v>
      </c>
      <c r="N76" t="s">
        <v>4305</v>
      </c>
      <c r="O76" t="s">
        <v>6049</v>
      </c>
    </row>
    <row r="77" spans="1:15" x14ac:dyDescent="0.25">
      <c r="A77" t="s">
        <v>6052</v>
      </c>
      <c r="B77" t="s">
        <v>3530</v>
      </c>
      <c r="C77" t="s">
        <v>5767</v>
      </c>
      <c r="D77">
        <v>1</v>
      </c>
      <c r="E77" s="9" t="s">
        <v>6638</v>
      </c>
      <c r="F77" t="s">
        <v>6639</v>
      </c>
      <c r="G77" s="9" t="s">
        <v>6640</v>
      </c>
      <c r="H77" t="s">
        <v>6641</v>
      </c>
      <c r="I77" t="s">
        <v>3467</v>
      </c>
      <c r="J77" t="s">
        <v>6437</v>
      </c>
      <c r="K77" t="s">
        <v>6052</v>
      </c>
      <c r="L77" t="s">
        <v>90</v>
      </c>
      <c r="M77" t="s">
        <v>3467</v>
      </c>
      <c r="N77" t="s">
        <v>3467</v>
      </c>
      <c r="O77" t="s">
        <v>6642</v>
      </c>
    </row>
    <row r="78" spans="1:15" x14ac:dyDescent="0.25">
      <c r="A78" t="s">
        <v>5254</v>
      </c>
      <c r="B78" t="s">
        <v>3530</v>
      </c>
      <c r="C78" t="s">
        <v>4642</v>
      </c>
      <c r="D78">
        <v>1</v>
      </c>
      <c r="E78" s="9" t="s">
        <v>6643</v>
      </c>
      <c r="F78" t="s">
        <v>6644</v>
      </c>
      <c r="G78" s="9" t="s">
        <v>6645</v>
      </c>
      <c r="H78" t="s">
        <v>6646</v>
      </c>
      <c r="I78">
        <v>1</v>
      </c>
      <c r="J78" t="s">
        <v>3467</v>
      </c>
      <c r="K78" t="s">
        <v>5256</v>
      </c>
      <c r="L78" t="s">
        <v>90</v>
      </c>
      <c r="M78" t="s">
        <v>3467</v>
      </c>
      <c r="N78" t="s">
        <v>3467</v>
      </c>
      <c r="O78" t="s">
        <v>6057</v>
      </c>
    </row>
    <row r="79" spans="1:15" x14ac:dyDescent="0.25">
      <c r="A79" t="s">
        <v>5257</v>
      </c>
      <c r="B79" t="s">
        <v>3530</v>
      </c>
      <c r="C79" t="s">
        <v>5405</v>
      </c>
      <c r="D79">
        <v>2</v>
      </c>
      <c r="E79" s="9" t="s">
        <v>6647</v>
      </c>
      <c r="F79" t="s">
        <v>6648</v>
      </c>
      <c r="G79" s="9" t="s">
        <v>6649</v>
      </c>
      <c r="H79" t="s">
        <v>6650</v>
      </c>
      <c r="I79">
        <v>2</v>
      </c>
      <c r="J79" t="s">
        <v>3467</v>
      </c>
      <c r="K79" t="s">
        <v>5259</v>
      </c>
      <c r="L79" t="s">
        <v>90</v>
      </c>
      <c r="M79" t="s">
        <v>3467</v>
      </c>
      <c r="N79" t="s">
        <v>4305</v>
      </c>
      <c r="O79" t="s">
        <v>5784</v>
      </c>
    </row>
    <row r="80" spans="1:15" x14ac:dyDescent="0.25">
      <c r="A80" t="s">
        <v>6060</v>
      </c>
      <c r="B80" t="s">
        <v>3530</v>
      </c>
      <c r="C80" t="s">
        <v>5767</v>
      </c>
      <c r="D80">
        <v>1</v>
      </c>
      <c r="E80" s="9" t="s">
        <v>6651</v>
      </c>
      <c r="F80" t="s">
        <v>6652</v>
      </c>
      <c r="G80" s="9" t="s">
        <v>6653</v>
      </c>
      <c r="H80" t="s">
        <v>6654</v>
      </c>
      <c r="I80">
        <v>1</v>
      </c>
      <c r="J80" t="s">
        <v>6462</v>
      </c>
      <c r="K80" t="s">
        <v>6060</v>
      </c>
      <c r="L80" t="s">
        <v>90</v>
      </c>
      <c r="M80" t="s">
        <v>3467</v>
      </c>
      <c r="N80" t="s">
        <v>3467</v>
      </c>
      <c r="O80" t="s">
        <v>6642</v>
      </c>
    </row>
    <row r="81" spans="1:15" x14ac:dyDescent="0.25">
      <c r="A81" t="s">
        <v>6063</v>
      </c>
      <c r="B81" t="s">
        <v>41</v>
      </c>
      <c r="C81" t="s">
        <v>5405</v>
      </c>
      <c r="D81">
        <v>0</v>
      </c>
      <c r="E81" s="9" t="s">
        <v>6655</v>
      </c>
      <c r="F81" t="s">
        <v>6656</v>
      </c>
      <c r="G81" s="9" t="s">
        <v>6657</v>
      </c>
      <c r="H81" t="s">
        <v>6658</v>
      </c>
      <c r="I81" t="s">
        <v>3467</v>
      </c>
      <c r="J81" t="s">
        <v>3467</v>
      </c>
      <c r="K81" t="s">
        <v>6063</v>
      </c>
      <c r="L81" t="s">
        <v>90</v>
      </c>
      <c r="M81" t="s">
        <v>3467</v>
      </c>
      <c r="N81" t="s">
        <v>3467</v>
      </c>
      <c r="O81" t="s">
        <v>6104</v>
      </c>
    </row>
    <row r="82" spans="1:15" x14ac:dyDescent="0.25">
      <c r="A82" t="s">
        <v>6066</v>
      </c>
      <c r="B82" t="s">
        <v>41</v>
      </c>
      <c r="C82" t="s">
        <v>5767</v>
      </c>
      <c r="D82">
        <v>1</v>
      </c>
      <c r="E82" s="9" t="s">
        <v>6659</v>
      </c>
      <c r="F82" t="s">
        <v>6660</v>
      </c>
      <c r="G82" s="9" t="s">
        <v>6661</v>
      </c>
      <c r="H82" t="s">
        <v>6662</v>
      </c>
      <c r="I82" t="s">
        <v>3467</v>
      </c>
      <c r="J82" t="s">
        <v>6437</v>
      </c>
      <c r="K82" t="s">
        <v>6069</v>
      </c>
      <c r="L82" t="s">
        <v>90</v>
      </c>
      <c r="M82" t="s">
        <v>3467</v>
      </c>
      <c r="N82" t="s">
        <v>3467</v>
      </c>
      <c r="O82" t="s">
        <v>6070</v>
      </c>
    </row>
    <row r="83" spans="1:15" x14ac:dyDescent="0.25">
      <c r="A83" t="s">
        <v>6074</v>
      </c>
      <c r="B83" t="s">
        <v>3530</v>
      </c>
      <c r="C83" t="s">
        <v>5405</v>
      </c>
      <c r="D83">
        <v>1</v>
      </c>
      <c r="E83" s="9" t="s">
        <v>6663</v>
      </c>
      <c r="F83" t="s">
        <v>6496</v>
      </c>
      <c r="G83" s="9" t="s">
        <v>6664</v>
      </c>
      <c r="H83" t="s">
        <v>6497</v>
      </c>
      <c r="I83" t="s">
        <v>3467</v>
      </c>
      <c r="J83" t="s">
        <v>3467</v>
      </c>
      <c r="K83" t="s">
        <v>6077</v>
      </c>
      <c r="L83" t="s">
        <v>90</v>
      </c>
      <c r="M83" t="s">
        <v>5467</v>
      </c>
      <c r="N83" t="s">
        <v>3467</v>
      </c>
      <c r="O83" t="s">
        <v>5784</v>
      </c>
    </row>
    <row r="84" spans="1:15" x14ac:dyDescent="0.25">
      <c r="A84" t="s">
        <v>6079</v>
      </c>
      <c r="B84" t="s">
        <v>3518</v>
      </c>
      <c r="C84" t="s">
        <v>5767</v>
      </c>
      <c r="D84">
        <v>1</v>
      </c>
      <c r="E84" s="9" t="s">
        <v>6665</v>
      </c>
      <c r="F84" t="s">
        <v>6666</v>
      </c>
      <c r="G84" s="9" t="s">
        <v>6667</v>
      </c>
      <c r="H84" t="s">
        <v>6668</v>
      </c>
      <c r="I84" t="s">
        <v>3467</v>
      </c>
      <c r="J84" t="s">
        <v>6462</v>
      </c>
      <c r="K84" t="s">
        <v>6082</v>
      </c>
      <c r="L84" t="s">
        <v>90</v>
      </c>
      <c r="M84" t="s">
        <v>3467</v>
      </c>
      <c r="N84" t="s">
        <v>3467</v>
      </c>
      <c r="O84" t="s">
        <v>5822</v>
      </c>
    </row>
    <row r="85" spans="1:15" x14ac:dyDescent="0.25">
      <c r="A85" t="s">
        <v>6083</v>
      </c>
      <c r="B85" t="s">
        <v>41</v>
      </c>
      <c r="C85" t="s">
        <v>5767</v>
      </c>
      <c r="D85">
        <v>0</v>
      </c>
      <c r="E85" s="9" t="s">
        <v>6669</v>
      </c>
      <c r="F85" t="s">
        <v>6670</v>
      </c>
      <c r="G85" s="9" t="s">
        <v>6671</v>
      </c>
      <c r="H85" t="s">
        <v>6672</v>
      </c>
      <c r="I85">
        <v>0</v>
      </c>
      <c r="J85" t="s">
        <v>6529</v>
      </c>
      <c r="K85" t="s">
        <v>6086</v>
      </c>
      <c r="L85" t="s">
        <v>90</v>
      </c>
      <c r="M85" t="s">
        <v>3467</v>
      </c>
      <c r="N85" t="s">
        <v>3467</v>
      </c>
      <c r="O85" t="s">
        <v>5813</v>
      </c>
    </row>
    <row r="86" spans="1:15" x14ac:dyDescent="0.25">
      <c r="A86" t="s">
        <v>6087</v>
      </c>
      <c r="B86" t="s">
        <v>3518</v>
      </c>
      <c r="C86" t="s">
        <v>5767</v>
      </c>
      <c r="D86">
        <v>0</v>
      </c>
      <c r="E86" s="9" t="s">
        <v>6673</v>
      </c>
      <c r="F86" t="s">
        <v>6674</v>
      </c>
      <c r="G86" s="9" t="s">
        <v>6675</v>
      </c>
      <c r="H86" t="s">
        <v>6676</v>
      </c>
      <c r="I86">
        <v>0</v>
      </c>
      <c r="J86" t="s">
        <v>6677</v>
      </c>
      <c r="K86" t="s">
        <v>6090</v>
      </c>
      <c r="L86" t="s">
        <v>90</v>
      </c>
      <c r="M86" t="s">
        <v>3467</v>
      </c>
      <c r="N86" t="s">
        <v>3467</v>
      </c>
      <c r="O86" t="s">
        <v>5941</v>
      </c>
    </row>
    <row r="87" spans="1:15" x14ac:dyDescent="0.25">
      <c r="A87" t="s">
        <v>5161</v>
      </c>
      <c r="B87" t="s">
        <v>4342</v>
      </c>
      <c r="C87" t="s">
        <v>4289</v>
      </c>
      <c r="D87" t="s">
        <v>4034</v>
      </c>
      <c r="E87" t="s">
        <v>6678</v>
      </c>
      <c r="F87" t="s">
        <v>4259</v>
      </c>
      <c r="G87" t="s">
        <v>3467</v>
      </c>
      <c r="H87" t="s">
        <v>3467</v>
      </c>
      <c r="I87" t="s">
        <v>3467</v>
      </c>
      <c r="J87" t="s">
        <v>3467</v>
      </c>
      <c r="K87" t="s">
        <v>5161</v>
      </c>
      <c r="L87" t="s">
        <v>38</v>
      </c>
      <c r="M87" t="s">
        <v>6679</v>
      </c>
      <c r="N87" t="s">
        <v>3467</v>
      </c>
    </row>
    <row r="88" spans="1:15" x14ac:dyDescent="0.25">
      <c r="A88" t="s">
        <v>5177</v>
      </c>
      <c r="B88" t="s">
        <v>4342</v>
      </c>
      <c r="C88" t="s">
        <v>4289</v>
      </c>
      <c r="D88" t="s">
        <v>4034</v>
      </c>
      <c r="E88" t="s">
        <v>6680</v>
      </c>
      <c r="F88" t="s">
        <v>6681</v>
      </c>
      <c r="G88" t="s">
        <v>3467</v>
      </c>
      <c r="H88" t="s">
        <v>3467</v>
      </c>
      <c r="I88" t="s">
        <v>3467</v>
      </c>
      <c r="J88" t="s">
        <v>3467</v>
      </c>
      <c r="K88" t="s">
        <v>5177</v>
      </c>
      <c r="L88" t="s">
        <v>38</v>
      </c>
      <c r="M88" t="s">
        <v>5508</v>
      </c>
      <c r="N88" t="s">
        <v>3467</v>
      </c>
      <c r="O88" t="s">
        <v>5915</v>
      </c>
    </row>
    <row r="89" spans="1:15" x14ac:dyDescent="0.25">
      <c r="A89" t="s">
        <v>6092</v>
      </c>
      <c r="B89" t="s">
        <v>41</v>
      </c>
      <c r="C89" t="s">
        <v>5405</v>
      </c>
      <c r="D89">
        <v>1</v>
      </c>
      <c r="E89" s="9" t="s">
        <v>6093</v>
      </c>
      <c r="F89" t="s">
        <v>6682</v>
      </c>
      <c r="G89" s="9" t="s">
        <v>6093</v>
      </c>
      <c r="H89" t="s">
        <v>6682</v>
      </c>
      <c r="I89">
        <v>0</v>
      </c>
      <c r="J89" t="s">
        <v>3467</v>
      </c>
      <c r="K89" t="s">
        <v>6092</v>
      </c>
      <c r="L89" t="s">
        <v>90</v>
      </c>
      <c r="M89" t="s">
        <v>3467</v>
      </c>
      <c r="N89" t="s">
        <v>3467</v>
      </c>
      <c r="O89" t="s">
        <v>6049</v>
      </c>
    </row>
    <row r="90" spans="1:15" x14ac:dyDescent="0.25">
      <c r="A90" t="s">
        <v>6094</v>
      </c>
      <c r="B90" t="s">
        <v>41</v>
      </c>
      <c r="C90" t="s">
        <v>5767</v>
      </c>
      <c r="D90">
        <v>1</v>
      </c>
      <c r="E90" s="9" t="s">
        <v>6095</v>
      </c>
      <c r="F90" t="s">
        <v>6683</v>
      </c>
      <c r="G90" s="9" t="s">
        <v>6096</v>
      </c>
      <c r="H90" t="s">
        <v>6684</v>
      </c>
      <c r="I90">
        <v>1</v>
      </c>
      <c r="J90" t="s">
        <v>6445</v>
      </c>
      <c r="K90" t="s">
        <v>6094</v>
      </c>
      <c r="L90" t="s">
        <v>90</v>
      </c>
      <c r="M90" t="s">
        <v>3467</v>
      </c>
      <c r="N90" t="s">
        <v>3467</v>
      </c>
      <c r="O90" t="s">
        <v>5780</v>
      </c>
    </row>
    <row r="91" spans="1:15" x14ac:dyDescent="0.25">
      <c r="A91" t="s">
        <v>6100</v>
      </c>
      <c r="B91" t="s">
        <v>41</v>
      </c>
      <c r="C91" t="s">
        <v>5767</v>
      </c>
      <c r="D91">
        <v>2</v>
      </c>
      <c r="E91" t="s">
        <v>6101</v>
      </c>
      <c r="F91" t="s">
        <v>6685</v>
      </c>
      <c r="G91" t="s">
        <v>6102</v>
      </c>
      <c r="H91" t="s">
        <v>6686</v>
      </c>
      <c r="I91">
        <v>2</v>
      </c>
      <c r="J91" t="s">
        <v>6468</v>
      </c>
      <c r="K91" t="s">
        <v>6103</v>
      </c>
      <c r="L91" t="s">
        <v>90</v>
      </c>
      <c r="M91" t="s">
        <v>3467</v>
      </c>
      <c r="N91" t="s">
        <v>3467</v>
      </c>
      <c r="O91" t="s">
        <v>6104</v>
      </c>
    </row>
    <row r="92" spans="1:15" x14ac:dyDescent="0.25">
      <c r="A92" t="s">
        <v>6105</v>
      </c>
      <c r="B92" t="s">
        <v>3530</v>
      </c>
      <c r="C92" t="s">
        <v>5767</v>
      </c>
      <c r="D92">
        <v>1</v>
      </c>
      <c r="E92" s="9" t="s">
        <v>6687</v>
      </c>
      <c r="F92" t="s">
        <v>6688</v>
      </c>
      <c r="G92" s="9" t="s">
        <v>6689</v>
      </c>
      <c r="H92" t="s">
        <v>6690</v>
      </c>
      <c r="I92">
        <v>1</v>
      </c>
      <c r="J92" t="s">
        <v>6445</v>
      </c>
      <c r="K92" t="s">
        <v>6108</v>
      </c>
      <c r="L92" t="s">
        <v>90</v>
      </c>
      <c r="M92" t="s">
        <v>3467</v>
      </c>
      <c r="N92" t="s">
        <v>3467</v>
      </c>
      <c r="O92" t="s">
        <v>6691</v>
      </c>
    </row>
    <row r="93" spans="1:15" x14ac:dyDescent="0.25">
      <c r="A93" t="s">
        <v>6109</v>
      </c>
      <c r="B93" t="s">
        <v>3530</v>
      </c>
      <c r="C93" t="s">
        <v>5767</v>
      </c>
      <c r="D93">
        <v>1</v>
      </c>
      <c r="E93" s="9" t="s">
        <v>6110</v>
      </c>
      <c r="F93" t="s">
        <v>6692</v>
      </c>
      <c r="G93" s="9" t="s">
        <v>6111</v>
      </c>
      <c r="H93" t="s">
        <v>6693</v>
      </c>
      <c r="I93">
        <v>1</v>
      </c>
      <c r="J93" t="s">
        <v>6462</v>
      </c>
      <c r="K93" t="s">
        <v>6109</v>
      </c>
      <c r="L93" t="s">
        <v>90</v>
      </c>
      <c r="M93" t="s">
        <v>3467</v>
      </c>
      <c r="N93" t="s">
        <v>5428</v>
      </c>
      <c r="O93" t="s">
        <v>6694</v>
      </c>
    </row>
    <row r="94" spans="1:15" x14ac:dyDescent="0.25">
      <c r="A94" t="s">
        <v>6112</v>
      </c>
      <c r="B94" t="s">
        <v>41</v>
      </c>
      <c r="C94" t="s">
        <v>5405</v>
      </c>
      <c r="D94">
        <v>1</v>
      </c>
      <c r="E94" s="9" t="s">
        <v>6695</v>
      </c>
      <c r="F94" t="s">
        <v>6696</v>
      </c>
      <c r="G94" s="9" t="s">
        <v>6697</v>
      </c>
      <c r="H94" t="s">
        <v>6698</v>
      </c>
      <c r="I94">
        <v>1</v>
      </c>
      <c r="J94" t="s">
        <v>3467</v>
      </c>
      <c r="K94" t="s">
        <v>6112</v>
      </c>
      <c r="L94" t="s">
        <v>90</v>
      </c>
      <c r="M94" t="s">
        <v>3467</v>
      </c>
      <c r="N94" t="s">
        <v>3467</v>
      </c>
      <c r="O94" t="s">
        <v>6115</v>
      </c>
    </row>
    <row r="95" spans="1:15" x14ac:dyDescent="0.25">
      <c r="A95" t="s">
        <v>6116</v>
      </c>
      <c r="B95" t="s">
        <v>3518</v>
      </c>
      <c r="C95" t="s">
        <v>5767</v>
      </c>
      <c r="D95">
        <v>2</v>
      </c>
      <c r="E95" s="9" t="s">
        <v>6117</v>
      </c>
      <c r="F95" t="s">
        <v>6699</v>
      </c>
      <c r="G95" s="9" t="s">
        <v>6118</v>
      </c>
      <c r="H95" t="s">
        <v>6700</v>
      </c>
      <c r="I95">
        <v>2</v>
      </c>
      <c r="J95" t="s">
        <v>6701</v>
      </c>
      <c r="K95" t="s">
        <v>6116</v>
      </c>
      <c r="L95" t="s">
        <v>90</v>
      </c>
      <c r="M95" t="s">
        <v>3467</v>
      </c>
      <c r="N95" t="s">
        <v>4305</v>
      </c>
      <c r="O95" t="s">
        <v>5904</v>
      </c>
    </row>
    <row r="96" spans="1:15" x14ac:dyDescent="0.25">
      <c r="A96" t="s">
        <v>6119</v>
      </c>
      <c r="B96" t="s">
        <v>3518</v>
      </c>
      <c r="C96" t="s">
        <v>5405</v>
      </c>
      <c r="D96">
        <v>2</v>
      </c>
      <c r="E96" s="9" t="s">
        <v>6120</v>
      </c>
      <c r="F96" t="s">
        <v>6702</v>
      </c>
      <c r="G96" s="9" t="s">
        <v>6121</v>
      </c>
      <c r="H96" t="s">
        <v>6703</v>
      </c>
      <c r="I96">
        <v>2</v>
      </c>
      <c r="J96" t="s">
        <v>3467</v>
      </c>
      <c r="K96" t="s">
        <v>6119</v>
      </c>
      <c r="L96" t="s">
        <v>90</v>
      </c>
      <c r="M96" t="s">
        <v>5541</v>
      </c>
      <c r="N96" t="s">
        <v>3467</v>
      </c>
      <c r="O96" t="s">
        <v>6044</v>
      </c>
    </row>
    <row r="97" spans="1:15" x14ac:dyDescent="0.25">
      <c r="A97" t="s">
        <v>6122</v>
      </c>
      <c r="B97" t="s">
        <v>3530</v>
      </c>
      <c r="C97" t="s">
        <v>5405</v>
      </c>
      <c r="D97">
        <v>1</v>
      </c>
      <c r="E97" s="9" t="s">
        <v>6123</v>
      </c>
      <c r="F97" t="s">
        <v>6704</v>
      </c>
      <c r="G97" s="9" t="s">
        <v>6123</v>
      </c>
      <c r="H97" t="s">
        <v>6704</v>
      </c>
      <c r="I97">
        <v>0</v>
      </c>
      <c r="J97" t="s">
        <v>3467</v>
      </c>
      <c r="K97" t="s">
        <v>6124</v>
      </c>
      <c r="L97" t="s">
        <v>90</v>
      </c>
      <c r="M97" t="s">
        <v>5541</v>
      </c>
      <c r="N97" t="s">
        <v>3467</v>
      </c>
      <c r="O97" t="s">
        <v>6125</v>
      </c>
    </row>
    <row r="98" spans="1:15" x14ac:dyDescent="0.25">
      <c r="A98" t="s">
        <v>6130</v>
      </c>
      <c r="B98" t="s">
        <v>3530</v>
      </c>
      <c r="C98" t="s">
        <v>4642</v>
      </c>
      <c r="D98">
        <v>1</v>
      </c>
      <c r="E98" t="s">
        <v>6131</v>
      </c>
      <c r="F98" t="s">
        <v>6705</v>
      </c>
      <c r="G98" t="s">
        <v>6132</v>
      </c>
      <c r="H98" t="s">
        <v>6706</v>
      </c>
      <c r="I98">
        <v>1</v>
      </c>
      <c r="J98" t="s">
        <v>3467</v>
      </c>
      <c r="K98" t="s">
        <v>6130</v>
      </c>
      <c r="L98" t="s">
        <v>90</v>
      </c>
      <c r="M98" t="s">
        <v>3467</v>
      </c>
      <c r="N98" t="s">
        <v>3467</v>
      </c>
      <c r="O98" t="s">
        <v>5972</v>
      </c>
    </row>
    <row r="99" spans="1:15" x14ac:dyDescent="0.25">
      <c r="A99" t="s">
        <v>4297</v>
      </c>
      <c r="B99" t="s">
        <v>4342</v>
      </c>
      <c r="C99" t="s">
        <v>4289</v>
      </c>
      <c r="D99" t="s">
        <v>4034</v>
      </c>
      <c r="E99" t="s">
        <v>6133</v>
      </c>
      <c r="F99" t="s">
        <v>4259</v>
      </c>
      <c r="G99" t="s">
        <v>3467</v>
      </c>
      <c r="H99" t="s">
        <v>3467</v>
      </c>
      <c r="I99" t="s">
        <v>3467</v>
      </c>
      <c r="J99" t="s">
        <v>3467</v>
      </c>
      <c r="K99" t="s">
        <v>4297</v>
      </c>
      <c r="L99" t="s">
        <v>90</v>
      </c>
      <c r="M99" t="s">
        <v>5508</v>
      </c>
      <c r="N99" t="s">
        <v>3467</v>
      </c>
      <c r="O99" t="s">
        <v>5915</v>
      </c>
    </row>
    <row r="100" spans="1:15" x14ac:dyDescent="0.25">
      <c r="A100" t="s">
        <v>6134</v>
      </c>
      <c r="B100" t="s">
        <v>3530</v>
      </c>
      <c r="C100" t="s">
        <v>5405</v>
      </c>
      <c r="D100">
        <v>0</v>
      </c>
      <c r="E100" s="9" t="s">
        <v>6135</v>
      </c>
      <c r="F100" t="s">
        <v>6707</v>
      </c>
      <c r="G100" s="9" t="s">
        <v>6136</v>
      </c>
      <c r="H100" t="s">
        <v>6708</v>
      </c>
      <c r="I100">
        <v>0</v>
      </c>
      <c r="J100" t="s">
        <v>3467</v>
      </c>
      <c r="K100" t="s">
        <v>6134</v>
      </c>
      <c r="L100" t="s">
        <v>90</v>
      </c>
      <c r="M100" t="s">
        <v>5541</v>
      </c>
      <c r="N100" t="s">
        <v>3467</v>
      </c>
      <c r="O100" t="s">
        <v>5982</v>
      </c>
    </row>
    <row r="101" spans="1:15" x14ac:dyDescent="0.25">
      <c r="A101" t="s">
        <v>6137</v>
      </c>
      <c r="B101" t="s">
        <v>41</v>
      </c>
      <c r="C101" t="s">
        <v>5767</v>
      </c>
      <c r="D101">
        <v>1</v>
      </c>
      <c r="E101" t="s">
        <v>6138</v>
      </c>
      <c r="F101" t="s">
        <v>6709</v>
      </c>
      <c r="G101" t="s">
        <v>6139</v>
      </c>
      <c r="H101" t="s">
        <v>6710</v>
      </c>
      <c r="I101">
        <v>1</v>
      </c>
      <c r="J101" t="s">
        <v>6711</v>
      </c>
      <c r="K101" t="s">
        <v>6140</v>
      </c>
      <c r="L101" t="s">
        <v>90</v>
      </c>
      <c r="M101" t="s">
        <v>3467</v>
      </c>
      <c r="N101" t="s">
        <v>3467</v>
      </c>
      <c r="O101" t="s">
        <v>6141</v>
      </c>
    </row>
    <row r="102" spans="1:15" x14ac:dyDescent="0.25">
      <c r="A102" t="s">
        <v>6152</v>
      </c>
      <c r="B102" t="s">
        <v>41</v>
      </c>
      <c r="C102" t="s">
        <v>5405</v>
      </c>
      <c r="D102">
        <v>1</v>
      </c>
      <c r="E102" t="s">
        <v>6153</v>
      </c>
      <c r="F102" t="s">
        <v>6712</v>
      </c>
      <c r="G102" t="s">
        <v>6154</v>
      </c>
      <c r="H102" t="s">
        <v>6713</v>
      </c>
      <c r="I102">
        <v>1</v>
      </c>
      <c r="J102" t="s">
        <v>3467</v>
      </c>
      <c r="K102" t="s">
        <v>6152</v>
      </c>
      <c r="L102" t="s">
        <v>90</v>
      </c>
      <c r="M102" t="s">
        <v>3467</v>
      </c>
      <c r="N102" t="s">
        <v>3467</v>
      </c>
      <c r="O102" t="s">
        <v>5864</v>
      </c>
    </row>
    <row r="103" spans="1:15" x14ac:dyDescent="0.25">
      <c r="A103" t="s">
        <v>6155</v>
      </c>
      <c r="B103" t="s">
        <v>3530</v>
      </c>
      <c r="C103" t="s">
        <v>5405</v>
      </c>
      <c r="D103">
        <v>2</v>
      </c>
      <c r="E103" s="9" t="s">
        <v>6714</v>
      </c>
      <c r="F103" t="s">
        <v>6715</v>
      </c>
      <c r="G103" s="9" t="s">
        <v>6716</v>
      </c>
      <c r="H103" t="s">
        <v>6717</v>
      </c>
      <c r="I103">
        <v>2</v>
      </c>
      <c r="J103" t="s">
        <v>3467</v>
      </c>
      <c r="K103" t="s">
        <v>6158</v>
      </c>
      <c r="L103" t="s">
        <v>90</v>
      </c>
      <c r="M103" t="s">
        <v>3467</v>
      </c>
      <c r="N103" t="s">
        <v>3467</v>
      </c>
      <c r="O103" t="s">
        <v>6159</v>
      </c>
    </row>
    <row r="104" spans="1:15" x14ac:dyDescent="0.25">
      <c r="A104" t="s">
        <v>4738</v>
      </c>
      <c r="B104" t="s">
        <v>41</v>
      </c>
      <c r="C104" t="s">
        <v>5767</v>
      </c>
      <c r="D104">
        <v>2</v>
      </c>
      <c r="E104" t="s">
        <v>6718</v>
      </c>
      <c r="F104" t="s">
        <v>6719</v>
      </c>
      <c r="G104" t="s">
        <v>6718</v>
      </c>
      <c r="H104" t="s">
        <v>6719</v>
      </c>
      <c r="I104">
        <v>2</v>
      </c>
      <c r="J104" t="s">
        <v>6720</v>
      </c>
      <c r="K104" t="s">
        <v>4741</v>
      </c>
      <c r="L104" t="s">
        <v>1047</v>
      </c>
      <c r="M104" t="s">
        <v>3467</v>
      </c>
      <c r="N104" t="s">
        <v>4305</v>
      </c>
      <c r="O104" t="s">
        <v>5800</v>
      </c>
    </row>
    <row r="105" spans="1:15" x14ac:dyDescent="0.25">
      <c r="A105" t="s">
        <v>6161</v>
      </c>
      <c r="B105" t="s">
        <v>3518</v>
      </c>
      <c r="C105" t="s">
        <v>5405</v>
      </c>
      <c r="D105">
        <v>1</v>
      </c>
      <c r="E105" s="9" t="s">
        <v>6162</v>
      </c>
      <c r="F105" t="s">
        <v>6721</v>
      </c>
      <c r="G105" s="9" t="s">
        <v>6163</v>
      </c>
      <c r="H105" t="s">
        <v>6722</v>
      </c>
      <c r="I105">
        <v>1</v>
      </c>
      <c r="J105" t="s">
        <v>3467</v>
      </c>
      <c r="K105" t="s">
        <v>6164</v>
      </c>
      <c r="L105" t="s">
        <v>90</v>
      </c>
      <c r="M105" t="s">
        <v>3467</v>
      </c>
      <c r="N105" t="s">
        <v>3467</v>
      </c>
      <c r="O105" t="s">
        <v>5972</v>
      </c>
    </row>
    <row r="106" spans="1:15" x14ac:dyDescent="0.25">
      <c r="A106" t="s">
        <v>4747</v>
      </c>
      <c r="B106" t="s">
        <v>41</v>
      </c>
      <c r="C106" t="s">
        <v>5767</v>
      </c>
      <c r="D106">
        <v>1</v>
      </c>
      <c r="E106" s="9" t="s">
        <v>6723</v>
      </c>
      <c r="F106" t="s">
        <v>6724</v>
      </c>
      <c r="G106" s="9" t="s">
        <v>6723</v>
      </c>
      <c r="H106" t="s">
        <v>6724</v>
      </c>
      <c r="I106">
        <v>1</v>
      </c>
      <c r="J106" t="s">
        <v>6462</v>
      </c>
      <c r="K106" t="s">
        <v>4750</v>
      </c>
      <c r="L106" t="s">
        <v>1047</v>
      </c>
      <c r="M106" t="s">
        <v>3467</v>
      </c>
      <c r="N106" t="s">
        <v>3467</v>
      </c>
      <c r="O106" t="s">
        <v>5800</v>
      </c>
    </row>
    <row r="107" spans="1:15" x14ac:dyDescent="0.25">
      <c r="A107" t="s">
        <v>6173</v>
      </c>
      <c r="B107" t="s">
        <v>3518</v>
      </c>
      <c r="C107" t="s">
        <v>5405</v>
      </c>
      <c r="D107" t="s">
        <v>5991</v>
      </c>
      <c r="E107" s="9" t="s">
        <v>6725</v>
      </c>
      <c r="F107" t="s">
        <v>6726</v>
      </c>
      <c r="G107" s="9" t="s">
        <v>6727</v>
      </c>
      <c r="H107" t="s">
        <v>6728</v>
      </c>
      <c r="I107" t="s">
        <v>5991</v>
      </c>
      <c r="J107" t="s">
        <v>3467</v>
      </c>
      <c r="K107" t="s">
        <v>6173</v>
      </c>
      <c r="L107" t="s">
        <v>90</v>
      </c>
      <c r="M107" t="s">
        <v>5541</v>
      </c>
      <c r="N107" t="s">
        <v>3467</v>
      </c>
      <c r="O107" t="s">
        <v>6176</v>
      </c>
    </row>
    <row r="108" spans="1:15" x14ac:dyDescent="0.25">
      <c r="A108" t="s">
        <v>6177</v>
      </c>
      <c r="B108" t="s">
        <v>3530</v>
      </c>
      <c r="C108" t="s">
        <v>5767</v>
      </c>
      <c r="D108">
        <v>0</v>
      </c>
      <c r="E108" s="9" t="s">
        <v>6178</v>
      </c>
      <c r="F108" t="s">
        <v>6729</v>
      </c>
      <c r="G108" s="9" t="s">
        <v>6179</v>
      </c>
      <c r="H108" t="s">
        <v>6730</v>
      </c>
      <c r="I108">
        <v>0</v>
      </c>
      <c r="J108" t="s">
        <v>6437</v>
      </c>
      <c r="K108" t="s">
        <v>6180</v>
      </c>
      <c r="L108" t="s">
        <v>90</v>
      </c>
      <c r="M108" t="s">
        <v>3467</v>
      </c>
      <c r="N108" t="s">
        <v>3467</v>
      </c>
      <c r="O108" t="s">
        <v>5822</v>
      </c>
    </row>
    <row r="109" spans="1:15" x14ac:dyDescent="0.25">
      <c r="A109" t="s">
        <v>5742</v>
      </c>
      <c r="B109" t="s">
        <v>3563</v>
      </c>
      <c r="C109" t="s">
        <v>5767</v>
      </c>
      <c r="D109">
        <v>0</v>
      </c>
      <c r="E109" t="s">
        <v>6190</v>
      </c>
      <c r="F109" t="s">
        <v>6731</v>
      </c>
      <c r="G109" t="s">
        <v>6191</v>
      </c>
      <c r="H109" t="s">
        <v>6732</v>
      </c>
      <c r="I109">
        <v>0</v>
      </c>
      <c r="J109" t="s">
        <v>6445</v>
      </c>
      <c r="K109" t="s">
        <v>5742</v>
      </c>
      <c r="L109" t="s">
        <v>90</v>
      </c>
      <c r="M109" t="s">
        <v>3467</v>
      </c>
      <c r="N109" t="s">
        <v>3467</v>
      </c>
      <c r="O109" t="s">
        <v>5798</v>
      </c>
    </row>
    <row r="110" spans="1:15" x14ac:dyDescent="0.25">
      <c r="A110" t="s">
        <v>6192</v>
      </c>
      <c r="B110" t="s">
        <v>3518</v>
      </c>
      <c r="C110" t="s">
        <v>5405</v>
      </c>
      <c r="D110">
        <v>3</v>
      </c>
      <c r="E110" s="9" t="s">
        <v>6733</v>
      </c>
      <c r="F110" t="s">
        <v>6734</v>
      </c>
      <c r="G110" s="9" t="s">
        <v>6733</v>
      </c>
      <c r="H110" t="s">
        <v>6734</v>
      </c>
      <c r="I110">
        <v>2</v>
      </c>
      <c r="J110" t="s">
        <v>3467</v>
      </c>
      <c r="K110" t="s">
        <v>6192</v>
      </c>
      <c r="L110" t="s">
        <v>90</v>
      </c>
      <c r="M110" t="s">
        <v>3467</v>
      </c>
      <c r="N110" t="s">
        <v>3467</v>
      </c>
      <c r="O110" t="s">
        <v>6037</v>
      </c>
    </row>
    <row r="111" spans="1:15" x14ac:dyDescent="0.25">
      <c r="A111" t="s">
        <v>6198</v>
      </c>
      <c r="B111" t="s">
        <v>3518</v>
      </c>
      <c r="C111" t="s">
        <v>5405</v>
      </c>
      <c r="D111">
        <v>0</v>
      </c>
      <c r="E111" s="9" t="s">
        <v>6199</v>
      </c>
      <c r="F111" t="s">
        <v>6735</v>
      </c>
      <c r="G111" s="9" t="s">
        <v>6200</v>
      </c>
      <c r="H111" t="s">
        <v>6736</v>
      </c>
      <c r="I111">
        <v>0</v>
      </c>
      <c r="J111" t="s">
        <v>3467</v>
      </c>
      <c r="K111" t="s">
        <v>6198</v>
      </c>
      <c r="L111" t="s">
        <v>90</v>
      </c>
      <c r="M111" t="s">
        <v>5541</v>
      </c>
      <c r="N111" t="s">
        <v>3467</v>
      </c>
      <c r="O111" t="s">
        <v>6201</v>
      </c>
    </row>
    <row r="112" spans="1:15" x14ac:dyDescent="0.25">
      <c r="A112" t="s">
        <v>6202</v>
      </c>
      <c r="B112" t="s">
        <v>41</v>
      </c>
      <c r="C112" t="s">
        <v>5405</v>
      </c>
      <c r="D112">
        <v>1</v>
      </c>
      <c r="E112" s="9" t="s">
        <v>6203</v>
      </c>
      <c r="F112" t="s">
        <v>6737</v>
      </c>
      <c r="G112" s="9" t="s">
        <v>6204</v>
      </c>
      <c r="H112" t="s">
        <v>6738</v>
      </c>
      <c r="I112">
        <v>1</v>
      </c>
      <c r="J112" t="s">
        <v>3467</v>
      </c>
      <c r="K112" t="s">
        <v>6202</v>
      </c>
      <c r="L112" t="s">
        <v>90</v>
      </c>
      <c r="M112" t="s">
        <v>3467</v>
      </c>
      <c r="N112" t="s">
        <v>3467</v>
      </c>
      <c r="O112" t="s">
        <v>5868</v>
      </c>
    </row>
    <row r="113" spans="1:15" x14ac:dyDescent="0.25">
      <c r="A113" t="s">
        <v>6205</v>
      </c>
      <c r="B113" t="s">
        <v>4342</v>
      </c>
      <c r="C113" t="s">
        <v>4289</v>
      </c>
      <c r="D113" t="s">
        <v>4034</v>
      </c>
      <c r="E113" t="s">
        <v>6206</v>
      </c>
      <c r="F113" t="s">
        <v>6739</v>
      </c>
      <c r="G113" t="s">
        <v>3467</v>
      </c>
      <c r="H113" t="s">
        <v>3467</v>
      </c>
      <c r="I113" t="s">
        <v>3467</v>
      </c>
      <c r="J113" t="s">
        <v>3467</v>
      </c>
      <c r="K113" t="s">
        <v>6205</v>
      </c>
      <c r="L113" t="s">
        <v>90</v>
      </c>
      <c r="M113" t="s">
        <v>5508</v>
      </c>
      <c r="N113" t="s">
        <v>3467</v>
      </c>
      <c r="O113" t="s">
        <v>5915</v>
      </c>
    </row>
    <row r="114" spans="1:15" x14ac:dyDescent="0.25">
      <c r="A114" t="s">
        <v>6207</v>
      </c>
      <c r="B114" t="s">
        <v>41</v>
      </c>
      <c r="C114" t="s">
        <v>5767</v>
      </c>
      <c r="D114">
        <v>2</v>
      </c>
      <c r="E114" s="9" t="s">
        <v>6208</v>
      </c>
      <c r="F114" t="s">
        <v>6740</v>
      </c>
      <c r="G114" s="9" t="s">
        <v>6209</v>
      </c>
      <c r="H114" t="s">
        <v>6741</v>
      </c>
      <c r="I114">
        <v>2</v>
      </c>
      <c r="J114" t="s">
        <v>6454</v>
      </c>
      <c r="K114" t="s">
        <v>6210</v>
      </c>
      <c r="L114" t="s">
        <v>90</v>
      </c>
      <c r="M114" t="s">
        <v>3467</v>
      </c>
      <c r="N114" t="s">
        <v>3467</v>
      </c>
      <c r="O114" t="s">
        <v>6104</v>
      </c>
    </row>
    <row r="115" spans="1:15" x14ac:dyDescent="0.25">
      <c r="A115" t="s">
        <v>6211</v>
      </c>
      <c r="B115" t="s">
        <v>3518</v>
      </c>
      <c r="C115" t="s">
        <v>5405</v>
      </c>
      <c r="D115">
        <v>1</v>
      </c>
      <c r="E115" s="9" t="s">
        <v>6212</v>
      </c>
      <c r="F115" t="s">
        <v>6742</v>
      </c>
      <c r="G115" s="9" t="s">
        <v>6212</v>
      </c>
      <c r="H115" t="s">
        <v>6742</v>
      </c>
      <c r="I115">
        <v>0</v>
      </c>
      <c r="J115" t="s">
        <v>3467</v>
      </c>
      <c r="K115" t="s">
        <v>6213</v>
      </c>
      <c r="L115" t="s">
        <v>90</v>
      </c>
      <c r="M115" t="s">
        <v>3467</v>
      </c>
      <c r="N115" t="s">
        <v>3467</v>
      </c>
      <c r="O115" t="s">
        <v>5822</v>
      </c>
    </row>
    <row r="116" spans="1:15" x14ac:dyDescent="0.25">
      <c r="A116" t="s">
        <v>6214</v>
      </c>
      <c r="B116" t="s">
        <v>41</v>
      </c>
      <c r="C116" t="s">
        <v>5405</v>
      </c>
      <c r="D116">
        <v>1</v>
      </c>
      <c r="E116" s="9" t="s">
        <v>6743</v>
      </c>
      <c r="F116" t="s">
        <v>6744</v>
      </c>
      <c r="G116" s="9" t="s">
        <v>6745</v>
      </c>
      <c r="H116" t="s">
        <v>6746</v>
      </c>
      <c r="I116">
        <v>1</v>
      </c>
      <c r="J116" t="s">
        <v>3467</v>
      </c>
      <c r="K116" t="s">
        <v>6217</v>
      </c>
      <c r="L116" t="s">
        <v>90</v>
      </c>
      <c r="M116" t="s">
        <v>5541</v>
      </c>
      <c r="N116" t="s">
        <v>3467</v>
      </c>
      <c r="O116" t="s">
        <v>6176</v>
      </c>
    </row>
    <row r="117" spans="1:15" x14ac:dyDescent="0.25">
      <c r="A117" t="s">
        <v>6218</v>
      </c>
      <c r="B117" t="s">
        <v>41</v>
      </c>
      <c r="C117" t="s">
        <v>5767</v>
      </c>
      <c r="D117">
        <v>1</v>
      </c>
      <c r="E117" s="9" t="s">
        <v>6219</v>
      </c>
      <c r="F117" t="s">
        <v>6747</v>
      </c>
      <c r="G117" s="9" t="s">
        <v>6220</v>
      </c>
      <c r="H117" t="s">
        <v>6748</v>
      </c>
      <c r="I117">
        <v>1</v>
      </c>
      <c r="J117" t="s">
        <v>6445</v>
      </c>
      <c r="K117" t="s">
        <v>6221</v>
      </c>
      <c r="L117" t="s">
        <v>90</v>
      </c>
      <c r="M117" t="s">
        <v>3467</v>
      </c>
      <c r="N117" t="s">
        <v>5299</v>
      </c>
      <c r="O117" t="s">
        <v>5798</v>
      </c>
    </row>
    <row r="118" spans="1:15" x14ac:dyDescent="0.25">
      <c r="A118" t="s">
        <v>6222</v>
      </c>
      <c r="B118" t="s">
        <v>41</v>
      </c>
      <c r="C118" t="s">
        <v>5767</v>
      </c>
      <c r="D118">
        <v>1</v>
      </c>
      <c r="E118" t="s">
        <v>6223</v>
      </c>
      <c r="F118" t="s">
        <v>6749</v>
      </c>
      <c r="G118" t="s">
        <v>6224</v>
      </c>
      <c r="H118" t="s">
        <v>6750</v>
      </c>
      <c r="I118">
        <v>1</v>
      </c>
      <c r="J118" t="s">
        <v>6454</v>
      </c>
      <c r="K118" t="s">
        <v>6225</v>
      </c>
      <c r="L118" t="s">
        <v>90</v>
      </c>
      <c r="M118" t="s">
        <v>3467</v>
      </c>
      <c r="N118" t="s">
        <v>3467</v>
      </c>
      <c r="O118" t="s">
        <v>6751</v>
      </c>
    </row>
    <row r="119" spans="1:15" x14ac:dyDescent="0.25">
      <c r="A119" t="s">
        <v>6227</v>
      </c>
      <c r="B119" t="s">
        <v>3530</v>
      </c>
      <c r="C119" t="s">
        <v>5405</v>
      </c>
      <c r="D119">
        <v>1</v>
      </c>
      <c r="E119" s="9" t="s">
        <v>6228</v>
      </c>
      <c r="F119" t="s">
        <v>6752</v>
      </c>
      <c r="G119" s="9" t="s">
        <v>6229</v>
      </c>
      <c r="H119" t="s">
        <v>6753</v>
      </c>
      <c r="I119">
        <v>1</v>
      </c>
      <c r="J119" t="s">
        <v>3467</v>
      </c>
      <c r="K119" t="s">
        <v>6230</v>
      </c>
      <c r="L119" t="s">
        <v>90</v>
      </c>
      <c r="M119" t="s">
        <v>3467</v>
      </c>
      <c r="N119" t="s">
        <v>3467</v>
      </c>
      <c r="O119" t="s">
        <v>6231</v>
      </c>
    </row>
    <row r="120" spans="1:15" x14ac:dyDescent="0.25">
      <c r="A120" t="s">
        <v>6232</v>
      </c>
      <c r="B120" t="s">
        <v>41</v>
      </c>
      <c r="C120" t="s">
        <v>5767</v>
      </c>
      <c r="D120">
        <v>2</v>
      </c>
      <c r="E120" s="9" t="s">
        <v>6754</v>
      </c>
      <c r="F120" t="s">
        <v>6755</v>
      </c>
      <c r="G120" s="9" t="s">
        <v>6756</v>
      </c>
      <c r="H120" t="s">
        <v>6757</v>
      </c>
      <c r="I120" t="s">
        <v>3467</v>
      </c>
      <c r="J120" t="s">
        <v>6437</v>
      </c>
      <c r="K120" t="s">
        <v>6232</v>
      </c>
      <c r="L120" t="s">
        <v>90</v>
      </c>
      <c r="M120" t="s">
        <v>3467</v>
      </c>
      <c r="N120" t="s">
        <v>3467</v>
      </c>
      <c r="O120" t="s">
        <v>6250</v>
      </c>
    </row>
    <row r="121" spans="1:15" x14ac:dyDescent="0.25">
      <c r="A121" t="s">
        <v>6235</v>
      </c>
      <c r="B121" t="s">
        <v>41</v>
      </c>
      <c r="C121" t="s">
        <v>5405</v>
      </c>
      <c r="D121">
        <v>0</v>
      </c>
      <c r="E121" s="9" t="s">
        <v>6236</v>
      </c>
      <c r="F121" t="s">
        <v>6758</v>
      </c>
      <c r="G121" s="9" t="s">
        <v>6237</v>
      </c>
      <c r="H121" t="s">
        <v>6759</v>
      </c>
      <c r="I121" t="s">
        <v>3467</v>
      </c>
      <c r="J121" t="s">
        <v>3467</v>
      </c>
      <c r="K121" t="s">
        <v>6235</v>
      </c>
      <c r="L121" t="s">
        <v>90</v>
      </c>
      <c r="M121" t="s">
        <v>3467</v>
      </c>
      <c r="N121" t="s">
        <v>3467</v>
      </c>
      <c r="O121" t="s">
        <v>5753</v>
      </c>
    </row>
    <row r="122" spans="1:15" x14ac:dyDescent="0.25">
      <c r="A122" t="s">
        <v>5164</v>
      </c>
      <c r="B122" t="s">
        <v>4342</v>
      </c>
      <c r="C122" t="s">
        <v>4289</v>
      </c>
      <c r="D122">
        <v>1</v>
      </c>
      <c r="E122" s="4" t="s">
        <v>6760</v>
      </c>
      <c r="F122" t="s">
        <v>6761</v>
      </c>
      <c r="G122" t="s">
        <v>3467</v>
      </c>
      <c r="H122" t="s">
        <v>3467</v>
      </c>
      <c r="I122" t="s">
        <v>3467</v>
      </c>
      <c r="J122" t="s">
        <v>3467</v>
      </c>
      <c r="K122" t="s">
        <v>5164</v>
      </c>
      <c r="L122" t="s">
        <v>90</v>
      </c>
      <c r="M122" t="s">
        <v>6452</v>
      </c>
      <c r="N122" t="s">
        <v>3467</v>
      </c>
      <c r="O122" t="s">
        <v>5915</v>
      </c>
    </row>
    <row r="123" spans="1:15" x14ac:dyDescent="0.25">
      <c r="A123" t="s">
        <v>6238</v>
      </c>
      <c r="B123" t="s">
        <v>3530</v>
      </c>
      <c r="C123" t="s">
        <v>5767</v>
      </c>
      <c r="D123">
        <v>1</v>
      </c>
      <c r="E123" s="9" t="s">
        <v>6239</v>
      </c>
      <c r="F123" t="s">
        <v>6762</v>
      </c>
      <c r="G123" s="9" t="s">
        <v>6240</v>
      </c>
      <c r="H123" t="s">
        <v>6763</v>
      </c>
      <c r="I123">
        <v>1</v>
      </c>
      <c r="J123" t="s">
        <v>6445</v>
      </c>
      <c r="K123" t="s">
        <v>6238</v>
      </c>
      <c r="L123" t="s">
        <v>90</v>
      </c>
      <c r="M123" t="s">
        <v>5541</v>
      </c>
      <c r="N123" t="s">
        <v>3467</v>
      </c>
      <c r="O123" t="s">
        <v>6049</v>
      </c>
    </row>
    <row r="124" spans="1:15" x14ac:dyDescent="0.25">
      <c r="A124" t="s">
        <v>5189</v>
      </c>
      <c r="B124" t="s">
        <v>4342</v>
      </c>
      <c r="C124" t="s">
        <v>4289</v>
      </c>
      <c r="D124" t="s">
        <v>4034</v>
      </c>
      <c r="E124" t="s">
        <v>6241</v>
      </c>
      <c r="F124" t="s">
        <v>6764</v>
      </c>
      <c r="G124" t="s">
        <v>3467</v>
      </c>
      <c r="H124" t="s">
        <v>3467</v>
      </c>
      <c r="I124" t="s">
        <v>3467</v>
      </c>
      <c r="J124" t="s">
        <v>3467</v>
      </c>
      <c r="K124" t="s">
        <v>6242</v>
      </c>
      <c r="L124" t="s">
        <v>1650</v>
      </c>
      <c r="M124" t="s">
        <v>5508</v>
      </c>
      <c r="N124" t="s">
        <v>3467</v>
      </c>
    </row>
    <row r="125" spans="1:15" x14ac:dyDescent="0.25">
      <c r="A125" t="s">
        <v>6246</v>
      </c>
      <c r="B125" t="s">
        <v>41</v>
      </c>
      <c r="C125" t="s">
        <v>5767</v>
      </c>
      <c r="D125">
        <v>1</v>
      </c>
      <c r="E125" s="9" t="s">
        <v>6247</v>
      </c>
      <c r="F125" t="s">
        <v>6765</v>
      </c>
      <c r="G125" s="9" t="s">
        <v>6248</v>
      </c>
      <c r="H125" t="s">
        <v>6766</v>
      </c>
      <c r="I125">
        <v>1</v>
      </c>
      <c r="J125" t="s">
        <v>6529</v>
      </c>
      <c r="K125" t="s">
        <v>6249</v>
      </c>
      <c r="L125" t="s">
        <v>90</v>
      </c>
      <c r="M125" t="s">
        <v>3467</v>
      </c>
      <c r="N125" t="s">
        <v>3467</v>
      </c>
      <c r="O125" t="s">
        <v>6250</v>
      </c>
    </row>
    <row r="126" spans="1:15" x14ac:dyDescent="0.25">
      <c r="A126" t="s">
        <v>5407</v>
      </c>
      <c r="B126" t="s">
        <v>3530</v>
      </c>
      <c r="C126" t="s">
        <v>5405</v>
      </c>
      <c r="D126">
        <v>0</v>
      </c>
      <c r="E126" s="9" t="s">
        <v>6251</v>
      </c>
      <c r="F126" t="s">
        <v>6767</v>
      </c>
      <c r="G126" s="9" t="s">
        <v>6252</v>
      </c>
      <c r="H126" t="s">
        <v>6768</v>
      </c>
      <c r="I126">
        <v>0</v>
      </c>
      <c r="J126" t="s">
        <v>3467</v>
      </c>
      <c r="K126" t="s">
        <v>5407</v>
      </c>
      <c r="L126" t="s">
        <v>90</v>
      </c>
      <c r="M126" t="s">
        <v>3467</v>
      </c>
      <c r="N126" t="s">
        <v>3467</v>
      </c>
      <c r="O126" t="s">
        <v>5784</v>
      </c>
    </row>
    <row r="127" spans="1:15" x14ac:dyDescent="0.25">
      <c r="A127" t="s">
        <v>6253</v>
      </c>
      <c r="B127" t="s">
        <v>3530</v>
      </c>
      <c r="C127" t="s">
        <v>5767</v>
      </c>
      <c r="D127">
        <v>1</v>
      </c>
      <c r="E127" s="9" t="s">
        <v>6254</v>
      </c>
      <c r="F127" t="s">
        <v>6769</v>
      </c>
      <c r="G127" s="9" t="s">
        <v>6255</v>
      </c>
      <c r="H127" t="s">
        <v>6770</v>
      </c>
      <c r="I127">
        <v>1</v>
      </c>
      <c r="J127" t="s">
        <v>6529</v>
      </c>
      <c r="K127" t="s">
        <v>6253</v>
      </c>
      <c r="L127" t="s">
        <v>90</v>
      </c>
      <c r="M127" t="s">
        <v>3467</v>
      </c>
      <c r="N127" t="s">
        <v>3467</v>
      </c>
      <c r="O127" t="s">
        <v>6104</v>
      </c>
    </row>
    <row r="128" spans="1:15" x14ac:dyDescent="0.25">
      <c r="A128" t="s">
        <v>6257</v>
      </c>
      <c r="B128" t="s">
        <v>3518</v>
      </c>
      <c r="C128" t="s">
        <v>5767</v>
      </c>
      <c r="D128">
        <v>2</v>
      </c>
      <c r="E128" t="s">
        <v>6258</v>
      </c>
      <c r="F128" t="s">
        <v>6771</v>
      </c>
      <c r="G128" t="s">
        <v>6259</v>
      </c>
      <c r="H128" t="s">
        <v>6772</v>
      </c>
      <c r="I128">
        <v>2</v>
      </c>
      <c r="J128" t="s">
        <v>6534</v>
      </c>
      <c r="K128" t="s">
        <v>6257</v>
      </c>
      <c r="L128" t="s">
        <v>90</v>
      </c>
      <c r="M128" t="s">
        <v>6773</v>
      </c>
      <c r="N128" t="s">
        <v>3467</v>
      </c>
      <c r="O128" t="s">
        <v>6041</v>
      </c>
    </row>
    <row r="129" spans="1:15" x14ac:dyDescent="0.25">
      <c r="A129" t="s">
        <v>6260</v>
      </c>
      <c r="B129" t="s">
        <v>3530</v>
      </c>
      <c r="C129" t="s">
        <v>5767</v>
      </c>
      <c r="D129">
        <v>0</v>
      </c>
      <c r="E129" s="9" t="s">
        <v>6774</v>
      </c>
      <c r="F129" t="s">
        <v>6775</v>
      </c>
      <c r="G129" s="9" t="s">
        <v>6776</v>
      </c>
      <c r="H129" t="s">
        <v>6777</v>
      </c>
      <c r="I129">
        <v>0</v>
      </c>
      <c r="J129" t="s">
        <v>6495</v>
      </c>
      <c r="K129" t="s">
        <v>6263</v>
      </c>
      <c r="L129" t="s">
        <v>90</v>
      </c>
      <c r="M129" t="s">
        <v>3467</v>
      </c>
      <c r="N129" t="s">
        <v>3467</v>
      </c>
      <c r="O129" t="s">
        <v>6264</v>
      </c>
    </row>
    <row r="130" spans="1:15" x14ac:dyDescent="0.25">
      <c r="A130" t="s">
        <v>6268</v>
      </c>
      <c r="B130" t="s">
        <v>3530</v>
      </c>
      <c r="C130" t="s">
        <v>5405</v>
      </c>
      <c r="D130" t="s">
        <v>4034</v>
      </c>
      <c r="E130" t="s">
        <v>6269</v>
      </c>
      <c r="F130" t="s">
        <v>6778</v>
      </c>
      <c r="G130" t="s">
        <v>6270</v>
      </c>
      <c r="H130" t="s">
        <v>6779</v>
      </c>
      <c r="I130" t="s">
        <v>4034</v>
      </c>
      <c r="J130" t="s">
        <v>3467</v>
      </c>
      <c r="K130" t="s">
        <v>6268</v>
      </c>
      <c r="L130" t="s">
        <v>90</v>
      </c>
      <c r="M130" t="s">
        <v>5506</v>
      </c>
      <c r="N130" t="s">
        <v>3467</v>
      </c>
      <c r="O130" t="s">
        <v>5882</v>
      </c>
    </row>
    <row r="131" spans="1:15" x14ac:dyDescent="0.25">
      <c r="A131" t="s">
        <v>5154</v>
      </c>
      <c r="B131" t="s">
        <v>4342</v>
      </c>
      <c r="C131" t="s">
        <v>4289</v>
      </c>
      <c r="D131" t="s">
        <v>4034</v>
      </c>
      <c r="E131" t="s">
        <v>6271</v>
      </c>
      <c r="F131" t="s">
        <v>6780</v>
      </c>
      <c r="G131" t="s">
        <v>3467</v>
      </c>
      <c r="H131" t="s">
        <v>3467</v>
      </c>
      <c r="I131" t="s">
        <v>3467</v>
      </c>
      <c r="J131" t="s">
        <v>3467</v>
      </c>
      <c r="K131" t="s">
        <v>5154</v>
      </c>
      <c r="L131" t="s">
        <v>90</v>
      </c>
      <c r="M131" t="s">
        <v>5508</v>
      </c>
      <c r="N131" t="s">
        <v>3467</v>
      </c>
      <c r="O131" t="s">
        <v>5915</v>
      </c>
    </row>
    <row r="132" spans="1:15" x14ac:dyDescent="0.25">
      <c r="A132" t="s">
        <v>6272</v>
      </c>
      <c r="B132" t="s">
        <v>3530</v>
      </c>
      <c r="C132" t="s">
        <v>5767</v>
      </c>
      <c r="D132">
        <v>2</v>
      </c>
      <c r="E132" s="9" t="s">
        <v>6273</v>
      </c>
      <c r="F132" t="s">
        <v>6781</v>
      </c>
      <c r="G132" s="9" t="s">
        <v>6274</v>
      </c>
      <c r="H132" t="s">
        <v>6782</v>
      </c>
      <c r="I132" t="s">
        <v>3467</v>
      </c>
      <c r="J132" t="s">
        <v>6445</v>
      </c>
      <c r="K132" t="s">
        <v>6275</v>
      </c>
      <c r="L132" t="s">
        <v>90</v>
      </c>
      <c r="M132" t="s">
        <v>3467</v>
      </c>
      <c r="N132" t="s">
        <v>3467</v>
      </c>
      <c r="O132" t="s">
        <v>5822</v>
      </c>
    </row>
    <row r="133" spans="1:15" x14ac:dyDescent="0.25">
      <c r="A133" t="s">
        <v>4861</v>
      </c>
      <c r="B133" t="s">
        <v>3530</v>
      </c>
      <c r="C133" t="s">
        <v>5405</v>
      </c>
      <c r="D133">
        <v>1</v>
      </c>
      <c r="E133" s="9" t="s">
        <v>6283</v>
      </c>
      <c r="F133" t="s">
        <v>6783</v>
      </c>
      <c r="G133" s="9" t="s">
        <v>6283</v>
      </c>
      <c r="H133" t="s">
        <v>6783</v>
      </c>
      <c r="I133">
        <v>1</v>
      </c>
      <c r="J133" t="s">
        <v>6529</v>
      </c>
      <c r="K133" t="s">
        <v>4864</v>
      </c>
      <c r="L133" t="s">
        <v>1650</v>
      </c>
      <c r="M133" t="s">
        <v>3467</v>
      </c>
      <c r="N133" t="s">
        <v>3467</v>
      </c>
      <c r="O133" t="s">
        <v>6784</v>
      </c>
    </row>
    <row r="134" spans="1:15" x14ac:dyDescent="0.25">
      <c r="A134" t="s">
        <v>6284</v>
      </c>
      <c r="B134" t="s">
        <v>3530</v>
      </c>
      <c r="C134" t="s">
        <v>5767</v>
      </c>
      <c r="D134">
        <v>2</v>
      </c>
      <c r="E134" s="9" t="s">
        <v>6785</v>
      </c>
      <c r="F134" t="s">
        <v>6786</v>
      </c>
      <c r="G134" s="9" t="s">
        <v>3467</v>
      </c>
      <c r="H134" t="s">
        <v>3467</v>
      </c>
      <c r="I134" t="s">
        <v>3467</v>
      </c>
      <c r="J134" t="s">
        <v>6454</v>
      </c>
      <c r="K134" t="s">
        <v>6286</v>
      </c>
      <c r="L134" t="s">
        <v>90</v>
      </c>
      <c r="M134" t="s">
        <v>3467</v>
      </c>
      <c r="N134" t="s">
        <v>4305</v>
      </c>
      <c r="O134" t="s">
        <v>6104</v>
      </c>
    </row>
    <row r="135" spans="1:15" x14ac:dyDescent="0.25">
      <c r="A135" t="s">
        <v>6287</v>
      </c>
      <c r="B135" t="s">
        <v>3530</v>
      </c>
      <c r="C135" t="s">
        <v>5405</v>
      </c>
      <c r="D135">
        <v>1</v>
      </c>
      <c r="E135" s="9" t="s">
        <v>6288</v>
      </c>
      <c r="F135" t="s">
        <v>6787</v>
      </c>
      <c r="G135" s="9" t="s">
        <v>6289</v>
      </c>
      <c r="H135" t="s">
        <v>6788</v>
      </c>
      <c r="I135">
        <v>1</v>
      </c>
      <c r="J135" t="s">
        <v>3467</v>
      </c>
      <c r="K135" t="s">
        <v>6290</v>
      </c>
      <c r="L135" t="s">
        <v>90</v>
      </c>
      <c r="M135" t="s">
        <v>3467</v>
      </c>
      <c r="N135" t="s">
        <v>3467</v>
      </c>
      <c r="O135" t="s">
        <v>6044</v>
      </c>
    </row>
    <row r="136" spans="1:15" x14ac:dyDescent="0.25">
      <c r="A136" t="s">
        <v>6291</v>
      </c>
      <c r="B136" t="s">
        <v>3530</v>
      </c>
      <c r="C136" t="s">
        <v>5405</v>
      </c>
      <c r="D136">
        <v>1</v>
      </c>
      <c r="E136" s="9" t="s">
        <v>6292</v>
      </c>
      <c r="F136" t="s">
        <v>6789</v>
      </c>
      <c r="G136" s="9" t="s">
        <v>6292</v>
      </c>
      <c r="H136" t="s">
        <v>6789</v>
      </c>
      <c r="I136">
        <v>0</v>
      </c>
      <c r="J136" t="s">
        <v>3467</v>
      </c>
      <c r="K136" t="s">
        <v>6293</v>
      </c>
      <c r="L136" t="s">
        <v>90</v>
      </c>
      <c r="M136" t="s">
        <v>5541</v>
      </c>
      <c r="N136" t="s">
        <v>3467</v>
      </c>
      <c r="O136" t="s">
        <v>6294</v>
      </c>
    </row>
    <row r="137" spans="1:15" x14ac:dyDescent="0.25">
      <c r="A137" t="s">
        <v>6295</v>
      </c>
      <c r="B137" t="s">
        <v>3518</v>
      </c>
      <c r="C137" t="s">
        <v>5405</v>
      </c>
      <c r="D137">
        <v>0</v>
      </c>
      <c r="E137" s="9" t="s">
        <v>6790</v>
      </c>
      <c r="F137" t="s">
        <v>6791</v>
      </c>
      <c r="G137" s="9" t="s">
        <v>6792</v>
      </c>
      <c r="H137" t="s">
        <v>6793</v>
      </c>
      <c r="I137">
        <v>0</v>
      </c>
      <c r="J137" t="s">
        <v>3467</v>
      </c>
      <c r="K137" t="s">
        <v>6295</v>
      </c>
      <c r="L137" t="s">
        <v>90</v>
      </c>
      <c r="M137" t="s">
        <v>5541</v>
      </c>
      <c r="N137" t="s">
        <v>3467</v>
      </c>
      <c r="O137" t="s">
        <v>6298</v>
      </c>
    </row>
    <row r="138" spans="1:15" x14ac:dyDescent="0.25">
      <c r="A138" t="s">
        <v>6299</v>
      </c>
      <c r="B138" t="s">
        <v>3530</v>
      </c>
      <c r="C138" t="s">
        <v>5405</v>
      </c>
      <c r="D138">
        <v>1</v>
      </c>
      <c r="E138" s="9" t="s">
        <v>6300</v>
      </c>
      <c r="F138" t="s">
        <v>6794</v>
      </c>
      <c r="G138" s="9" t="s">
        <v>6301</v>
      </c>
      <c r="H138" t="s">
        <v>6795</v>
      </c>
      <c r="I138">
        <v>1</v>
      </c>
      <c r="J138" t="s">
        <v>3467</v>
      </c>
      <c r="K138" t="s">
        <v>6299</v>
      </c>
      <c r="L138" t="s">
        <v>90</v>
      </c>
      <c r="M138" t="s">
        <v>3467</v>
      </c>
      <c r="N138" t="s">
        <v>3467</v>
      </c>
      <c r="O138" t="s">
        <v>6044</v>
      </c>
    </row>
    <row r="139" spans="1:15" x14ac:dyDescent="0.25">
      <c r="A139" t="s">
        <v>6302</v>
      </c>
      <c r="B139" t="s">
        <v>3530</v>
      </c>
      <c r="C139" t="s">
        <v>5405</v>
      </c>
      <c r="D139">
        <v>1</v>
      </c>
      <c r="E139" s="9" t="s">
        <v>6796</v>
      </c>
      <c r="F139" t="s">
        <v>6797</v>
      </c>
      <c r="G139" s="9" t="s">
        <v>6796</v>
      </c>
      <c r="H139" t="s">
        <v>6797</v>
      </c>
      <c r="I139">
        <v>0</v>
      </c>
      <c r="J139" t="s">
        <v>3467</v>
      </c>
      <c r="K139" t="s">
        <v>6302</v>
      </c>
      <c r="L139" t="s">
        <v>90</v>
      </c>
      <c r="M139" t="s">
        <v>3467</v>
      </c>
      <c r="N139" t="s">
        <v>3467</v>
      </c>
      <c r="O139" t="s">
        <v>5868</v>
      </c>
    </row>
    <row r="140" spans="1:15" x14ac:dyDescent="0.25">
      <c r="A140" t="s">
        <v>6304</v>
      </c>
      <c r="B140" t="s">
        <v>3530</v>
      </c>
      <c r="C140" t="s">
        <v>5767</v>
      </c>
      <c r="D140">
        <v>2</v>
      </c>
      <c r="E140" s="9" t="s">
        <v>6798</v>
      </c>
      <c r="F140" t="s">
        <v>6799</v>
      </c>
      <c r="G140" s="9" t="s">
        <v>6800</v>
      </c>
      <c r="H140" t="s">
        <v>6801</v>
      </c>
      <c r="I140">
        <v>2</v>
      </c>
      <c r="J140" t="s">
        <v>6529</v>
      </c>
      <c r="K140" t="s">
        <v>6307</v>
      </c>
      <c r="L140" t="s">
        <v>90</v>
      </c>
      <c r="M140" t="s">
        <v>3467</v>
      </c>
      <c r="N140" t="s">
        <v>3467</v>
      </c>
      <c r="O140" t="s">
        <v>6049</v>
      </c>
    </row>
    <row r="141" spans="1:15" x14ac:dyDescent="0.25">
      <c r="A141" t="s">
        <v>6308</v>
      </c>
      <c r="B141" t="s">
        <v>4342</v>
      </c>
      <c r="C141" t="s">
        <v>4289</v>
      </c>
      <c r="D141" t="s">
        <v>4034</v>
      </c>
      <c r="E141" t="s">
        <v>6309</v>
      </c>
      <c r="F141" t="s">
        <v>6802</v>
      </c>
      <c r="G141" t="s">
        <v>3467</v>
      </c>
      <c r="H141" t="s">
        <v>3467</v>
      </c>
      <c r="I141" t="s">
        <v>3467</v>
      </c>
      <c r="J141" t="s">
        <v>3467</v>
      </c>
      <c r="K141" t="s">
        <v>6308</v>
      </c>
      <c r="L141" t="s">
        <v>90</v>
      </c>
      <c r="M141" t="s">
        <v>5508</v>
      </c>
      <c r="N141" t="s">
        <v>3467</v>
      </c>
      <c r="O141" t="s">
        <v>5915</v>
      </c>
    </row>
    <row r="142" spans="1:15" x14ac:dyDescent="0.25">
      <c r="A142" t="s">
        <v>6310</v>
      </c>
      <c r="B142" t="s">
        <v>4342</v>
      </c>
      <c r="C142" t="s">
        <v>5767</v>
      </c>
      <c r="D142">
        <v>0</v>
      </c>
      <c r="E142" t="s">
        <v>6311</v>
      </c>
      <c r="F142" t="s">
        <v>6803</v>
      </c>
      <c r="G142" t="s">
        <v>6312</v>
      </c>
      <c r="H142" t="s">
        <v>6461</v>
      </c>
      <c r="I142">
        <v>0</v>
      </c>
      <c r="J142" t="s">
        <v>6462</v>
      </c>
      <c r="K142" t="s">
        <v>6310</v>
      </c>
      <c r="L142" t="s">
        <v>90</v>
      </c>
      <c r="M142" t="s">
        <v>5541</v>
      </c>
      <c r="N142" t="s">
        <v>3467</v>
      </c>
      <c r="O142" t="s">
        <v>6804</v>
      </c>
    </row>
    <row r="143" spans="1:15" x14ac:dyDescent="0.25">
      <c r="A143" t="s">
        <v>6313</v>
      </c>
      <c r="B143" t="s">
        <v>3530</v>
      </c>
      <c r="C143" t="s">
        <v>5405</v>
      </c>
      <c r="D143">
        <v>2</v>
      </c>
      <c r="E143" s="9" t="s">
        <v>6314</v>
      </c>
      <c r="F143" t="s">
        <v>6805</v>
      </c>
      <c r="G143" s="9" t="s">
        <v>6315</v>
      </c>
      <c r="H143" t="s">
        <v>6806</v>
      </c>
      <c r="I143">
        <v>2</v>
      </c>
      <c r="J143" t="s">
        <v>3467</v>
      </c>
      <c r="K143" t="s">
        <v>6313</v>
      </c>
      <c r="L143" t="s">
        <v>90</v>
      </c>
      <c r="M143" t="s">
        <v>5541</v>
      </c>
      <c r="N143" t="s">
        <v>3467</v>
      </c>
      <c r="O143" t="s">
        <v>5982</v>
      </c>
    </row>
    <row r="144" spans="1:15" x14ac:dyDescent="0.25">
      <c r="A144" t="s">
        <v>6316</v>
      </c>
      <c r="B144" t="s">
        <v>41</v>
      </c>
      <c r="C144" t="s">
        <v>5405</v>
      </c>
      <c r="D144">
        <v>1</v>
      </c>
      <c r="E144" t="s">
        <v>6317</v>
      </c>
      <c r="F144" t="s">
        <v>6807</v>
      </c>
      <c r="G144" t="s">
        <v>6318</v>
      </c>
      <c r="H144" t="s">
        <v>6808</v>
      </c>
      <c r="I144">
        <v>1</v>
      </c>
      <c r="J144" t="s">
        <v>3467</v>
      </c>
      <c r="K144" t="s">
        <v>6319</v>
      </c>
      <c r="L144" t="s">
        <v>90</v>
      </c>
      <c r="M144" t="s">
        <v>3467</v>
      </c>
      <c r="N144" t="s">
        <v>3467</v>
      </c>
      <c r="O144" t="s">
        <v>6320</v>
      </c>
    </row>
    <row r="145" spans="1:15" x14ac:dyDescent="0.25">
      <c r="A145" t="s">
        <v>6321</v>
      </c>
      <c r="B145" t="s">
        <v>3530</v>
      </c>
      <c r="C145" t="s">
        <v>5767</v>
      </c>
      <c r="D145" t="s">
        <v>5991</v>
      </c>
      <c r="E145" t="s">
        <v>6322</v>
      </c>
      <c r="F145" t="s">
        <v>6809</v>
      </c>
      <c r="G145" t="s">
        <v>6323</v>
      </c>
      <c r="H145" t="s">
        <v>6810</v>
      </c>
      <c r="I145" t="s">
        <v>5991</v>
      </c>
      <c r="J145" t="s">
        <v>6811</v>
      </c>
      <c r="K145" t="s">
        <v>6321</v>
      </c>
      <c r="L145" t="s">
        <v>90</v>
      </c>
      <c r="M145" t="s">
        <v>3467</v>
      </c>
      <c r="N145" t="s">
        <v>3467</v>
      </c>
      <c r="O145" t="s">
        <v>5822</v>
      </c>
    </row>
    <row r="146" spans="1:15" x14ac:dyDescent="0.25">
      <c r="A146" t="s">
        <v>6324</v>
      </c>
      <c r="B146" t="s">
        <v>41</v>
      </c>
      <c r="C146" t="s">
        <v>5767</v>
      </c>
      <c r="D146">
        <v>0</v>
      </c>
      <c r="E146" s="9" t="s">
        <v>6325</v>
      </c>
      <c r="F146" t="s">
        <v>6812</v>
      </c>
      <c r="G146" s="9" t="s">
        <v>6326</v>
      </c>
      <c r="H146" t="s">
        <v>6813</v>
      </c>
      <c r="I146">
        <v>0</v>
      </c>
      <c r="J146" t="s">
        <v>6529</v>
      </c>
      <c r="K146" t="s">
        <v>6324</v>
      </c>
      <c r="L146" t="s">
        <v>90</v>
      </c>
      <c r="M146" t="s">
        <v>3467</v>
      </c>
      <c r="N146" t="s">
        <v>3467</v>
      </c>
      <c r="O146" t="s">
        <v>5822</v>
      </c>
    </row>
    <row r="147" spans="1:15" x14ac:dyDescent="0.25">
      <c r="A147" t="s">
        <v>6327</v>
      </c>
      <c r="B147" t="s">
        <v>4342</v>
      </c>
      <c r="C147" t="s">
        <v>3674</v>
      </c>
      <c r="D147">
        <v>1</v>
      </c>
      <c r="E147" t="s">
        <v>6328</v>
      </c>
      <c r="F147" t="s">
        <v>6814</v>
      </c>
      <c r="G147" t="s">
        <v>3467</v>
      </c>
      <c r="H147" t="s">
        <v>3467</v>
      </c>
      <c r="I147" t="s">
        <v>3467</v>
      </c>
      <c r="J147" t="s">
        <v>3467</v>
      </c>
      <c r="K147" t="s">
        <v>6327</v>
      </c>
      <c r="L147" t="s">
        <v>90</v>
      </c>
      <c r="M147" t="s">
        <v>5541</v>
      </c>
      <c r="N147" t="s">
        <v>3467</v>
      </c>
      <c r="O147" t="s">
        <v>6504</v>
      </c>
    </row>
    <row r="148" spans="1:15" x14ac:dyDescent="0.25">
      <c r="A148" t="s">
        <v>6329</v>
      </c>
      <c r="B148" t="s">
        <v>41</v>
      </c>
      <c r="C148" t="s">
        <v>5767</v>
      </c>
      <c r="D148">
        <v>2</v>
      </c>
      <c r="E148" s="9" t="s">
        <v>6330</v>
      </c>
      <c r="F148" t="s">
        <v>6815</v>
      </c>
      <c r="G148" s="9" t="s">
        <v>6331</v>
      </c>
      <c r="H148" t="s">
        <v>6816</v>
      </c>
      <c r="I148">
        <v>2</v>
      </c>
      <c r="J148" t="s">
        <v>6445</v>
      </c>
      <c r="K148" t="s">
        <v>6332</v>
      </c>
      <c r="L148" t="s">
        <v>90</v>
      </c>
      <c r="M148" t="s">
        <v>3467</v>
      </c>
      <c r="N148" t="s">
        <v>3467</v>
      </c>
      <c r="O148" t="s">
        <v>6070</v>
      </c>
    </row>
    <row r="149" spans="1:15" x14ac:dyDescent="0.25">
      <c r="A149" t="s">
        <v>6334</v>
      </c>
      <c r="B149" t="s">
        <v>3530</v>
      </c>
      <c r="C149" t="s">
        <v>5405</v>
      </c>
      <c r="D149">
        <v>1</v>
      </c>
      <c r="E149" s="9" t="s">
        <v>6335</v>
      </c>
      <c r="F149" t="s">
        <v>6817</v>
      </c>
      <c r="G149" s="9" t="s">
        <v>6336</v>
      </c>
      <c r="H149" t="s">
        <v>6818</v>
      </c>
      <c r="I149">
        <v>1</v>
      </c>
      <c r="J149" t="s">
        <v>3467</v>
      </c>
      <c r="K149" t="s">
        <v>6337</v>
      </c>
      <c r="L149" t="s">
        <v>90</v>
      </c>
      <c r="M149" t="s">
        <v>3467</v>
      </c>
      <c r="N149" t="s">
        <v>3467</v>
      </c>
      <c r="O149" t="s">
        <v>5972</v>
      </c>
    </row>
    <row r="150" spans="1:15" x14ac:dyDescent="0.25">
      <c r="A150" t="s">
        <v>6338</v>
      </c>
      <c r="B150" t="s">
        <v>3518</v>
      </c>
      <c r="C150" t="s">
        <v>5405</v>
      </c>
      <c r="D150">
        <v>1</v>
      </c>
      <c r="E150" t="s">
        <v>6339</v>
      </c>
      <c r="F150" t="s">
        <v>6819</v>
      </c>
      <c r="G150" t="s">
        <v>6340</v>
      </c>
      <c r="H150" t="s">
        <v>6820</v>
      </c>
      <c r="I150">
        <v>1</v>
      </c>
      <c r="J150" t="s">
        <v>3467</v>
      </c>
      <c r="K150" t="s">
        <v>6341</v>
      </c>
      <c r="L150" t="s">
        <v>90</v>
      </c>
      <c r="M150" t="s">
        <v>3467</v>
      </c>
      <c r="N150" t="s">
        <v>3467</v>
      </c>
      <c r="O150" t="s">
        <v>6342</v>
      </c>
    </row>
    <row r="151" spans="1:15" x14ac:dyDescent="0.25">
      <c r="A151" t="s">
        <v>6821</v>
      </c>
      <c r="B151" t="s">
        <v>3563</v>
      </c>
      <c r="C151" t="s">
        <v>5767</v>
      </c>
      <c r="D151">
        <v>1</v>
      </c>
      <c r="E151" t="s">
        <v>6325</v>
      </c>
      <c r="F151" t="s">
        <v>6812</v>
      </c>
      <c r="G151" t="s">
        <v>6326</v>
      </c>
      <c r="H151" t="s">
        <v>6813</v>
      </c>
      <c r="I151">
        <v>1</v>
      </c>
      <c r="J151" t="s">
        <v>6454</v>
      </c>
      <c r="K151" t="s">
        <v>6822</v>
      </c>
      <c r="L151" t="s">
        <v>90</v>
      </c>
      <c r="M151" t="s">
        <v>3467</v>
      </c>
      <c r="N151" t="s">
        <v>3467</v>
      </c>
      <c r="O151" t="s">
        <v>6823</v>
      </c>
    </row>
    <row r="152" spans="1:15" x14ac:dyDescent="0.25">
      <c r="A152" t="s">
        <v>6824</v>
      </c>
      <c r="B152" t="s">
        <v>3563</v>
      </c>
      <c r="C152" t="s">
        <v>5767</v>
      </c>
      <c r="D152">
        <v>1</v>
      </c>
      <c r="E152" t="s">
        <v>6325</v>
      </c>
      <c r="F152" t="s">
        <v>6812</v>
      </c>
      <c r="G152" t="s">
        <v>6326</v>
      </c>
      <c r="H152" t="s">
        <v>6813</v>
      </c>
      <c r="I152">
        <v>1</v>
      </c>
      <c r="J152" t="s">
        <v>6437</v>
      </c>
      <c r="K152" t="s">
        <v>6825</v>
      </c>
      <c r="L152" t="s">
        <v>90</v>
      </c>
      <c r="M152" t="s">
        <v>3467</v>
      </c>
      <c r="N152" t="s">
        <v>3467</v>
      </c>
      <c r="O152" t="s">
        <v>6823</v>
      </c>
    </row>
    <row r="153" spans="1:15" x14ac:dyDescent="0.25">
      <c r="A153" t="s">
        <v>6344</v>
      </c>
      <c r="B153" t="s">
        <v>41</v>
      </c>
      <c r="C153" t="s">
        <v>5767</v>
      </c>
      <c r="D153">
        <v>1</v>
      </c>
      <c r="E153" t="s">
        <v>6345</v>
      </c>
      <c r="F153" t="s">
        <v>6826</v>
      </c>
      <c r="G153" t="s">
        <v>6346</v>
      </c>
      <c r="H153" t="s">
        <v>6827</v>
      </c>
      <c r="I153">
        <v>1</v>
      </c>
      <c r="J153" t="s">
        <v>6437</v>
      </c>
      <c r="K153" t="s">
        <v>6347</v>
      </c>
      <c r="L153" t="s">
        <v>90</v>
      </c>
      <c r="M153" t="s">
        <v>3467</v>
      </c>
      <c r="N153" t="s">
        <v>3467</v>
      </c>
      <c r="O153" t="s">
        <v>5798</v>
      </c>
    </row>
    <row r="154" spans="1:15" x14ac:dyDescent="0.25">
      <c r="A154" t="s">
        <v>5741</v>
      </c>
      <c r="B154" t="s">
        <v>3563</v>
      </c>
      <c r="C154" t="s">
        <v>5405</v>
      </c>
      <c r="D154">
        <v>1</v>
      </c>
      <c r="E154" t="s">
        <v>6348</v>
      </c>
      <c r="F154" t="s">
        <v>6828</v>
      </c>
      <c r="G154" t="s">
        <v>6349</v>
      </c>
      <c r="H154" t="s">
        <v>6829</v>
      </c>
      <c r="I154">
        <v>1</v>
      </c>
      <c r="J154" t="s">
        <v>3467</v>
      </c>
      <c r="K154" t="s">
        <v>5741</v>
      </c>
      <c r="L154" t="s">
        <v>90</v>
      </c>
      <c r="M154" t="s">
        <v>3467</v>
      </c>
      <c r="N154" t="s">
        <v>3467</v>
      </c>
      <c r="O154" t="s">
        <v>6350</v>
      </c>
    </row>
    <row r="155" spans="1:15" x14ac:dyDescent="0.25">
      <c r="A155" t="s">
        <v>6351</v>
      </c>
      <c r="B155" t="s">
        <v>41</v>
      </c>
      <c r="C155" t="s">
        <v>5767</v>
      </c>
      <c r="D155">
        <v>1</v>
      </c>
      <c r="E155" t="s">
        <v>6352</v>
      </c>
      <c r="F155" t="s">
        <v>6830</v>
      </c>
      <c r="G155" t="s">
        <v>6353</v>
      </c>
      <c r="H155" t="s">
        <v>6831</v>
      </c>
      <c r="I155">
        <v>1</v>
      </c>
      <c r="J155" t="s">
        <v>6832</v>
      </c>
      <c r="K155" t="s">
        <v>6354</v>
      </c>
      <c r="L155" t="s">
        <v>90</v>
      </c>
      <c r="M155" t="s">
        <v>3467</v>
      </c>
      <c r="N155" t="s">
        <v>3467</v>
      </c>
      <c r="O155" t="s">
        <v>6355</v>
      </c>
    </row>
    <row r="156" spans="1:15" x14ac:dyDescent="0.25">
      <c r="A156" t="s">
        <v>6356</v>
      </c>
      <c r="B156" t="s">
        <v>41</v>
      </c>
      <c r="C156" t="s">
        <v>5767</v>
      </c>
      <c r="D156">
        <v>1</v>
      </c>
      <c r="E156" t="s">
        <v>6833</v>
      </c>
      <c r="F156" t="s">
        <v>6834</v>
      </c>
      <c r="G156" t="s">
        <v>6835</v>
      </c>
      <c r="H156" t="s">
        <v>6836</v>
      </c>
      <c r="I156">
        <v>1</v>
      </c>
      <c r="J156" t="s">
        <v>6837</v>
      </c>
      <c r="K156" t="s">
        <v>6359</v>
      </c>
      <c r="L156" t="s">
        <v>90</v>
      </c>
      <c r="M156" t="s">
        <v>5476</v>
      </c>
      <c r="N156" t="s">
        <v>3467</v>
      </c>
      <c r="O156" t="s">
        <v>5780</v>
      </c>
    </row>
    <row r="157" spans="1:15" x14ac:dyDescent="0.25">
      <c r="A157" t="s">
        <v>6360</v>
      </c>
      <c r="B157" t="s">
        <v>3530</v>
      </c>
      <c r="C157" t="s">
        <v>5405</v>
      </c>
      <c r="D157" t="s">
        <v>4034</v>
      </c>
      <c r="E157" t="s">
        <v>6361</v>
      </c>
      <c r="F157" t="s">
        <v>6838</v>
      </c>
      <c r="G157" t="s">
        <v>6362</v>
      </c>
      <c r="H157" t="s">
        <v>6789</v>
      </c>
      <c r="I157" t="s">
        <v>4034</v>
      </c>
      <c r="J157" t="s">
        <v>3467</v>
      </c>
      <c r="K157" t="s">
        <v>6360</v>
      </c>
      <c r="L157" t="s">
        <v>90</v>
      </c>
      <c r="M157" t="s">
        <v>5506</v>
      </c>
      <c r="N157" t="s">
        <v>3467</v>
      </c>
      <c r="O157" t="s">
        <v>6363</v>
      </c>
    </row>
    <row r="158" spans="1:15" x14ac:dyDescent="0.25">
      <c r="A158" t="s">
        <v>6368</v>
      </c>
      <c r="B158" t="s">
        <v>3530</v>
      </c>
      <c r="C158" t="s">
        <v>5405</v>
      </c>
      <c r="D158">
        <v>1</v>
      </c>
      <c r="E158" t="s">
        <v>6369</v>
      </c>
      <c r="F158" t="s">
        <v>6839</v>
      </c>
      <c r="G158" t="s">
        <v>6369</v>
      </c>
      <c r="H158" t="s">
        <v>6839</v>
      </c>
      <c r="I158">
        <v>0</v>
      </c>
      <c r="J158" t="s">
        <v>6495</v>
      </c>
      <c r="K158" t="s">
        <v>6368</v>
      </c>
      <c r="L158" t="s">
        <v>90</v>
      </c>
      <c r="M158" t="s">
        <v>5541</v>
      </c>
      <c r="N158" t="s">
        <v>3467</v>
      </c>
      <c r="O158" t="s">
        <v>6176</v>
      </c>
    </row>
    <row r="159" spans="1:15" x14ac:dyDescent="0.25">
      <c r="A159" t="s">
        <v>6370</v>
      </c>
      <c r="B159" t="s">
        <v>41</v>
      </c>
      <c r="C159" t="s">
        <v>5767</v>
      </c>
      <c r="D159">
        <v>1</v>
      </c>
      <c r="E159" t="s">
        <v>6840</v>
      </c>
      <c r="F159" t="s">
        <v>6841</v>
      </c>
      <c r="G159" t="s">
        <v>6842</v>
      </c>
      <c r="H159" t="s">
        <v>6843</v>
      </c>
      <c r="I159">
        <v>1</v>
      </c>
      <c r="J159" t="s">
        <v>6844</v>
      </c>
      <c r="K159" t="s">
        <v>6370</v>
      </c>
      <c r="L159" t="s">
        <v>90</v>
      </c>
      <c r="M159" t="s">
        <v>3467</v>
      </c>
      <c r="N159" t="s">
        <v>5436</v>
      </c>
      <c r="O159" t="s">
        <v>6845</v>
      </c>
    </row>
    <row r="160" spans="1:15" x14ac:dyDescent="0.25">
      <c r="A160" t="s">
        <v>6376</v>
      </c>
      <c r="B160" t="s">
        <v>41</v>
      </c>
      <c r="C160" t="s">
        <v>5405</v>
      </c>
      <c r="D160">
        <v>1</v>
      </c>
      <c r="E160" s="9" t="s">
        <v>6377</v>
      </c>
      <c r="F160" t="s">
        <v>6846</v>
      </c>
      <c r="G160" s="9" t="s">
        <v>6378</v>
      </c>
      <c r="H160" t="s">
        <v>6847</v>
      </c>
      <c r="I160">
        <v>1</v>
      </c>
      <c r="J160" t="s">
        <v>3467</v>
      </c>
      <c r="K160" t="s">
        <v>6379</v>
      </c>
      <c r="L160" t="s">
        <v>90</v>
      </c>
      <c r="M160" t="s">
        <v>3467</v>
      </c>
      <c r="N160" t="s">
        <v>3467</v>
      </c>
      <c r="O160" t="s">
        <v>6044</v>
      </c>
    </row>
    <row r="161" spans="1:15" x14ac:dyDescent="0.25">
      <c r="A161" t="s">
        <v>6380</v>
      </c>
      <c r="B161" t="s">
        <v>41</v>
      </c>
      <c r="C161" t="s">
        <v>5767</v>
      </c>
      <c r="D161">
        <v>1</v>
      </c>
      <c r="E161" t="s">
        <v>6381</v>
      </c>
      <c r="F161" t="s">
        <v>6848</v>
      </c>
      <c r="G161" t="s">
        <v>6382</v>
      </c>
      <c r="H161" t="s">
        <v>6849</v>
      </c>
      <c r="I161">
        <v>1</v>
      </c>
      <c r="J161" t="s">
        <v>6454</v>
      </c>
      <c r="K161" t="s">
        <v>6383</v>
      </c>
      <c r="L161" t="s">
        <v>90</v>
      </c>
      <c r="M161" t="s">
        <v>3467</v>
      </c>
      <c r="N161" t="s">
        <v>3467</v>
      </c>
      <c r="O161" t="s">
        <v>6850</v>
      </c>
    </row>
    <row r="162" spans="1:15" x14ac:dyDescent="0.25">
      <c r="A162" t="s">
        <v>6384</v>
      </c>
      <c r="B162" t="s">
        <v>3518</v>
      </c>
      <c r="C162" t="s">
        <v>5767</v>
      </c>
      <c r="D162">
        <v>1</v>
      </c>
      <c r="E162" s="9" t="s">
        <v>6385</v>
      </c>
      <c r="F162" t="s">
        <v>6851</v>
      </c>
      <c r="G162" s="9" t="s">
        <v>6386</v>
      </c>
      <c r="H162" t="s">
        <v>6852</v>
      </c>
      <c r="I162">
        <v>1</v>
      </c>
      <c r="J162" t="s">
        <v>6560</v>
      </c>
      <c r="K162" t="s">
        <v>6384</v>
      </c>
      <c r="L162" t="s">
        <v>90</v>
      </c>
      <c r="M162" t="s">
        <v>3467</v>
      </c>
      <c r="N162" t="s">
        <v>3467</v>
      </c>
      <c r="O162" t="s">
        <v>6027</v>
      </c>
    </row>
    <row r="163" spans="1:15" x14ac:dyDescent="0.25">
      <c r="A163" t="s">
        <v>6387</v>
      </c>
      <c r="B163" t="s">
        <v>3530</v>
      </c>
      <c r="C163" t="s">
        <v>5767</v>
      </c>
      <c r="D163">
        <v>2</v>
      </c>
      <c r="E163" t="s">
        <v>6388</v>
      </c>
      <c r="F163" t="s">
        <v>6853</v>
      </c>
      <c r="G163" t="s">
        <v>6389</v>
      </c>
      <c r="H163" t="s">
        <v>6854</v>
      </c>
      <c r="I163">
        <v>2</v>
      </c>
      <c r="J163" t="s">
        <v>6437</v>
      </c>
      <c r="K163" t="s">
        <v>6387</v>
      </c>
      <c r="L163" t="s">
        <v>90</v>
      </c>
      <c r="M163" t="s">
        <v>3467</v>
      </c>
      <c r="N163" t="s">
        <v>3467</v>
      </c>
      <c r="O163" t="s">
        <v>5912</v>
      </c>
    </row>
    <row r="164" spans="1:15" x14ac:dyDescent="0.25">
      <c r="A164" t="s">
        <v>6391</v>
      </c>
      <c r="B164" t="s">
        <v>41</v>
      </c>
      <c r="C164" t="s">
        <v>5405</v>
      </c>
      <c r="D164">
        <v>0</v>
      </c>
      <c r="E164" t="s">
        <v>6392</v>
      </c>
      <c r="F164" t="s">
        <v>6855</v>
      </c>
      <c r="G164" t="s">
        <v>6393</v>
      </c>
      <c r="H164" t="s">
        <v>6856</v>
      </c>
      <c r="I164">
        <v>0</v>
      </c>
      <c r="J164" t="s">
        <v>3467</v>
      </c>
      <c r="K164" t="s">
        <v>6391</v>
      </c>
      <c r="L164" t="s">
        <v>90</v>
      </c>
      <c r="M164" t="s">
        <v>5541</v>
      </c>
      <c r="N164" t="s">
        <v>3467</v>
      </c>
      <c r="O164" t="s">
        <v>5808</v>
      </c>
    </row>
    <row r="165" spans="1:15" x14ac:dyDescent="0.25">
      <c r="A165" t="s">
        <v>5336</v>
      </c>
      <c r="B165" t="s">
        <v>3530</v>
      </c>
      <c r="C165" t="s">
        <v>4642</v>
      </c>
      <c r="D165">
        <v>1</v>
      </c>
      <c r="E165" s="9" t="s">
        <v>6857</v>
      </c>
      <c r="F165" t="s">
        <v>6858</v>
      </c>
      <c r="G165" s="9" t="s">
        <v>6859</v>
      </c>
      <c r="H165" t="s">
        <v>6860</v>
      </c>
      <c r="I165">
        <v>1</v>
      </c>
      <c r="J165" t="s">
        <v>3467</v>
      </c>
      <c r="K165" t="s">
        <v>5338</v>
      </c>
      <c r="L165" t="s">
        <v>90</v>
      </c>
      <c r="M165" t="s">
        <v>3467</v>
      </c>
      <c r="N165" t="s">
        <v>3467</v>
      </c>
      <c r="O165" t="s">
        <v>6861</v>
      </c>
    </row>
    <row r="166" spans="1:15" x14ac:dyDescent="0.25">
      <c r="A166" t="s">
        <v>6397</v>
      </c>
      <c r="B166" t="s">
        <v>3530</v>
      </c>
      <c r="C166" t="s">
        <v>5767</v>
      </c>
      <c r="D166" t="s">
        <v>5991</v>
      </c>
      <c r="E166" t="s">
        <v>6862</v>
      </c>
      <c r="F166" t="s">
        <v>6863</v>
      </c>
      <c r="G166" t="s">
        <v>6864</v>
      </c>
      <c r="H166" t="s">
        <v>6865</v>
      </c>
      <c r="I166" t="s">
        <v>5991</v>
      </c>
      <c r="J166" t="s">
        <v>6534</v>
      </c>
      <c r="K166" t="s">
        <v>6397</v>
      </c>
      <c r="L166" t="s">
        <v>90</v>
      </c>
      <c r="M166" t="s">
        <v>3467</v>
      </c>
      <c r="N166" t="s">
        <v>3467</v>
      </c>
      <c r="O166" t="s">
        <v>5904</v>
      </c>
    </row>
    <row r="167" spans="1:15" x14ac:dyDescent="0.25">
      <c r="A167" t="s">
        <v>6400</v>
      </c>
      <c r="B167" t="s">
        <v>3530</v>
      </c>
      <c r="C167" t="s">
        <v>5405</v>
      </c>
      <c r="D167">
        <v>1</v>
      </c>
      <c r="E167" s="9" t="s">
        <v>6401</v>
      </c>
      <c r="F167" t="s">
        <v>6866</v>
      </c>
      <c r="G167" s="9" t="s">
        <v>6401</v>
      </c>
      <c r="H167" t="s">
        <v>6866</v>
      </c>
      <c r="I167">
        <v>0</v>
      </c>
      <c r="J167" t="s">
        <v>3467</v>
      </c>
      <c r="K167" t="s">
        <v>6402</v>
      </c>
      <c r="L167" t="s">
        <v>90</v>
      </c>
      <c r="M167" t="s">
        <v>5541</v>
      </c>
      <c r="N167" t="s">
        <v>3467</v>
      </c>
      <c r="O167" t="s">
        <v>6867</v>
      </c>
    </row>
    <row r="168" spans="1:15" x14ac:dyDescent="0.25">
      <c r="A168" t="s">
        <v>6404</v>
      </c>
      <c r="B168" t="s">
        <v>41</v>
      </c>
      <c r="C168" t="s">
        <v>5767</v>
      </c>
      <c r="D168">
        <v>1</v>
      </c>
      <c r="E168" s="9" t="s">
        <v>6405</v>
      </c>
      <c r="F168" t="s">
        <v>6868</v>
      </c>
      <c r="G168" s="9" t="s">
        <v>6406</v>
      </c>
      <c r="H168" t="s">
        <v>6869</v>
      </c>
      <c r="I168">
        <v>1</v>
      </c>
      <c r="J168" t="s">
        <v>6495</v>
      </c>
      <c r="K168" t="s">
        <v>6407</v>
      </c>
      <c r="L168" t="s">
        <v>90</v>
      </c>
      <c r="M168" t="s">
        <v>3467</v>
      </c>
      <c r="N168" t="s">
        <v>3467</v>
      </c>
      <c r="O168" t="s">
        <v>6264</v>
      </c>
    </row>
    <row r="169" spans="1:15" x14ac:dyDescent="0.25">
      <c r="A169" t="s">
        <v>6408</v>
      </c>
      <c r="B169" t="s">
        <v>4342</v>
      </c>
      <c r="C169" t="s">
        <v>3674</v>
      </c>
      <c r="D169" t="s">
        <v>4034</v>
      </c>
      <c r="E169" s="9" t="s">
        <v>6133</v>
      </c>
      <c r="F169" t="s">
        <v>4259</v>
      </c>
      <c r="G169" s="9" t="s">
        <v>3467</v>
      </c>
      <c r="H169" t="s">
        <v>3467</v>
      </c>
      <c r="I169" t="s">
        <v>3467</v>
      </c>
      <c r="J169" t="s">
        <v>3467</v>
      </c>
      <c r="K169" t="s">
        <v>6408</v>
      </c>
      <c r="L169" t="s">
        <v>90</v>
      </c>
      <c r="M169" t="s">
        <v>3467</v>
      </c>
      <c r="N169" t="s">
        <v>3467</v>
      </c>
      <c r="O169" t="s">
        <v>6504</v>
      </c>
    </row>
    <row r="170" spans="1:15" x14ac:dyDescent="0.25">
      <c r="A170" t="s">
        <v>6409</v>
      </c>
      <c r="B170" t="s">
        <v>3518</v>
      </c>
      <c r="C170" t="s">
        <v>4642</v>
      </c>
      <c r="D170">
        <v>3</v>
      </c>
      <c r="E170" s="9" t="s">
        <v>6870</v>
      </c>
      <c r="F170" t="s">
        <v>6871</v>
      </c>
      <c r="G170" s="9" t="s">
        <v>6872</v>
      </c>
      <c r="H170" t="s">
        <v>6873</v>
      </c>
      <c r="I170" t="s">
        <v>3467</v>
      </c>
      <c r="J170" t="s">
        <v>3467</v>
      </c>
      <c r="K170" t="s">
        <v>6412</v>
      </c>
      <c r="L170" t="s">
        <v>90</v>
      </c>
      <c r="M170" t="s">
        <v>3467</v>
      </c>
      <c r="N170" t="s">
        <v>3467</v>
      </c>
      <c r="O170" t="s">
        <v>5762</v>
      </c>
    </row>
    <row r="171" spans="1:15" x14ac:dyDescent="0.25">
      <c r="A171" t="s">
        <v>6413</v>
      </c>
      <c r="B171" t="s">
        <v>4342</v>
      </c>
      <c r="C171" t="s">
        <v>4289</v>
      </c>
      <c r="D171" t="s">
        <v>4034</v>
      </c>
      <c r="E171" t="s">
        <v>6414</v>
      </c>
      <c r="F171" t="s">
        <v>4259</v>
      </c>
      <c r="G171" t="s">
        <v>3467</v>
      </c>
      <c r="H171" t="s">
        <v>3467</v>
      </c>
      <c r="I171" t="s">
        <v>3467</v>
      </c>
      <c r="J171" t="s">
        <v>3467</v>
      </c>
      <c r="K171" t="s">
        <v>6413</v>
      </c>
      <c r="L171" t="s">
        <v>90</v>
      </c>
      <c r="M171" t="s">
        <v>5508</v>
      </c>
      <c r="N171" t="s">
        <v>3467</v>
      </c>
      <c r="O171" t="s">
        <v>5915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6874</v>
      </c>
      <c r="C1" t="s">
        <v>6875</v>
      </c>
      <c r="D1" t="s">
        <v>3461</v>
      </c>
      <c r="E1" t="s">
        <v>3512</v>
      </c>
      <c r="F1" t="s">
        <v>6876</v>
      </c>
    </row>
    <row r="2" spans="1:6" ht="15" customHeight="1" x14ac:dyDescent="0.25">
      <c r="A2" t="s">
        <v>6877</v>
      </c>
      <c r="B2" t="s">
        <v>4738</v>
      </c>
      <c r="C2" t="s">
        <v>6878</v>
      </c>
      <c r="D2" t="s">
        <v>6879</v>
      </c>
      <c r="E2" t="s">
        <v>6880</v>
      </c>
      <c r="F2" t="s">
        <v>6881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6882</v>
      </c>
      <c r="D1" t="s">
        <v>171</v>
      </c>
      <c r="E1" t="s">
        <v>4494</v>
      </c>
      <c r="F1" t="s">
        <v>6</v>
      </c>
    </row>
    <row r="2" spans="1:6" ht="15" customHeight="1" x14ac:dyDescent="0.25">
      <c r="A2" t="s">
        <v>6883</v>
      </c>
      <c r="B2" t="s">
        <v>6884</v>
      </c>
      <c r="C2" t="s">
        <v>5218</v>
      </c>
      <c r="D2" t="s">
        <v>3674</v>
      </c>
      <c r="E2" t="s">
        <v>3467</v>
      </c>
      <c r="F2" t="s">
        <v>3467</v>
      </c>
    </row>
    <row r="3" spans="1:6" ht="15" customHeight="1" x14ac:dyDescent="0.25">
      <c r="A3" t="s">
        <v>6885</v>
      </c>
      <c r="B3" t="s">
        <v>6886</v>
      </c>
      <c r="C3" t="s">
        <v>6887</v>
      </c>
      <c r="D3" t="s">
        <v>3674</v>
      </c>
      <c r="E3" t="s">
        <v>3467</v>
      </c>
      <c r="F3" t="s">
        <v>3467</v>
      </c>
    </row>
    <row r="4" spans="1:6" ht="15" customHeight="1" x14ac:dyDescent="0.25">
      <c r="A4" t="s">
        <v>6888</v>
      </c>
      <c r="B4" t="s">
        <v>6889</v>
      </c>
      <c r="C4" t="s">
        <v>5221</v>
      </c>
      <c r="D4" t="s">
        <v>6888</v>
      </c>
      <c r="E4" t="s">
        <v>4015</v>
      </c>
      <c r="F4" t="s">
        <v>3518</v>
      </c>
    </row>
    <row r="5" spans="1:6" ht="15" customHeight="1" x14ac:dyDescent="0.25">
      <c r="A5" t="s">
        <v>6890</v>
      </c>
      <c r="B5" t="s">
        <v>6891</v>
      </c>
      <c r="C5" t="s">
        <v>6892</v>
      </c>
      <c r="D5" t="s">
        <v>3528</v>
      </c>
      <c r="E5" t="s">
        <v>4036</v>
      </c>
      <c r="F5" t="s">
        <v>41</v>
      </c>
    </row>
    <row r="6" spans="1:6" ht="15" customHeight="1" x14ac:dyDescent="0.25">
      <c r="A6" t="s">
        <v>6893</v>
      </c>
      <c r="B6" t="s">
        <v>6894</v>
      </c>
      <c r="C6" t="s">
        <v>6892</v>
      </c>
      <c r="D6" t="s">
        <v>3674</v>
      </c>
      <c r="E6" t="s">
        <v>3467</v>
      </c>
      <c r="F6" t="s">
        <v>3530</v>
      </c>
    </row>
    <row r="7" spans="1:6" ht="15" customHeight="1" x14ac:dyDescent="0.25">
      <c r="A7" t="s">
        <v>6895</v>
      </c>
      <c r="B7" t="s">
        <v>6896</v>
      </c>
      <c r="C7" t="s">
        <v>6887</v>
      </c>
      <c r="D7" t="s">
        <v>3674</v>
      </c>
      <c r="E7" t="s">
        <v>3467</v>
      </c>
    </row>
    <row r="8" spans="1:6" ht="15" customHeight="1" x14ac:dyDescent="0.25">
      <c r="A8" t="s">
        <v>6897</v>
      </c>
      <c r="B8" t="s">
        <v>6898</v>
      </c>
      <c r="C8" t="s">
        <v>5218</v>
      </c>
      <c r="D8" t="s">
        <v>3674</v>
      </c>
      <c r="E8" t="s">
        <v>3467</v>
      </c>
      <c r="F8" t="s">
        <v>3467</v>
      </c>
    </row>
    <row r="9" spans="1:6" ht="15" customHeight="1" x14ac:dyDescent="0.25">
      <c r="A9" t="s">
        <v>6899</v>
      </c>
      <c r="B9" t="s">
        <v>6900</v>
      </c>
      <c r="C9" t="s">
        <v>5221</v>
      </c>
      <c r="D9" t="s">
        <v>5767</v>
      </c>
      <c r="E9" t="s">
        <v>4015</v>
      </c>
      <c r="F9" t="s">
        <v>41</v>
      </c>
    </row>
    <row r="10" spans="1:6" ht="15" customHeight="1" x14ac:dyDescent="0.25">
      <c r="A10" t="s">
        <v>6901</v>
      </c>
      <c r="B10" t="s">
        <v>6902</v>
      </c>
      <c r="C10" t="s">
        <v>6887</v>
      </c>
      <c r="D10" t="s">
        <v>3674</v>
      </c>
      <c r="E10" t="s">
        <v>5068</v>
      </c>
      <c r="F10" t="s">
        <v>41</v>
      </c>
    </row>
    <row r="11" spans="1:6" ht="15" customHeight="1" x14ac:dyDescent="0.25">
      <c r="A11" t="s">
        <v>6903</v>
      </c>
      <c r="B11" t="s">
        <v>6904</v>
      </c>
      <c r="C11" t="s">
        <v>6892</v>
      </c>
      <c r="D11" t="s">
        <v>3449</v>
      </c>
      <c r="E11" t="s">
        <v>3467</v>
      </c>
      <c r="F11" t="s">
        <v>3530</v>
      </c>
    </row>
    <row r="12" spans="1:6" ht="15" customHeight="1" x14ac:dyDescent="0.25">
      <c r="A12" t="s">
        <v>6905</v>
      </c>
      <c r="B12" t="s">
        <v>6906</v>
      </c>
      <c r="C12" t="s">
        <v>5221</v>
      </c>
      <c r="D12" t="s">
        <v>3674</v>
      </c>
      <c r="E12" t="s">
        <v>5068</v>
      </c>
      <c r="F12" t="s">
        <v>41</v>
      </c>
    </row>
    <row r="13" spans="1:6" ht="15" customHeight="1" x14ac:dyDescent="0.25">
      <c r="A13" t="s">
        <v>6907</v>
      </c>
      <c r="B13" t="s">
        <v>6908</v>
      </c>
      <c r="C13" t="s">
        <v>6887</v>
      </c>
      <c r="D13" t="s">
        <v>3674</v>
      </c>
      <c r="E13" t="s">
        <v>3467</v>
      </c>
      <c r="F13" t="s">
        <v>3467</v>
      </c>
    </row>
    <row r="14" spans="1:6" ht="15" customHeight="1" x14ac:dyDescent="0.25">
      <c r="A14" t="s">
        <v>6909</v>
      </c>
      <c r="B14" t="s">
        <v>6910</v>
      </c>
      <c r="C14" t="s">
        <v>6887</v>
      </c>
      <c r="D14" t="s">
        <v>3674</v>
      </c>
      <c r="E14" t="s">
        <v>3467</v>
      </c>
      <c r="F14" t="s">
        <v>3467</v>
      </c>
    </row>
    <row r="15" spans="1:6" ht="15" customHeight="1" x14ac:dyDescent="0.25">
      <c r="A15" t="s">
        <v>6911</v>
      </c>
      <c r="B15" t="s">
        <v>6912</v>
      </c>
      <c r="C15" t="s">
        <v>5221</v>
      </c>
      <c r="D15" t="s">
        <v>5767</v>
      </c>
      <c r="E15" t="s">
        <v>6913</v>
      </c>
      <c r="F15" t="s">
        <v>3518</v>
      </c>
    </row>
    <row r="16" spans="1:6" ht="15" customHeight="1" x14ac:dyDescent="0.25">
      <c r="A16" t="s">
        <v>6914</v>
      </c>
      <c r="B16" t="s">
        <v>6915</v>
      </c>
      <c r="C16" t="s">
        <v>6887</v>
      </c>
      <c r="D16" t="s">
        <v>6914</v>
      </c>
      <c r="E16" t="s">
        <v>3467</v>
      </c>
      <c r="F16" t="s">
        <v>41</v>
      </c>
    </row>
    <row r="17" spans="1:6" ht="15" customHeight="1" x14ac:dyDescent="0.25">
      <c r="A17" t="s">
        <v>6205</v>
      </c>
      <c r="B17" t="s">
        <v>6916</v>
      </c>
      <c r="C17" t="s">
        <v>6887</v>
      </c>
      <c r="D17" t="s">
        <v>3674</v>
      </c>
      <c r="E17" t="s">
        <v>4015</v>
      </c>
      <c r="F17" t="s">
        <v>3467</v>
      </c>
    </row>
    <row r="18" spans="1:6" ht="15" customHeight="1" x14ac:dyDescent="0.25">
      <c r="A18" t="s">
        <v>5720</v>
      </c>
      <c r="B18" t="s">
        <v>6917</v>
      </c>
      <c r="C18" t="s">
        <v>6887</v>
      </c>
      <c r="D18" t="s">
        <v>3674</v>
      </c>
      <c r="E18" t="s">
        <v>5068</v>
      </c>
      <c r="F18" t="s">
        <v>3518</v>
      </c>
    </row>
    <row r="19" spans="1:6" ht="15" customHeight="1" x14ac:dyDescent="0.25">
      <c r="A19" t="s">
        <v>6918</v>
      </c>
      <c r="B19" t="s">
        <v>6919</v>
      </c>
      <c r="C19" t="s">
        <v>6887</v>
      </c>
      <c r="D19" t="s">
        <v>3674</v>
      </c>
      <c r="E19" t="s">
        <v>3467</v>
      </c>
      <c r="F19" t="s">
        <v>3467</v>
      </c>
    </row>
    <row r="20" spans="1:6" ht="15" customHeight="1" x14ac:dyDescent="0.25">
      <c r="A20" t="s">
        <v>6920</v>
      </c>
      <c r="B20" t="s">
        <v>6921</v>
      </c>
      <c r="C20" t="s">
        <v>5218</v>
      </c>
      <c r="D20" t="s">
        <v>3674</v>
      </c>
      <c r="E20" t="s">
        <v>3467</v>
      </c>
      <c r="F20" t="s">
        <v>3467</v>
      </c>
    </row>
    <row r="21" spans="1:6" ht="15" customHeight="1" x14ac:dyDescent="0.25">
      <c r="A21" t="s">
        <v>6922</v>
      </c>
      <c r="B21" t="s">
        <v>6923</v>
      </c>
      <c r="C21" t="s">
        <v>6892</v>
      </c>
      <c r="D21" t="s">
        <v>6922</v>
      </c>
      <c r="E21" t="s">
        <v>6913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5743</v>
      </c>
      <c r="C1" t="s">
        <v>6</v>
      </c>
      <c r="D1" t="s">
        <v>3461</v>
      </c>
      <c r="E1" t="s">
        <v>6422</v>
      </c>
      <c r="F1" t="s">
        <v>6924</v>
      </c>
      <c r="G1" t="s">
        <v>1</v>
      </c>
      <c r="H1" t="s">
        <v>6423</v>
      </c>
      <c r="I1" t="s">
        <v>171</v>
      </c>
    </row>
    <row r="2" spans="1:9" ht="15" customHeight="1" x14ac:dyDescent="0.25">
      <c r="A2" t="s">
        <v>6925</v>
      </c>
      <c r="B2">
        <v>6</v>
      </c>
      <c r="C2" t="s">
        <v>3518</v>
      </c>
      <c r="D2" t="s">
        <v>6926</v>
      </c>
      <c r="E2" t="s">
        <v>3467</v>
      </c>
      <c r="F2" t="s">
        <v>4034</v>
      </c>
      <c r="G2" t="s">
        <v>2362</v>
      </c>
      <c r="H2" t="s">
        <v>5431</v>
      </c>
      <c r="I2" t="s">
        <v>6925</v>
      </c>
    </row>
    <row r="3" spans="1:9" ht="15" customHeight="1" x14ac:dyDescent="0.25">
      <c r="A3" t="s">
        <v>6927</v>
      </c>
      <c r="B3">
        <v>3</v>
      </c>
      <c r="C3" t="s">
        <v>3530</v>
      </c>
      <c r="D3" t="s">
        <v>6928</v>
      </c>
      <c r="E3" t="s">
        <v>3467</v>
      </c>
      <c r="F3" t="s">
        <v>187</v>
      </c>
      <c r="G3" t="s">
        <v>2362</v>
      </c>
      <c r="H3" t="s">
        <v>3467</v>
      </c>
      <c r="I3" t="s">
        <v>6927</v>
      </c>
    </row>
    <row r="4" spans="1:9" ht="15" customHeight="1" x14ac:dyDescent="0.25">
      <c r="A4" t="s">
        <v>6929</v>
      </c>
      <c r="B4">
        <v>3</v>
      </c>
      <c r="C4" t="s">
        <v>3518</v>
      </c>
      <c r="D4" t="s">
        <v>6930</v>
      </c>
      <c r="E4" t="s">
        <v>5459</v>
      </c>
      <c r="F4" t="s">
        <v>187</v>
      </c>
      <c r="G4" t="s">
        <v>2362</v>
      </c>
      <c r="H4" t="s">
        <v>3467</v>
      </c>
      <c r="I4" t="s">
        <v>6929</v>
      </c>
    </row>
    <row r="5" spans="1:9" ht="15" customHeight="1" x14ac:dyDescent="0.25">
      <c r="A5" t="s">
        <v>6931</v>
      </c>
      <c r="B5">
        <v>6</v>
      </c>
      <c r="C5" t="s">
        <v>3518</v>
      </c>
      <c r="D5" t="s">
        <v>6932</v>
      </c>
      <c r="E5" t="s">
        <v>3467</v>
      </c>
      <c r="F5" t="s">
        <v>187</v>
      </c>
      <c r="G5" t="s">
        <v>2362</v>
      </c>
      <c r="H5" t="s">
        <v>4305</v>
      </c>
      <c r="I5" t="s">
        <v>6931</v>
      </c>
    </row>
    <row r="6" spans="1:9" ht="15" customHeight="1" x14ac:dyDescent="0.25">
      <c r="A6" t="s">
        <v>4039</v>
      </c>
      <c r="B6">
        <v>1</v>
      </c>
      <c r="C6" t="s">
        <v>3530</v>
      </c>
      <c r="D6" t="s">
        <v>6933</v>
      </c>
      <c r="E6" t="s">
        <v>3467</v>
      </c>
      <c r="F6" t="s">
        <v>187</v>
      </c>
      <c r="G6" t="s">
        <v>2362</v>
      </c>
      <c r="H6" t="s">
        <v>4305</v>
      </c>
      <c r="I6" t="s">
        <v>4039</v>
      </c>
    </row>
    <row r="7" spans="1:9" ht="15" customHeight="1" x14ac:dyDescent="0.25">
      <c r="A7" t="s">
        <v>6934</v>
      </c>
      <c r="B7">
        <v>3</v>
      </c>
      <c r="C7" t="s">
        <v>3518</v>
      </c>
      <c r="D7" t="s">
        <v>6935</v>
      </c>
      <c r="E7" t="s">
        <v>3467</v>
      </c>
      <c r="F7" t="s">
        <v>187</v>
      </c>
      <c r="G7" t="s">
        <v>2362</v>
      </c>
      <c r="H7" t="s">
        <v>3467</v>
      </c>
      <c r="I7" t="s">
        <v>6934</v>
      </c>
    </row>
    <row r="8" spans="1:9" ht="15" customHeight="1" x14ac:dyDescent="0.25">
      <c r="A8" t="s">
        <v>6936</v>
      </c>
      <c r="B8">
        <v>1</v>
      </c>
      <c r="C8" t="s">
        <v>3530</v>
      </c>
      <c r="D8" t="s">
        <v>6937</v>
      </c>
      <c r="E8" t="s">
        <v>5457</v>
      </c>
      <c r="F8" t="s">
        <v>187</v>
      </c>
      <c r="G8" t="s">
        <v>2362</v>
      </c>
      <c r="H8" t="s">
        <v>3467</v>
      </c>
      <c r="I8" t="s">
        <v>6936</v>
      </c>
    </row>
    <row r="9" spans="1:9" ht="15" customHeight="1" x14ac:dyDescent="0.25">
      <c r="A9" t="s">
        <v>6938</v>
      </c>
      <c r="B9">
        <v>2</v>
      </c>
      <c r="C9" t="s">
        <v>41</v>
      </c>
      <c r="D9" t="s">
        <v>4603</v>
      </c>
      <c r="E9" t="s">
        <v>5474</v>
      </c>
      <c r="F9" t="s">
        <v>4034</v>
      </c>
      <c r="G9" t="s">
        <v>2362</v>
      </c>
      <c r="H9" t="s">
        <v>3467</v>
      </c>
      <c r="I9" t="s">
        <v>6938</v>
      </c>
    </row>
    <row r="10" spans="1:9" ht="15" customHeight="1" x14ac:dyDescent="0.25">
      <c r="A10" t="s">
        <v>6939</v>
      </c>
      <c r="B10">
        <v>1</v>
      </c>
      <c r="C10" t="s">
        <v>3518</v>
      </c>
      <c r="D10" t="s">
        <v>6940</v>
      </c>
      <c r="E10" t="s">
        <v>5457</v>
      </c>
      <c r="F10" t="s">
        <v>4034</v>
      </c>
      <c r="G10" t="s">
        <v>2362</v>
      </c>
      <c r="H10" t="s">
        <v>5428</v>
      </c>
      <c r="I10" t="s">
        <v>6939</v>
      </c>
    </row>
    <row r="11" spans="1:9" ht="15" customHeight="1" x14ac:dyDescent="0.25">
      <c r="A11" t="s">
        <v>6941</v>
      </c>
      <c r="B11">
        <v>15</v>
      </c>
      <c r="C11" t="s">
        <v>3518</v>
      </c>
      <c r="D11" t="s">
        <v>6942</v>
      </c>
      <c r="E11" t="s">
        <v>3467</v>
      </c>
      <c r="F11" t="s">
        <v>4034</v>
      </c>
      <c r="G11" t="s">
        <v>2362</v>
      </c>
      <c r="H11" t="s">
        <v>5431</v>
      </c>
      <c r="I11" t="s">
        <v>6941</v>
      </c>
    </row>
    <row r="12" spans="1:9" ht="15" customHeight="1" x14ac:dyDescent="0.25">
      <c r="A12" t="s">
        <v>6943</v>
      </c>
      <c r="B12">
        <v>2</v>
      </c>
      <c r="C12" t="s">
        <v>41</v>
      </c>
      <c r="D12" t="s">
        <v>6944</v>
      </c>
      <c r="E12" t="s">
        <v>3467</v>
      </c>
      <c r="F12" t="s">
        <v>4034</v>
      </c>
      <c r="G12" t="s">
        <v>2362</v>
      </c>
      <c r="H12" t="s">
        <v>5428</v>
      </c>
      <c r="I12" t="s">
        <v>6943</v>
      </c>
    </row>
    <row r="13" spans="1:9" ht="15" customHeight="1" x14ac:dyDescent="0.25">
      <c r="A13" t="s">
        <v>6945</v>
      </c>
      <c r="B13">
        <v>3</v>
      </c>
      <c r="C13" t="s">
        <v>3518</v>
      </c>
      <c r="D13" t="s">
        <v>6946</v>
      </c>
      <c r="E13" t="s">
        <v>3467</v>
      </c>
      <c r="F13" t="s">
        <v>187</v>
      </c>
      <c r="G13" t="s">
        <v>2362</v>
      </c>
      <c r="H13" t="s">
        <v>5299</v>
      </c>
      <c r="I13" t="s">
        <v>6945</v>
      </c>
    </row>
    <row r="14" spans="1:9" ht="15" customHeight="1" x14ac:dyDescent="0.25">
      <c r="A14" t="s">
        <v>6947</v>
      </c>
      <c r="B14">
        <v>1</v>
      </c>
      <c r="C14" t="s">
        <v>41</v>
      </c>
      <c r="D14" t="s">
        <v>6948</v>
      </c>
      <c r="E14" t="s">
        <v>5457</v>
      </c>
      <c r="F14" t="s">
        <v>187</v>
      </c>
      <c r="G14" t="s">
        <v>2362</v>
      </c>
      <c r="H14" t="s">
        <v>3467</v>
      </c>
      <c r="I14" t="s">
        <v>6947</v>
      </c>
    </row>
    <row r="15" spans="1:9" ht="15" customHeight="1" x14ac:dyDescent="0.25">
      <c r="A15" t="s">
        <v>6949</v>
      </c>
      <c r="B15">
        <v>2</v>
      </c>
      <c r="C15" t="s">
        <v>41</v>
      </c>
      <c r="D15" t="s">
        <v>6950</v>
      </c>
      <c r="E15" t="s">
        <v>5504</v>
      </c>
      <c r="F15" t="s">
        <v>187</v>
      </c>
      <c r="G15" t="s">
        <v>2362</v>
      </c>
      <c r="H15" t="s">
        <v>5434</v>
      </c>
      <c r="I15" t="s">
        <v>6949</v>
      </c>
    </row>
    <row r="16" spans="1:9" ht="15" customHeight="1" x14ac:dyDescent="0.25">
      <c r="A16" t="s">
        <v>6951</v>
      </c>
      <c r="B16">
        <v>2</v>
      </c>
      <c r="C16" t="s">
        <v>41</v>
      </c>
      <c r="D16" t="s">
        <v>6952</v>
      </c>
      <c r="E16" t="s">
        <v>5504</v>
      </c>
      <c r="F16" t="s">
        <v>187</v>
      </c>
      <c r="G16" t="s">
        <v>2362</v>
      </c>
      <c r="H16" t="s">
        <v>5434</v>
      </c>
      <c r="I16" t="s">
        <v>6951</v>
      </c>
    </row>
    <row r="17" spans="1:9" ht="15" customHeight="1" x14ac:dyDescent="0.25">
      <c r="A17" t="s">
        <v>6953</v>
      </c>
      <c r="B17">
        <v>3</v>
      </c>
      <c r="C17" t="s">
        <v>3530</v>
      </c>
      <c r="D17" t="s">
        <v>6954</v>
      </c>
      <c r="E17" t="s">
        <v>3467</v>
      </c>
      <c r="F17" t="s">
        <v>187</v>
      </c>
      <c r="G17" t="s">
        <v>2362</v>
      </c>
      <c r="H17" t="s">
        <v>5443</v>
      </c>
      <c r="I17" t="s">
        <v>6953</v>
      </c>
    </row>
    <row r="18" spans="1:9" ht="15" customHeight="1" x14ac:dyDescent="0.25">
      <c r="A18" t="s">
        <v>6955</v>
      </c>
      <c r="B18">
        <v>3</v>
      </c>
      <c r="C18" t="s">
        <v>41</v>
      </c>
      <c r="D18" t="s">
        <v>6956</v>
      </c>
      <c r="E18" t="s">
        <v>5504</v>
      </c>
      <c r="F18" t="s">
        <v>187</v>
      </c>
      <c r="G18" t="s">
        <v>2362</v>
      </c>
      <c r="H18" t="s">
        <v>4305</v>
      </c>
      <c r="I18" t="s">
        <v>6955</v>
      </c>
    </row>
    <row r="19" spans="1:9" ht="15" customHeight="1" x14ac:dyDescent="0.25">
      <c r="A19" t="s">
        <v>6957</v>
      </c>
      <c r="B19">
        <v>4</v>
      </c>
      <c r="C19" t="s">
        <v>41</v>
      </c>
      <c r="D19" t="s">
        <v>6958</v>
      </c>
      <c r="E19" t="s">
        <v>5452</v>
      </c>
      <c r="F19" t="s">
        <v>187</v>
      </c>
      <c r="G19" t="s">
        <v>2362</v>
      </c>
      <c r="H19" t="s">
        <v>5434</v>
      </c>
      <c r="I19" t="s">
        <v>6957</v>
      </c>
    </row>
    <row r="20" spans="1:9" ht="15" customHeight="1" x14ac:dyDescent="0.25">
      <c r="A20" t="s">
        <v>6959</v>
      </c>
      <c r="B20">
        <v>2</v>
      </c>
      <c r="C20" t="s">
        <v>3530</v>
      </c>
      <c r="D20" t="s">
        <v>6960</v>
      </c>
      <c r="E20" t="s">
        <v>5457</v>
      </c>
      <c r="F20" t="s">
        <v>4034</v>
      </c>
      <c r="G20" t="s">
        <v>2362</v>
      </c>
      <c r="H20" t="s">
        <v>5436</v>
      </c>
      <c r="I20" t="s">
        <v>6959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6961</v>
      </c>
      <c r="D1" t="s">
        <v>1</v>
      </c>
      <c r="E1" t="s">
        <v>7</v>
      </c>
    </row>
    <row r="2" spans="1:5" ht="15" customHeight="1" x14ac:dyDescent="0.25">
      <c r="A2" t="s">
        <v>6962</v>
      </c>
      <c r="B2" t="s">
        <v>41</v>
      </c>
      <c r="C2" t="s">
        <v>4420</v>
      </c>
      <c r="D2" t="s">
        <v>1295</v>
      </c>
      <c r="E2" t="s">
        <v>6963</v>
      </c>
    </row>
    <row r="3" spans="1:5" ht="15" customHeight="1" x14ac:dyDescent="0.25">
      <c r="A3" t="s">
        <v>6964</v>
      </c>
      <c r="B3" t="s">
        <v>3530</v>
      </c>
      <c r="C3" t="s">
        <v>4420</v>
      </c>
      <c r="D3" t="s">
        <v>1295</v>
      </c>
      <c r="E3" t="s">
        <v>6965</v>
      </c>
    </row>
    <row r="4" spans="1:5" ht="15" customHeight="1" x14ac:dyDescent="0.25">
      <c r="A4" t="s">
        <v>6966</v>
      </c>
      <c r="B4" t="s">
        <v>3518</v>
      </c>
      <c r="C4" t="s">
        <v>4420</v>
      </c>
      <c r="D4" t="s">
        <v>1295</v>
      </c>
      <c r="E4" t="s">
        <v>6967</v>
      </c>
    </row>
    <row r="5" spans="1:5" ht="15" customHeight="1" x14ac:dyDescent="0.25">
      <c r="A5" t="s">
        <v>6968</v>
      </c>
      <c r="B5" t="s">
        <v>41</v>
      </c>
      <c r="C5" t="s">
        <v>4418</v>
      </c>
      <c r="D5" t="s">
        <v>1295</v>
      </c>
      <c r="E5" t="s">
        <v>6969</v>
      </c>
    </row>
    <row r="6" spans="1:5" ht="15" customHeight="1" x14ac:dyDescent="0.25">
      <c r="A6" t="s">
        <v>6970</v>
      </c>
      <c r="B6" t="s">
        <v>3530</v>
      </c>
      <c r="C6" t="s">
        <v>4418</v>
      </c>
      <c r="D6" t="s">
        <v>1295</v>
      </c>
      <c r="E6" t="s">
        <v>6971</v>
      </c>
    </row>
    <row r="7" spans="1:5" ht="15" customHeight="1" x14ac:dyDescent="0.25">
      <c r="A7" t="s">
        <v>6972</v>
      </c>
      <c r="B7" t="s">
        <v>3518</v>
      </c>
      <c r="C7" t="s">
        <v>4418</v>
      </c>
      <c r="D7" t="s">
        <v>1295</v>
      </c>
      <c r="E7" t="s">
        <v>6973</v>
      </c>
    </row>
    <row r="8" spans="1:5" ht="15" customHeight="1" x14ac:dyDescent="0.25">
      <c r="A8" t="s">
        <v>6974</v>
      </c>
      <c r="B8" t="s">
        <v>41</v>
      </c>
      <c r="C8" t="s">
        <v>4427</v>
      </c>
      <c r="D8" t="s">
        <v>1295</v>
      </c>
      <c r="E8" t="s">
        <v>6975</v>
      </c>
    </row>
    <row r="9" spans="1:5" ht="15" customHeight="1" x14ac:dyDescent="0.25">
      <c r="A9" t="s">
        <v>6976</v>
      </c>
      <c r="B9" t="s">
        <v>3530</v>
      </c>
      <c r="C9" t="s">
        <v>4427</v>
      </c>
      <c r="D9" t="s">
        <v>1295</v>
      </c>
      <c r="E9" t="s">
        <v>6977</v>
      </c>
    </row>
    <row r="10" spans="1:5" ht="15" customHeight="1" x14ac:dyDescent="0.25">
      <c r="A10" t="s">
        <v>6978</v>
      </c>
      <c r="B10" t="s">
        <v>3518</v>
      </c>
      <c r="C10" t="s">
        <v>4427</v>
      </c>
      <c r="D10" t="s">
        <v>1295</v>
      </c>
      <c r="E10" t="s">
        <v>6979</v>
      </c>
    </row>
    <row r="11" spans="1:5" ht="15" customHeight="1" x14ac:dyDescent="0.25">
      <c r="A11" t="s">
        <v>6980</v>
      </c>
      <c r="B11" t="s">
        <v>41</v>
      </c>
      <c r="C11" t="s">
        <v>4409</v>
      </c>
      <c r="D11" t="s">
        <v>1295</v>
      </c>
      <c r="E11" t="s">
        <v>6981</v>
      </c>
    </row>
    <row r="12" spans="1:5" ht="15" customHeight="1" x14ac:dyDescent="0.25">
      <c r="A12" t="s">
        <v>6982</v>
      </c>
      <c r="B12" t="s">
        <v>3530</v>
      </c>
      <c r="C12" t="s">
        <v>4409</v>
      </c>
      <c r="D12" t="s">
        <v>1295</v>
      </c>
      <c r="E12" t="s">
        <v>6983</v>
      </c>
    </row>
    <row r="13" spans="1:5" ht="15" customHeight="1" x14ac:dyDescent="0.25">
      <c r="A13" t="s">
        <v>6984</v>
      </c>
      <c r="B13" t="s">
        <v>3518</v>
      </c>
      <c r="C13" t="s">
        <v>4409</v>
      </c>
      <c r="D13" t="s">
        <v>1295</v>
      </c>
      <c r="E13" t="s">
        <v>6985</v>
      </c>
    </row>
    <row r="14" spans="1:5" ht="15" customHeight="1" x14ac:dyDescent="0.25">
      <c r="A14" t="s">
        <v>6986</v>
      </c>
      <c r="B14" t="s">
        <v>41</v>
      </c>
      <c r="C14" t="s">
        <v>4434</v>
      </c>
      <c r="D14" t="s">
        <v>1295</v>
      </c>
      <c r="E14" t="s">
        <v>6987</v>
      </c>
    </row>
    <row r="15" spans="1:5" ht="15" customHeight="1" x14ac:dyDescent="0.25">
      <c r="A15" t="s">
        <v>6988</v>
      </c>
      <c r="B15" t="s">
        <v>3530</v>
      </c>
      <c r="C15" t="s">
        <v>4434</v>
      </c>
      <c r="D15" t="s">
        <v>1295</v>
      </c>
      <c r="E15" t="s">
        <v>6989</v>
      </c>
    </row>
    <row r="16" spans="1:5" ht="15" customHeight="1" x14ac:dyDescent="0.25">
      <c r="A16" t="s">
        <v>6990</v>
      </c>
      <c r="B16" t="s">
        <v>3518</v>
      </c>
      <c r="C16" t="s">
        <v>4434</v>
      </c>
      <c r="D16" t="s">
        <v>1295</v>
      </c>
      <c r="E16" t="s">
        <v>6991</v>
      </c>
    </row>
    <row r="17" spans="1:5" ht="15" customHeight="1" x14ac:dyDescent="0.25">
      <c r="A17" t="s">
        <v>6992</v>
      </c>
      <c r="B17" t="s">
        <v>41</v>
      </c>
      <c r="C17" t="s">
        <v>4441</v>
      </c>
      <c r="D17" t="s">
        <v>1295</v>
      </c>
      <c r="E17" t="s">
        <v>6993</v>
      </c>
    </row>
    <row r="18" spans="1:5" ht="15" customHeight="1" x14ac:dyDescent="0.25">
      <c r="A18" t="s">
        <v>6994</v>
      </c>
      <c r="B18" t="s">
        <v>3530</v>
      </c>
      <c r="C18" t="s">
        <v>4441</v>
      </c>
      <c r="D18" t="s">
        <v>1295</v>
      </c>
      <c r="E18" t="s">
        <v>6995</v>
      </c>
    </row>
    <row r="19" spans="1:5" ht="15" customHeight="1" x14ac:dyDescent="0.25">
      <c r="A19" t="s">
        <v>6996</v>
      </c>
      <c r="B19" t="s">
        <v>3518</v>
      </c>
      <c r="C19" t="s">
        <v>4441</v>
      </c>
      <c r="D19" t="s">
        <v>1295</v>
      </c>
      <c r="E19" t="s">
        <v>6997</v>
      </c>
    </row>
    <row r="20" spans="1:5" ht="15" customHeight="1" x14ac:dyDescent="0.25">
      <c r="A20" t="s">
        <v>6998</v>
      </c>
      <c r="B20" t="s">
        <v>41</v>
      </c>
      <c r="C20" t="s">
        <v>4441</v>
      </c>
      <c r="D20" t="s">
        <v>709</v>
      </c>
      <c r="E20" t="s">
        <v>6999</v>
      </c>
    </row>
    <row r="21" spans="1:5" ht="15" customHeight="1" x14ac:dyDescent="0.25">
      <c r="A21" t="s">
        <v>7000</v>
      </c>
      <c r="B21" t="s">
        <v>41</v>
      </c>
      <c r="C21" t="s">
        <v>4441</v>
      </c>
      <c r="D21" t="s">
        <v>709</v>
      </c>
      <c r="E21" t="s">
        <v>7001</v>
      </c>
    </row>
    <row r="22" spans="1:5" ht="15" customHeight="1" x14ac:dyDescent="0.25">
      <c r="A22" t="s">
        <v>7002</v>
      </c>
      <c r="B22" t="s">
        <v>3530</v>
      </c>
      <c r="C22" t="s">
        <v>4441</v>
      </c>
      <c r="D22" t="s">
        <v>709</v>
      </c>
      <c r="E22" t="s">
        <v>7003</v>
      </c>
    </row>
    <row r="23" spans="1:5" ht="15" customHeight="1" x14ac:dyDescent="0.25">
      <c r="A23" t="s">
        <v>7004</v>
      </c>
      <c r="B23" t="s">
        <v>3530</v>
      </c>
      <c r="C23" t="s">
        <v>4441</v>
      </c>
      <c r="D23" t="s">
        <v>709</v>
      </c>
      <c r="E23" t="s">
        <v>7005</v>
      </c>
    </row>
    <row r="24" spans="1:5" ht="15" customHeight="1" x14ac:dyDescent="0.25">
      <c r="A24" t="s">
        <v>7006</v>
      </c>
      <c r="B24" t="s">
        <v>3518</v>
      </c>
      <c r="C24" t="s">
        <v>4441</v>
      </c>
      <c r="D24" t="s">
        <v>709</v>
      </c>
      <c r="E24" t="s">
        <v>7007</v>
      </c>
    </row>
    <row r="25" spans="1:5" ht="15" customHeight="1" x14ac:dyDescent="0.25">
      <c r="A25" t="s">
        <v>7008</v>
      </c>
      <c r="B25" t="s">
        <v>3518</v>
      </c>
      <c r="C25" t="s">
        <v>4441</v>
      </c>
      <c r="D25" t="s">
        <v>709</v>
      </c>
      <c r="E25" t="s">
        <v>7009</v>
      </c>
    </row>
    <row r="26" spans="1:5" ht="15" customHeight="1" x14ac:dyDescent="0.25">
      <c r="A26" t="s">
        <v>7010</v>
      </c>
      <c r="B26" t="s">
        <v>3518</v>
      </c>
      <c r="C26" t="s">
        <v>4441</v>
      </c>
      <c r="D26" t="s">
        <v>709</v>
      </c>
      <c r="E26" t="s">
        <v>7011</v>
      </c>
    </row>
    <row r="27" spans="1:5" ht="15" customHeight="1" x14ac:dyDescent="0.25">
      <c r="A27" t="s">
        <v>7012</v>
      </c>
      <c r="B27" t="s">
        <v>3518</v>
      </c>
      <c r="C27" t="s">
        <v>4441</v>
      </c>
      <c r="D27" t="s">
        <v>709</v>
      </c>
      <c r="E27" t="s">
        <v>7013</v>
      </c>
    </row>
    <row r="28" spans="1:5" ht="15" customHeight="1" x14ac:dyDescent="0.25">
      <c r="A28" t="s">
        <v>7014</v>
      </c>
      <c r="B28" t="s">
        <v>3518</v>
      </c>
      <c r="C28" t="s">
        <v>4441</v>
      </c>
      <c r="D28" t="s">
        <v>709</v>
      </c>
      <c r="E28" t="s">
        <v>7015</v>
      </c>
    </row>
    <row r="29" spans="1:5" ht="15" customHeight="1" x14ac:dyDescent="0.25">
      <c r="A29" t="s">
        <v>7016</v>
      </c>
      <c r="B29" t="s">
        <v>3530</v>
      </c>
      <c r="C29" t="s">
        <v>4418</v>
      </c>
      <c r="D29" t="s">
        <v>919</v>
      </c>
      <c r="E29" t="s">
        <v>7017</v>
      </c>
    </row>
    <row r="30" spans="1:5" ht="15" customHeight="1" x14ac:dyDescent="0.25">
      <c r="A30" t="s">
        <v>7018</v>
      </c>
      <c r="B30" t="s">
        <v>3530</v>
      </c>
      <c r="C30" t="s">
        <v>7019</v>
      </c>
      <c r="D30" t="s">
        <v>919</v>
      </c>
      <c r="E30" t="s">
        <v>7020</v>
      </c>
    </row>
    <row r="31" spans="1:5" ht="15" customHeight="1" x14ac:dyDescent="0.25">
      <c r="A31" t="s">
        <v>7021</v>
      </c>
      <c r="B31" t="s">
        <v>41</v>
      </c>
      <c r="C31" t="s">
        <v>4447</v>
      </c>
      <c r="D31" t="s">
        <v>919</v>
      </c>
      <c r="E31" t="s">
        <v>7022</v>
      </c>
    </row>
    <row r="32" spans="1:5" ht="15" customHeight="1" x14ac:dyDescent="0.25">
      <c r="A32" t="s">
        <v>7023</v>
      </c>
      <c r="B32" t="s">
        <v>3518</v>
      </c>
      <c r="C32" t="s">
        <v>4441</v>
      </c>
      <c r="D32" t="s">
        <v>919</v>
      </c>
      <c r="E32" t="s">
        <v>7024</v>
      </c>
    </row>
    <row r="33" spans="1:5" ht="15" customHeight="1" x14ac:dyDescent="0.25">
      <c r="A33" t="s">
        <v>7025</v>
      </c>
      <c r="B33" t="s">
        <v>41</v>
      </c>
      <c r="C33" t="s">
        <v>4447</v>
      </c>
      <c r="D33" t="s">
        <v>919</v>
      </c>
      <c r="E33" t="s">
        <v>7026</v>
      </c>
    </row>
    <row r="34" spans="1:5" ht="15" customHeight="1" x14ac:dyDescent="0.25">
      <c r="A34" t="s">
        <v>7027</v>
      </c>
      <c r="B34" t="s">
        <v>3530</v>
      </c>
      <c r="C34" t="s">
        <v>4441</v>
      </c>
      <c r="D34" t="s">
        <v>919</v>
      </c>
      <c r="E34" t="s">
        <v>7028</v>
      </c>
    </row>
    <row r="35" spans="1:5" ht="15" customHeight="1" x14ac:dyDescent="0.25">
      <c r="A35" t="s">
        <v>7029</v>
      </c>
      <c r="B35" t="s">
        <v>41</v>
      </c>
      <c r="C35" t="s">
        <v>4441</v>
      </c>
      <c r="D35" t="s">
        <v>919</v>
      </c>
      <c r="E35" t="s">
        <v>7030</v>
      </c>
    </row>
    <row r="36" spans="1:5" ht="15" customHeight="1" x14ac:dyDescent="0.25">
      <c r="A36" t="s">
        <v>7031</v>
      </c>
      <c r="B36" t="s">
        <v>41</v>
      </c>
      <c r="C36" t="s">
        <v>4441</v>
      </c>
      <c r="D36" t="s">
        <v>919</v>
      </c>
      <c r="E36" t="s">
        <v>7032</v>
      </c>
    </row>
    <row r="37" spans="1:5" ht="15" customHeight="1" x14ac:dyDescent="0.25">
      <c r="A37" t="s">
        <v>7033</v>
      </c>
      <c r="B37" t="s">
        <v>41</v>
      </c>
      <c r="C37" t="s">
        <v>4420</v>
      </c>
      <c r="D37" t="s">
        <v>1299</v>
      </c>
      <c r="E37" t="s">
        <v>7034</v>
      </c>
    </row>
    <row r="38" spans="1:5" ht="15" customHeight="1" x14ac:dyDescent="0.25">
      <c r="A38" t="s">
        <v>7035</v>
      </c>
      <c r="B38" t="s">
        <v>3530</v>
      </c>
      <c r="C38" t="s">
        <v>4420</v>
      </c>
      <c r="D38" t="s">
        <v>1299</v>
      </c>
      <c r="E38" t="s">
        <v>7036</v>
      </c>
    </row>
    <row r="39" spans="1:5" ht="15" customHeight="1" x14ac:dyDescent="0.25">
      <c r="A39" t="s">
        <v>7037</v>
      </c>
      <c r="B39" t="s">
        <v>3518</v>
      </c>
      <c r="C39" t="s">
        <v>4420</v>
      </c>
      <c r="D39" t="s">
        <v>1299</v>
      </c>
      <c r="E39" t="s">
        <v>7038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5062</v>
      </c>
      <c r="E1" s="10" t="s">
        <v>5063</v>
      </c>
      <c r="F1" s="10" t="s">
        <v>5064</v>
      </c>
      <c r="G1" t="s">
        <v>3757</v>
      </c>
      <c r="H1" t="s">
        <v>1</v>
      </c>
      <c r="I1" t="s">
        <v>5065</v>
      </c>
      <c r="J1" t="s">
        <v>7039</v>
      </c>
      <c r="K1" t="s">
        <v>171</v>
      </c>
      <c r="L1" t="s">
        <v>5067</v>
      </c>
      <c r="M1" t="s">
        <v>3758</v>
      </c>
    </row>
    <row r="2" spans="1:13" ht="15" customHeight="1" x14ac:dyDescent="0.25">
      <c r="A2" t="s">
        <v>7040</v>
      </c>
      <c r="B2" t="s">
        <v>4015</v>
      </c>
      <c r="C2" t="s">
        <v>4408</v>
      </c>
      <c r="D2">
        <v>2</v>
      </c>
      <c r="E2" s="10">
        <v>30</v>
      </c>
      <c r="F2" s="10">
        <v>34</v>
      </c>
      <c r="G2" t="s">
        <v>7041</v>
      </c>
      <c r="H2" t="s">
        <v>2133</v>
      </c>
      <c r="I2" t="s">
        <v>4441</v>
      </c>
      <c r="J2" t="s">
        <v>7042</v>
      </c>
      <c r="K2" t="s">
        <v>7040</v>
      </c>
      <c r="L2" t="s">
        <v>3467</v>
      </c>
    </row>
    <row r="3" spans="1:13" ht="15" customHeight="1" x14ac:dyDescent="0.25">
      <c r="A3" t="s">
        <v>7043</v>
      </c>
      <c r="B3" t="s">
        <v>4015</v>
      </c>
      <c r="C3" t="s">
        <v>4412</v>
      </c>
      <c r="D3">
        <v>2</v>
      </c>
      <c r="E3" s="10">
        <v>64</v>
      </c>
      <c r="F3" s="10">
        <v>70</v>
      </c>
      <c r="G3" t="s">
        <v>7041</v>
      </c>
      <c r="H3" t="s">
        <v>2133</v>
      </c>
      <c r="I3" t="s">
        <v>4441</v>
      </c>
      <c r="J3" t="s">
        <v>7044</v>
      </c>
      <c r="K3" t="s">
        <v>7045</v>
      </c>
      <c r="L3" t="s">
        <v>3467</v>
      </c>
    </row>
    <row r="4" spans="1:13" ht="15" customHeight="1" x14ac:dyDescent="0.25">
      <c r="A4" t="s">
        <v>7046</v>
      </c>
      <c r="B4" t="s">
        <v>4015</v>
      </c>
      <c r="C4" t="s">
        <v>5071</v>
      </c>
      <c r="D4">
        <v>7</v>
      </c>
      <c r="E4" s="10">
        <v>150</v>
      </c>
      <c r="F4" s="10">
        <v>160</v>
      </c>
      <c r="G4" t="s">
        <v>7041</v>
      </c>
      <c r="H4" t="s">
        <v>2133</v>
      </c>
      <c r="I4" t="s">
        <v>4441</v>
      </c>
      <c r="J4" t="s">
        <v>7047</v>
      </c>
      <c r="K4" t="s">
        <v>7048</v>
      </c>
      <c r="L4" t="s">
        <v>3467</v>
      </c>
    </row>
    <row r="5" spans="1:13" ht="15" customHeight="1" x14ac:dyDescent="0.25">
      <c r="A5" t="s">
        <v>5127</v>
      </c>
      <c r="B5" t="s">
        <v>4015</v>
      </c>
      <c r="C5" t="s">
        <v>4408</v>
      </c>
      <c r="D5" t="s">
        <v>3467</v>
      </c>
      <c r="E5" s="10">
        <v>20</v>
      </c>
      <c r="F5" s="10">
        <v>24</v>
      </c>
      <c r="G5" t="s">
        <v>3467</v>
      </c>
      <c r="H5" t="s">
        <v>160</v>
      </c>
      <c r="I5" t="s">
        <v>4441</v>
      </c>
      <c r="J5" t="s">
        <v>7049</v>
      </c>
      <c r="K5" t="s">
        <v>5127</v>
      </c>
      <c r="L5" t="s">
        <v>3467</v>
      </c>
    </row>
    <row r="6" spans="1:13" ht="15" customHeight="1" x14ac:dyDescent="0.25">
      <c r="A6" t="s">
        <v>5118</v>
      </c>
      <c r="B6" t="s">
        <v>4015</v>
      </c>
      <c r="C6" t="s">
        <v>4408</v>
      </c>
      <c r="D6">
        <v>2</v>
      </c>
      <c r="E6" s="10">
        <v>20</v>
      </c>
      <c r="F6" s="10">
        <v>24</v>
      </c>
      <c r="G6" t="s">
        <v>7050</v>
      </c>
      <c r="H6" t="s">
        <v>160</v>
      </c>
      <c r="I6" t="s">
        <v>4441</v>
      </c>
      <c r="J6" t="s">
        <v>7051</v>
      </c>
      <c r="K6" t="s">
        <v>5118</v>
      </c>
      <c r="L6" t="s">
        <v>3467</v>
      </c>
    </row>
    <row r="7" spans="1:13" ht="15" customHeight="1" x14ac:dyDescent="0.25">
      <c r="A7" t="s">
        <v>5125</v>
      </c>
      <c r="B7" t="s">
        <v>4015</v>
      </c>
      <c r="C7" t="s">
        <v>4408</v>
      </c>
      <c r="D7" t="s">
        <v>3467</v>
      </c>
      <c r="E7" s="10">
        <v>20</v>
      </c>
      <c r="F7" s="10">
        <v>24</v>
      </c>
      <c r="G7" t="s">
        <v>3467</v>
      </c>
      <c r="H7" t="s">
        <v>160</v>
      </c>
      <c r="I7" t="s">
        <v>4441</v>
      </c>
      <c r="J7" t="s">
        <v>7052</v>
      </c>
      <c r="K7" t="s">
        <v>5125</v>
      </c>
      <c r="L7" t="s">
        <v>3467</v>
      </c>
    </row>
    <row r="8" spans="1:13" ht="15" customHeight="1" x14ac:dyDescent="0.25">
      <c r="A8" t="s">
        <v>7053</v>
      </c>
      <c r="B8" t="s">
        <v>4015</v>
      </c>
      <c r="C8" t="s">
        <v>4412</v>
      </c>
      <c r="D8">
        <v>3</v>
      </c>
      <c r="E8" s="10">
        <v>48</v>
      </c>
      <c r="F8" s="10">
        <v>54</v>
      </c>
      <c r="G8" t="s">
        <v>3467</v>
      </c>
      <c r="H8" t="s">
        <v>160</v>
      </c>
      <c r="I8" t="s">
        <v>4441</v>
      </c>
      <c r="J8" t="s">
        <v>7054</v>
      </c>
      <c r="K8" t="s">
        <v>7055</v>
      </c>
      <c r="L8" t="s">
        <v>3467</v>
      </c>
    </row>
    <row r="9" spans="1:13" ht="15" customHeight="1" x14ac:dyDescent="0.25">
      <c r="A9" t="s">
        <v>7056</v>
      </c>
      <c r="B9" t="s">
        <v>4015</v>
      </c>
      <c r="C9" t="s">
        <v>5071</v>
      </c>
      <c r="D9">
        <v>7</v>
      </c>
      <c r="E9" s="10">
        <v>130</v>
      </c>
      <c r="F9" s="10">
        <v>140</v>
      </c>
      <c r="G9" t="s">
        <v>7057</v>
      </c>
      <c r="H9" t="s">
        <v>160</v>
      </c>
      <c r="I9" t="s">
        <v>4441</v>
      </c>
      <c r="J9" t="s">
        <v>7058</v>
      </c>
      <c r="K9" t="s">
        <v>7059</v>
      </c>
      <c r="L9" t="s">
        <v>3467</v>
      </c>
      <c r="M9" t="s">
        <v>4678</v>
      </c>
    </row>
    <row r="10" spans="1:13" ht="15" customHeight="1" x14ac:dyDescent="0.25">
      <c r="A10" t="s">
        <v>3869</v>
      </c>
      <c r="B10" t="s">
        <v>6913</v>
      </c>
      <c r="C10" t="s">
        <v>4408</v>
      </c>
      <c r="D10">
        <v>1</v>
      </c>
      <c r="E10" s="10">
        <v>20</v>
      </c>
      <c r="F10" s="10">
        <v>24</v>
      </c>
      <c r="G10" t="s">
        <v>5292</v>
      </c>
      <c r="H10" t="s">
        <v>501</v>
      </c>
      <c r="I10" t="s">
        <v>4444</v>
      </c>
      <c r="J10" t="s">
        <v>7060</v>
      </c>
      <c r="K10" t="s">
        <v>3869</v>
      </c>
      <c r="L10" t="s">
        <v>3467</v>
      </c>
    </row>
    <row r="11" spans="1:13" ht="15" customHeight="1" x14ac:dyDescent="0.25">
      <c r="A11" t="s">
        <v>7061</v>
      </c>
      <c r="B11" t="s">
        <v>6913</v>
      </c>
      <c r="C11" t="s">
        <v>4408</v>
      </c>
      <c r="D11">
        <v>2</v>
      </c>
      <c r="E11" s="10">
        <v>30</v>
      </c>
      <c r="F11" s="10">
        <v>34</v>
      </c>
      <c r="G11" t="s">
        <v>5292</v>
      </c>
      <c r="H11" t="s">
        <v>501</v>
      </c>
      <c r="I11" t="s">
        <v>4444</v>
      </c>
      <c r="J11" t="s">
        <v>7062</v>
      </c>
      <c r="K11" t="s">
        <v>7063</v>
      </c>
      <c r="L11" t="s">
        <v>3467</v>
      </c>
    </row>
    <row r="12" spans="1:13" ht="15" customHeight="1" x14ac:dyDescent="0.25">
      <c r="A12" t="s">
        <v>7064</v>
      </c>
      <c r="B12" t="s">
        <v>6913</v>
      </c>
      <c r="C12" t="s">
        <v>4408</v>
      </c>
      <c r="D12">
        <v>3</v>
      </c>
      <c r="E12" s="10">
        <v>40</v>
      </c>
      <c r="F12" s="10">
        <v>44</v>
      </c>
      <c r="G12" t="s">
        <v>7065</v>
      </c>
      <c r="H12" t="s">
        <v>501</v>
      </c>
      <c r="I12" t="s">
        <v>4444</v>
      </c>
      <c r="J12" t="s">
        <v>7066</v>
      </c>
      <c r="K12" t="s">
        <v>7067</v>
      </c>
      <c r="L12" t="s">
        <v>3467</v>
      </c>
    </row>
    <row r="13" spans="1:13" ht="15" customHeight="1" x14ac:dyDescent="0.25">
      <c r="A13" t="s">
        <v>7068</v>
      </c>
      <c r="B13" t="s">
        <v>6913</v>
      </c>
      <c r="C13" t="s">
        <v>4408</v>
      </c>
      <c r="D13" t="s">
        <v>3467</v>
      </c>
      <c r="E13" s="10">
        <v>12</v>
      </c>
      <c r="F13" s="10">
        <v>14</v>
      </c>
      <c r="G13" t="s">
        <v>5292</v>
      </c>
      <c r="H13" t="s">
        <v>501</v>
      </c>
      <c r="I13" t="s">
        <v>4444</v>
      </c>
      <c r="J13" t="s">
        <v>7069</v>
      </c>
      <c r="K13" t="s">
        <v>7068</v>
      </c>
      <c r="L13" t="s">
        <v>3467</v>
      </c>
    </row>
    <row r="14" spans="1:13" ht="15" customHeight="1" x14ac:dyDescent="0.25">
      <c r="A14" t="s">
        <v>3877</v>
      </c>
      <c r="B14" t="s">
        <v>6913</v>
      </c>
      <c r="C14" t="s">
        <v>4412</v>
      </c>
      <c r="D14">
        <v>3</v>
      </c>
      <c r="E14" s="10">
        <v>130</v>
      </c>
      <c r="F14" s="10">
        <v>140</v>
      </c>
      <c r="G14" t="s">
        <v>7070</v>
      </c>
      <c r="H14" t="s">
        <v>501</v>
      </c>
      <c r="I14" t="s">
        <v>4427</v>
      </c>
      <c r="J14" t="s">
        <v>7071</v>
      </c>
      <c r="K14" t="s">
        <v>3877</v>
      </c>
      <c r="L14" t="s">
        <v>3467</v>
      </c>
    </row>
    <row r="15" spans="1:13" ht="15" customHeight="1" x14ac:dyDescent="0.25">
      <c r="A15" t="s">
        <v>7072</v>
      </c>
      <c r="B15" t="s">
        <v>6913</v>
      </c>
      <c r="C15" t="s">
        <v>4412</v>
      </c>
      <c r="D15" t="s">
        <v>3467</v>
      </c>
      <c r="E15" s="10">
        <v>130</v>
      </c>
      <c r="F15" s="10">
        <v>140</v>
      </c>
      <c r="G15" t="s">
        <v>7070</v>
      </c>
      <c r="H15" t="s">
        <v>501</v>
      </c>
      <c r="I15" t="s">
        <v>4427</v>
      </c>
      <c r="J15" t="s">
        <v>7073</v>
      </c>
      <c r="K15" t="s">
        <v>7074</v>
      </c>
      <c r="L15" t="s">
        <v>3877</v>
      </c>
    </row>
    <row r="16" spans="1:13" ht="15" customHeight="1" x14ac:dyDescent="0.25">
      <c r="A16" t="s">
        <v>7075</v>
      </c>
      <c r="B16" t="s">
        <v>6913</v>
      </c>
      <c r="C16" t="s">
        <v>5071</v>
      </c>
      <c r="D16">
        <v>5</v>
      </c>
      <c r="E16" s="10">
        <v>100</v>
      </c>
      <c r="F16" s="10">
        <v>110</v>
      </c>
      <c r="G16" t="s">
        <v>7076</v>
      </c>
      <c r="H16" t="s">
        <v>501</v>
      </c>
      <c r="I16" t="s">
        <v>4434</v>
      </c>
      <c r="J16" t="s">
        <v>7077</v>
      </c>
      <c r="K16" t="s">
        <v>7078</v>
      </c>
      <c r="L16" t="s">
        <v>3467</v>
      </c>
    </row>
    <row r="17" spans="1:13" ht="15" customHeight="1" x14ac:dyDescent="0.25">
      <c r="A17" t="s">
        <v>7079</v>
      </c>
      <c r="B17" t="s">
        <v>4036</v>
      </c>
      <c r="C17" t="s">
        <v>4408</v>
      </c>
      <c r="D17">
        <v>1</v>
      </c>
      <c r="E17" s="10">
        <v>30</v>
      </c>
      <c r="F17" s="10">
        <v>34</v>
      </c>
      <c r="G17" t="s">
        <v>5305</v>
      </c>
      <c r="H17" t="s">
        <v>2155</v>
      </c>
      <c r="I17" t="s">
        <v>4441</v>
      </c>
      <c r="J17" t="s">
        <v>7080</v>
      </c>
      <c r="K17" t="s">
        <v>7079</v>
      </c>
      <c r="L17" t="s">
        <v>3467</v>
      </c>
      <c r="M17" t="s">
        <v>3868</v>
      </c>
    </row>
    <row r="18" spans="1:13" ht="15" customHeight="1" x14ac:dyDescent="0.25">
      <c r="A18" t="s">
        <v>7081</v>
      </c>
      <c r="B18" t="s">
        <v>4036</v>
      </c>
      <c r="C18" t="s">
        <v>4412</v>
      </c>
      <c r="D18">
        <v>3</v>
      </c>
      <c r="E18" s="10">
        <v>40</v>
      </c>
      <c r="F18" s="10">
        <v>46</v>
      </c>
      <c r="G18" t="s">
        <v>7082</v>
      </c>
      <c r="H18" t="s">
        <v>2155</v>
      </c>
      <c r="I18" t="s">
        <v>4441</v>
      </c>
      <c r="J18" t="s">
        <v>7083</v>
      </c>
      <c r="K18" t="s">
        <v>7081</v>
      </c>
      <c r="L18" t="s">
        <v>3467</v>
      </c>
    </row>
    <row r="19" spans="1:13" ht="15" customHeight="1" x14ac:dyDescent="0.25">
      <c r="A19" t="s">
        <v>7084</v>
      </c>
      <c r="B19" t="s">
        <v>4036</v>
      </c>
      <c r="C19" t="s">
        <v>4412</v>
      </c>
      <c r="D19">
        <v>4</v>
      </c>
      <c r="E19" s="10">
        <v>60</v>
      </c>
      <c r="F19" s="10">
        <v>66</v>
      </c>
      <c r="G19" t="s">
        <v>5305</v>
      </c>
      <c r="H19" t="s">
        <v>2155</v>
      </c>
      <c r="I19" t="s">
        <v>4441</v>
      </c>
      <c r="J19" t="s">
        <v>7085</v>
      </c>
      <c r="K19" t="s">
        <v>7084</v>
      </c>
      <c r="L19" t="s">
        <v>3467</v>
      </c>
    </row>
    <row r="20" spans="1:13" ht="15" customHeight="1" x14ac:dyDescent="0.25">
      <c r="A20" t="s">
        <v>4004</v>
      </c>
      <c r="B20" t="s">
        <v>4036</v>
      </c>
      <c r="C20" t="s">
        <v>5071</v>
      </c>
      <c r="D20">
        <v>9</v>
      </c>
      <c r="E20" s="10">
        <v>250</v>
      </c>
      <c r="F20" s="10">
        <v>270</v>
      </c>
      <c r="G20" t="s">
        <v>7086</v>
      </c>
      <c r="H20" t="s">
        <v>2155</v>
      </c>
      <c r="I20" t="s">
        <v>4441</v>
      </c>
      <c r="J20" t="s">
        <v>7087</v>
      </c>
      <c r="K20" t="s">
        <v>4004</v>
      </c>
      <c r="L20" t="s">
        <v>3467</v>
      </c>
      <c r="M20" t="s">
        <v>7088</v>
      </c>
    </row>
    <row r="21" spans="1:13" ht="15" customHeight="1" x14ac:dyDescent="0.25">
      <c r="A21" t="s">
        <v>3824</v>
      </c>
      <c r="B21" t="s">
        <v>5068</v>
      </c>
      <c r="C21" t="s">
        <v>4408</v>
      </c>
      <c r="D21">
        <v>2</v>
      </c>
      <c r="E21" s="10">
        <v>48</v>
      </c>
      <c r="F21" s="10">
        <v>54</v>
      </c>
      <c r="G21" t="s">
        <v>3467</v>
      </c>
      <c r="H21" t="s">
        <v>90</v>
      </c>
      <c r="I21" t="s">
        <v>4441</v>
      </c>
      <c r="J21" t="s">
        <v>7089</v>
      </c>
      <c r="K21" t="s">
        <v>3824</v>
      </c>
      <c r="L21" t="s">
        <v>3467</v>
      </c>
    </row>
    <row r="22" spans="1:13" ht="15" customHeight="1" x14ac:dyDescent="0.25">
      <c r="A22" t="s">
        <v>3853</v>
      </c>
      <c r="B22" t="s">
        <v>5068</v>
      </c>
      <c r="C22" t="s">
        <v>4412</v>
      </c>
      <c r="D22">
        <v>6</v>
      </c>
      <c r="E22" s="10">
        <v>114</v>
      </c>
      <c r="F22" s="10">
        <v>120</v>
      </c>
      <c r="G22" t="s">
        <v>3467</v>
      </c>
      <c r="H22" t="s">
        <v>90</v>
      </c>
      <c r="I22" t="s">
        <v>4441</v>
      </c>
      <c r="J22" t="s">
        <v>7090</v>
      </c>
      <c r="K22" t="s">
        <v>3853</v>
      </c>
      <c r="L22" t="s">
        <v>3467</v>
      </c>
    </row>
    <row r="23" spans="1:13" ht="15" customHeight="1" x14ac:dyDescent="0.25">
      <c r="A23" t="s">
        <v>3861</v>
      </c>
      <c r="B23" t="s">
        <v>5068</v>
      </c>
      <c r="C23" t="s">
        <v>5071</v>
      </c>
      <c r="D23">
        <v>9</v>
      </c>
      <c r="E23" s="10">
        <v>999</v>
      </c>
      <c r="F23" s="10">
        <v>999</v>
      </c>
      <c r="G23" t="s">
        <v>5072</v>
      </c>
      <c r="H23" t="s">
        <v>90</v>
      </c>
      <c r="I23" t="s">
        <v>4441</v>
      </c>
      <c r="J23" t="s">
        <v>7091</v>
      </c>
      <c r="K23" t="s">
        <v>3861</v>
      </c>
      <c r="L23" t="s">
        <v>3467</v>
      </c>
    </row>
    <row r="24" spans="1:13" ht="15" customHeight="1" x14ac:dyDescent="0.25">
      <c r="A24" t="s">
        <v>7092</v>
      </c>
      <c r="B24" t="s">
        <v>6913</v>
      </c>
      <c r="C24" t="s">
        <v>4408</v>
      </c>
      <c r="D24">
        <v>1</v>
      </c>
      <c r="E24" s="10">
        <v>20</v>
      </c>
      <c r="F24" s="10">
        <v>24</v>
      </c>
      <c r="G24" t="s">
        <v>7093</v>
      </c>
      <c r="H24" t="s">
        <v>2362</v>
      </c>
      <c r="I24" t="s">
        <v>4420</v>
      </c>
      <c r="J24" t="s">
        <v>7094</v>
      </c>
      <c r="K24" t="s">
        <v>7092</v>
      </c>
      <c r="L24" t="s">
        <v>3467</v>
      </c>
      <c r="M24" t="s">
        <v>3782</v>
      </c>
    </row>
    <row r="25" spans="1:13" ht="15" customHeight="1" x14ac:dyDescent="0.25">
      <c r="A25" t="s">
        <v>7095</v>
      </c>
      <c r="B25" t="s">
        <v>6913</v>
      </c>
      <c r="C25" t="s">
        <v>4412</v>
      </c>
      <c r="D25">
        <v>3</v>
      </c>
      <c r="E25" s="10">
        <v>48</v>
      </c>
      <c r="F25" s="10">
        <v>54</v>
      </c>
      <c r="G25" t="s">
        <v>3467</v>
      </c>
      <c r="H25" t="s">
        <v>2362</v>
      </c>
      <c r="I25" t="s">
        <v>4441</v>
      </c>
      <c r="J25" t="s">
        <v>7096</v>
      </c>
      <c r="K25" t="s">
        <v>7095</v>
      </c>
      <c r="L25" t="s">
        <v>3467</v>
      </c>
    </row>
    <row r="26" spans="1:13" ht="15" customHeight="1" x14ac:dyDescent="0.25">
      <c r="A26" t="s">
        <v>7097</v>
      </c>
      <c r="B26" t="s">
        <v>6913</v>
      </c>
      <c r="C26" t="s">
        <v>5071</v>
      </c>
      <c r="D26">
        <v>3</v>
      </c>
      <c r="E26" s="10">
        <v>60</v>
      </c>
      <c r="F26" s="10">
        <v>66</v>
      </c>
      <c r="G26" t="s">
        <v>7098</v>
      </c>
      <c r="H26" t="s">
        <v>2362</v>
      </c>
      <c r="I26" t="s">
        <v>4441</v>
      </c>
      <c r="J26" t="s">
        <v>7099</v>
      </c>
      <c r="K26" t="s">
        <v>7097</v>
      </c>
      <c r="L26" t="s">
        <v>3467</v>
      </c>
    </row>
    <row r="27" spans="1:13" ht="15" customHeight="1" x14ac:dyDescent="0.25">
      <c r="A27" t="s">
        <v>5074</v>
      </c>
      <c r="B27" t="s">
        <v>5068</v>
      </c>
      <c r="C27" t="s">
        <v>4408</v>
      </c>
      <c r="D27">
        <v>3</v>
      </c>
      <c r="E27" s="10">
        <v>40</v>
      </c>
      <c r="F27" s="10">
        <v>44</v>
      </c>
      <c r="G27" t="s">
        <v>3467</v>
      </c>
      <c r="H27" t="s">
        <v>90</v>
      </c>
      <c r="I27" t="s">
        <v>4441</v>
      </c>
      <c r="J27" t="s">
        <v>7100</v>
      </c>
      <c r="K27" t="s">
        <v>5076</v>
      </c>
      <c r="L27" t="s">
        <v>3467</v>
      </c>
    </row>
    <row r="28" spans="1:13" ht="15" customHeight="1" x14ac:dyDescent="0.25">
      <c r="A28" t="s">
        <v>5077</v>
      </c>
      <c r="B28" t="s">
        <v>5068</v>
      </c>
      <c r="C28" t="s">
        <v>4408</v>
      </c>
      <c r="D28">
        <v>1</v>
      </c>
      <c r="E28" s="10">
        <v>10</v>
      </c>
      <c r="F28" s="10">
        <v>15</v>
      </c>
      <c r="G28" t="s">
        <v>5078</v>
      </c>
      <c r="H28" t="s">
        <v>90</v>
      </c>
      <c r="I28" t="s">
        <v>4441</v>
      </c>
      <c r="J28" t="s">
        <v>7101</v>
      </c>
      <c r="K28" t="s">
        <v>5080</v>
      </c>
      <c r="L28" t="s">
        <v>3467</v>
      </c>
      <c r="M28" t="s">
        <v>4678</v>
      </c>
    </row>
    <row r="29" spans="1:13" ht="15" customHeight="1" x14ac:dyDescent="0.25">
      <c r="A29" t="s">
        <v>5081</v>
      </c>
      <c r="B29" t="s">
        <v>5068</v>
      </c>
      <c r="C29" t="s">
        <v>4408</v>
      </c>
      <c r="D29">
        <v>1</v>
      </c>
      <c r="E29" s="10">
        <v>11</v>
      </c>
      <c r="F29" s="10">
        <v>17</v>
      </c>
      <c r="G29" t="s">
        <v>5078</v>
      </c>
      <c r="H29" t="s">
        <v>90</v>
      </c>
      <c r="I29" t="s">
        <v>4441</v>
      </c>
      <c r="J29" t="s">
        <v>7102</v>
      </c>
      <c r="K29" t="s">
        <v>5083</v>
      </c>
      <c r="L29" t="s">
        <v>3467</v>
      </c>
      <c r="M29" t="s">
        <v>4678</v>
      </c>
    </row>
    <row r="30" spans="1:13" ht="15" customHeight="1" x14ac:dyDescent="0.25">
      <c r="A30" t="s">
        <v>5084</v>
      </c>
      <c r="B30" t="s">
        <v>5068</v>
      </c>
      <c r="C30" t="s">
        <v>4408</v>
      </c>
      <c r="D30">
        <v>4</v>
      </c>
      <c r="E30" s="10">
        <v>65</v>
      </c>
      <c r="F30" s="10">
        <v>69</v>
      </c>
      <c r="G30" t="s">
        <v>5085</v>
      </c>
      <c r="H30" t="s">
        <v>90</v>
      </c>
      <c r="I30" t="s">
        <v>4441</v>
      </c>
      <c r="J30" t="s">
        <v>7103</v>
      </c>
      <c r="K30" t="s">
        <v>5087</v>
      </c>
      <c r="L30" t="s">
        <v>3467</v>
      </c>
      <c r="M30" t="s">
        <v>3849</v>
      </c>
    </row>
    <row r="31" spans="1:13" ht="15" customHeight="1" x14ac:dyDescent="0.25">
      <c r="A31" t="s">
        <v>5088</v>
      </c>
      <c r="B31" t="s">
        <v>5068</v>
      </c>
      <c r="C31" t="s">
        <v>4408</v>
      </c>
      <c r="D31">
        <v>2</v>
      </c>
      <c r="E31" s="10">
        <v>28</v>
      </c>
      <c r="F31" s="10">
        <v>32</v>
      </c>
      <c r="G31" t="s">
        <v>3467</v>
      </c>
      <c r="H31" t="s">
        <v>90</v>
      </c>
      <c r="I31" t="s">
        <v>4441</v>
      </c>
      <c r="J31" t="s">
        <v>7104</v>
      </c>
      <c r="K31" t="s">
        <v>5090</v>
      </c>
      <c r="L31" t="s">
        <v>3467</v>
      </c>
      <c r="M31" t="s">
        <v>3849</v>
      </c>
    </row>
    <row r="32" spans="1:13" ht="15" customHeight="1" x14ac:dyDescent="0.25">
      <c r="A32" t="s">
        <v>5091</v>
      </c>
      <c r="B32" t="s">
        <v>5068</v>
      </c>
      <c r="C32" t="s">
        <v>4408</v>
      </c>
      <c r="D32">
        <v>1</v>
      </c>
      <c r="E32" s="10">
        <v>8</v>
      </c>
      <c r="F32" s="10">
        <v>12</v>
      </c>
      <c r="G32" t="s">
        <v>3467</v>
      </c>
      <c r="H32" t="s">
        <v>90</v>
      </c>
      <c r="I32" t="s">
        <v>4441</v>
      </c>
      <c r="J32" t="s">
        <v>7105</v>
      </c>
      <c r="K32" t="s">
        <v>5093</v>
      </c>
      <c r="L32" t="s">
        <v>3467</v>
      </c>
      <c r="M32" t="s">
        <v>3849</v>
      </c>
    </row>
    <row r="33" spans="1:13" ht="15" customHeight="1" x14ac:dyDescent="0.25">
      <c r="A33" t="s">
        <v>3846</v>
      </c>
      <c r="B33" t="s">
        <v>5068</v>
      </c>
      <c r="C33" t="s">
        <v>4408</v>
      </c>
      <c r="D33">
        <v>4</v>
      </c>
      <c r="E33" s="10">
        <v>64</v>
      </c>
      <c r="F33" s="10">
        <v>70</v>
      </c>
      <c r="G33" t="s">
        <v>5094</v>
      </c>
      <c r="H33" t="s">
        <v>90</v>
      </c>
      <c r="I33" t="s">
        <v>4441</v>
      </c>
      <c r="J33" t="s">
        <v>7106</v>
      </c>
      <c r="K33" t="s">
        <v>3848</v>
      </c>
      <c r="L33" t="s">
        <v>3467</v>
      </c>
      <c r="M33" t="s">
        <v>3849</v>
      </c>
    </row>
    <row r="34" spans="1:13" ht="15" customHeight="1" x14ac:dyDescent="0.25">
      <c r="A34" t="s">
        <v>5096</v>
      </c>
      <c r="B34" t="s">
        <v>5068</v>
      </c>
      <c r="C34" t="s">
        <v>4408</v>
      </c>
      <c r="D34">
        <v>2</v>
      </c>
      <c r="E34" s="10">
        <v>28</v>
      </c>
      <c r="F34" s="10">
        <v>32</v>
      </c>
      <c r="G34" t="s">
        <v>3467</v>
      </c>
      <c r="H34" t="s">
        <v>90</v>
      </c>
      <c r="I34" t="s">
        <v>4441</v>
      </c>
      <c r="J34" t="s">
        <v>7107</v>
      </c>
      <c r="K34" t="s">
        <v>5098</v>
      </c>
      <c r="L34" t="s">
        <v>3467</v>
      </c>
      <c r="M34" t="s">
        <v>3849</v>
      </c>
    </row>
    <row r="35" spans="1:13" ht="15" customHeight="1" x14ac:dyDescent="0.25">
      <c r="A35" t="s">
        <v>5099</v>
      </c>
      <c r="B35" t="s">
        <v>5068</v>
      </c>
      <c r="C35" t="s">
        <v>4408</v>
      </c>
      <c r="D35">
        <v>1</v>
      </c>
      <c r="E35" s="10">
        <v>10</v>
      </c>
      <c r="F35" s="10">
        <v>14</v>
      </c>
      <c r="G35" t="s">
        <v>3467</v>
      </c>
      <c r="H35" t="s">
        <v>90</v>
      </c>
      <c r="I35" t="s">
        <v>4441</v>
      </c>
      <c r="J35" t="s">
        <v>7108</v>
      </c>
      <c r="K35" t="s">
        <v>5101</v>
      </c>
      <c r="L35" t="s">
        <v>3467</v>
      </c>
      <c r="M35" t="s">
        <v>3849</v>
      </c>
    </row>
    <row r="36" spans="1:13" ht="15" customHeight="1" x14ac:dyDescent="0.25">
      <c r="A36" t="s">
        <v>7109</v>
      </c>
      <c r="B36" t="s">
        <v>6913</v>
      </c>
      <c r="C36" t="s">
        <v>5071</v>
      </c>
      <c r="D36">
        <v>1</v>
      </c>
      <c r="E36" s="10">
        <v>20</v>
      </c>
      <c r="F36" s="10">
        <v>24</v>
      </c>
      <c r="G36" t="s">
        <v>3467</v>
      </c>
      <c r="H36" t="s">
        <v>1650</v>
      </c>
      <c r="I36" t="s">
        <v>4420</v>
      </c>
      <c r="J36" t="s">
        <v>7110</v>
      </c>
      <c r="K36" t="s">
        <v>7109</v>
      </c>
      <c r="L36" t="s">
        <v>3467</v>
      </c>
      <c r="M36" t="s">
        <v>7111</v>
      </c>
    </row>
    <row r="37" spans="1:13" ht="15" customHeight="1" x14ac:dyDescent="0.25">
      <c r="A37" t="s">
        <v>7112</v>
      </c>
      <c r="B37" t="s">
        <v>6913</v>
      </c>
      <c r="C37" t="s">
        <v>4408</v>
      </c>
      <c r="D37">
        <v>0.5</v>
      </c>
      <c r="E37" s="10">
        <v>4</v>
      </c>
      <c r="F37" s="10">
        <v>6</v>
      </c>
      <c r="G37" t="s">
        <v>3467</v>
      </c>
      <c r="H37" t="s">
        <v>1650</v>
      </c>
      <c r="I37" t="s">
        <v>3467</v>
      </c>
      <c r="J37" t="s">
        <v>7113</v>
      </c>
      <c r="K37" t="s">
        <v>7112</v>
      </c>
      <c r="L37" t="s">
        <v>3467</v>
      </c>
      <c r="M37" t="s">
        <v>4678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5102</v>
      </c>
      <c r="C1" t="s">
        <v>3752</v>
      </c>
      <c r="D1" t="s">
        <v>5062</v>
      </c>
      <c r="E1" t="s">
        <v>1</v>
      </c>
      <c r="F1" t="s">
        <v>3758</v>
      </c>
      <c r="G1" t="s">
        <v>5063</v>
      </c>
      <c r="H1" t="s">
        <v>5064</v>
      </c>
      <c r="I1" t="s">
        <v>4020</v>
      </c>
      <c r="J1" t="s">
        <v>7114</v>
      </c>
      <c r="K1" t="s">
        <v>5106</v>
      </c>
      <c r="L1" t="s">
        <v>171</v>
      </c>
      <c r="M1" t="s">
        <v>7115</v>
      </c>
      <c r="N1" t="s">
        <v>7116</v>
      </c>
      <c r="O1" t="s">
        <v>3450</v>
      </c>
      <c r="P1" t="s">
        <v>7117</v>
      </c>
      <c r="Q1" t="s">
        <v>3757</v>
      </c>
    </row>
    <row r="2" spans="1:17" ht="15" customHeight="1" x14ac:dyDescent="0.25">
      <c r="A2" t="s">
        <v>7079</v>
      </c>
      <c r="B2" t="s">
        <v>7118</v>
      </c>
      <c r="C2" t="s">
        <v>4408</v>
      </c>
      <c r="D2">
        <v>2</v>
      </c>
      <c r="E2" t="s">
        <v>2155</v>
      </c>
      <c r="G2">
        <v>20</v>
      </c>
      <c r="H2">
        <v>24</v>
      </c>
      <c r="I2">
        <v>0</v>
      </c>
      <c r="J2" t="s">
        <v>7119</v>
      </c>
      <c r="K2" t="s">
        <v>7120</v>
      </c>
      <c r="M2">
        <v>1</v>
      </c>
      <c r="N2">
        <v>3</v>
      </c>
      <c r="O2" t="s">
        <v>7121</v>
      </c>
      <c r="P2" t="s">
        <v>7122</v>
      </c>
    </row>
    <row r="3" spans="1:17" ht="15" customHeight="1" x14ac:dyDescent="0.25">
      <c r="A3" t="s">
        <v>7123</v>
      </c>
      <c r="B3" t="s">
        <v>7124</v>
      </c>
      <c r="C3" t="s">
        <v>4412</v>
      </c>
      <c r="D3">
        <v>2</v>
      </c>
      <c r="E3" t="s">
        <v>2155</v>
      </c>
      <c r="F3" t="s">
        <v>4993</v>
      </c>
      <c r="G3">
        <v>12</v>
      </c>
      <c r="H3">
        <v>18</v>
      </c>
      <c r="I3">
        <v>4</v>
      </c>
      <c r="J3" t="s">
        <v>7125</v>
      </c>
      <c r="K3" t="s">
        <v>7126</v>
      </c>
      <c r="M3">
        <v>2</v>
      </c>
      <c r="N3">
        <v>3</v>
      </c>
      <c r="O3" t="s">
        <v>7127</v>
      </c>
      <c r="P3" t="s">
        <v>7128</v>
      </c>
    </row>
    <row r="4" spans="1:17" ht="15" customHeight="1" x14ac:dyDescent="0.25">
      <c r="A4" t="s">
        <v>7129</v>
      </c>
      <c r="B4" t="s">
        <v>7130</v>
      </c>
      <c r="C4" t="s">
        <v>4408</v>
      </c>
      <c r="D4">
        <v>1</v>
      </c>
      <c r="E4" t="s">
        <v>1796</v>
      </c>
      <c r="F4" t="s">
        <v>7131</v>
      </c>
      <c r="G4">
        <v>5</v>
      </c>
      <c r="H4">
        <v>5</v>
      </c>
      <c r="I4">
        <v>4</v>
      </c>
      <c r="J4" t="s">
        <v>7125</v>
      </c>
      <c r="K4" t="s">
        <v>7132</v>
      </c>
      <c r="L4" t="s">
        <v>7129</v>
      </c>
      <c r="M4">
        <v>1</v>
      </c>
      <c r="N4">
        <v>4</v>
      </c>
      <c r="O4" t="s">
        <v>7133</v>
      </c>
      <c r="P4" t="s">
        <v>7134</v>
      </c>
    </row>
    <row r="5" spans="1:17" ht="15" customHeight="1" x14ac:dyDescent="0.25">
      <c r="A5" t="s">
        <v>7135</v>
      </c>
      <c r="B5" t="s">
        <v>4993</v>
      </c>
      <c r="C5" t="s">
        <v>4408</v>
      </c>
      <c r="D5">
        <v>1</v>
      </c>
      <c r="E5" t="s">
        <v>2155</v>
      </c>
      <c r="F5" t="s">
        <v>4993</v>
      </c>
      <c r="G5">
        <v>8</v>
      </c>
      <c r="H5">
        <v>11</v>
      </c>
      <c r="I5">
        <v>4</v>
      </c>
      <c r="J5" t="s">
        <v>7136</v>
      </c>
      <c r="K5" t="s">
        <v>7137</v>
      </c>
      <c r="M5">
        <v>1</v>
      </c>
      <c r="N5">
        <v>4</v>
      </c>
      <c r="O5" t="s">
        <v>7138</v>
      </c>
      <c r="P5" t="s">
        <v>7139</v>
      </c>
    </row>
    <row r="6" spans="1:17" ht="15" customHeight="1" x14ac:dyDescent="0.25">
      <c r="A6" t="s">
        <v>7084</v>
      </c>
      <c r="B6" t="s">
        <v>7140</v>
      </c>
      <c r="C6" t="s">
        <v>4412</v>
      </c>
      <c r="D6">
        <v>5</v>
      </c>
      <c r="E6" t="s">
        <v>2155</v>
      </c>
      <c r="G6">
        <v>60</v>
      </c>
      <c r="H6">
        <v>66</v>
      </c>
      <c r="I6">
        <v>-4</v>
      </c>
      <c r="J6" t="s">
        <v>7141</v>
      </c>
      <c r="K6" t="s">
        <v>7142</v>
      </c>
      <c r="M6">
        <v>4</v>
      </c>
      <c r="N6">
        <v>1</v>
      </c>
      <c r="O6" t="s">
        <v>7143</v>
      </c>
      <c r="P6" t="s">
        <v>7144</v>
      </c>
      <c r="Q6" t="s">
        <v>7145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7146</v>
      </c>
      <c r="C1" t="s">
        <v>7147</v>
      </c>
      <c r="D1" t="s">
        <v>7148</v>
      </c>
      <c r="E1" t="s">
        <v>7149</v>
      </c>
      <c r="F1" t="s">
        <v>7150</v>
      </c>
      <c r="G1" t="s">
        <v>7151</v>
      </c>
      <c r="H1" t="s">
        <v>7152</v>
      </c>
      <c r="I1" t="s">
        <v>1</v>
      </c>
    </row>
    <row r="2" spans="1:9" ht="15" customHeight="1" x14ac:dyDescent="0.25">
      <c r="A2" t="s">
        <v>5913</v>
      </c>
      <c r="B2">
        <v>6</v>
      </c>
      <c r="C2" t="s">
        <v>7153</v>
      </c>
      <c r="D2" t="s">
        <v>7154</v>
      </c>
      <c r="E2" t="s">
        <v>7155</v>
      </c>
      <c r="F2" t="s">
        <v>7155</v>
      </c>
      <c r="G2" t="s">
        <v>7153</v>
      </c>
      <c r="H2" t="s">
        <v>7154</v>
      </c>
      <c r="I2" t="s">
        <v>2362</v>
      </c>
    </row>
    <row r="3" spans="1:9" ht="15" customHeight="1" x14ac:dyDescent="0.25">
      <c r="A3" t="s">
        <v>5936</v>
      </c>
      <c r="B3">
        <v>6</v>
      </c>
      <c r="C3" t="s">
        <v>7156</v>
      </c>
      <c r="D3" t="s">
        <v>7157</v>
      </c>
      <c r="E3" t="s">
        <v>7158</v>
      </c>
      <c r="F3" t="s">
        <v>7158</v>
      </c>
      <c r="G3" t="s">
        <v>7159</v>
      </c>
      <c r="H3" t="s">
        <v>4261</v>
      </c>
      <c r="I3" t="s">
        <v>2362</v>
      </c>
    </row>
    <row r="4" spans="1:9" ht="15" customHeight="1" x14ac:dyDescent="0.25">
      <c r="A4" t="s">
        <v>5963</v>
      </c>
      <c r="B4">
        <v>6</v>
      </c>
      <c r="C4" t="s">
        <v>7160</v>
      </c>
      <c r="D4" t="s">
        <v>7161</v>
      </c>
      <c r="E4" t="s">
        <v>7162</v>
      </c>
      <c r="F4" t="s">
        <v>7162</v>
      </c>
      <c r="G4" t="s">
        <v>7163</v>
      </c>
      <c r="H4" t="s">
        <v>5991</v>
      </c>
      <c r="I4" t="s">
        <v>2362</v>
      </c>
    </row>
    <row r="5" spans="1:9" ht="15" customHeight="1" x14ac:dyDescent="0.25">
      <c r="A5" t="s">
        <v>6004</v>
      </c>
      <c r="B5">
        <v>6</v>
      </c>
      <c r="C5" t="s">
        <v>7164</v>
      </c>
      <c r="D5" t="s">
        <v>7165</v>
      </c>
      <c r="E5" t="s">
        <v>7166</v>
      </c>
      <c r="F5" t="s">
        <v>7166</v>
      </c>
      <c r="G5" t="s">
        <v>7167</v>
      </c>
      <c r="H5" t="s">
        <v>5991</v>
      </c>
      <c r="I5" t="s">
        <v>2362</v>
      </c>
    </row>
    <row r="6" spans="1:9" ht="15" customHeight="1" x14ac:dyDescent="0.25">
      <c r="A6" t="s">
        <v>6050</v>
      </c>
      <c r="B6">
        <v>6</v>
      </c>
      <c r="C6" t="s">
        <v>7168</v>
      </c>
      <c r="D6" t="s">
        <v>7168</v>
      </c>
      <c r="E6" t="s">
        <v>7162</v>
      </c>
      <c r="F6" t="s">
        <v>7162</v>
      </c>
      <c r="G6" t="s">
        <v>7163</v>
      </c>
      <c r="H6" t="s">
        <v>7163</v>
      </c>
      <c r="I6" t="s">
        <v>2362</v>
      </c>
    </row>
    <row r="7" spans="1:9" ht="15" customHeight="1" x14ac:dyDescent="0.25">
      <c r="A7" t="s">
        <v>6073</v>
      </c>
      <c r="B7">
        <v>6</v>
      </c>
      <c r="C7" t="s">
        <v>7169</v>
      </c>
      <c r="D7" t="s">
        <v>7157</v>
      </c>
      <c r="E7" t="s">
        <v>5991</v>
      </c>
      <c r="F7" t="s">
        <v>5991</v>
      </c>
      <c r="G7" t="s">
        <v>7170</v>
      </c>
      <c r="H7" t="s">
        <v>5991</v>
      </c>
      <c r="I7" t="s">
        <v>2362</v>
      </c>
    </row>
    <row r="8" spans="1:9" ht="15" customHeight="1" x14ac:dyDescent="0.25">
      <c r="A8" t="s">
        <v>6078</v>
      </c>
      <c r="B8">
        <v>6</v>
      </c>
      <c r="C8" t="s">
        <v>7171</v>
      </c>
      <c r="D8" t="s">
        <v>7172</v>
      </c>
      <c r="E8" t="s">
        <v>7173</v>
      </c>
      <c r="F8" t="s">
        <v>7173</v>
      </c>
      <c r="G8" t="s">
        <v>7161</v>
      </c>
      <c r="H8" t="s">
        <v>5991</v>
      </c>
      <c r="I8" t="s">
        <v>2362</v>
      </c>
    </row>
    <row r="9" spans="1:9" ht="15" customHeight="1" x14ac:dyDescent="0.25">
      <c r="A9" t="s">
        <v>6097</v>
      </c>
      <c r="B9">
        <v>6</v>
      </c>
      <c r="C9" t="s">
        <v>7166</v>
      </c>
      <c r="D9" t="s">
        <v>7174</v>
      </c>
      <c r="E9" t="s">
        <v>7175</v>
      </c>
      <c r="F9" t="s">
        <v>7175</v>
      </c>
      <c r="G9" t="s">
        <v>7174</v>
      </c>
      <c r="H9" t="s">
        <v>5991</v>
      </c>
      <c r="I9" t="s">
        <v>2362</v>
      </c>
    </row>
    <row r="10" spans="1:9" ht="15" customHeight="1" x14ac:dyDescent="0.25">
      <c r="A10" t="s">
        <v>5732</v>
      </c>
      <c r="B10">
        <v>6</v>
      </c>
      <c r="C10" t="s">
        <v>7176</v>
      </c>
      <c r="D10" t="s">
        <v>7177</v>
      </c>
      <c r="E10" t="s">
        <v>7178</v>
      </c>
      <c r="F10" t="s">
        <v>7179</v>
      </c>
      <c r="G10" t="s">
        <v>7180</v>
      </c>
      <c r="H10" t="s">
        <v>7181</v>
      </c>
      <c r="I10" t="s">
        <v>160</v>
      </c>
    </row>
    <row r="11" spans="1:9" ht="15" customHeight="1" x14ac:dyDescent="0.25">
      <c r="A11" t="s">
        <v>6143</v>
      </c>
      <c r="B11">
        <v>6</v>
      </c>
      <c r="C11" t="s">
        <v>7156</v>
      </c>
      <c r="D11" t="s">
        <v>7182</v>
      </c>
      <c r="E11" t="s">
        <v>7183</v>
      </c>
      <c r="F11" t="s">
        <v>7183</v>
      </c>
      <c r="G11" t="s">
        <v>7184</v>
      </c>
      <c r="H11" t="s">
        <v>5991</v>
      </c>
      <c r="I11" t="s">
        <v>2362</v>
      </c>
    </row>
    <row r="12" spans="1:9" ht="15" customHeight="1" x14ac:dyDescent="0.25">
      <c r="A12" t="s">
        <v>6150</v>
      </c>
      <c r="B12">
        <v>6</v>
      </c>
      <c r="C12" t="s">
        <v>7185</v>
      </c>
      <c r="D12" t="s">
        <v>7185</v>
      </c>
      <c r="E12" t="s">
        <v>7153</v>
      </c>
      <c r="F12" t="s">
        <v>7153</v>
      </c>
      <c r="G12" t="s">
        <v>7154</v>
      </c>
      <c r="H12" t="s">
        <v>5991</v>
      </c>
      <c r="I12" t="s">
        <v>2362</v>
      </c>
    </row>
    <row r="13" spans="1:9" ht="15" customHeight="1" x14ac:dyDescent="0.25">
      <c r="A13" t="s">
        <v>6151</v>
      </c>
      <c r="B13">
        <v>6</v>
      </c>
      <c r="C13" t="s">
        <v>7157</v>
      </c>
      <c r="D13" t="s">
        <v>5697</v>
      </c>
      <c r="E13" t="s">
        <v>5991</v>
      </c>
      <c r="F13" t="s">
        <v>5991</v>
      </c>
      <c r="G13" t="s">
        <v>5991</v>
      </c>
      <c r="H13" t="s">
        <v>5991</v>
      </c>
      <c r="I13" t="s">
        <v>2362</v>
      </c>
    </row>
    <row r="14" spans="1:9" ht="15" customHeight="1" x14ac:dyDescent="0.25">
      <c r="A14" t="s">
        <v>6170</v>
      </c>
      <c r="B14">
        <v>6</v>
      </c>
      <c r="C14" t="s">
        <v>7166</v>
      </c>
      <c r="D14" t="s">
        <v>7166</v>
      </c>
      <c r="E14" t="s">
        <v>7174</v>
      </c>
      <c r="F14" t="s">
        <v>7174</v>
      </c>
      <c r="G14" t="s">
        <v>5991</v>
      </c>
      <c r="H14" t="s">
        <v>5991</v>
      </c>
      <c r="I14" t="s">
        <v>2362</v>
      </c>
    </row>
    <row r="15" spans="1:9" ht="15" customHeight="1" x14ac:dyDescent="0.25">
      <c r="A15" t="s">
        <v>6187</v>
      </c>
      <c r="B15">
        <v>6</v>
      </c>
      <c r="C15" t="s">
        <v>7186</v>
      </c>
      <c r="D15" t="s">
        <v>7187</v>
      </c>
      <c r="E15" t="s">
        <v>7187</v>
      </c>
      <c r="F15" t="s">
        <v>7187</v>
      </c>
      <c r="G15" t="s">
        <v>7174</v>
      </c>
      <c r="H15" t="s">
        <v>5991</v>
      </c>
      <c r="I15" t="s">
        <v>2362</v>
      </c>
    </row>
    <row r="16" spans="1:9" ht="15" customHeight="1" x14ac:dyDescent="0.25">
      <c r="A16" t="s">
        <v>6256</v>
      </c>
      <c r="B16">
        <v>6</v>
      </c>
      <c r="C16" t="s">
        <v>7188</v>
      </c>
      <c r="D16" t="s">
        <v>7189</v>
      </c>
      <c r="E16" t="s">
        <v>7189</v>
      </c>
      <c r="F16" t="s">
        <v>7189</v>
      </c>
      <c r="G16" t="s">
        <v>7190</v>
      </c>
      <c r="H16" t="s">
        <v>5991</v>
      </c>
      <c r="I16" t="s">
        <v>2362</v>
      </c>
    </row>
    <row r="17" spans="1:9" ht="15" customHeight="1" x14ac:dyDescent="0.25">
      <c r="A17" t="s">
        <v>6333</v>
      </c>
      <c r="B17">
        <v>6</v>
      </c>
      <c r="C17" t="s">
        <v>7158</v>
      </c>
      <c r="D17" t="s">
        <v>7158</v>
      </c>
      <c r="E17" t="s">
        <v>7168</v>
      </c>
      <c r="F17" t="s">
        <v>7168</v>
      </c>
      <c r="G17" t="s">
        <v>7161</v>
      </c>
      <c r="H17" t="s">
        <v>7161</v>
      </c>
      <c r="I17" t="s">
        <v>2362</v>
      </c>
    </row>
    <row r="18" spans="1:9" ht="15" customHeight="1" x14ac:dyDescent="0.25">
      <c r="A18" t="s">
        <v>6390</v>
      </c>
      <c r="B18">
        <v>6</v>
      </c>
      <c r="C18" t="s">
        <v>7157</v>
      </c>
      <c r="D18" t="s">
        <v>7157</v>
      </c>
      <c r="E18" t="s">
        <v>7158</v>
      </c>
      <c r="F18" t="s">
        <v>7158</v>
      </c>
      <c r="G18" t="s">
        <v>7160</v>
      </c>
      <c r="H18" t="s">
        <v>7160</v>
      </c>
      <c r="I18" t="s">
        <v>2362</v>
      </c>
    </row>
    <row r="19" spans="1:9" ht="15" customHeight="1" x14ac:dyDescent="0.25">
      <c r="A19" t="s">
        <v>6394</v>
      </c>
      <c r="B19">
        <v>6</v>
      </c>
      <c r="C19" t="s">
        <v>5697</v>
      </c>
      <c r="D19" t="s">
        <v>7160</v>
      </c>
      <c r="E19" t="s">
        <v>7168</v>
      </c>
      <c r="F19" t="s">
        <v>7168</v>
      </c>
      <c r="G19" t="s">
        <v>7161</v>
      </c>
      <c r="H19" t="s">
        <v>7163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7191</v>
      </c>
      <c r="D1" t="s">
        <v>171</v>
      </c>
      <c r="E1" t="s">
        <v>7192</v>
      </c>
    </row>
    <row r="2" spans="1:5" ht="15" customHeight="1" x14ac:dyDescent="0.25">
      <c r="A2" t="s">
        <v>7193</v>
      </c>
      <c r="B2">
        <v>2022</v>
      </c>
      <c r="C2" t="s">
        <v>2620</v>
      </c>
      <c r="D2" t="s">
        <v>7194</v>
      </c>
    </row>
    <row r="3" spans="1:5" ht="15" customHeight="1" x14ac:dyDescent="0.25">
      <c r="A3" t="s">
        <v>7195</v>
      </c>
      <c r="B3">
        <v>2022</v>
      </c>
      <c r="C3" t="s">
        <v>90</v>
      </c>
      <c r="D3" t="s">
        <v>7196</v>
      </c>
    </row>
    <row r="4" spans="1:5" ht="15" customHeight="1" x14ac:dyDescent="0.25">
      <c r="A4" t="s">
        <v>7197</v>
      </c>
      <c r="B4">
        <v>2024</v>
      </c>
      <c r="C4" t="s">
        <v>353</v>
      </c>
      <c r="D4" t="s">
        <v>7198</v>
      </c>
    </row>
    <row r="5" spans="1:5" ht="15" customHeight="1" x14ac:dyDescent="0.25">
      <c r="A5" t="s">
        <v>7199</v>
      </c>
      <c r="B5">
        <v>2020</v>
      </c>
      <c r="C5" t="s">
        <v>2133</v>
      </c>
      <c r="D5" t="s">
        <v>7200</v>
      </c>
    </row>
    <row r="6" spans="1:5" ht="15" customHeight="1" x14ac:dyDescent="0.25">
      <c r="A6" t="s">
        <v>7201</v>
      </c>
      <c r="B6">
        <v>2021</v>
      </c>
      <c r="C6" t="s">
        <v>2137</v>
      </c>
      <c r="D6" t="s">
        <v>7202</v>
      </c>
    </row>
    <row r="7" spans="1:5" ht="15" customHeight="1" x14ac:dyDescent="0.25">
      <c r="A7" t="s">
        <v>7203</v>
      </c>
      <c r="B7">
        <v>2024</v>
      </c>
      <c r="C7" t="s">
        <v>353</v>
      </c>
      <c r="D7" t="s">
        <v>7204</v>
      </c>
    </row>
    <row r="8" spans="1:5" x14ac:dyDescent="0.25">
      <c r="A8" t="s">
        <v>7205</v>
      </c>
      <c r="B8">
        <v>2024</v>
      </c>
      <c r="C8" t="s">
        <v>353</v>
      </c>
      <c r="E8" s="11" t="s">
        <v>7206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7207</v>
      </c>
      <c r="B2" t="s">
        <v>7208</v>
      </c>
      <c r="C2" t="s">
        <v>4052</v>
      </c>
    </row>
    <row r="3" spans="1:3" ht="15" customHeight="1" x14ac:dyDescent="0.25">
      <c r="A3" t="s">
        <v>7209</v>
      </c>
      <c r="B3" t="s">
        <v>7210</v>
      </c>
      <c r="C3" t="s">
        <v>4052</v>
      </c>
    </row>
    <row r="4" spans="1:3" ht="15" customHeight="1" x14ac:dyDescent="0.25">
      <c r="A4" t="s">
        <v>4432</v>
      </c>
      <c r="B4" t="s">
        <v>7211</v>
      </c>
      <c r="C4" t="s">
        <v>4069</v>
      </c>
    </row>
    <row r="5" spans="1:3" ht="15" customHeight="1" x14ac:dyDescent="0.25">
      <c r="A5" t="s">
        <v>4027</v>
      </c>
      <c r="B5" t="s">
        <v>7212</v>
      </c>
      <c r="C5" t="s">
        <v>4052</v>
      </c>
    </row>
    <row r="6" spans="1:3" ht="15" customHeight="1" x14ac:dyDescent="0.25">
      <c r="A6" t="s">
        <v>7213</v>
      </c>
      <c r="B6" t="s">
        <v>7214</v>
      </c>
      <c r="C6" t="s">
        <v>4069</v>
      </c>
    </row>
    <row r="7" spans="1:3" ht="15" customHeight="1" x14ac:dyDescent="0.25">
      <c r="A7" t="s">
        <v>7215</v>
      </c>
      <c r="B7" t="s">
        <v>7216</v>
      </c>
      <c r="C7" t="s">
        <v>4052</v>
      </c>
    </row>
    <row r="8" spans="1:3" ht="15" customHeight="1" x14ac:dyDescent="0.25">
      <c r="A8" t="s">
        <v>7217</v>
      </c>
      <c r="B8" t="s">
        <v>7218</v>
      </c>
      <c r="C8" t="s">
        <v>4052</v>
      </c>
    </row>
    <row r="9" spans="1:3" ht="15" customHeight="1" x14ac:dyDescent="0.25">
      <c r="A9" t="s">
        <v>7219</v>
      </c>
      <c r="B9" t="s">
        <v>7220</v>
      </c>
      <c r="C9" t="s">
        <v>4052</v>
      </c>
    </row>
    <row r="10" spans="1:3" ht="15" customHeight="1" x14ac:dyDescent="0.25">
      <c r="A10" t="s">
        <v>7221</v>
      </c>
      <c r="B10" t="s">
        <v>7222</v>
      </c>
      <c r="C10" t="s">
        <v>4080</v>
      </c>
    </row>
    <row r="11" spans="1:3" ht="15" customHeight="1" x14ac:dyDescent="0.25">
      <c r="A11" t="s">
        <v>7223</v>
      </c>
      <c r="B11" t="s">
        <v>7224</v>
      </c>
      <c r="C11" t="s">
        <v>4052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7225</v>
      </c>
      <c r="C1" t="s">
        <v>4642</v>
      </c>
      <c r="D1" t="s">
        <v>7226</v>
      </c>
      <c r="E1" t="s">
        <v>3461</v>
      </c>
      <c r="F1" t="s">
        <v>167</v>
      </c>
    </row>
    <row r="2" spans="1:6" ht="15" customHeight="1" x14ac:dyDescent="0.25">
      <c r="A2" t="s">
        <v>7227</v>
      </c>
      <c r="B2" t="s">
        <v>5068</v>
      </c>
      <c r="C2" t="s">
        <v>4408</v>
      </c>
      <c r="D2" t="s">
        <v>7228</v>
      </c>
      <c r="E2" t="s">
        <v>7229</v>
      </c>
      <c r="F2" t="s">
        <v>7230</v>
      </c>
    </row>
    <row r="3" spans="1:6" ht="15" customHeight="1" x14ac:dyDescent="0.25">
      <c r="A3" t="s">
        <v>7231</v>
      </c>
      <c r="B3" t="s">
        <v>5068</v>
      </c>
      <c r="C3" t="s">
        <v>4412</v>
      </c>
      <c r="D3" t="s">
        <v>7228</v>
      </c>
      <c r="E3" t="s">
        <v>7232</v>
      </c>
      <c r="F3" t="s">
        <v>7230</v>
      </c>
    </row>
    <row r="4" spans="1:6" ht="15" customHeight="1" x14ac:dyDescent="0.25">
      <c r="A4" t="s">
        <v>7233</v>
      </c>
      <c r="B4" t="s">
        <v>5068</v>
      </c>
      <c r="C4" t="s">
        <v>5071</v>
      </c>
      <c r="D4" t="s">
        <v>7228</v>
      </c>
      <c r="E4" t="s">
        <v>7234</v>
      </c>
      <c r="F4" t="s">
        <v>7230</v>
      </c>
    </row>
    <row r="5" spans="1:6" ht="15" customHeight="1" x14ac:dyDescent="0.25">
      <c r="A5" t="s">
        <v>7235</v>
      </c>
      <c r="B5" t="s">
        <v>5068</v>
      </c>
      <c r="C5" t="s">
        <v>4408</v>
      </c>
      <c r="D5" t="s">
        <v>7228</v>
      </c>
      <c r="E5" t="s">
        <v>7236</v>
      </c>
      <c r="F5" t="s">
        <v>7230</v>
      </c>
    </row>
    <row r="6" spans="1:6" ht="15" customHeight="1" x14ac:dyDescent="0.25">
      <c r="A6" t="s">
        <v>7237</v>
      </c>
      <c r="B6" t="s">
        <v>5068</v>
      </c>
      <c r="C6" t="s">
        <v>4412</v>
      </c>
      <c r="D6" t="s">
        <v>7228</v>
      </c>
      <c r="E6" t="s">
        <v>7238</v>
      </c>
      <c r="F6" t="s">
        <v>7230</v>
      </c>
    </row>
    <row r="7" spans="1:6" ht="15" customHeight="1" x14ac:dyDescent="0.25">
      <c r="A7" t="s">
        <v>7239</v>
      </c>
      <c r="B7" t="s">
        <v>5068</v>
      </c>
      <c r="C7" t="s">
        <v>5071</v>
      </c>
      <c r="D7" t="s">
        <v>7228</v>
      </c>
      <c r="E7" t="s">
        <v>7240</v>
      </c>
      <c r="F7" t="s">
        <v>7230</v>
      </c>
    </row>
    <row r="8" spans="1:6" ht="15" customHeight="1" x14ac:dyDescent="0.25">
      <c r="A8" t="s">
        <v>7241</v>
      </c>
      <c r="B8" t="s">
        <v>5068</v>
      </c>
      <c r="C8" t="s">
        <v>4408</v>
      </c>
      <c r="D8" t="s">
        <v>7242</v>
      </c>
      <c r="E8" t="s">
        <v>7243</v>
      </c>
      <c r="F8" t="s">
        <v>7230</v>
      </c>
    </row>
    <row r="9" spans="1:6" ht="15" customHeight="1" x14ac:dyDescent="0.25">
      <c r="A9" t="s">
        <v>7244</v>
      </c>
      <c r="B9" t="s">
        <v>5068</v>
      </c>
      <c r="C9" t="s">
        <v>4412</v>
      </c>
      <c r="D9" t="s">
        <v>7228</v>
      </c>
      <c r="E9" t="s">
        <v>7243</v>
      </c>
      <c r="F9" t="s">
        <v>7230</v>
      </c>
    </row>
    <row r="10" spans="1:6" ht="15" customHeight="1" x14ac:dyDescent="0.25">
      <c r="A10" t="s">
        <v>7245</v>
      </c>
      <c r="B10" t="s">
        <v>5068</v>
      </c>
      <c r="C10" t="s">
        <v>5071</v>
      </c>
      <c r="D10" t="s">
        <v>7246</v>
      </c>
      <c r="E10" t="s">
        <v>7243</v>
      </c>
      <c r="F10" t="s">
        <v>7230</v>
      </c>
    </row>
    <row r="11" spans="1:6" ht="15" customHeight="1" x14ac:dyDescent="0.25">
      <c r="A11" t="s">
        <v>7247</v>
      </c>
      <c r="B11" t="s">
        <v>4036</v>
      </c>
      <c r="C11" t="s">
        <v>4408</v>
      </c>
      <c r="D11" t="s">
        <v>7242</v>
      </c>
      <c r="E11" t="s">
        <v>7248</v>
      </c>
      <c r="F11" t="s">
        <v>7230</v>
      </c>
    </row>
    <row r="12" spans="1:6" ht="15" customHeight="1" x14ac:dyDescent="0.25">
      <c r="A12" t="s">
        <v>7249</v>
      </c>
      <c r="B12" t="s">
        <v>4036</v>
      </c>
      <c r="C12" t="s">
        <v>4412</v>
      </c>
      <c r="D12" t="s">
        <v>7242</v>
      </c>
      <c r="E12" t="s">
        <v>7250</v>
      </c>
      <c r="F12" t="s">
        <v>7230</v>
      </c>
    </row>
    <row r="13" spans="1:6" ht="15" customHeight="1" x14ac:dyDescent="0.25">
      <c r="A13" t="s">
        <v>7251</v>
      </c>
      <c r="B13" t="s">
        <v>4036</v>
      </c>
      <c r="C13" t="s">
        <v>5071</v>
      </c>
      <c r="D13" t="s">
        <v>7242</v>
      </c>
      <c r="E13" t="s">
        <v>7252</v>
      </c>
      <c r="F13" t="s">
        <v>7230</v>
      </c>
    </row>
    <row r="14" spans="1:6" ht="15" customHeight="1" x14ac:dyDescent="0.25">
      <c r="A14" t="s">
        <v>7253</v>
      </c>
      <c r="B14" t="s">
        <v>6913</v>
      </c>
      <c r="C14" t="s">
        <v>4408</v>
      </c>
      <c r="D14" t="s">
        <v>7254</v>
      </c>
      <c r="E14" t="s">
        <v>7255</v>
      </c>
      <c r="F14" t="s">
        <v>3854</v>
      </c>
    </row>
    <row r="15" spans="1:6" ht="15" customHeight="1" x14ac:dyDescent="0.25">
      <c r="A15" t="s">
        <v>7256</v>
      </c>
      <c r="B15" t="s">
        <v>6913</v>
      </c>
      <c r="C15" t="s">
        <v>4412</v>
      </c>
      <c r="D15" t="s">
        <v>7257</v>
      </c>
      <c r="E15" t="s">
        <v>7255</v>
      </c>
      <c r="F15" t="s">
        <v>3854</v>
      </c>
    </row>
    <row r="16" spans="1:6" ht="15" customHeight="1" x14ac:dyDescent="0.25">
      <c r="A16" t="s">
        <v>7258</v>
      </c>
      <c r="B16" t="s">
        <v>6913</v>
      </c>
      <c r="C16" t="s">
        <v>5071</v>
      </c>
      <c r="D16" t="s">
        <v>7259</v>
      </c>
      <c r="E16" t="s">
        <v>7255</v>
      </c>
      <c r="F16" t="s">
        <v>3854</v>
      </c>
    </row>
    <row r="17" spans="1:6" ht="15" customHeight="1" x14ac:dyDescent="0.25">
      <c r="A17" t="s">
        <v>7260</v>
      </c>
      <c r="B17" t="s">
        <v>6913</v>
      </c>
      <c r="C17" t="s">
        <v>4408</v>
      </c>
      <c r="D17" t="s">
        <v>7261</v>
      </c>
      <c r="E17" t="s">
        <v>7262</v>
      </c>
      <c r="F17" t="s">
        <v>7263</v>
      </c>
    </row>
    <row r="18" spans="1:6" ht="15" customHeight="1" x14ac:dyDescent="0.25">
      <c r="A18" t="s">
        <v>7264</v>
      </c>
      <c r="B18" t="s">
        <v>6913</v>
      </c>
      <c r="C18" t="s">
        <v>4412</v>
      </c>
      <c r="D18" t="s">
        <v>7261</v>
      </c>
      <c r="E18" t="s">
        <v>7265</v>
      </c>
      <c r="F18" t="s">
        <v>7263</v>
      </c>
    </row>
    <row r="19" spans="1:6" ht="15" customHeight="1" x14ac:dyDescent="0.25">
      <c r="A19" t="s">
        <v>7266</v>
      </c>
      <c r="B19" t="s">
        <v>6913</v>
      </c>
      <c r="C19" t="s">
        <v>5071</v>
      </c>
      <c r="D19" t="s">
        <v>7261</v>
      </c>
      <c r="E19" t="s">
        <v>7267</v>
      </c>
      <c r="F19" t="s">
        <v>7263</v>
      </c>
    </row>
    <row r="20" spans="1:6" ht="15" customHeight="1" x14ac:dyDescent="0.25">
      <c r="A20" t="s">
        <v>7268</v>
      </c>
      <c r="B20" t="s">
        <v>6913</v>
      </c>
      <c r="C20" t="s">
        <v>4408</v>
      </c>
      <c r="D20" t="s">
        <v>7269</v>
      </c>
      <c r="E20" t="s">
        <v>7270</v>
      </c>
      <c r="F20" t="s">
        <v>7263</v>
      </c>
    </row>
    <row r="21" spans="1:6" ht="15" customHeight="1" x14ac:dyDescent="0.25">
      <c r="A21" t="s">
        <v>7271</v>
      </c>
      <c r="B21" t="s">
        <v>6913</v>
      </c>
      <c r="C21" t="s">
        <v>4412</v>
      </c>
      <c r="D21" t="s">
        <v>7272</v>
      </c>
      <c r="E21" t="s">
        <v>7270</v>
      </c>
      <c r="F21" t="s">
        <v>7263</v>
      </c>
    </row>
    <row r="22" spans="1:6" ht="15" customHeight="1" x14ac:dyDescent="0.25">
      <c r="A22" t="s">
        <v>7273</v>
      </c>
      <c r="B22" t="s">
        <v>6913</v>
      </c>
      <c r="C22" t="s">
        <v>5071</v>
      </c>
      <c r="D22" t="s">
        <v>7274</v>
      </c>
      <c r="E22" t="s">
        <v>7270</v>
      </c>
      <c r="F22" t="s">
        <v>7263</v>
      </c>
    </row>
    <row r="23" spans="1:6" ht="15" customHeight="1" x14ac:dyDescent="0.25">
      <c r="A23" t="s">
        <v>7275</v>
      </c>
      <c r="B23" t="s">
        <v>4015</v>
      </c>
      <c r="C23" t="s">
        <v>4408</v>
      </c>
      <c r="D23" t="s">
        <v>7254</v>
      </c>
      <c r="E23" t="s">
        <v>7276</v>
      </c>
      <c r="F23" t="s">
        <v>3854</v>
      </c>
    </row>
    <row r="24" spans="1:6" ht="15" customHeight="1" x14ac:dyDescent="0.25">
      <c r="A24" t="s">
        <v>7277</v>
      </c>
      <c r="B24" t="s">
        <v>4015</v>
      </c>
      <c r="C24" t="s">
        <v>4412</v>
      </c>
      <c r="D24" t="s">
        <v>7254</v>
      </c>
      <c r="E24" t="s">
        <v>7278</v>
      </c>
      <c r="F24" t="s">
        <v>3854</v>
      </c>
    </row>
    <row r="25" spans="1:6" ht="15" customHeight="1" x14ac:dyDescent="0.25">
      <c r="A25" t="s">
        <v>7279</v>
      </c>
      <c r="B25" t="s">
        <v>4015</v>
      </c>
      <c r="C25" t="s">
        <v>5071</v>
      </c>
      <c r="D25" t="s">
        <v>7254</v>
      </c>
      <c r="E25" t="s">
        <v>7280</v>
      </c>
      <c r="F25" t="s">
        <v>3854</v>
      </c>
    </row>
    <row r="26" spans="1:6" ht="15" customHeight="1" x14ac:dyDescent="0.25">
      <c r="A26" t="s">
        <v>7281</v>
      </c>
      <c r="B26" t="s">
        <v>4015</v>
      </c>
      <c r="C26" t="s">
        <v>4408</v>
      </c>
      <c r="D26" t="s">
        <v>7282</v>
      </c>
      <c r="E26" t="s">
        <v>7283</v>
      </c>
      <c r="F26" t="s">
        <v>7263</v>
      </c>
    </row>
    <row r="27" spans="1:6" ht="15" customHeight="1" x14ac:dyDescent="0.25">
      <c r="A27" t="s">
        <v>7284</v>
      </c>
      <c r="B27" t="s">
        <v>4015</v>
      </c>
      <c r="C27" t="s">
        <v>4412</v>
      </c>
      <c r="D27" t="s">
        <v>7285</v>
      </c>
      <c r="E27" t="s">
        <v>7283</v>
      </c>
      <c r="F27" t="s">
        <v>7263</v>
      </c>
    </row>
    <row r="28" spans="1:6" ht="15" customHeight="1" x14ac:dyDescent="0.25">
      <c r="A28" t="s">
        <v>7286</v>
      </c>
      <c r="B28" t="s">
        <v>4015</v>
      </c>
      <c r="C28" t="s">
        <v>5071</v>
      </c>
      <c r="D28" t="s">
        <v>7287</v>
      </c>
      <c r="E28" t="s">
        <v>7283</v>
      </c>
      <c r="F28" t="s">
        <v>7263</v>
      </c>
    </row>
    <row r="29" spans="1:6" ht="15" customHeight="1" x14ac:dyDescent="0.25">
      <c r="A29" t="s">
        <v>7288</v>
      </c>
      <c r="B29" t="s">
        <v>4015</v>
      </c>
      <c r="C29" t="s">
        <v>4408</v>
      </c>
      <c r="D29" t="s">
        <v>7289</v>
      </c>
      <c r="E29" t="s">
        <v>7290</v>
      </c>
      <c r="F29" t="s">
        <v>7263</v>
      </c>
    </row>
    <row r="30" spans="1:6" ht="15" customHeight="1" x14ac:dyDescent="0.25">
      <c r="A30" t="s">
        <v>7291</v>
      </c>
      <c r="B30" t="s">
        <v>4015</v>
      </c>
      <c r="C30" t="s">
        <v>4412</v>
      </c>
      <c r="D30" t="s">
        <v>7292</v>
      </c>
      <c r="E30" t="s">
        <v>7290</v>
      </c>
      <c r="F30" t="s">
        <v>7263</v>
      </c>
    </row>
    <row r="31" spans="1:6" ht="15" customHeight="1" x14ac:dyDescent="0.25">
      <c r="A31" t="s">
        <v>7293</v>
      </c>
      <c r="B31" t="s">
        <v>4015</v>
      </c>
      <c r="C31" t="s">
        <v>5071</v>
      </c>
      <c r="D31" t="s">
        <v>7294</v>
      </c>
      <c r="E31" t="s">
        <v>7290</v>
      </c>
      <c r="F31" t="s">
        <v>7263</v>
      </c>
    </row>
    <row r="32" spans="1:6" ht="15" customHeight="1" x14ac:dyDescent="0.25">
      <c r="A32" t="s">
        <v>7295</v>
      </c>
      <c r="B32" t="s">
        <v>4036</v>
      </c>
      <c r="C32" t="s">
        <v>4408</v>
      </c>
      <c r="D32" t="s">
        <v>7296</v>
      </c>
      <c r="E32" t="s">
        <v>7297</v>
      </c>
      <c r="F32" t="s">
        <v>7263</v>
      </c>
    </row>
    <row r="33" spans="1:6" ht="15" customHeight="1" x14ac:dyDescent="0.25">
      <c r="A33" t="s">
        <v>7298</v>
      </c>
      <c r="B33" t="s">
        <v>4036</v>
      </c>
      <c r="C33" t="s">
        <v>4412</v>
      </c>
      <c r="D33" t="s">
        <v>7296</v>
      </c>
      <c r="E33" t="s">
        <v>7297</v>
      </c>
      <c r="F33" t="s">
        <v>7263</v>
      </c>
    </row>
    <row r="34" spans="1:6" ht="15" customHeight="1" x14ac:dyDescent="0.25">
      <c r="A34" t="s">
        <v>7299</v>
      </c>
      <c r="B34" t="s">
        <v>4036</v>
      </c>
      <c r="C34" t="s">
        <v>5071</v>
      </c>
      <c r="D34" t="s">
        <v>7296</v>
      </c>
      <c r="E34" t="s">
        <v>7297</v>
      </c>
      <c r="F34" t="s">
        <v>7263</v>
      </c>
    </row>
    <row r="35" spans="1:6" ht="15" customHeight="1" x14ac:dyDescent="0.25">
      <c r="A35" t="s">
        <v>7300</v>
      </c>
      <c r="B35" t="s">
        <v>5068</v>
      </c>
      <c r="C35" t="s">
        <v>4408</v>
      </c>
      <c r="D35" t="s">
        <v>7242</v>
      </c>
      <c r="E35" t="s">
        <v>7301</v>
      </c>
      <c r="F35" t="s">
        <v>7230</v>
      </c>
    </row>
    <row r="36" spans="1:6" ht="15" customHeight="1" x14ac:dyDescent="0.25">
      <c r="A36" t="s">
        <v>7302</v>
      </c>
      <c r="B36" t="s">
        <v>5068</v>
      </c>
      <c r="C36" t="s">
        <v>4412</v>
      </c>
      <c r="D36" t="s">
        <v>7228</v>
      </c>
      <c r="E36" t="s">
        <v>7301</v>
      </c>
      <c r="F36" t="s">
        <v>7230</v>
      </c>
    </row>
    <row r="37" spans="1:6" ht="15" customHeight="1" x14ac:dyDescent="0.25">
      <c r="A37" t="s">
        <v>7303</v>
      </c>
      <c r="B37" t="s">
        <v>5068</v>
      </c>
      <c r="C37" t="s">
        <v>5071</v>
      </c>
      <c r="D37" t="s">
        <v>7246</v>
      </c>
      <c r="E37" t="s">
        <v>7301</v>
      </c>
      <c r="F37" t="s">
        <v>7230</v>
      </c>
    </row>
    <row r="38" spans="1:6" ht="15" customHeight="1" x14ac:dyDescent="0.25">
      <c r="A38" t="s">
        <v>7304</v>
      </c>
      <c r="B38" t="s">
        <v>4036</v>
      </c>
      <c r="C38" t="s">
        <v>4408</v>
      </c>
      <c r="D38" t="s">
        <v>7242</v>
      </c>
      <c r="E38" t="s">
        <v>7305</v>
      </c>
      <c r="F38" t="s">
        <v>7230</v>
      </c>
    </row>
    <row r="39" spans="1:6" ht="15" customHeight="1" x14ac:dyDescent="0.25">
      <c r="A39" t="s">
        <v>7306</v>
      </c>
      <c r="B39" t="s">
        <v>4036</v>
      </c>
      <c r="C39" t="s">
        <v>4412</v>
      </c>
      <c r="D39" t="s">
        <v>7228</v>
      </c>
      <c r="E39" t="s">
        <v>7305</v>
      </c>
      <c r="F39" t="s">
        <v>7230</v>
      </c>
    </row>
    <row r="40" spans="1:6" ht="15" customHeight="1" x14ac:dyDescent="0.25">
      <c r="A40" t="s">
        <v>7307</v>
      </c>
      <c r="B40" t="s">
        <v>4036</v>
      </c>
      <c r="C40" t="s">
        <v>5071</v>
      </c>
      <c r="D40" t="s">
        <v>7246</v>
      </c>
      <c r="E40" t="s">
        <v>7305</v>
      </c>
      <c r="F40" t="s">
        <v>7230</v>
      </c>
    </row>
    <row r="41" spans="1:6" ht="15" customHeight="1" x14ac:dyDescent="0.25">
      <c r="A41" t="s">
        <v>7308</v>
      </c>
      <c r="B41" t="s">
        <v>5068</v>
      </c>
      <c r="C41" t="s">
        <v>4408</v>
      </c>
      <c r="D41" t="s">
        <v>7246</v>
      </c>
      <c r="E41" t="s">
        <v>7309</v>
      </c>
      <c r="F41" t="s">
        <v>7230</v>
      </c>
    </row>
    <row r="42" spans="1:6" ht="15" customHeight="1" x14ac:dyDescent="0.25">
      <c r="A42" t="s">
        <v>7310</v>
      </c>
      <c r="B42" t="s">
        <v>5068</v>
      </c>
      <c r="C42" t="s">
        <v>4412</v>
      </c>
      <c r="D42" t="s">
        <v>7246</v>
      </c>
      <c r="E42" t="s">
        <v>7311</v>
      </c>
      <c r="F42" t="s">
        <v>7230</v>
      </c>
    </row>
    <row r="43" spans="1:6" ht="15" customHeight="1" x14ac:dyDescent="0.25">
      <c r="A43" t="s">
        <v>7312</v>
      </c>
      <c r="B43" t="s">
        <v>5068</v>
      </c>
      <c r="C43" t="s">
        <v>5071</v>
      </c>
      <c r="D43" t="s">
        <v>7246</v>
      </c>
      <c r="E43" t="s">
        <v>7313</v>
      </c>
      <c r="F43" t="s">
        <v>7230</v>
      </c>
    </row>
    <row r="44" spans="1:6" ht="15" customHeight="1" x14ac:dyDescent="0.25">
      <c r="A44" t="s">
        <v>7314</v>
      </c>
      <c r="B44" t="s">
        <v>6913</v>
      </c>
      <c r="C44" t="s">
        <v>4408</v>
      </c>
      <c r="D44" t="s">
        <v>7242</v>
      </c>
      <c r="E44" t="s">
        <v>7315</v>
      </c>
      <c r="F44" t="s">
        <v>7230</v>
      </c>
    </row>
    <row r="45" spans="1:6" ht="15" customHeight="1" x14ac:dyDescent="0.25">
      <c r="A45" t="s">
        <v>7316</v>
      </c>
      <c r="B45" t="s">
        <v>6913</v>
      </c>
      <c r="C45" t="s">
        <v>4412</v>
      </c>
      <c r="D45" t="s">
        <v>7228</v>
      </c>
      <c r="E45" t="s">
        <v>7315</v>
      </c>
      <c r="F45" t="s">
        <v>7230</v>
      </c>
    </row>
    <row r="46" spans="1:6" ht="15" customHeight="1" x14ac:dyDescent="0.25">
      <c r="A46" t="s">
        <v>7317</v>
      </c>
      <c r="B46" t="s">
        <v>6913</v>
      </c>
      <c r="C46" t="s">
        <v>5071</v>
      </c>
      <c r="D46" t="s">
        <v>7246</v>
      </c>
      <c r="E46" t="s">
        <v>7315</v>
      </c>
      <c r="F46" t="s">
        <v>7230</v>
      </c>
    </row>
    <row r="47" spans="1:6" ht="15" customHeight="1" x14ac:dyDescent="0.25">
      <c r="A47" t="s">
        <v>7318</v>
      </c>
      <c r="B47" t="s">
        <v>4015</v>
      </c>
      <c r="C47" t="s">
        <v>4408</v>
      </c>
      <c r="D47" t="s">
        <v>7289</v>
      </c>
      <c r="E47" t="s">
        <v>7319</v>
      </c>
      <c r="F47" t="s">
        <v>7263</v>
      </c>
    </row>
    <row r="48" spans="1:6" ht="15" customHeight="1" x14ac:dyDescent="0.25">
      <c r="A48" t="s">
        <v>7320</v>
      </c>
      <c r="B48" t="s">
        <v>4015</v>
      </c>
      <c r="C48" t="s">
        <v>4412</v>
      </c>
      <c r="D48" t="s">
        <v>7292</v>
      </c>
      <c r="E48" t="s">
        <v>7321</v>
      </c>
      <c r="F48" t="s">
        <v>7263</v>
      </c>
    </row>
    <row r="49" spans="1:6" ht="15" customHeight="1" x14ac:dyDescent="0.25">
      <c r="A49" t="s">
        <v>7322</v>
      </c>
      <c r="B49" t="s">
        <v>4015</v>
      </c>
      <c r="C49" t="s">
        <v>5071</v>
      </c>
      <c r="D49" t="s">
        <v>7294</v>
      </c>
      <c r="E49" t="s">
        <v>7323</v>
      </c>
      <c r="F49" t="s">
        <v>7263</v>
      </c>
    </row>
    <row r="50" spans="1:6" ht="15" customHeight="1" x14ac:dyDescent="0.25">
      <c r="A50" t="s">
        <v>7324</v>
      </c>
      <c r="B50" t="s">
        <v>4036</v>
      </c>
      <c r="C50" t="s">
        <v>4408</v>
      </c>
      <c r="D50" t="s">
        <v>7242</v>
      </c>
      <c r="E50" t="s">
        <v>7325</v>
      </c>
      <c r="F50" t="s">
        <v>7230</v>
      </c>
    </row>
    <row r="51" spans="1:6" ht="15" customHeight="1" x14ac:dyDescent="0.25">
      <c r="A51" t="s">
        <v>7326</v>
      </c>
      <c r="B51" t="s">
        <v>4036</v>
      </c>
      <c r="C51" t="s">
        <v>4412</v>
      </c>
      <c r="D51" t="s">
        <v>7228</v>
      </c>
      <c r="E51" t="s">
        <v>7325</v>
      </c>
      <c r="F51" t="s">
        <v>7230</v>
      </c>
    </row>
    <row r="52" spans="1:6" ht="15" customHeight="1" x14ac:dyDescent="0.25">
      <c r="A52" t="s">
        <v>7327</v>
      </c>
      <c r="B52" t="s">
        <v>4036</v>
      </c>
      <c r="C52" t="s">
        <v>5071</v>
      </c>
      <c r="D52" t="s">
        <v>7246</v>
      </c>
      <c r="E52" t="s">
        <v>7325</v>
      </c>
      <c r="F52" t="s">
        <v>7230</v>
      </c>
    </row>
    <row r="53" spans="1:6" ht="15" customHeight="1" x14ac:dyDescent="0.25">
      <c r="A53" t="s">
        <v>7328</v>
      </c>
      <c r="B53" t="s">
        <v>4015</v>
      </c>
      <c r="C53" t="s">
        <v>4408</v>
      </c>
      <c r="D53" t="s">
        <v>7329</v>
      </c>
      <c r="E53" t="s">
        <v>7330</v>
      </c>
      <c r="F53" t="s">
        <v>7263</v>
      </c>
    </row>
    <row r="54" spans="1:6" ht="15" customHeight="1" x14ac:dyDescent="0.25">
      <c r="A54" t="s">
        <v>7331</v>
      </c>
      <c r="B54" t="s">
        <v>4015</v>
      </c>
      <c r="C54" t="s">
        <v>4412</v>
      </c>
      <c r="D54" t="s">
        <v>7332</v>
      </c>
      <c r="E54" t="s">
        <v>7330</v>
      </c>
      <c r="F54" t="s">
        <v>7263</v>
      </c>
    </row>
    <row r="55" spans="1:6" ht="15" customHeight="1" x14ac:dyDescent="0.25">
      <c r="A55" t="s">
        <v>7333</v>
      </c>
      <c r="B55" t="s">
        <v>4015</v>
      </c>
      <c r="C55" t="s">
        <v>5071</v>
      </c>
      <c r="D55" t="s">
        <v>7334</v>
      </c>
      <c r="E55" t="s">
        <v>7330</v>
      </c>
      <c r="F55" t="s">
        <v>7263</v>
      </c>
    </row>
    <row r="56" spans="1:6" ht="15" customHeight="1" x14ac:dyDescent="0.25">
      <c r="A56" t="s">
        <v>7335</v>
      </c>
      <c r="B56" t="s">
        <v>5068</v>
      </c>
      <c r="C56" t="s">
        <v>4408</v>
      </c>
      <c r="D56" t="s">
        <v>7336</v>
      </c>
      <c r="E56" t="s">
        <v>7337</v>
      </c>
      <c r="F56" t="s">
        <v>7263</v>
      </c>
    </row>
    <row r="57" spans="1:6" ht="15" customHeight="1" x14ac:dyDescent="0.25">
      <c r="A57" t="s">
        <v>7338</v>
      </c>
      <c r="B57" t="s">
        <v>5068</v>
      </c>
      <c r="C57" t="s">
        <v>4412</v>
      </c>
      <c r="D57" t="s">
        <v>7339</v>
      </c>
      <c r="E57" t="s">
        <v>7337</v>
      </c>
      <c r="F57" t="s">
        <v>7263</v>
      </c>
    </row>
    <row r="58" spans="1:6" ht="15" customHeight="1" x14ac:dyDescent="0.25">
      <c r="A58" t="s">
        <v>7340</v>
      </c>
      <c r="B58" t="s">
        <v>5068</v>
      </c>
      <c r="C58" t="s">
        <v>5071</v>
      </c>
      <c r="D58" t="s">
        <v>7341</v>
      </c>
      <c r="E58" t="s">
        <v>7337</v>
      </c>
      <c r="F58" t="s">
        <v>7263</v>
      </c>
    </row>
    <row r="59" spans="1:6" ht="15" customHeight="1" x14ac:dyDescent="0.25">
      <c r="A59" t="s">
        <v>7342</v>
      </c>
      <c r="B59" t="s">
        <v>5068</v>
      </c>
      <c r="C59" t="s">
        <v>4408</v>
      </c>
      <c r="D59" t="s">
        <v>7242</v>
      </c>
      <c r="E59" t="s">
        <v>7343</v>
      </c>
      <c r="F59" t="s">
        <v>3854</v>
      </c>
    </row>
    <row r="60" spans="1:6" ht="15" customHeight="1" x14ac:dyDescent="0.25">
      <c r="A60" t="s">
        <v>7344</v>
      </c>
      <c r="B60" t="s">
        <v>5068</v>
      </c>
      <c r="C60" t="s">
        <v>4412</v>
      </c>
      <c r="D60" t="s">
        <v>7228</v>
      </c>
      <c r="E60" t="s">
        <v>7343</v>
      </c>
      <c r="F60" t="s">
        <v>3854</v>
      </c>
    </row>
    <row r="61" spans="1:6" ht="15" customHeight="1" x14ac:dyDescent="0.25">
      <c r="A61" t="s">
        <v>7345</v>
      </c>
      <c r="B61" t="s">
        <v>5068</v>
      </c>
      <c r="C61" t="s">
        <v>5071</v>
      </c>
      <c r="D61" t="s">
        <v>7246</v>
      </c>
      <c r="E61" t="s">
        <v>7343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7346</v>
      </c>
      <c r="B2" t="s">
        <v>4990</v>
      </c>
    </row>
    <row r="3" spans="1:2" ht="15" customHeight="1" x14ac:dyDescent="0.25">
      <c r="A3" t="s">
        <v>7347</v>
      </c>
      <c r="B3" t="s">
        <v>4990</v>
      </c>
    </row>
    <row r="4" spans="1:2" ht="15" customHeight="1" x14ac:dyDescent="0.25">
      <c r="A4" t="s">
        <v>7348</v>
      </c>
      <c r="B4" t="s">
        <v>4990</v>
      </c>
    </row>
    <row r="5" spans="1:2" ht="15" customHeight="1" x14ac:dyDescent="0.25">
      <c r="A5" t="s">
        <v>7349</v>
      </c>
      <c r="B5" t="s">
        <v>4990</v>
      </c>
    </row>
    <row r="6" spans="1:2" ht="15" customHeight="1" x14ac:dyDescent="0.25">
      <c r="A6" t="s">
        <v>3989</v>
      </c>
      <c r="B6" t="s">
        <v>4990</v>
      </c>
    </row>
    <row r="7" spans="1:2" ht="15" customHeight="1" x14ac:dyDescent="0.25">
      <c r="A7" t="s">
        <v>7350</v>
      </c>
      <c r="B7" t="s">
        <v>4990</v>
      </c>
    </row>
    <row r="8" spans="1:2" ht="15" customHeight="1" x14ac:dyDescent="0.25">
      <c r="A8" t="s">
        <v>7351</v>
      </c>
      <c r="B8" t="s">
        <v>4990</v>
      </c>
    </row>
    <row r="9" spans="1:2" ht="15" customHeight="1" x14ac:dyDescent="0.25">
      <c r="A9" t="s">
        <v>7352</v>
      </c>
      <c r="B9" t="s">
        <v>4990</v>
      </c>
    </row>
    <row r="10" spans="1:2" ht="15" customHeight="1" x14ac:dyDescent="0.25">
      <c r="A10" t="s">
        <v>7353</v>
      </c>
      <c r="B10" t="s">
        <v>4990</v>
      </c>
    </row>
    <row r="11" spans="1:2" ht="15" customHeight="1" x14ac:dyDescent="0.25">
      <c r="A11" t="s">
        <v>7354</v>
      </c>
      <c r="B11" t="s">
        <v>4990</v>
      </c>
    </row>
    <row r="12" spans="1:2" ht="15" customHeight="1" x14ac:dyDescent="0.25">
      <c r="A12" t="s">
        <v>7355</v>
      </c>
      <c r="B12" t="s">
        <v>4417</v>
      </c>
    </row>
    <row r="13" spans="1:2" ht="15" customHeight="1" x14ac:dyDescent="0.25">
      <c r="A13" t="s">
        <v>7356</v>
      </c>
      <c r="B13" t="s">
        <v>4417</v>
      </c>
    </row>
    <row r="14" spans="1:2" ht="15" customHeight="1" x14ac:dyDescent="0.25">
      <c r="A14" t="s">
        <v>7357</v>
      </c>
      <c r="B14" t="s">
        <v>4417</v>
      </c>
    </row>
    <row r="15" spans="1:2" ht="15" customHeight="1" x14ac:dyDescent="0.25">
      <c r="A15" t="s">
        <v>7358</v>
      </c>
      <c r="B15" t="s">
        <v>4417</v>
      </c>
    </row>
    <row r="16" spans="1:2" ht="15" customHeight="1" x14ac:dyDescent="0.25">
      <c r="A16" t="s">
        <v>7359</v>
      </c>
      <c r="B16" t="s">
        <v>4417</v>
      </c>
    </row>
    <row r="17" spans="1:2" ht="15" customHeight="1" x14ac:dyDescent="0.25">
      <c r="A17" t="s">
        <v>7360</v>
      </c>
      <c r="B17" t="s">
        <v>4417</v>
      </c>
    </row>
    <row r="18" spans="1:2" ht="15" customHeight="1" x14ac:dyDescent="0.25">
      <c r="A18" t="s">
        <v>7361</v>
      </c>
      <c r="B18" t="s">
        <v>7362</v>
      </c>
    </row>
    <row r="19" spans="1:2" ht="15" customHeight="1" x14ac:dyDescent="0.25">
      <c r="A19" t="s">
        <v>7363</v>
      </c>
      <c r="B19" t="s">
        <v>7362</v>
      </c>
    </row>
    <row r="20" spans="1:2" ht="15" customHeight="1" x14ac:dyDescent="0.25">
      <c r="A20" t="s">
        <v>7364</v>
      </c>
      <c r="B20" t="s">
        <v>7362</v>
      </c>
    </row>
    <row r="21" spans="1:2" ht="15" customHeight="1" x14ac:dyDescent="0.25">
      <c r="A21" t="s">
        <v>7365</v>
      </c>
      <c r="B21" t="s">
        <v>7362</v>
      </c>
    </row>
    <row r="22" spans="1:2" ht="15" customHeight="1" x14ac:dyDescent="0.25">
      <c r="A22" t="s">
        <v>7366</v>
      </c>
      <c r="B22" t="s">
        <v>7362</v>
      </c>
    </row>
    <row r="23" spans="1:2" ht="15" customHeight="1" x14ac:dyDescent="0.25">
      <c r="A23" t="s">
        <v>3986</v>
      </c>
      <c r="B23" t="s">
        <v>7362</v>
      </c>
    </row>
    <row r="24" spans="1:2" ht="15" customHeight="1" x14ac:dyDescent="0.25">
      <c r="A24" t="s">
        <v>7367</v>
      </c>
      <c r="B24" t="s">
        <v>7362</v>
      </c>
    </row>
    <row r="25" spans="1:2" ht="15" customHeight="1" x14ac:dyDescent="0.25">
      <c r="A25" t="s">
        <v>7368</v>
      </c>
      <c r="B25" t="s">
        <v>7362</v>
      </c>
    </row>
    <row r="26" spans="1:2" ht="15" customHeight="1" x14ac:dyDescent="0.25">
      <c r="A26" t="s">
        <v>7369</v>
      </c>
      <c r="B26" t="s">
        <v>7362</v>
      </c>
    </row>
    <row r="27" spans="1:2" ht="15" customHeight="1" x14ac:dyDescent="0.25">
      <c r="A27" t="s">
        <v>7370</v>
      </c>
      <c r="B27" t="s">
        <v>7362</v>
      </c>
    </row>
    <row r="28" spans="1:2" ht="15" customHeight="1" x14ac:dyDescent="0.25">
      <c r="A28" t="s">
        <v>7371</v>
      </c>
      <c r="B28" t="s">
        <v>7362</v>
      </c>
    </row>
    <row r="29" spans="1:2" ht="15" customHeight="1" x14ac:dyDescent="0.25">
      <c r="A29" t="s">
        <v>7372</v>
      </c>
      <c r="B29" t="s">
        <v>7362</v>
      </c>
    </row>
    <row r="30" spans="1:2" ht="15" customHeight="1" x14ac:dyDescent="0.25">
      <c r="A30" t="s">
        <v>7373</v>
      </c>
      <c r="B30" t="s">
        <v>7362</v>
      </c>
    </row>
    <row r="31" spans="1:2" ht="15" customHeight="1" x14ac:dyDescent="0.25">
      <c r="A31" t="s">
        <v>7374</v>
      </c>
      <c r="B31" t="s">
        <v>7362</v>
      </c>
    </row>
    <row r="32" spans="1:2" ht="15" customHeight="1" x14ac:dyDescent="0.25">
      <c r="A32" t="s">
        <v>7375</v>
      </c>
      <c r="B32" t="s">
        <v>7362</v>
      </c>
    </row>
    <row r="33" spans="1:2" ht="15" customHeight="1" x14ac:dyDescent="0.25">
      <c r="A33" t="s">
        <v>7376</v>
      </c>
      <c r="B33" t="s">
        <v>7362</v>
      </c>
    </row>
    <row r="34" spans="1:2" ht="15" customHeight="1" x14ac:dyDescent="0.25">
      <c r="A34" t="s">
        <v>7377</v>
      </c>
      <c r="B34" t="s">
        <v>7362</v>
      </c>
    </row>
    <row r="35" spans="1:2" ht="15" customHeight="1" x14ac:dyDescent="0.25">
      <c r="A35" t="s">
        <v>7378</v>
      </c>
      <c r="B35" t="s">
        <v>7362</v>
      </c>
    </row>
    <row r="36" spans="1:2" ht="15" customHeight="1" x14ac:dyDescent="0.25">
      <c r="A36" t="s">
        <v>7379</v>
      </c>
      <c r="B36" t="s">
        <v>7362</v>
      </c>
    </row>
    <row r="37" spans="1:2" ht="15" customHeight="1" x14ac:dyDescent="0.25">
      <c r="A37" t="s">
        <v>7380</v>
      </c>
      <c r="B37" t="s">
        <v>7362</v>
      </c>
    </row>
    <row r="38" spans="1:2" ht="15" customHeight="1" x14ac:dyDescent="0.25">
      <c r="A38" t="s">
        <v>7381</v>
      </c>
      <c r="B38" t="s">
        <v>7362</v>
      </c>
    </row>
    <row r="39" spans="1:2" ht="15" customHeight="1" x14ac:dyDescent="0.25">
      <c r="A39" t="s">
        <v>7382</v>
      </c>
      <c r="B39" t="s">
        <v>4417</v>
      </c>
    </row>
    <row r="40" spans="1:2" ht="15" customHeight="1" x14ac:dyDescent="0.25">
      <c r="A40" t="s">
        <v>7383</v>
      </c>
      <c r="B40" t="s">
        <v>7362</v>
      </c>
    </row>
    <row r="41" spans="1:2" ht="15" customHeight="1" x14ac:dyDescent="0.25">
      <c r="A41" t="s">
        <v>7384</v>
      </c>
      <c r="B41" t="s">
        <v>7362</v>
      </c>
    </row>
    <row r="42" spans="1:2" ht="15" customHeight="1" x14ac:dyDescent="0.25">
      <c r="A42" t="s">
        <v>7385</v>
      </c>
      <c r="B42" t="s">
        <v>7362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4352</v>
      </c>
      <c r="E1" s="16" t="s">
        <v>7386</v>
      </c>
      <c r="F1" s="16" t="s">
        <v>7387</v>
      </c>
      <c r="G1" s="16" t="s">
        <v>7388</v>
      </c>
      <c r="H1" s="16" t="s">
        <v>7389</v>
      </c>
      <c r="I1" s="16" t="s">
        <v>7390</v>
      </c>
      <c r="J1" s="16" t="s">
        <v>7391</v>
      </c>
      <c r="K1" s="16" t="s">
        <v>7392</v>
      </c>
      <c r="L1" s="16" t="s">
        <v>7393</v>
      </c>
      <c r="M1" s="16" t="s">
        <v>7394</v>
      </c>
      <c r="N1" s="16" t="s">
        <v>7395</v>
      </c>
      <c r="O1" s="16" t="s">
        <v>7396</v>
      </c>
      <c r="P1" s="16" t="s">
        <v>172</v>
      </c>
      <c r="Q1" s="16" t="s">
        <v>7397</v>
      </c>
      <c r="R1" s="16" t="s">
        <v>4354</v>
      </c>
      <c r="T1" s="16" t="s">
        <v>7398</v>
      </c>
      <c r="U1" s="16" t="s">
        <v>7399</v>
      </c>
      <c r="V1" s="16" t="s">
        <v>7400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51</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51.000053999999999</v>
      </c>
      <c r="P54" t="str">
        <f>IF(OR($A54="",games!$H54=""),"",games!$H54)</f>
        <v>Yes</v>
      </c>
      <c r="Q54">
        <f t="shared" si="11"/>
        <v>51.000053999999999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2024</v>
      </c>
      <c r="U115">
        <f>IF(connections!$A115="","",IFERROR(INDEX(games!$B$2:$B$950,MATCH(connections!$B115,games!$A$2:$A$950,0)),""))</f>
        <v>2026</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2025</v>
      </c>
      <c r="V116">
        <f t="shared" si="25"/>
        <v>1</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1998</v>
      </c>
      <c r="U117">
        <f>IF(connections!$A117="","",IFERROR(INDEX(games!$B$2:$B$950,MATCH(connections!$B117,games!$A$2:$A$950,0)),""))</f>
        <v>2007</v>
      </c>
      <c r="V117">
        <f t="shared" si="25"/>
        <v>9</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2017</v>
      </c>
      <c r="U118">
        <f>IF(connections!$A118="","",IFERROR(INDEX(games!$B$2:$B$950,MATCH(connections!$B118,games!$A$2:$A$950,0)),""))</f>
        <v>2019</v>
      </c>
      <c r="V118">
        <f t="shared" si="25"/>
        <v>2</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2021</v>
      </c>
      <c r="V119">
        <f t="shared" si="25"/>
        <v>4</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2019</v>
      </c>
      <c r="U120">
        <f>IF(connections!$A120="","",IFERROR(INDEX(games!$B$2:$B$950,MATCH(connections!$B120,games!$A$2:$A$950,0)),""))</f>
        <v>2020</v>
      </c>
      <c r="V120">
        <f t="shared" si="25"/>
        <v>1</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2023</v>
      </c>
      <c r="U121">
        <f>IF(connections!$A121="","",IFERROR(INDEX(games!$B$2:$B$950,MATCH(connections!$B121,games!$A$2:$A$950,0)),""))</f>
        <v>2024</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2018</v>
      </c>
      <c r="U124">
        <f>IF(connections!$A124="","",IFERROR(INDEX(games!$B$2:$B$950,MATCH(connections!$B124,games!$A$2:$A$950,0)),""))</f>
        <v>2023</v>
      </c>
      <c r="V124">
        <f t="shared" si="25"/>
        <v>5</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2026</v>
      </c>
      <c r="V125">
        <f t="shared" si="25"/>
        <v>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2025</v>
      </c>
      <c r="V126">
        <f t="shared" si="25"/>
        <v>16</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2020</v>
      </c>
      <c r="V127">
        <f t="shared" si="25"/>
        <v>11</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2023</v>
      </c>
      <c r="V128">
        <f t="shared" si="25"/>
        <v>14</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2012</v>
      </c>
      <c r="V129">
        <f t="shared" si="25"/>
        <v>3</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2016</v>
      </c>
      <c r="V131">
        <f t="shared" si="38"/>
        <v>7</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2017</v>
      </c>
      <c r="V132">
        <f t="shared" si="38"/>
        <v>8</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2026</v>
      </c>
      <c r="V134">
        <f t="shared" si="38"/>
        <v>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2025</v>
      </c>
      <c r="V135">
        <f t="shared" si="38"/>
        <v>3</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2024</v>
      </c>
      <c r="V136">
        <f t="shared" si="38"/>
        <v>2</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2023</v>
      </c>
      <c r="V137">
        <f t="shared" si="38"/>
        <v>1</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2026</v>
      </c>
      <c r="V138">
        <f t="shared" si="38"/>
        <v>4</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2025</v>
      </c>
      <c r="V139">
        <f t="shared" si="38"/>
        <v>3</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2026</v>
      </c>
      <c r="V142">
        <f t="shared" si="38"/>
        <v>4</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2024</v>
      </c>
      <c r="V143">
        <f t="shared" si="38"/>
        <v>2</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2023</v>
      </c>
      <c r="V145">
        <f t="shared" si="38"/>
        <v>1</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2023</v>
      </c>
      <c r="U147">
        <f>IF(connections!$A147="","",IFERROR(INDEX(games!$B$2:$B$950,MATCH(connections!$B147,games!$A$2:$A$950,0)),""))</f>
        <v>2025</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2018</v>
      </c>
      <c r="U148">
        <f>IF(connections!$A148="","",IFERROR(INDEX(games!$B$2:$B$950,MATCH(connections!$B148,games!$A$2:$A$950,0)),""))</f>
        <v>2023</v>
      </c>
      <c r="V148">
        <f t="shared" si="38"/>
        <v>5</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1994</v>
      </c>
      <c r="U150">
        <f>IF(connections!$A150="","",IFERROR(INDEX(games!$B$2:$B$950,MATCH(connections!$B150,games!$A$2:$A$950,0)),""))</f>
        <v>2010</v>
      </c>
      <c r="V150">
        <f t="shared" si="38"/>
        <v>16</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2005</v>
      </c>
      <c r="U151">
        <f>IF(connections!$A151="","",IFERROR(INDEX(games!$B$2:$B$950,MATCH(connections!$B151,games!$A$2:$A$950,0)),""))</f>
        <v>2025</v>
      </c>
      <c r="V151">
        <f t="shared" si="38"/>
        <v>20</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2010</v>
      </c>
      <c r="U152">
        <f>IF(connections!$A152="","",IFERROR(INDEX(games!$B$2:$B$950,MATCH(connections!$B152,games!$A$2:$A$950,0)),""))</f>
        <v>2020</v>
      </c>
      <c r="V152">
        <f t="shared" si="38"/>
        <v>10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2013</v>
      </c>
      <c r="V153">
        <f t="shared" si="38"/>
        <v>3</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2013</v>
      </c>
      <c r="U154">
        <f>IF(connections!$A154="","",IFERROR(INDEX(games!$B$2:$B$950,MATCH(connections!$B154,games!$A$2:$A$950,0)),""))</f>
        <v>2025</v>
      </c>
      <c r="V154">
        <f t="shared" si="38"/>
        <v>12</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2015</v>
      </c>
      <c r="U155">
        <f>IF(connections!$A155="","",IFERROR(INDEX(games!$B$2:$B$950,MATCH(connections!$B155,games!$A$2:$A$950,0)),""))</f>
        <v>2012</v>
      </c>
      <c r="V155">
        <f t="shared" si="38"/>
        <v>-3</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2017</v>
      </c>
      <c r="U156">
        <f>IF(connections!$A156="","",IFERROR(INDEX(games!$B$2:$B$950,MATCH(connections!$B156,games!$A$2:$A$950,0)),""))</f>
        <v>2023</v>
      </c>
      <c r="V156">
        <f t="shared" si="38"/>
        <v>6</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2010</v>
      </c>
      <c r="U157">
        <f>IF(connections!$A157="","",IFERROR(INDEX(games!$B$2:$B$950,MATCH(connections!$B157,games!$A$2:$A$950,0)),""))</f>
        <v>2020</v>
      </c>
      <c r="V157">
        <f t="shared" si="38"/>
        <v>10</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2014</v>
      </c>
      <c r="V158">
        <f t="shared" si="38"/>
        <v>4</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2022</v>
      </c>
      <c r="U159">
        <f>IF(connections!$A159="","",IFERROR(INDEX(games!$B$2:$B$950,MATCH(connections!$B159,games!$A$2:$A$950,0)),""))</f>
        <v>2025</v>
      </c>
      <c r="V159">
        <f t="shared" si="38"/>
        <v>3</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2019</v>
      </c>
      <c r="U160">
        <f>IF(connections!$A160="","",IFERROR(INDEX(games!$B$2:$B$950,MATCH(connections!$B160,games!$A$2:$A$950,0)),""))</f>
        <v>2022</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2024</v>
      </c>
      <c r="V161">
        <f t="shared" si="38"/>
        <v>5</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1998</v>
      </c>
      <c r="U162">
        <f>IF(connections!$A162="","",IFERROR(INDEX(games!$B$2:$B$950,MATCH(connections!$B162,games!$A$2:$A$950,0)),""))</f>
        <v>2007</v>
      </c>
      <c r="V162">
        <f t="shared" si="38"/>
        <v>9</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1997</v>
      </c>
      <c r="U163">
        <f>IF(connections!$A163="","",IFERROR(INDEX(games!$B$2:$B$950,MATCH(connections!$B163,games!$A$2:$A$950,0)),""))</f>
        <v>1998</v>
      </c>
      <c r="V163">
        <f t="shared" si="38"/>
        <v>1</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2023</v>
      </c>
      <c r="U164">
        <f>IF(connections!$A164="","",IFERROR(INDEX(games!$B$2:$B$950,MATCH(connections!$B164,games!$A$2:$A$950,0)),""))</f>
        <v>2025</v>
      </c>
      <c r="V164">
        <f t="shared" si="38"/>
        <v>2</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2025</v>
      </c>
      <c r="U165">
        <f>IF(connections!$A165="","",IFERROR(INDEX(games!$B$2:$B$950,MATCH(connections!$B165,games!$A$2:$A$950,0)),""))</f>
        <v>2026</v>
      </c>
      <c r="V165">
        <f t="shared" si="38"/>
        <v>1</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2017</v>
      </c>
      <c r="U167">
        <f>IF(connections!$A167="","",IFERROR(INDEX(games!$B$2:$B$950,MATCH(connections!$B167,games!$A$2:$A$950,0)),""))</f>
        <v>2020</v>
      </c>
      <c r="V167">
        <f t="shared" si="38"/>
        <v>3</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2021</v>
      </c>
      <c r="V168">
        <f t="shared" si="38"/>
        <v>4</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2020</v>
      </c>
      <c r="U169">
        <f>IF(connections!$A169="","",IFERROR(INDEX(games!$B$2:$B$950,MATCH(connections!$B169,games!$A$2:$A$950,0)),""))</f>
        <v>2024</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2023</v>
      </c>
      <c r="U170">
        <f>IF(connections!$A170="","",IFERROR(INDEX(games!$B$2:$B$950,MATCH(connections!$B170,games!$A$2:$A$950,0)),""))</f>
        <v>2026</v>
      </c>
      <c r="V170">
        <f t="shared" si="38"/>
        <v>3</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2024</v>
      </c>
      <c r="V171">
        <f t="shared" si="38"/>
        <v>1</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2015</v>
      </c>
      <c r="U172">
        <f>IF(connections!$A172="","",IFERROR(INDEX(games!$B$2:$B$950,MATCH(connections!$B172,games!$A$2:$A$950,0)),""))</f>
        <v>2017</v>
      </c>
      <c r="V172">
        <f t="shared" si="38"/>
        <v>2</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2020</v>
      </c>
      <c r="V173">
        <f t="shared" si="38"/>
        <v>5</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2022</v>
      </c>
      <c r="V174">
        <f t="shared" si="38"/>
        <v>7</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2026</v>
      </c>
      <c r="V175">
        <f t="shared" si="38"/>
        <v>11</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2021</v>
      </c>
      <c r="V176">
        <f t="shared" si="38"/>
        <v>6</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2012</v>
      </c>
      <c r="V177">
        <f t="shared" si="38"/>
        <v>-3</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2025</v>
      </c>
      <c r="V178">
        <f t="shared" si="38"/>
        <v>10</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2023</v>
      </c>
      <c r="V179">
        <f t="shared" si="38"/>
        <v>8</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2022</v>
      </c>
      <c r="U180">
        <f>IF(connections!$A180="","",IFERROR(INDEX(games!$B$2:$B$950,MATCH(connections!$B180,games!$A$2:$A$950,0)),""))</f>
        <v>2026</v>
      </c>
      <c r="V180">
        <f t="shared" si="38"/>
        <v>4</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2025</v>
      </c>
      <c r="V181">
        <f t="shared" si="38"/>
        <v>3</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2024</v>
      </c>
      <c r="U182">
        <f>IF(connections!$A182="","",IFERROR(INDEX(games!$B$2:$B$950,MATCH(connections!$B182,games!$A$2:$A$950,0)),""))</f>
        <v>2026</v>
      </c>
      <c r="V182">
        <f t="shared" si="38"/>
        <v>2</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2016</v>
      </c>
      <c r="U183">
        <f>IF(connections!$A183="","",IFERROR(INDEX(games!$B$2:$B$950,MATCH(connections!$B183,games!$A$2:$A$950,0)),""))</f>
        <v>2020</v>
      </c>
      <c r="V183">
        <f t="shared" si="38"/>
        <v>4</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2021</v>
      </c>
      <c r="V184">
        <f t="shared" si="38"/>
        <v>5</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2024</v>
      </c>
      <c r="V185">
        <f t="shared" si="38"/>
        <v>8</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2020</v>
      </c>
      <c r="U186">
        <f>IF(connections!$A186="","",IFERROR(INDEX(games!$B$2:$B$950,MATCH(connections!$B186,games!$A$2:$A$950,0)),""))</f>
        <v>2025</v>
      </c>
      <c r="V186">
        <f t="shared" si="38"/>
        <v>5</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2023</v>
      </c>
      <c r="V187">
        <f t="shared" si="38"/>
        <v>3</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2019</v>
      </c>
      <c r="U188">
        <f>IF(connections!$A188="","",IFERROR(INDEX(games!$B$2:$B$950,MATCH(connections!$B188,games!$A$2:$A$950,0)),""))</f>
        <v>2022</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2020</v>
      </c>
      <c r="V193">
        <f t="shared" si="38"/>
        <v>5</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2019</v>
      </c>
      <c r="V194">
        <f t="shared" ref="V194:V257" si="51">IF(OR($T194="",$U194=""),"",$U194-$T194)</f>
        <v>4</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2023</v>
      </c>
      <c r="V195">
        <f t="shared" si="51"/>
        <v>8</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2019</v>
      </c>
      <c r="V196">
        <f t="shared" si="51"/>
        <v>4</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2018</v>
      </c>
      <c r="V197">
        <f t="shared" si="51"/>
        <v>3</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2025</v>
      </c>
      <c r="V198">
        <f t="shared" si="51"/>
        <v>10</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2016</v>
      </c>
      <c r="V199">
        <f t="shared" si="51"/>
        <v>1</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2025</v>
      </c>
      <c r="V200">
        <f t="shared" si="51"/>
        <v>10</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2019</v>
      </c>
      <c r="V202">
        <f t="shared" si="51"/>
        <v>4</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2024</v>
      </c>
      <c r="V204">
        <f t="shared" si="51"/>
        <v>9</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2022</v>
      </c>
      <c r="V205">
        <f t="shared" si="51"/>
        <v>7</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2024</v>
      </c>
      <c r="V206">
        <f t="shared" si="51"/>
        <v>9</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2025</v>
      </c>
      <c r="V207">
        <f t="shared" si="51"/>
        <v>10</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2023</v>
      </c>
      <c r="V208">
        <f t="shared" si="51"/>
        <v>8</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2017</v>
      </c>
      <c r="V209">
        <f t="shared" si="51"/>
        <v>2</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2020</v>
      </c>
      <c r="V210">
        <f t="shared" si="51"/>
        <v>5</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2022</v>
      </c>
      <c r="V211">
        <f t="shared" si="51"/>
        <v>7</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2026</v>
      </c>
      <c r="V212">
        <f t="shared" si="51"/>
        <v>11</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2022</v>
      </c>
      <c r="U213">
        <f>IF(connections!$A213="","",IFERROR(INDEX(games!$B$2:$B$950,MATCH(connections!$B213,games!$A$2:$A$950,0)),""))</f>
        <v>2026</v>
      </c>
      <c r="V213">
        <f t="shared" si="51"/>
        <v>4</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2018</v>
      </c>
      <c r="U214">
        <f>IF(connections!$A214="","",IFERROR(INDEX(games!$B$2:$B$950,MATCH(connections!$B214,games!$A$2:$A$950,0)),""))</f>
        <v>2025</v>
      </c>
      <c r="V214">
        <f t="shared" si="51"/>
        <v>7</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2022</v>
      </c>
      <c r="V217">
        <f t="shared" si="51"/>
        <v>4</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2023</v>
      </c>
      <c r="V219">
        <f t="shared" si="51"/>
        <v>5</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2022</v>
      </c>
      <c r="V220">
        <f t="shared" si="51"/>
        <v>4</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2019</v>
      </c>
      <c r="V221">
        <f t="shared" si="51"/>
        <v>1</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2020</v>
      </c>
      <c r="V222">
        <f t="shared" si="51"/>
        <v>2</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2025</v>
      </c>
      <c r="V223">
        <f t="shared" si="51"/>
        <v>7</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2020</v>
      </c>
      <c r="V225">
        <f t="shared" si="51"/>
        <v>2</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2024</v>
      </c>
      <c r="V226">
        <f t="shared" si="51"/>
        <v>6</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2020</v>
      </c>
      <c r="V228">
        <f t="shared" si="51"/>
        <v>2</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2023</v>
      </c>
      <c r="V229">
        <f t="shared" si="51"/>
        <v>5</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2020</v>
      </c>
      <c r="V231">
        <f t="shared" si="51"/>
        <v>2</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2019</v>
      </c>
      <c r="V233">
        <f t="shared" si="51"/>
        <v>1</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2024</v>
      </c>
      <c r="V234">
        <f t="shared" si="51"/>
        <v>6</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2025</v>
      </c>
      <c r="V236">
        <f t="shared" si="51"/>
        <v>7</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2023</v>
      </c>
      <c r="U239">
        <f>IF(connections!$A239="","",IFERROR(INDEX(games!$B$2:$B$950,MATCH(connections!$B239,games!$A$2:$A$950,0)),""))</f>
        <v>2024</v>
      </c>
      <c r="V239">
        <f t="shared" si="51"/>
        <v>1</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2026</v>
      </c>
      <c r="V240">
        <f t="shared" si="51"/>
        <v>3</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2025</v>
      </c>
      <c r="V241">
        <f t="shared" si="51"/>
        <v>2</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2024</v>
      </c>
      <c r="U245">
        <f>IF(connections!$A245="","",IFERROR(INDEX(games!$B$2:$B$950,MATCH(connections!$B245,games!$A$2:$A$950,0)),""))</f>
        <v>2025</v>
      </c>
      <c r="V245">
        <f t="shared" si="51"/>
        <v>1</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2026</v>
      </c>
      <c r="V246">
        <f t="shared" si="51"/>
        <v>2</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2024</v>
      </c>
      <c r="V248">
        <f t="shared" si="51"/>
        <v>0</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2018</v>
      </c>
      <c r="U249">
        <f>IF(connections!$A249="","",IFERROR(INDEX(games!$B$2:$B$950,MATCH(connections!$B249,games!$A$2:$A$950,0)),""))</f>
        <v>2023</v>
      </c>
      <c r="V249">
        <f t="shared" si="51"/>
        <v>5</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2019</v>
      </c>
      <c r="U250">
        <f>IF(connections!$A250="","",IFERROR(INDEX(games!$B$2:$B$950,MATCH(connections!$B250,games!$A$2:$A$950,0)),""))</f>
        <v>2026</v>
      </c>
      <c r="V250">
        <f t="shared" si="51"/>
        <v>7</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2010</v>
      </c>
      <c r="U251">
        <f>IF(connections!$A251="","",IFERROR(INDEX(games!$B$2:$B$950,MATCH(connections!$B251,games!$A$2:$A$950,0)),""))</f>
        <v>2023</v>
      </c>
      <c r="V251">
        <f t="shared" si="51"/>
        <v>13</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2011</v>
      </c>
      <c r="V252">
        <f t="shared" si="51"/>
        <v>1</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2021</v>
      </c>
      <c r="U253">
        <f>IF(connections!$A253="","",IFERROR(INDEX(games!$B$2:$B$950,MATCH(connections!$B253,games!$A$2:$A$950,0)),""))</f>
        <v>2026</v>
      </c>
      <c r="V253">
        <f t="shared" si="51"/>
        <v>5</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2023</v>
      </c>
      <c r="V254">
        <f t="shared" si="51"/>
        <v>2</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1996</v>
      </c>
      <c r="U255">
        <f>IF(connections!$A255="","",IFERROR(INDEX(games!$B$2:$B$950,MATCH(connections!$B255,games!$A$2:$A$950,0)),""))</f>
        <v>2026</v>
      </c>
      <c r="V255">
        <f t="shared" si="51"/>
        <v>30</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2018</v>
      </c>
      <c r="V256">
        <f t="shared" si="51"/>
        <v>22</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2010</v>
      </c>
      <c r="V257">
        <f t="shared" si="51"/>
        <v>14</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2026</v>
      </c>
      <c r="V258">
        <f t="shared" ref="V258:V321" si="64">IF(OR($T258="",$U258=""),"",$U258-$T258)</f>
        <v>30</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2023</v>
      </c>
      <c r="V259">
        <f t="shared" si="64"/>
        <v>27</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2010</v>
      </c>
      <c r="V260">
        <f t="shared" si="64"/>
        <v>14</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2025</v>
      </c>
      <c r="V261">
        <f t="shared" si="64"/>
        <v>29</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2023</v>
      </c>
      <c r="V262">
        <f t="shared" si="64"/>
        <v>27</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2025</v>
      </c>
      <c r="V263">
        <f t="shared" si="64"/>
        <v>29</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2006</v>
      </c>
      <c r="V265">
        <f t="shared" si="64"/>
        <v>10</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2026</v>
      </c>
      <c r="V266">
        <f t="shared" si="64"/>
        <v>30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2003</v>
      </c>
      <c r="V267">
        <f t="shared" si="64"/>
        <v>7</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2020</v>
      </c>
      <c r="V268">
        <f t="shared" si="64"/>
        <v>24</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2013</v>
      </c>
      <c r="V269">
        <f t="shared" si="64"/>
        <v>17</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2019</v>
      </c>
      <c r="U270">
        <f>IF(connections!$A270="","",IFERROR(INDEX(games!$B$2:$B$950,MATCH(connections!$B270,games!$A$2:$A$950,0)),""))</f>
        <v>2026</v>
      </c>
      <c r="V270">
        <f t="shared" si="64"/>
        <v>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2022</v>
      </c>
      <c r="V271">
        <f t="shared" si="64"/>
        <v>3</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2024</v>
      </c>
      <c r="V272">
        <f t="shared" si="64"/>
        <v>5</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2025</v>
      </c>
      <c r="V273">
        <f t="shared" si="64"/>
        <v>6</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2024</v>
      </c>
      <c r="V276">
        <f t="shared" si="64"/>
        <v>5</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2022</v>
      </c>
      <c r="U278">
        <f>IF(connections!$A278="","",IFERROR(INDEX(games!$B$2:$B$950,MATCH(connections!$B278,games!$A$2:$A$950,0)),""))</f>
        <v>2025</v>
      </c>
      <c r="V278">
        <f t="shared" si="64"/>
        <v>3</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2024</v>
      </c>
      <c r="V279">
        <f t="shared" si="64"/>
        <v>2</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2025</v>
      </c>
      <c r="V280">
        <f t="shared" si="64"/>
        <v>3</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2023</v>
      </c>
      <c r="V281">
        <f t="shared" si="64"/>
        <v>1</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2013</v>
      </c>
      <c r="U282">
        <f>IF(connections!$A282="","",IFERROR(INDEX(games!$B$2:$B$950,MATCH(connections!$B282,games!$A$2:$A$950,0)),""))</f>
        <v>2022</v>
      </c>
      <c r="V282">
        <f t="shared" si="64"/>
        <v>9</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2014</v>
      </c>
      <c r="V283">
        <f t="shared" si="64"/>
        <v>1</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2026</v>
      </c>
      <c r="V284">
        <f t="shared" si="64"/>
        <v>13</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2014</v>
      </c>
      <c r="V285">
        <f t="shared" si="64"/>
        <v>1</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2016</v>
      </c>
      <c r="V286">
        <f t="shared" si="64"/>
        <v>3</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2002</v>
      </c>
      <c r="U287">
        <f>IF(connections!$A287="","",IFERROR(INDEX(games!$B$2:$B$950,MATCH(connections!$B287,games!$A$2:$A$950,0)),""))</f>
        <v>2010</v>
      </c>
      <c r="V287">
        <f t="shared" si="64"/>
        <v>8</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2006</v>
      </c>
      <c r="V290">
        <f t="shared" si="64"/>
        <v>4</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2011</v>
      </c>
      <c r="V291">
        <f t="shared" si="64"/>
        <v>9</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2019</v>
      </c>
      <c r="V292">
        <f t="shared" si="64"/>
        <v>17</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2023</v>
      </c>
      <c r="V293">
        <f t="shared" si="64"/>
        <v>21</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2016</v>
      </c>
      <c r="V294">
        <f t="shared" si="64"/>
        <v>14</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2019</v>
      </c>
      <c r="U295">
        <f>IF(connections!$A295="","",IFERROR(INDEX(games!$B$2:$B$950,MATCH(connections!$B295,games!$A$2:$A$950,0)),""))</f>
        <v>2021</v>
      </c>
      <c r="V295">
        <f t="shared" si="64"/>
        <v>2</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2019</v>
      </c>
      <c r="V297">
        <f t="shared" si="64"/>
        <v>0</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2025</v>
      </c>
      <c r="V298">
        <f t="shared" si="64"/>
        <v>6</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2021</v>
      </c>
      <c r="V299">
        <f t="shared" si="64"/>
        <v>2</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2015</v>
      </c>
      <c r="U300">
        <f>IF(connections!$A300="","",IFERROR(INDEX(games!$B$2:$B$950,MATCH(connections!$B300,games!$A$2:$A$950,0)),""))</f>
        <v>2016</v>
      </c>
      <c r="V300">
        <f t="shared" si="64"/>
        <v>1</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2023</v>
      </c>
      <c r="V301">
        <f t="shared" si="64"/>
        <v>8</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2017</v>
      </c>
      <c r="V302">
        <f t="shared" si="64"/>
        <v>2</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2020</v>
      </c>
      <c r="V304">
        <f t="shared" si="64"/>
        <v>5</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2022</v>
      </c>
      <c r="V305">
        <f t="shared" si="64"/>
        <v>7</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2017</v>
      </c>
      <c r="V306">
        <f t="shared" si="64"/>
        <v>2</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2014</v>
      </c>
      <c r="U308">
        <f>IF(connections!$A308="","",IFERROR(INDEX(games!$B$2:$B$950,MATCH(connections!$B308,games!$A$2:$A$950,0)),""))</f>
        <v>2019</v>
      </c>
      <c r="V308">
        <f t="shared" si="64"/>
        <v>5</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2017</v>
      </c>
      <c r="V309">
        <f t="shared" si="64"/>
        <v>3</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2019</v>
      </c>
      <c r="V310">
        <f t="shared" si="64"/>
        <v>5</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2017</v>
      </c>
      <c r="V311">
        <f t="shared" si="64"/>
        <v>3</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2024</v>
      </c>
      <c r="U312">
        <f>IF(connections!$A312="","",IFERROR(INDEX(games!$B$2:$B$950,MATCH(connections!$B312,games!$A$2:$A$950,0)),""))</f>
        <v>2026</v>
      </c>
      <c r="V312">
        <f t="shared" si="64"/>
        <v>2</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2006</v>
      </c>
      <c r="U313">
        <f>IF(connections!$A313="","",IFERROR(INDEX(games!$B$2:$B$950,MATCH(connections!$B313,games!$A$2:$A$950,0)),""))</f>
        <v>2010</v>
      </c>
      <c r="V313">
        <f t="shared" si="64"/>
        <v>4</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2017</v>
      </c>
      <c r="V314">
        <f t="shared" si="64"/>
        <v>11</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2014</v>
      </c>
      <c r="V317">
        <f t="shared" si="64"/>
        <v>8</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2023</v>
      </c>
      <c r="V318">
        <f t="shared" si="64"/>
        <v>17</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2020</v>
      </c>
      <c r="V319">
        <f t="shared" si="64"/>
        <v>14</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2025</v>
      </c>
      <c r="V320">
        <f t="shared" si="64"/>
        <v>19</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2018</v>
      </c>
      <c r="V321">
        <f t="shared" si="64"/>
        <v>12</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2025</v>
      </c>
      <c r="V322">
        <f t="shared" ref="V322:V385" si="77">IF(OR($T322="",$U322=""),"",$U322-$T322)</f>
        <v>19</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2010</v>
      </c>
      <c r="U323">
        <f>IF(connections!$A323="","",IFERROR(INDEX(games!$B$2:$B$950,MATCH(connections!$B323,games!$A$2:$A$950,0)),""))</f>
        <v>2017</v>
      </c>
      <c r="V323">
        <f t="shared" si="77"/>
        <v>7</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2011</v>
      </c>
      <c r="U324">
        <f>IF(connections!$A324="","",IFERROR(INDEX(games!$B$2:$B$950,MATCH(connections!$B324,games!$A$2:$A$950,0)),""))</f>
        <v>2017</v>
      </c>
      <c r="V324">
        <f t="shared" si="77"/>
        <v>6</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2014</v>
      </c>
      <c r="V325">
        <f t="shared" si="77"/>
        <v>3</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2016</v>
      </c>
      <c r="V326">
        <f t="shared" si="77"/>
        <v>5</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2021</v>
      </c>
      <c r="V327">
        <f t="shared" si="77"/>
        <v>10</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2018</v>
      </c>
      <c r="U328">
        <f>IF(connections!$A328="","",IFERROR(INDEX(games!$B$2:$B$950,MATCH(connections!$B328,games!$A$2:$A$950,0)),""))</f>
        <v>2025</v>
      </c>
      <c r="V328">
        <f t="shared" si="77"/>
        <v>7</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2006</v>
      </c>
      <c r="U329">
        <f>IF(connections!$A329="","",IFERROR(INDEX(games!$B$2:$B$950,MATCH(connections!$B329,games!$A$2:$A$950,0)),""))</f>
        <v>2010</v>
      </c>
      <c r="V329">
        <f t="shared" si="77"/>
        <v>4</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2015</v>
      </c>
      <c r="V330">
        <f t="shared" si="77"/>
        <v>9</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2023</v>
      </c>
      <c r="V331">
        <f t="shared" si="77"/>
        <v>17</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2025</v>
      </c>
      <c r="V332">
        <f t="shared" si="77"/>
        <v>19</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2021</v>
      </c>
      <c r="V333">
        <f t="shared" si="77"/>
        <v>15</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2012</v>
      </c>
      <c r="V334">
        <f t="shared" si="77"/>
        <v>6</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2024</v>
      </c>
      <c r="V335">
        <f t="shared" si="77"/>
        <v>18</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2017</v>
      </c>
      <c r="V336">
        <f t="shared" si="77"/>
        <v>11</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2011</v>
      </c>
      <c r="V337">
        <f t="shared" si="77"/>
        <v>5</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2025</v>
      </c>
      <c r="U338">
        <f>IF(connections!$A338="","",IFERROR(INDEX(games!$B$2:$B$950,MATCH(connections!$B338,games!$A$2:$A$950,0)),""))</f>
        <v>2026</v>
      </c>
      <c r="V338">
        <f t="shared" si="77"/>
        <v>1</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2008</v>
      </c>
      <c r="U339">
        <f>IF(connections!$A339="","",IFERROR(INDEX(games!$B$2:$B$950,MATCH(connections!$B339,games!$A$2:$A$950,0)),""))</f>
        <v>2010</v>
      </c>
      <c r="V339">
        <f t="shared" si="77"/>
        <v>2</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2024</v>
      </c>
      <c r="V340">
        <f t="shared" si="77"/>
        <v>16</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2022</v>
      </c>
      <c r="U341">
        <f>IF(connections!$A341="","",IFERROR(INDEX(games!$B$2:$B$950,MATCH(connections!$B341,games!$A$2:$A$950,0)),""))</f>
        <v>2024</v>
      </c>
      <c r="V341">
        <f t="shared" si="77"/>
        <v>2</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2016</v>
      </c>
      <c r="U342">
        <f>IF(connections!$A342="","",IFERROR(INDEX(games!$B$2:$B$950,MATCH(connections!$B342,games!$A$2:$A$950,0)),""))</f>
        <v>2025</v>
      </c>
      <c r="V342">
        <f t="shared" si="77"/>
        <v>9</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2023</v>
      </c>
      <c r="V343">
        <f t="shared" si="77"/>
        <v>7</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2025</v>
      </c>
      <c r="V345">
        <f t="shared" si="77"/>
        <v>9</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2023</v>
      </c>
      <c r="V347">
        <f t="shared" si="77"/>
        <v>7</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2021</v>
      </c>
      <c r="V348">
        <f t="shared" si="77"/>
        <v>5</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2020</v>
      </c>
      <c r="V351">
        <f t="shared" si="77"/>
        <v>4</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2020</v>
      </c>
      <c r="V353">
        <f t="shared" si="77"/>
        <v>4</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2024</v>
      </c>
      <c r="V355">
        <f t="shared" si="77"/>
        <v>8</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2025</v>
      </c>
      <c r="V357">
        <f t="shared" si="77"/>
        <v>9</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2026</v>
      </c>
      <c r="V358">
        <f t="shared" si="77"/>
        <v>10</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2024</v>
      </c>
      <c r="V359">
        <f t="shared" si="77"/>
        <v>8</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2025</v>
      </c>
      <c r="V360">
        <f t="shared" si="77"/>
        <v>9</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2021</v>
      </c>
      <c r="V361">
        <f t="shared" si="77"/>
        <v>5</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2022</v>
      </c>
      <c r="V362">
        <f t="shared" si="77"/>
        <v>6</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2015</v>
      </c>
      <c r="U365">
        <f>IF(connections!$A365="","",IFERROR(INDEX(games!$B$2:$B$950,MATCH(connections!$B365,games!$A$2:$A$950,0)),""))</f>
        <v>2017</v>
      </c>
      <c r="V365">
        <f t="shared" si="77"/>
        <v>2</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1990</v>
      </c>
      <c r="U366">
        <f>IF(connections!$A366="","",IFERROR(INDEX(games!$B$2:$B$950,MATCH(connections!$B366,games!$A$2:$A$950,0)),""))</f>
        <v>1990</v>
      </c>
      <c r="V366">
        <f t="shared" si="77"/>
        <v>0</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2021</v>
      </c>
      <c r="U367">
        <f>IF(connections!$A367="","",IFERROR(INDEX(games!$B$2:$B$950,MATCH(connections!$B367,games!$A$2:$A$950,0)),""))</f>
        <v>2026</v>
      </c>
      <c r="V367">
        <f t="shared" si="77"/>
        <v>5</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2025</v>
      </c>
      <c r="V369">
        <f t="shared" si="77"/>
        <v>4</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2007</v>
      </c>
      <c r="U370">
        <f>IF(connections!$A370="","",IFERROR(INDEX(games!$B$2:$B$950,MATCH(connections!$B370,games!$A$2:$A$950,0)),""))</f>
        <v>2019</v>
      </c>
      <c r="V370">
        <f t="shared" si="77"/>
        <v>12</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2022</v>
      </c>
      <c r="U371">
        <f>IF(connections!$A371="","",IFERROR(INDEX(games!$B$2:$B$950,MATCH(connections!$B371,games!$A$2:$A$950,0)),""))</f>
        <v>2023</v>
      </c>
      <c r="V371">
        <f t="shared" si="77"/>
        <v>1</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2018</v>
      </c>
      <c r="U372">
        <f>IF(connections!$A372="","",IFERROR(INDEX(games!$B$2:$B$950,MATCH(connections!$B372,games!$A$2:$A$950,0)),""))</f>
        <v>2023</v>
      </c>
      <c r="V372">
        <f t="shared" si="77"/>
        <v>5</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2019</v>
      </c>
      <c r="V373">
        <f t="shared" si="77"/>
        <v>1</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2024</v>
      </c>
      <c r="V374">
        <f t="shared" si="77"/>
        <v>6</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2020</v>
      </c>
      <c r="U375">
        <f>IF(connections!$A375="","",IFERROR(INDEX(games!$B$2:$B$950,MATCH(connections!$B375,games!$A$2:$A$950,0)),""))</f>
        <v>2024</v>
      </c>
      <c r="V375">
        <f t="shared" si="77"/>
        <v>4</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2022</v>
      </c>
      <c r="U376">
        <f>IF(connections!$A376="","",IFERROR(INDEX(games!$B$2:$B$950,MATCH(connections!$B376,games!$A$2:$A$950,0)),""))</f>
        <v>2024</v>
      </c>
      <c r="V376">
        <f t="shared" si="77"/>
        <v>2</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2019</v>
      </c>
      <c r="V377">
        <f t="shared" si="77"/>
        <v>7</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2020</v>
      </c>
      <c r="V378">
        <f t="shared" si="77"/>
        <v>8</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2026</v>
      </c>
      <c r="V380">
        <f t="shared" si="77"/>
        <v>14</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2015</v>
      </c>
      <c r="V381">
        <f t="shared" si="77"/>
        <v>3</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2019</v>
      </c>
      <c r="V382">
        <f t="shared" si="77"/>
        <v>7</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2018</v>
      </c>
      <c r="V383">
        <f t="shared" si="77"/>
        <v>6</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2023</v>
      </c>
      <c r="V384">
        <f t="shared" si="77"/>
        <v>11</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2018</v>
      </c>
      <c r="V386">
        <f t="shared" ref="V386:V449" si="90">IF(OR($T386="",$U386=""),"",$U386-$T386)</f>
        <v>6</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2024</v>
      </c>
      <c r="V387">
        <f t="shared" si="90"/>
        <v>12</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2020</v>
      </c>
      <c r="V388">
        <f t="shared" si="90"/>
        <v>8</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2014</v>
      </c>
      <c r="V389">
        <f t="shared" si="90"/>
        <v>2</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2017</v>
      </c>
      <c r="V390">
        <f t="shared" si="90"/>
        <v>5</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2021</v>
      </c>
      <c r="V391">
        <f t="shared" si="90"/>
        <v>9</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2015</v>
      </c>
      <c r="V394">
        <f t="shared" si="90"/>
        <v>3</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2020</v>
      </c>
      <c r="V396">
        <f t="shared" si="90"/>
        <v>8</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2014</v>
      </c>
      <c r="V397">
        <f t="shared" si="90"/>
        <v>2</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2014</v>
      </c>
      <c r="V399">
        <f t="shared" si="90"/>
        <v>2</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2024</v>
      </c>
      <c r="V400">
        <f t="shared" si="90"/>
        <v>12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2025</v>
      </c>
      <c r="V401">
        <f t="shared" si="90"/>
        <v>13</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2017</v>
      </c>
      <c r="V402">
        <f t="shared" si="90"/>
        <v>5</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2018</v>
      </c>
      <c r="V403">
        <f t="shared" si="90"/>
        <v>6</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2016</v>
      </c>
      <c r="V404">
        <f t="shared" si="90"/>
        <v>4</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2015</v>
      </c>
      <c r="V405">
        <f t="shared" si="90"/>
        <v>3</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2016</v>
      </c>
      <c r="V406">
        <f t="shared" si="90"/>
        <v>4</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2022</v>
      </c>
      <c r="V407">
        <f t="shared" si="90"/>
        <v>10</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2021</v>
      </c>
      <c r="V408">
        <f t="shared" si="90"/>
        <v>9</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2019</v>
      </c>
      <c r="V409">
        <f t="shared" si="90"/>
        <v>7</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2024</v>
      </c>
      <c r="V411">
        <f t="shared" si="90"/>
        <v>12</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2023</v>
      </c>
      <c r="V412">
        <f t="shared" si="90"/>
        <v>11</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2010</v>
      </c>
      <c r="U413">
        <f>IF(connections!$A413="","",IFERROR(INDEX(games!$B$2:$B$950,MATCH(connections!$B413,games!$A$2:$A$950,0)),""))</f>
        <v>2010</v>
      </c>
      <c r="V413">
        <f t="shared" si="90"/>
        <v>0</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2011</v>
      </c>
      <c r="V414">
        <f t="shared" si="90"/>
        <v>1</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2010</v>
      </c>
      <c r="V416">
        <f t="shared" si="90"/>
        <v>0</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2014</v>
      </c>
      <c r="U417">
        <f>IF(connections!$A417="","",IFERROR(INDEX(games!$B$2:$B$950,MATCH(connections!$B417,games!$A$2:$A$950,0)),""))</f>
        <v>2024</v>
      </c>
      <c r="V417">
        <f t="shared" si="90"/>
        <v>10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2002</v>
      </c>
      <c r="U418">
        <f>IF(connections!$A418="","",IFERROR(INDEX(games!$B$2:$B$950,MATCH(connections!$B418,games!$A$2:$A$950,0)),""))</f>
        <v>2007</v>
      </c>
      <c r="V418">
        <f t="shared" si="90"/>
        <v>5</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2007</v>
      </c>
      <c r="U419">
        <f>IF(connections!$A419="","",IFERROR(INDEX(games!$B$2:$B$950,MATCH(connections!$B419,games!$A$2:$A$950,0)),""))</f>
        <v>2022</v>
      </c>
      <c r="V419">
        <f t="shared" si="90"/>
        <v>15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2024</v>
      </c>
      <c r="U420">
        <f>IF(connections!$A420="","",IFERROR(INDEX(games!$B$2:$B$950,MATCH(connections!$B420,games!$A$2:$A$950,0)),""))</f>
        <v>2025</v>
      </c>
      <c r="V420">
        <f t="shared" si="90"/>
        <v>1</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2026</v>
      </c>
      <c r="V421">
        <f t="shared" si="90"/>
        <v>2</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2020</v>
      </c>
      <c r="U422">
        <f>IF(connections!$A422="","",IFERROR(INDEX(games!$B$2:$B$950,MATCH(connections!$B422,games!$A$2:$A$950,0)),""))</f>
        <v>2023</v>
      </c>
      <c r="V422">
        <f t="shared" si="90"/>
        <v>3</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2016</v>
      </c>
      <c r="U423">
        <f>IF(connections!$A423="","",IFERROR(INDEX(games!$B$2:$B$950,MATCH(connections!$B423,games!$A$2:$A$950,0)),""))</f>
        <v>2020</v>
      </c>
      <c r="V423">
        <f t="shared" si="90"/>
        <v>4</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2020</v>
      </c>
      <c r="U424">
        <f>IF(connections!$A424="","",IFERROR(INDEX(games!$B$2:$B$950,MATCH(connections!$B424,games!$A$2:$A$950,0)),""))</f>
        <v>2023</v>
      </c>
      <c r="V424">
        <f t="shared" si="90"/>
        <v>3</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2021</v>
      </c>
      <c r="U425">
        <f>IF(connections!$A425="","",IFERROR(INDEX(games!$B$2:$B$950,MATCH(connections!$B425,games!$A$2:$A$950,0)),""))</f>
        <v>2024</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2015</v>
      </c>
      <c r="U426">
        <f>IF(connections!$A426="","",IFERROR(INDEX(games!$B$2:$B$950,MATCH(connections!$B426,games!$A$2:$A$950,0)),""))</f>
        <v>2019</v>
      </c>
      <c r="V426">
        <f t="shared" si="90"/>
        <v>4</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2020</v>
      </c>
      <c r="U427">
        <f>IF(connections!$A427="","",IFERROR(INDEX(games!$B$2:$B$950,MATCH(connections!$B427,games!$A$2:$A$950,0)),""))</f>
        <v>2025</v>
      </c>
      <c r="V427">
        <f t="shared" si="90"/>
        <v>5</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2020</v>
      </c>
      <c r="V429">
        <f t="shared" si="90"/>
        <v>0</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2024</v>
      </c>
      <c r="V430">
        <f t="shared" si="90"/>
        <v>4</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1984</v>
      </c>
      <c r="U432">
        <f>IF(connections!$A432="","",IFERROR(INDEX(games!$B$2:$B$950,MATCH(connections!$B432,games!$A$2:$A$950,0)),""))</f>
        <v>1994</v>
      </c>
      <c r="V432">
        <f t="shared" si="90"/>
        <v>10</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2006</v>
      </c>
      <c r="V433">
        <f t="shared" si="90"/>
        <v>22</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2002</v>
      </c>
      <c r="V434">
        <f t="shared" si="90"/>
        <v>18</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2022</v>
      </c>
      <c r="V435">
        <f t="shared" si="90"/>
        <v>38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2001</v>
      </c>
      <c r="V436">
        <f t="shared" si="90"/>
        <v>17</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1987</v>
      </c>
      <c r="V437">
        <f t="shared" si="90"/>
        <v>3</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2022</v>
      </c>
      <c r="U438">
        <f>IF(connections!$A438="","",IFERROR(INDEX(games!$B$2:$B$950,MATCH(connections!$B438,games!$A$2:$A$950,0)),""))</f>
        <v>2025</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2024</v>
      </c>
      <c r="V439">
        <f t="shared" si="90"/>
        <v>5</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2025</v>
      </c>
      <c r="V440">
        <f t="shared" si="90"/>
        <v>6</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2022</v>
      </c>
      <c r="V442">
        <f t="shared" si="90"/>
        <v>3</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2023</v>
      </c>
      <c r="V445">
        <f t="shared" si="90"/>
        <v>4</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2026</v>
      </c>
      <c r="V447">
        <f t="shared" si="90"/>
        <v>7</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2023</v>
      </c>
      <c r="V450">
        <f t="shared" ref="V450:V513" si="103">IF(OR($T450="",$U450=""),"",$U450-$T450)</f>
        <v>4</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2026</v>
      </c>
      <c r="V451">
        <f t="shared" si="103"/>
        <v>7</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2020</v>
      </c>
      <c r="V452">
        <f t="shared" si="103"/>
        <v>1</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2020</v>
      </c>
      <c r="V457">
        <f t="shared" si="103"/>
        <v>1</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2024</v>
      </c>
      <c r="V458">
        <f t="shared" si="103"/>
        <v>5</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2022</v>
      </c>
      <c r="V459">
        <f t="shared" si="103"/>
        <v>3</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2021</v>
      </c>
      <c r="V467">
        <f t="shared" si="103"/>
        <v>2</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2026</v>
      </c>
      <c r="V472">
        <f t="shared" si="103"/>
        <v>7</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2022</v>
      </c>
      <c r="V473">
        <f t="shared" si="103"/>
        <v>3</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2023</v>
      </c>
      <c r="V475">
        <f t="shared" si="103"/>
        <v>4</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2023</v>
      </c>
      <c r="V479">
        <f t="shared" si="103"/>
        <v>4</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2024</v>
      </c>
      <c r="V480">
        <f t="shared" si="103"/>
        <v>5</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2022</v>
      </c>
      <c r="V481">
        <f t="shared" si="103"/>
        <v>3</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2024</v>
      </c>
      <c r="V483">
        <f t="shared" si="103"/>
        <v>5</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2024</v>
      </c>
      <c r="V485">
        <f t="shared" si="103"/>
        <v>5</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2023</v>
      </c>
      <c r="U486">
        <f>IF(connections!$A486="","",IFERROR(INDEX(games!$B$2:$B$950,MATCH(connections!$B486,games!$A$2:$A$950,0)),""))</f>
        <v>2024</v>
      </c>
      <c r="V486">
        <f t="shared" si="103"/>
        <v>1</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2026</v>
      </c>
      <c r="V487">
        <f t="shared" si="103"/>
        <v>3</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2025</v>
      </c>
      <c r="V488">
        <f t="shared" si="103"/>
        <v>2</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2014</v>
      </c>
      <c r="U489">
        <f>IF(connections!$A489="","",IFERROR(INDEX(games!$B$2:$B$950,MATCH(connections!$B489,games!$A$2:$A$950,0)),""))</f>
        <v>2017</v>
      </c>
      <c r="V489">
        <f t="shared" si="103"/>
        <v>3</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2026</v>
      </c>
      <c r="V490">
        <f t="shared" si="103"/>
        <v>12</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2025</v>
      </c>
      <c r="V491">
        <f t="shared" si="103"/>
        <v>11</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2018</v>
      </c>
      <c r="U492">
        <f>IF(connections!$A492="","",IFERROR(INDEX(games!$B$2:$B$950,MATCH(connections!$B492,games!$A$2:$A$950,0)),""))</f>
        <v>2025</v>
      </c>
      <c r="V492">
        <f t="shared" si="103"/>
        <v>7</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2024</v>
      </c>
      <c r="V494">
        <f t="shared" si="103"/>
        <v>6</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2013</v>
      </c>
      <c r="U495">
        <f>IF(connections!$A495="","",IFERROR(INDEX(games!$B$2:$B$950,MATCH(connections!$B495,games!$A$2:$A$950,0)),""))</f>
        <v>2012</v>
      </c>
      <c r="V495">
        <f t="shared" si="103"/>
        <v>-1</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2018</v>
      </c>
      <c r="V496">
        <f t="shared" si="103"/>
        <v>5</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2007</v>
      </c>
      <c r="U497">
        <f>IF(connections!$A497="","",IFERROR(INDEX(games!$B$2:$B$950,MATCH(connections!$B497,games!$A$2:$A$950,0)),""))</f>
        <v>2014</v>
      </c>
      <c r="V497">
        <f t="shared" si="103"/>
        <v>7</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2021</v>
      </c>
      <c r="U498">
        <f>IF(connections!$A498="","",IFERROR(INDEX(games!$B$2:$B$950,MATCH(connections!$B498,games!$A$2:$A$950,0)),""))</f>
        <v>2022</v>
      </c>
      <c r="V498">
        <f t="shared" si="103"/>
        <v>1</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2026</v>
      </c>
      <c r="V499">
        <f t="shared" si="103"/>
        <v>5</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2023</v>
      </c>
      <c r="V500">
        <f t="shared" si="103"/>
        <v>2</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2026</v>
      </c>
      <c r="V501">
        <f t="shared" si="103"/>
        <v>5</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2026</v>
      </c>
      <c r="V505">
        <f t="shared" si="103"/>
        <v>5</v>
      </c>
    </row>
    <row r="506" spans="1:22" x14ac:dyDescent="0.25">
      <c r="A506" t="str">
        <f>IF(games!$A506="","",games!$A506)</f>
        <v>Nuclear Throne</v>
      </c>
      <c r="B506">
        <f>IF($A506="","",games!$B506)</f>
        <v>2015</v>
      </c>
      <c r="C506" t="str">
        <f>IF($A506="","",games!$C506)</f>
        <v>Action</v>
      </c>
      <c r="D506">
        <f>IF($A506="","",COUNTIF(connections!$A$2:$A$1400,$A506)+COUNTIF(connections!$B$2:$B$1400,$A506))</f>
        <v>22</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22.000506000000001</v>
      </c>
      <c r="P506" t="str">
        <f>IF(OR($A506="",games!$H506=""),"",games!$H506)</f>
        <v>Yes</v>
      </c>
      <c r="Q506">
        <f t="shared" si="102"/>
        <v>22.000506000000001</v>
      </c>
      <c r="T506">
        <f>IF(connections!$A506="","",IFERROR(INDEX(games!$B$2:$B$950,MATCH(connections!$A506,games!$A$2:$A$950,0)),""))</f>
        <v>2021</v>
      </c>
      <c r="U506">
        <f>IF(connections!$A506="","",IFERROR(INDEX(games!$B$2:$B$950,MATCH(connections!$B506,games!$A$2:$A$950,0)),""))</f>
        <v>2025</v>
      </c>
      <c r="V506">
        <f t="shared" si="103"/>
        <v>4</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2022</v>
      </c>
      <c r="V507">
        <f t="shared" si="103"/>
        <v>1</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2025</v>
      </c>
      <c r="V508">
        <f t="shared" si="103"/>
        <v>4</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2018</v>
      </c>
      <c r="U510">
        <f>IF(connections!$A510="","",IFERROR(INDEX(games!$B$2:$B$950,MATCH(connections!$B510,games!$A$2:$A$950,0)),""))</f>
        <v>2022</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2024</v>
      </c>
      <c r="V511">
        <f t="shared" si="103"/>
        <v>6</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2022</v>
      </c>
      <c r="V512">
        <f t="shared" si="103"/>
        <v>4</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2025</v>
      </c>
      <c r="V513">
        <f t="shared" si="103"/>
        <v>7</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2023</v>
      </c>
      <c r="V516">
        <f t="shared" si="116"/>
        <v>5</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2021</v>
      </c>
      <c r="V519">
        <f t="shared" si="116"/>
        <v>3</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2026</v>
      </c>
      <c r="V520">
        <f t="shared" si="116"/>
        <v>8</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2024</v>
      </c>
      <c r="V522">
        <f t="shared" si="116"/>
        <v>6</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2021</v>
      </c>
      <c r="V523">
        <f t="shared" si="116"/>
        <v>3</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2024</v>
      </c>
      <c r="V524">
        <f t="shared" si="116"/>
        <v>6</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2023</v>
      </c>
      <c r="V525">
        <f t="shared" si="116"/>
        <v>5</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2021</v>
      </c>
      <c r="V528">
        <f t="shared" si="116"/>
        <v>3</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2023</v>
      </c>
      <c r="V529">
        <f t="shared" si="116"/>
        <v>5</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2001</v>
      </c>
      <c r="U530">
        <f>IF(connections!$A530="","",IFERROR(INDEX(games!$B$2:$B$950,MATCH(connections!$B530,games!$A$2:$A$950,0)),""))</f>
        <v>2015</v>
      </c>
      <c r="V530">
        <f t="shared" si="116"/>
        <v>14</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2006</v>
      </c>
      <c r="U531">
        <f>IF(connections!$A531="","",IFERROR(INDEX(games!$B$2:$B$950,MATCH(connections!$B531,games!$A$2:$A$950,0)),""))</f>
        <v>2007</v>
      </c>
      <c r="V531">
        <f t="shared" si="116"/>
        <v>1</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2016</v>
      </c>
      <c r="U532">
        <f>IF(connections!$A532="","",IFERROR(INDEX(games!$B$2:$B$950,MATCH(connections!$B532,games!$A$2:$A$950,0)),""))</f>
        <v>2022</v>
      </c>
      <c r="V532">
        <f t="shared" si="116"/>
        <v>6</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2024</v>
      </c>
      <c r="V533">
        <f t="shared" si="116"/>
        <v>8</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2019</v>
      </c>
      <c r="V534">
        <f t="shared" si="116"/>
        <v>3</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2024</v>
      </c>
      <c r="U535">
        <f>IF(connections!$A535="","",IFERROR(INDEX(games!$B$2:$B$950,MATCH(connections!$B535,games!$A$2:$A$950,0)),""))</f>
        <v>2026</v>
      </c>
      <c r="V535">
        <f t="shared" si="116"/>
        <v>2</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1995</v>
      </c>
      <c r="U536">
        <f>IF(connections!$A536="","",IFERROR(INDEX(games!$B$2:$B$950,MATCH(connections!$B536,games!$A$2:$A$950,0)),""))</f>
        <v>2006</v>
      </c>
      <c r="V536">
        <f t="shared" si="116"/>
        <v>11</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2003</v>
      </c>
      <c r="V538">
        <f t="shared" si="116"/>
        <v>8</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2002</v>
      </c>
      <c r="V539">
        <f t="shared" si="116"/>
        <v>7</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2021</v>
      </c>
      <c r="U540">
        <f>IF(connections!$A540="","",IFERROR(INDEX(games!$B$2:$B$950,MATCH(connections!$B540,games!$A$2:$A$950,0)),""))</f>
        <v>2023</v>
      </c>
      <c r="V540">
        <f t="shared" si="116"/>
        <v>2</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2023</v>
      </c>
      <c r="U543">
        <f>IF(connections!$A543="","",IFERROR(INDEX(games!$B$2:$B$950,MATCH(connections!$B543,games!$A$2:$A$950,0)),""))</f>
        <v>2025</v>
      </c>
      <c r="V543">
        <f t="shared" si="116"/>
        <v>2</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2001</v>
      </c>
      <c r="U544">
        <f>IF(connections!$A544="","",IFERROR(INDEX(games!$B$2:$B$950,MATCH(connections!$B544,games!$A$2:$A$950,0)),""))</f>
        <v>2017</v>
      </c>
      <c r="V544">
        <f t="shared" si="116"/>
        <v>16</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2021</v>
      </c>
      <c r="U545">
        <f>IF(connections!$A545="","",IFERROR(INDEX(games!$B$2:$B$950,MATCH(connections!$B545,games!$A$2:$A$950,0)),""))</f>
        <v>2022</v>
      </c>
      <c r="V545">
        <f t="shared" si="116"/>
        <v>1</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2023</v>
      </c>
      <c r="V546">
        <f t="shared" si="116"/>
        <v>2</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2026</v>
      </c>
      <c r="V549">
        <f t="shared" si="116"/>
        <v>5</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2024</v>
      </c>
      <c r="V550">
        <f t="shared" si="116"/>
        <v>3</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2026</v>
      </c>
      <c r="V551">
        <f t="shared" si="116"/>
        <v>5</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2023</v>
      </c>
      <c r="V552">
        <f t="shared" si="116"/>
        <v>2</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2024</v>
      </c>
      <c r="V553">
        <f t="shared" si="116"/>
        <v>3</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2023</v>
      </c>
      <c r="V556">
        <f t="shared" si="116"/>
        <v>2</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2026</v>
      </c>
      <c r="V558">
        <f t="shared" si="116"/>
        <v>5</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2025</v>
      </c>
      <c r="V559">
        <f t="shared" si="116"/>
        <v>4</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2021</v>
      </c>
      <c r="V560">
        <f t="shared" si="116"/>
        <v>0</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2025</v>
      </c>
      <c r="V561">
        <f t="shared" si="116"/>
        <v>4</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2024</v>
      </c>
      <c r="V564">
        <f t="shared" si="116"/>
        <v>3</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2025</v>
      </c>
      <c r="V565">
        <f t="shared" si="116"/>
        <v>4</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2019</v>
      </c>
      <c r="U567">
        <f>IF(connections!$A567="","",IFERROR(INDEX(games!$B$2:$B$950,MATCH(connections!$B567,games!$A$2:$A$950,0)),""))</f>
        <v>2021</v>
      </c>
      <c r="V567">
        <f t="shared" si="116"/>
        <v>2</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2023</v>
      </c>
      <c r="U568">
        <f>IF(connections!$A568="","",IFERROR(INDEX(games!$B$2:$B$950,MATCH(connections!$B568,games!$A$2:$A$950,0)),""))</f>
        <v>2025</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2025</v>
      </c>
      <c r="U569">
        <f>IF(connections!$A569="","",IFERROR(INDEX(games!$B$2:$B$950,MATCH(connections!$B569,games!$A$2:$A$950,0)),""))</f>
        <v>2026</v>
      </c>
      <c r="V569">
        <f t="shared" si="116"/>
        <v>1</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2012</v>
      </c>
      <c r="U571">
        <f>IF(connections!$A571="","",IFERROR(INDEX(games!$B$2:$B$950,MATCH(connections!$B571,games!$A$2:$A$950,0)),""))</f>
        <v>2021</v>
      </c>
      <c r="V571">
        <f t="shared" si="116"/>
        <v>9</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2011</v>
      </c>
      <c r="U572">
        <f>IF(connections!$A572="","",IFERROR(INDEX(games!$B$2:$B$950,MATCH(connections!$B572,games!$A$2:$A$950,0)),""))</f>
        <v>2014</v>
      </c>
      <c r="V572">
        <f t="shared" si="116"/>
        <v>3</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2012</v>
      </c>
      <c r="V573">
        <f t="shared" si="116"/>
        <v>1</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2002</v>
      </c>
      <c r="U574">
        <f>IF(connections!$A574="","",IFERROR(INDEX(games!$B$2:$B$950,MATCH(connections!$B574,games!$A$2:$A$950,0)),""))</f>
        <v>2023</v>
      </c>
      <c r="V574">
        <f t="shared" si="116"/>
        <v>21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2003</v>
      </c>
      <c r="V575">
        <f t="shared" si="116"/>
        <v>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2020</v>
      </c>
      <c r="U576">
        <f>IF(connections!$A576="","",IFERROR(INDEX(games!$B$2:$B$950,MATCH(connections!$B576,games!$A$2:$A$950,0)),""))</f>
        <v>2022</v>
      </c>
      <c r="V576">
        <f t="shared" si="116"/>
        <v>2</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2017</v>
      </c>
      <c r="U577">
        <f>IF(connections!$A577="","",IFERROR(INDEX(games!$B$2:$B$950,MATCH(connections!$B577,games!$A$2:$A$950,0)),""))</f>
        <v>2019</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2020</v>
      </c>
      <c r="U578">
        <f>IF(connections!$A578="","",IFERROR(INDEX(games!$B$2:$B$950,MATCH(connections!$B578,games!$A$2:$A$950,0)),""))</f>
        <v>2023</v>
      </c>
      <c r="V578">
        <f t="shared" ref="V578:V641" si="129">IF(OR($T578="",$U578=""),"",$U578-$T578)</f>
        <v>3</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2025</v>
      </c>
      <c r="V579">
        <f t="shared" si="129"/>
        <v>5</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2024</v>
      </c>
      <c r="V580">
        <f t="shared" si="129"/>
        <v>4</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2023</v>
      </c>
      <c r="V581">
        <f t="shared" si="129"/>
        <v>3</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2021</v>
      </c>
      <c r="V582">
        <f t="shared" si="129"/>
        <v>1</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2026</v>
      </c>
      <c r="V583">
        <f t="shared" si="129"/>
        <v>6</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2025</v>
      </c>
      <c r="V584">
        <f t="shared" si="129"/>
        <v>5</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2024</v>
      </c>
      <c r="V585">
        <f t="shared" si="129"/>
        <v>4</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2022</v>
      </c>
      <c r="V586">
        <f t="shared" si="129"/>
        <v>2</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2025</v>
      </c>
      <c r="V587">
        <f t="shared" si="129"/>
        <v>5</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2023</v>
      </c>
      <c r="V588">
        <f t="shared" si="129"/>
        <v>3</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2016</v>
      </c>
      <c r="U590">
        <f>IF(connections!$A590="","",IFERROR(INDEX(games!$B$2:$B$950,MATCH(connections!$B590,games!$A$2:$A$950,0)),""))</f>
        <v>2021</v>
      </c>
      <c r="V590">
        <f t="shared" si="129"/>
        <v>5</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2018</v>
      </c>
      <c r="U591">
        <f>IF(connections!$A591="","",IFERROR(INDEX(games!$B$2:$B$950,MATCH(connections!$B591,games!$A$2:$A$950,0)),""))</f>
        <v>2025</v>
      </c>
      <c r="V591">
        <f t="shared" si="129"/>
        <v>7</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1983</v>
      </c>
      <c r="U593">
        <f>IF(connections!$A593="","",IFERROR(INDEX(games!$B$2:$B$950,MATCH(connections!$B593,games!$A$2:$A$950,0)),""))</f>
        <v>1990</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1996</v>
      </c>
      <c r="V594">
        <f t="shared" si="129"/>
        <v>13</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2003</v>
      </c>
      <c r="V595">
        <f t="shared" si="129"/>
        <v>20</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2018</v>
      </c>
      <c r="U596">
        <f>IF(connections!$A596="","",IFERROR(INDEX(games!$B$2:$B$950,MATCH(connections!$B596,games!$A$2:$A$950,0)),""))</f>
        <v>2022</v>
      </c>
      <c r="V596">
        <f t="shared" si="129"/>
        <v>4</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2011</v>
      </c>
      <c r="U597">
        <f>IF(connections!$A597="","",IFERROR(INDEX(games!$B$2:$B$950,MATCH(connections!$B597,games!$A$2:$A$950,0)),""))</f>
        <v>2014</v>
      </c>
      <c r="V597">
        <f t="shared" si="129"/>
        <v>3</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2021</v>
      </c>
      <c r="U598">
        <f>IF(connections!$A598="","",IFERROR(INDEX(games!$B$2:$B$950,MATCH(connections!$B598,games!$A$2:$A$950,0)),""))</f>
        <v>2026</v>
      </c>
      <c r="V598">
        <f t="shared" si="129"/>
        <v>5</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1995</v>
      </c>
      <c r="U599">
        <f>IF(connections!$A599="","",IFERROR(INDEX(games!$B$2:$B$950,MATCH(connections!$B599,games!$A$2:$A$950,0)),""))</f>
        <v>2010</v>
      </c>
      <c r="V599">
        <f t="shared" si="129"/>
        <v>15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1995</v>
      </c>
      <c r="U600">
        <f>IF(connections!$A600="","",IFERROR(INDEX(games!$B$2:$B$950,MATCH(connections!$B600,games!$A$2:$A$950,0)),""))</f>
        <v>2023</v>
      </c>
      <c r="V600">
        <f t="shared" si="129"/>
        <v>28</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2025</v>
      </c>
      <c r="V601">
        <f t="shared" si="129"/>
        <v>30</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2014</v>
      </c>
      <c r="V602">
        <f t="shared" si="129"/>
        <v>19</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2000</v>
      </c>
      <c r="V603">
        <f t="shared" si="129"/>
        <v>5</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1996</v>
      </c>
      <c r="V604">
        <f t="shared" si="129"/>
        <v>1</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2025</v>
      </c>
      <c r="V605">
        <f t="shared" si="129"/>
        <v>30</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2017</v>
      </c>
      <c r="V606">
        <f t="shared" si="129"/>
        <v>22</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2022</v>
      </c>
      <c r="U607">
        <f>IF(connections!$A607="","",IFERROR(INDEX(games!$B$2:$B$950,MATCH(connections!$B607,games!$A$2:$A$950,0)),""))</f>
        <v>2024</v>
      </c>
      <c r="V607">
        <f t="shared" si="129"/>
        <v>2</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2022</v>
      </c>
      <c r="U608">
        <f>IF(connections!$A608="","",IFERROR(INDEX(games!$B$2:$B$950,MATCH(connections!$B608,games!$A$2:$A$950,0)),""))</f>
        <v>2024</v>
      </c>
      <c r="V608">
        <f t="shared" si="129"/>
        <v>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2019</v>
      </c>
      <c r="U609">
        <f>IF(connections!$A609="","",IFERROR(INDEX(games!$B$2:$B$950,MATCH(connections!$B609,games!$A$2:$A$950,0)),""))</f>
        <v>2025</v>
      </c>
      <c r="V609">
        <f t="shared" si="129"/>
        <v>6</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1987</v>
      </c>
      <c r="U610">
        <f>IF(connections!$A610="","",IFERROR(INDEX(games!$B$2:$B$950,MATCH(connections!$B610,games!$A$2:$A$950,0)),""))</f>
        <v>2015</v>
      </c>
      <c r="V610">
        <f t="shared" si="129"/>
        <v>28</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1987</v>
      </c>
      <c r="U611">
        <f>IF(connections!$A611="","",IFERROR(INDEX(games!$B$2:$B$950,MATCH(connections!$B611,games!$A$2:$A$950,0)),""))</f>
        <v>2014</v>
      </c>
      <c r="V611">
        <f t="shared" si="129"/>
        <v>27</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1996</v>
      </c>
      <c r="V612">
        <f t="shared" si="129"/>
        <v>9</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2003</v>
      </c>
      <c r="V613">
        <f t="shared" si="129"/>
        <v>16</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2011</v>
      </c>
      <c r="V614">
        <f t="shared" si="129"/>
        <v>24</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2008</v>
      </c>
      <c r="V615">
        <f t="shared" si="129"/>
        <v>21</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2018</v>
      </c>
      <c r="V616">
        <f t="shared" si="129"/>
        <v>31</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2006</v>
      </c>
      <c r="V617">
        <f t="shared" si="129"/>
        <v>19</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2020</v>
      </c>
      <c r="V618">
        <f t="shared" si="129"/>
        <v>33</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2017</v>
      </c>
      <c r="V619">
        <f t="shared" si="129"/>
        <v>30</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2012</v>
      </c>
      <c r="V620">
        <f t="shared" si="129"/>
        <v>25</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2007</v>
      </c>
      <c r="V621">
        <f t="shared" si="129"/>
        <v>20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2001</v>
      </c>
      <c r="V622">
        <f t="shared" si="129"/>
        <v>14</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2015</v>
      </c>
      <c r="V623">
        <f t="shared" si="129"/>
        <v>28</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1995</v>
      </c>
      <c r="V625">
        <f t="shared" si="129"/>
        <v>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2019</v>
      </c>
      <c r="V626">
        <f t="shared" si="129"/>
        <v>32</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2023</v>
      </c>
      <c r="V627">
        <f t="shared" si="129"/>
        <v>36</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2022</v>
      </c>
      <c r="V628">
        <f t="shared" si="129"/>
        <v>35</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2003</v>
      </c>
      <c r="V630">
        <f t="shared" si="129"/>
        <v>16</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1992</v>
      </c>
      <c r="V631">
        <f t="shared" si="129"/>
        <v>5</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2020</v>
      </c>
      <c r="V632">
        <f t="shared" si="129"/>
        <v>33</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2006</v>
      </c>
      <c r="V633">
        <f t="shared" si="129"/>
        <v>19</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2008</v>
      </c>
      <c r="V634">
        <f t="shared" si="129"/>
        <v>21</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2002</v>
      </c>
      <c r="V635">
        <f t="shared" si="129"/>
        <v>15</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2013</v>
      </c>
      <c r="V636">
        <f t="shared" si="129"/>
        <v>26</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1992</v>
      </c>
      <c r="V637">
        <f t="shared" si="129"/>
        <v>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2012</v>
      </c>
      <c r="V638">
        <f t="shared" si="129"/>
        <v>25</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2024</v>
      </c>
      <c r="U639">
        <f>IF(connections!$A639="","",IFERROR(INDEX(games!$B$2:$B$950,MATCH(connections!$B639,games!$A$2:$A$950,0)),""))</f>
        <v>2026</v>
      </c>
      <c r="V639">
        <f t="shared" si="129"/>
        <v>2</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2019</v>
      </c>
      <c r="U640">
        <f>IF(connections!$A640="","",IFERROR(INDEX(games!$B$2:$B$950,MATCH(connections!$B640,games!$A$2:$A$950,0)),""))</f>
        <v>2025</v>
      </c>
      <c r="V640">
        <f t="shared" si="129"/>
        <v>6</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2019</v>
      </c>
      <c r="U641">
        <f>IF(connections!$A641="","",IFERROR(INDEX(games!$B$2:$B$950,MATCH(connections!$B641,games!$A$2:$A$950,0)),""))</f>
        <v>2023</v>
      </c>
      <c r="V641">
        <f t="shared" si="129"/>
        <v>4</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2026</v>
      </c>
      <c r="V642">
        <f t="shared" ref="V642:V705" si="142">IF(OR($T642="",$U642=""),"",$U642-$T642)</f>
        <v>7</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2024</v>
      </c>
      <c r="V643">
        <f t="shared" si="142"/>
        <v>5</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2024</v>
      </c>
      <c r="V644">
        <f t="shared" si="142"/>
        <v>5</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2024</v>
      </c>
      <c r="U645">
        <f>IF(connections!$A645="","",IFERROR(INDEX(games!$B$2:$B$950,MATCH(connections!$B645,games!$A$2:$A$950,0)),""))</f>
        <v>2026</v>
      </c>
      <c r="V645">
        <f t="shared" si="142"/>
        <v>2</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2024</v>
      </c>
      <c r="U646">
        <f>IF(connections!$A646="","",IFERROR(INDEX(games!$B$2:$B$950,MATCH(connections!$B646,games!$A$2:$A$950,0)),""))</f>
        <v>2026</v>
      </c>
      <c r="V646">
        <f t="shared" si="142"/>
        <v>2</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2015</v>
      </c>
      <c r="U648">
        <f>IF(connections!$A648="","",IFERROR(INDEX(games!$B$2:$B$950,MATCH(connections!$B648,games!$A$2:$A$950,0)),""))</f>
        <v>2025</v>
      </c>
      <c r="V648">
        <f t="shared" si="142"/>
        <v>10</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2020</v>
      </c>
      <c r="V649">
        <f t="shared" si="142"/>
        <v>5</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2019</v>
      </c>
      <c r="V650">
        <f t="shared" si="142"/>
        <v>4</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2020</v>
      </c>
      <c r="V652">
        <f t="shared" si="142"/>
        <v>5</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2016</v>
      </c>
      <c r="V653">
        <f t="shared" si="142"/>
        <v>1</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2016</v>
      </c>
      <c r="V654">
        <f t="shared" si="142"/>
        <v>1</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2017</v>
      </c>
      <c r="V655">
        <f t="shared" si="142"/>
        <v>2</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2023</v>
      </c>
      <c r="V656">
        <f t="shared" si="142"/>
        <v>8</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2025</v>
      </c>
      <c r="V658">
        <f t="shared" si="142"/>
        <v>10</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2026</v>
      </c>
      <c r="V659">
        <f t="shared" si="142"/>
        <v>11</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2020</v>
      </c>
      <c r="V660">
        <f t="shared" si="142"/>
        <v>5</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2024</v>
      </c>
      <c r="V661">
        <f t="shared" si="142"/>
        <v>9</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2022</v>
      </c>
      <c r="V662">
        <f t="shared" si="142"/>
        <v>7</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2019</v>
      </c>
      <c r="V665">
        <f t="shared" si="142"/>
        <v>4</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2022</v>
      </c>
      <c r="V666">
        <f t="shared" si="142"/>
        <v>7</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2023</v>
      </c>
      <c r="V667">
        <f t="shared" si="142"/>
        <v>8</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1987</v>
      </c>
      <c r="U668">
        <f>IF(connections!$A668="","",IFERROR(INDEX(games!$B$2:$B$950,MATCH(connections!$B668,games!$A$2:$A$950,0)),""))</f>
        <v>2007</v>
      </c>
      <c r="V668">
        <f t="shared" si="142"/>
        <v>20</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2015</v>
      </c>
      <c r="V669">
        <f t="shared" si="142"/>
        <v>28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1992</v>
      </c>
      <c r="V670">
        <f t="shared" si="142"/>
        <v>5</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2015</v>
      </c>
      <c r="U671">
        <f>IF(connections!$A671="","",IFERROR(INDEX(games!$B$2:$B$950,MATCH(connections!$B671,games!$A$2:$A$950,0)),""))</f>
        <v>2017</v>
      </c>
      <c r="V671">
        <f t="shared" si="142"/>
        <v>2</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2017</v>
      </c>
      <c r="U672">
        <f>IF(connections!$A672="","",IFERROR(INDEX(games!$B$2:$B$950,MATCH(connections!$B672,games!$A$2:$A$950,0)),""))</f>
        <v>2019</v>
      </c>
      <c r="V672">
        <f t="shared" si="142"/>
        <v>2</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2014</v>
      </c>
      <c r="U673">
        <f>IF(connections!$A673="","",IFERROR(INDEX(games!$B$2:$B$950,MATCH(connections!$B673,games!$A$2:$A$950,0)),""))</f>
        <v>2016</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2021</v>
      </c>
      <c r="U674">
        <f>IF(connections!$A674="","",IFERROR(INDEX(games!$B$2:$B$950,MATCH(connections!$B674,games!$A$2:$A$950,0)),""))</f>
        <v>2024</v>
      </c>
      <c r="V674">
        <f t="shared" si="142"/>
        <v>3</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2021</v>
      </c>
      <c r="U675">
        <f>IF(connections!$A675="","",IFERROR(INDEX(games!$B$2:$B$950,MATCH(connections!$B675,games!$A$2:$A$950,0)),""))</f>
        <v>2023</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2022</v>
      </c>
      <c r="U676">
        <f>IF(connections!$A676="","",IFERROR(INDEX(games!$B$2:$B$950,MATCH(connections!$B676,games!$A$2:$A$950,0)),""))</f>
        <v>2025</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2022</v>
      </c>
      <c r="U677">
        <f>IF(connections!$A677="","",IFERROR(INDEX(games!$B$2:$B$950,MATCH(connections!$B677,games!$A$2:$A$950,0)),""))</f>
        <v>2026</v>
      </c>
      <c r="V677">
        <f t="shared" si="142"/>
        <v>4</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2024</v>
      </c>
      <c r="V678">
        <f t="shared" si="142"/>
        <v>2</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2025</v>
      </c>
      <c r="V681">
        <f t="shared" si="142"/>
        <v>3</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2012</v>
      </c>
      <c r="U682">
        <f>IF(connections!$A682="","",IFERROR(INDEX(games!$B$2:$B$950,MATCH(connections!$B682,games!$A$2:$A$950,0)),""))</f>
        <v>2019</v>
      </c>
      <c r="V682">
        <f t="shared" si="142"/>
        <v>7</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2012</v>
      </c>
      <c r="U683">
        <f>IF(connections!$A683="","",IFERROR(INDEX(games!$B$2:$B$950,MATCH(connections!$B683,games!$A$2:$A$950,0)),""))</f>
        <v>2014</v>
      </c>
      <c r="V683">
        <f t="shared" si="142"/>
        <v>2</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2021</v>
      </c>
      <c r="U684">
        <f>IF(connections!$A684="","",IFERROR(INDEX(games!$B$2:$B$950,MATCH(connections!$B684,games!$A$2:$A$950,0)),""))</f>
        <v>2026</v>
      </c>
      <c r="V684">
        <f t="shared" si="142"/>
        <v>5</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2007</v>
      </c>
      <c r="U685">
        <f>IF(connections!$A685="","",IFERROR(INDEX(games!$B$2:$B$950,MATCH(connections!$B685,games!$A$2:$A$950,0)),""))</f>
        <v>2009</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2005</v>
      </c>
      <c r="U686">
        <f>IF(connections!$A686="","",IFERROR(INDEX(games!$B$2:$B$950,MATCH(connections!$B686,games!$A$2:$A$950,0)),""))</f>
        <v>2025</v>
      </c>
      <c r="V686">
        <f t="shared" si="142"/>
        <v>20</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2005</v>
      </c>
      <c r="U687">
        <f>IF(connections!$A687="","",IFERROR(INDEX(games!$B$2:$B$950,MATCH(connections!$B687,games!$A$2:$A$950,0)),""))</f>
        <v>2007</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2012</v>
      </c>
      <c r="V688">
        <f t="shared" si="142"/>
        <v>7</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2020</v>
      </c>
      <c r="V689">
        <f t="shared" si="142"/>
        <v>15</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2015</v>
      </c>
      <c r="V690">
        <f t="shared" si="142"/>
        <v>10</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2024</v>
      </c>
      <c r="U691">
        <f>IF(connections!$A691="","",IFERROR(INDEX(games!$B$2:$B$950,MATCH(connections!$B691,games!$A$2:$A$950,0)),""))</f>
        <v>2026</v>
      </c>
      <c r="V691">
        <f t="shared" si="142"/>
        <v>2</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2024</v>
      </c>
      <c r="U692">
        <f>IF(connections!$A692="","",IFERROR(INDEX(games!$B$2:$B$950,MATCH(connections!$B692,games!$A$2:$A$950,0)),""))</f>
        <v>2025</v>
      </c>
      <c r="V692">
        <f t="shared" si="142"/>
        <v>1</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2020</v>
      </c>
      <c r="U693">
        <f>IF(connections!$A693="","",IFERROR(INDEX(games!$B$2:$B$950,MATCH(connections!$B693,games!$A$2:$A$950,0)),""))</f>
        <v>2023</v>
      </c>
      <c r="V693">
        <f t="shared" si="142"/>
        <v>3</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2003</v>
      </c>
      <c r="U694">
        <f>IF(connections!$A694="","",IFERROR(INDEX(games!$B$2:$B$950,MATCH(connections!$B694,games!$A$2:$A$950,0)),""))</f>
        <v>2010</v>
      </c>
      <c r="V694">
        <f t="shared" si="142"/>
        <v>7</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2003</v>
      </c>
      <c r="U695">
        <f>IF(connections!$A695="","",IFERROR(INDEX(games!$B$2:$B$950,MATCH(connections!$B695,games!$A$2:$A$950,0)),""))</f>
        <v>2015</v>
      </c>
      <c r="V695">
        <f t="shared" si="142"/>
        <v>12</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2017</v>
      </c>
      <c r="V696">
        <f t="shared" si="142"/>
        <v>14</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2014</v>
      </c>
      <c r="V697">
        <f t="shared" si="142"/>
        <v>11</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2011</v>
      </c>
      <c r="V698">
        <f t="shared" si="142"/>
        <v>8</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1992</v>
      </c>
      <c r="U699">
        <f>IF(connections!$A699="","",IFERROR(INDEX(games!$B$2:$B$950,MATCH(connections!$B699,games!$A$2:$A$950,0)),""))</f>
        <v>2012</v>
      </c>
      <c r="V699">
        <f t="shared" si="142"/>
        <v>20</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2023</v>
      </c>
      <c r="U700">
        <f>IF(connections!$A700="","",IFERROR(INDEX(games!$B$2:$B$950,MATCH(connections!$B700,games!$A$2:$A$950,0)),""))</f>
        <v>2025</v>
      </c>
      <c r="V700">
        <f t="shared" si="142"/>
        <v>2</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2010</v>
      </c>
      <c r="U701">
        <f>IF(connections!$A701="","",IFERROR(INDEX(games!$B$2:$B$950,MATCH(connections!$B701,games!$A$2:$A$950,0)),""))</f>
        <v>2026</v>
      </c>
      <c r="V701">
        <f t="shared" si="142"/>
        <v>16</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2010</v>
      </c>
      <c r="U702">
        <f>IF(connections!$A702="","",IFERROR(INDEX(games!$B$2:$B$950,MATCH(connections!$B702,games!$A$2:$A$950,0)),""))</f>
        <v>2023</v>
      </c>
      <c r="V702">
        <f t="shared" si="142"/>
        <v>13</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2015</v>
      </c>
      <c r="U703">
        <f>IF(connections!$A703="","",IFERROR(INDEX(games!$B$2:$B$950,MATCH(connections!$B703,games!$A$2:$A$950,0)),""))</f>
        <v>2026</v>
      </c>
      <c r="V703">
        <f t="shared" si="142"/>
        <v>11</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2023</v>
      </c>
      <c r="U704">
        <f>IF(connections!$A704="","",IFERROR(INDEX(games!$B$2:$B$950,MATCH(connections!$B704,games!$A$2:$A$950,0)),""))</f>
        <v>2026</v>
      </c>
      <c r="V704">
        <f t="shared" si="142"/>
        <v>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2023</v>
      </c>
      <c r="U705">
        <f>IF(connections!$A705="","",IFERROR(INDEX(games!$B$2:$B$950,MATCH(connections!$B705,games!$A$2:$A$950,0)),""))</f>
        <v>2025</v>
      </c>
      <c r="V705">
        <f t="shared" si="142"/>
        <v>2</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2020</v>
      </c>
      <c r="U706">
        <f>IF(connections!$A706="","",IFERROR(INDEX(games!$B$2:$B$950,MATCH(connections!$B706,games!$A$2:$A$950,0)),""))</f>
        <v>2023</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Super Auto Pets</v>
      </c>
      <c r="B708">
        <f>IF($A708="","",games!$B708)</f>
        <v>2021</v>
      </c>
      <c r="C708" t="str">
        <f>IF($A708="","",games!$C708)</f>
        <v>Strategy</v>
      </c>
      <c r="D708">
        <f>IF($A708="","",COUNTIF(connections!$A$2:$A$1400,$A708)+COUNTIF(connections!$B$2:$B$1400,$A708))</f>
        <v>12</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12.000707999999999</v>
      </c>
      <c r="P708" t="str">
        <f>IF(OR($A708="",games!$H708=""),"",games!$H708)</f>
        <v>Yes</v>
      </c>
      <c r="Q708">
        <f t="shared" si="154"/>
        <v>12.000707999999999</v>
      </c>
      <c r="T708">
        <f>IF(connections!$A708="","",IFERROR(INDEX(games!$B$2:$B$950,MATCH(connections!$A708,games!$A$2:$A$950,0)),""))</f>
        <v>2024</v>
      </c>
      <c r="U708">
        <f>IF(connections!$A708="","",IFERROR(INDEX(games!$B$2:$B$950,MATCH(connections!$B708,games!$A$2:$A$950,0)),""))</f>
        <v>2026</v>
      </c>
      <c r="V708">
        <f t="shared" si="155"/>
        <v>2</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2026</v>
      </c>
      <c r="V709">
        <f t="shared" si="155"/>
        <v>6</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2017</v>
      </c>
      <c r="U710">
        <f>IF(connections!$A710="","",IFERROR(INDEX(games!$B$2:$B$950,MATCH(connections!$B710,games!$A$2:$A$950,0)),""))</f>
        <v>2020</v>
      </c>
      <c r="V710">
        <f t="shared" si="155"/>
        <v>3</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2013</v>
      </c>
      <c r="U711">
        <f>IF(connections!$A711="","",IFERROR(INDEX(games!$B$2:$B$950,MATCH(connections!$B711,games!$A$2:$A$950,0)),""))</f>
        <v>2018</v>
      </c>
      <c r="V711">
        <f t="shared" si="155"/>
        <v>5</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2013</v>
      </c>
      <c r="U712">
        <f>IF(connections!$A712="","",IFERROR(INDEX(games!$B$2:$B$950,MATCH(connections!$B712,games!$A$2:$A$950,0)),""))</f>
        <v>2016</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2022</v>
      </c>
      <c r="V713">
        <f t="shared" si="155"/>
        <v>9</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2020</v>
      </c>
      <c r="V714">
        <f t="shared" si="155"/>
        <v>7</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2023</v>
      </c>
      <c r="V715">
        <f t="shared" si="155"/>
        <v>10</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2025</v>
      </c>
      <c r="V716">
        <f t="shared" si="155"/>
        <v>12</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2018</v>
      </c>
      <c r="V717">
        <f t="shared" si="155"/>
        <v>5</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2020</v>
      </c>
      <c r="U720">
        <f>IF(connections!$A720="","",IFERROR(INDEX(games!$B$2:$B$950,MATCH(connections!$B720,games!$A$2:$A$950,0)),""))</f>
        <v>2025</v>
      </c>
      <c r="V720">
        <f t="shared" si="155"/>
        <v>5</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2024</v>
      </c>
      <c r="V722">
        <f t="shared" si="155"/>
        <v>4</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2025</v>
      </c>
      <c r="V724">
        <f t="shared" si="155"/>
        <v>5</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2021</v>
      </c>
      <c r="V726">
        <f t="shared" si="155"/>
        <v>1</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2024</v>
      </c>
      <c r="V727">
        <f t="shared" si="155"/>
        <v>4</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2023</v>
      </c>
      <c r="V729">
        <f t="shared" si="155"/>
        <v>3</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2025</v>
      </c>
      <c r="V730">
        <f t="shared" si="155"/>
        <v>5</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2024</v>
      </c>
      <c r="V732">
        <f t="shared" si="155"/>
        <v>4</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2024</v>
      </c>
      <c r="V733">
        <f t="shared" si="155"/>
        <v>4</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2025</v>
      </c>
      <c r="V734">
        <f t="shared" si="155"/>
        <v>5</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2025</v>
      </c>
      <c r="V735">
        <f t="shared" si="155"/>
        <v>5</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2015</v>
      </c>
      <c r="V736">
        <f t="shared" si="155"/>
        <v>35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1980</v>
      </c>
      <c r="U737">
        <f>IF(connections!$A737="","",IFERROR(INDEX(games!$B$2:$B$950,MATCH(connections!$B737,games!$A$2:$A$950,0)),""))</f>
        <v>2009</v>
      </c>
      <c r="V737">
        <f t="shared" si="155"/>
        <v>29</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1994</v>
      </c>
      <c r="V738">
        <f t="shared" si="155"/>
        <v>14</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1991</v>
      </c>
      <c r="V739">
        <f t="shared" si="155"/>
        <v>11</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2015</v>
      </c>
      <c r="V740">
        <f t="shared" si="155"/>
        <v>35</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1990</v>
      </c>
      <c r="V741">
        <f t="shared" si="155"/>
        <v>10</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2020</v>
      </c>
      <c r="V742">
        <f t="shared" si="155"/>
        <v>40</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1984</v>
      </c>
      <c r="V743">
        <f t="shared" si="155"/>
        <v>4</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2012</v>
      </c>
      <c r="V744">
        <f t="shared" si="155"/>
        <v>32</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2011</v>
      </c>
      <c r="V745">
        <f t="shared" si="155"/>
        <v>31</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1986</v>
      </c>
      <c r="V746">
        <f t="shared" si="155"/>
        <v>6</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1987</v>
      </c>
      <c r="V747">
        <f t="shared" si="155"/>
        <v>7</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1983</v>
      </c>
      <c r="V748">
        <f t="shared" si="155"/>
        <v>3</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2023</v>
      </c>
      <c r="V749">
        <f t="shared" si="155"/>
        <v>43</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1992</v>
      </c>
      <c r="V750">
        <f t="shared" si="155"/>
        <v>12</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2012</v>
      </c>
      <c r="V751">
        <f t="shared" si="155"/>
        <v>32</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2007</v>
      </c>
      <c r="V752">
        <f t="shared" si="155"/>
        <v>27</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2023</v>
      </c>
      <c r="V753">
        <f t="shared" si="155"/>
        <v>43</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2014</v>
      </c>
      <c r="V754">
        <f t="shared" si="155"/>
        <v>34</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2013</v>
      </c>
      <c r="V755">
        <f t="shared" si="155"/>
        <v>33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2000</v>
      </c>
      <c r="V756">
        <f t="shared" si="155"/>
        <v>20</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1991</v>
      </c>
      <c r="V757">
        <f t="shared" si="155"/>
        <v>11</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1993</v>
      </c>
      <c r="V758">
        <f t="shared" si="155"/>
        <v>13</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2015</v>
      </c>
      <c r="V759">
        <f t="shared" si="155"/>
        <v>2</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2013</v>
      </c>
      <c r="U760">
        <f>IF(connections!$A760="","",IFERROR(INDEX(games!$B$2:$B$950,MATCH(connections!$B760,games!$A$2:$A$950,0)),""))</f>
        <v>2018</v>
      </c>
      <c r="V760">
        <f t="shared" si="155"/>
        <v>5</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2025</v>
      </c>
      <c r="V761">
        <f t="shared" si="155"/>
        <v>12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2017</v>
      </c>
      <c r="V762">
        <f t="shared" si="155"/>
        <v>4</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2020</v>
      </c>
      <c r="V763">
        <f t="shared" si="155"/>
        <v>7</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2018</v>
      </c>
      <c r="V765">
        <f t="shared" si="155"/>
        <v>5</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2021</v>
      </c>
      <c r="V766">
        <f t="shared" si="155"/>
        <v>8</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2020</v>
      </c>
      <c r="V767">
        <f t="shared" si="155"/>
        <v>7</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2019</v>
      </c>
      <c r="V768">
        <f t="shared" si="155"/>
        <v>6</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2017</v>
      </c>
      <c r="V769">
        <f t="shared" si="155"/>
        <v>4</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2022</v>
      </c>
      <c r="U771">
        <f>IF(connections!$A771="","",IFERROR(INDEX(games!$B$2:$B$950,MATCH(connections!$B771,games!$A$2:$A$950,0)),""))</f>
        <v>2025</v>
      </c>
      <c r="V771">
        <f t="shared" si="168"/>
        <v>3</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2022</v>
      </c>
      <c r="U772">
        <f>IF(connections!$A772="","",IFERROR(INDEX(games!$B$2:$B$950,MATCH(connections!$B772,games!$A$2:$A$950,0)),""))</f>
        <v>2025</v>
      </c>
      <c r="V772">
        <f t="shared" si="168"/>
        <v>3</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2021</v>
      </c>
      <c r="U773">
        <f>IF(connections!$A773="","",IFERROR(INDEX(games!$B$2:$B$950,MATCH(connections!$B773,games!$A$2:$A$950,0)),""))</f>
        <v>2024</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2021</v>
      </c>
      <c r="U774">
        <f>IF(connections!$A774="","",IFERROR(INDEX(games!$B$2:$B$950,MATCH(connections!$B774,games!$A$2:$A$950,0)),""))</f>
        <v>2026</v>
      </c>
      <c r="V774">
        <f t="shared" si="168"/>
        <v>5</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2020</v>
      </c>
      <c r="U777">
        <f>IF(connections!$A777="","",IFERROR(INDEX(games!$B$2:$B$950,MATCH(connections!$B777,games!$A$2:$A$950,0)),""))</f>
        <v>2026</v>
      </c>
      <c r="V777">
        <f t="shared" si="168"/>
        <v>6</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2022</v>
      </c>
      <c r="U778">
        <f>IF(connections!$A778="","",IFERROR(INDEX(games!$B$2:$B$950,MATCH(connections!$B778,games!$A$2:$A$950,0)),""))</f>
        <v>2024</v>
      </c>
      <c r="V778">
        <f t="shared" si="168"/>
        <v>2</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2014</v>
      </c>
      <c r="U779">
        <f>IF(connections!$A779="","",IFERROR(INDEX(games!$B$2:$B$950,MATCH(connections!$B779,games!$A$2:$A$950,0)),""))</f>
        <v>2023</v>
      </c>
      <c r="V779">
        <f t="shared" si="168"/>
        <v>9</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2008</v>
      </c>
      <c r="U780">
        <f>IF(connections!$A780="","",IFERROR(INDEX(games!$B$2:$B$950,MATCH(connections!$B780,games!$A$2:$A$950,0)),""))</f>
        <v>2010</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2000</v>
      </c>
      <c r="U781">
        <f>IF(connections!$A781="","",IFERROR(INDEX(games!$B$2:$B$950,MATCH(connections!$B781,games!$A$2:$A$950,0)),""))</f>
        <v>2008</v>
      </c>
      <c r="V781">
        <f t="shared" si="168"/>
        <v>8</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2000</v>
      </c>
      <c r="U782">
        <f>IF(connections!$A782="","",IFERROR(INDEX(games!$B$2:$B$950,MATCH(connections!$B782,games!$A$2:$A$950,0)),""))</f>
        <v>2002</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2010</v>
      </c>
      <c r="U783">
        <f>IF(connections!$A783="","",IFERROR(INDEX(games!$B$2:$B$950,MATCH(connections!$B783,games!$A$2:$A$950,0)),""))</f>
        <v>2010</v>
      </c>
      <c r="V783">
        <f t="shared" si="168"/>
        <v>0</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1996</v>
      </c>
      <c r="U784">
        <f>IF(connections!$A784="","",IFERROR(INDEX(games!$B$2:$B$950,MATCH(connections!$B784,games!$A$2:$A$950,0)),""))</f>
        <v>2001</v>
      </c>
      <c r="V784">
        <f t="shared" si="168"/>
        <v>5</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2024</v>
      </c>
      <c r="V785">
        <f t="shared" si="168"/>
        <v>14</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2023</v>
      </c>
      <c r="U786">
        <f>IF(connections!$A786="","",IFERROR(INDEX(games!$B$2:$B$950,MATCH(connections!$B786,games!$A$2:$A$950,0)),""))</f>
        <v>2025</v>
      </c>
      <c r="V786">
        <f t="shared" si="168"/>
        <v>2</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2015</v>
      </c>
      <c r="V787">
        <f t="shared" si="168"/>
        <v>5</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2022</v>
      </c>
      <c r="U788">
        <f>IF(connections!$A788="","",IFERROR(INDEX(games!$B$2:$B$950,MATCH(connections!$B788,games!$A$2:$A$950,0)),""))</f>
        <v>2024</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2022</v>
      </c>
      <c r="U789">
        <f>IF(connections!$A789="","",IFERROR(INDEX(games!$B$2:$B$950,MATCH(connections!$B789,games!$A$2:$A$950,0)),""))</f>
        <v>2022</v>
      </c>
      <c r="V789">
        <f t="shared" si="168"/>
        <v>0</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2023</v>
      </c>
      <c r="V790">
        <f t="shared" si="168"/>
        <v>1</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2020</v>
      </c>
      <c r="U791">
        <f>IF(connections!$A791="","",IFERROR(INDEX(games!$B$2:$B$950,MATCH(connections!$B791,games!$A$2:$A$950,0)),""))</f>
        <v>2024</v>
      </c>
      <c r="V791">
        <f t="shared" si="168"/>
        <v>4</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2006</v>
      </c>
      <c r="U792">
        <f>IF(connections!$A792="","",IFERROR(INDEX(games!$B$2:$B$950,MATCH(connections!$B792,games!$A$2:$A$950,0)),""))</f>
        <v>2022</v>
      </c>
      <c r="V792">
        <f t="shared" si="168"/>
        <v>16</v>
      </c>
    </row>
    <row r="793" spans="1:22" x14ac:dyDescent="0.25">
      <c r="A793" t="str">
        <f>IF(games!$A793="","",games!$A793)</f>
        <v>Uma Musume: Pretty Derby</v>
      </c>
      <c r="B793">
        <f>IF($A793="","",games!$B793)</f>
        <v>2021</v>
      </c>
      <c r="C793" t="str">
        <f>IF($A793="","",games!$C793)</f>
        <v>Strategy</v>
      </c>
      <c r="D793">
        <f>IF($A793="","",COUNTIF(connections!$A$2:$A$1400,$A793)+COUNTIF(connections!$B$2:$B$1400,$A793))</f>
        <v>0</v>
      </c>
      <c r="E793">
        <f t="shared" si="156"/>
        <v>2</v>
      </c>
      <c r="F793">
        <f t="shared" si="157"/>
        <v>11</v>
      </c>
      <c r="G793" t="e">
        <f t="shared" si="158"/>
        <v>#N/A</v>
      </c>
      <c r="H793" t="e">
        <f t="shared" si="159"/>
        <v>#N/A</v>
      </c>
      <c r="I793">
        <f t="shared" si="160"/>
        <v>2021</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IF(connections!$A793="","",IFERROR(INDEX(games!$B$2:$B$950,MATCH(connections!$A793,games!$A$2:$A$950,0)),""))</f>
        <v>2017</v>
      </c>
      <c r="U793">
        <f>IF(connections!$A793="","",IFERROR(INDEX(games!$B$2:$B$950,MATCH(connections!$B793,games!$A$2:$A$950,0)),""))</f>
        <v>2024</v>
      </c>
      <c r="V793">
        <f t="shared" si="168"/>
        <v>7</v>
      </c>
    </row>
    <row r="794" spans="1:22" x14ac:dyDescent="0.25">
      <c r="A794" t="str">
        <f>IF(games!$A794="","",games!$A794)</f>
        <v>Underdogs</v>
      </c>
      <c r="B794">
        <f>IF($A794="","",games!$B794)</f>
        <v>2024</v>
      </c>
      <c r="C794" t="str">
        <f>IF($A794="","",games!$C794)</f>
        <v>Action</v>
      </c>
      <c r="D794">
        <f>IF($A794="","",COUNTIF(connections!$A$2:$A$1400,$A794)+COUNTIF(connections!$B$2:$B$1400,$A794))</f>
        <v>0</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7.94E-4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UnderMine</v>
      </c>
      <c r="B795">
        <f>IF($A795="","",games!$B795)</f>
        <v>2019</v>
      </c>
      <c r="C795" t="str">
        <f>IF($A795="","",games!$C795)</f>
        <v>Action</v>
      </c>
      <c r="D795">
        <f>IF($A795="","",COUNTIF(connections!$A$2:$A$1400,$A795)+COUNTIF(connections!$B$2:$B$1400,$A795))</f>
        <v>5</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5.0007950000000001</v>
      </c>
      <c r="P795" t="str">
        <f>IF(OR($A795="",games!$H795=""),"",games!$H795)</f>
        <v>Yes</v>
      </c>
      <c r="Q795">
        <f t="shared" si="167"/>
        <v>5.0007950000000001</v>
      </c>
      <c r="T795">
        <f>IF(connections!$A795="","",IFERROR(INDEX(games!$B$2:$B$950,MATCH(connections!$A795,games!$A$2:$A$950,0)),""))</f>
        <v>2017</v>
      </c>
      <c r="U795">
        <f>IF(connections!$A795="","",IFERROR(INDEX(games!$B$2:$B$950,MATCH(connections!$B795,games!$A$2:$A$950,0)),""))</f>
        <v>2023</v>
      </c>
      <c r="V795">
        <f t="shared" si="168"/>
        <v>6</v>
      </c>
    </row>
    <row r="796" spans="1:22" x14ac:dyDescent="0.25">
      <c r="A796" t="str">
        <f>IF(games!$A796="","",games!$A796)</f>
        <v>UnderMine 2</v>
      </c>
      <c r="B796">
        <f>IF($A796="","",games!$B796)</f>
        <v>2025</v>
      </c>
      <c r="C796" t="str">
        <f>IF($A796="","",games!$C796)</f>
        <v>Action</v>
      </c>
      <c r="D796">
        <f>IF($A796="","",COUNTIF(connections!$A$2:$A$1400,$A796)+COUNTIF(connections!$B$2:$B$1400,$A796))</f>
        <v>1</v>
      </c>
      <c r="E796">
        <f t="shared" si="156"/>
        <v>1</v>
      </c>
      <c r="F796">
        <f t="shared" si="157"/>
        <v>14</v>
      </c>
      <c r="G796">
        <f t="shared" si="158"/>
        <v>2025</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2021</v>
      </c>
      <c r="V796">
        <f t="shared" si="168"/>
        <v>4</v>
      </c>
    </row>
    <row r="797" spans="1:22" x14ac:dyDescent="0.25">
      <c r="A797" t="str">
        <f>IF(games!$A797="","",games!$A797)</f>
        <v>Unexplored</v>
      </c>
      <c r="B797">
        <f>IF($A797="","",games!$B797)</f>
        <v>2017</v>
      </c>
      <c r="C797" t="str">
        <f>IF($A797="","",games!$C797)</f>
        <v>Action</v>
      </c>
      <c r="D797">
        <f>IF($A797="","",COUNTIF(connections!$A$2:$A$1400,$A797)+COUNTIF(connections!$B$2:$B$1400,$A797))</f>
        <v>3</v>
      </c>
      <c r="E797">
        <f t="shared" si="156"/>
        <v>1</v>
      </c>
      <c r="F797">
        <f t="shared" si="157"/>
        <v>15</v>
      </c>
      <c r="G797">
        <f t="shared" si="158"/>
        <v>2017</v>
      </c>
      <c r="H797">
        <f t="shared" si="159"/>
        <v>1.345</v>
      </c>
      <c r="I797" t="e">
        <f t="shared" si="160"/>
        <v>#N/A</v>
      </c>
      <c r="J797" t="e">
        <f t="shared" si="161"/>
        <v>#N/A</v>
      </c>
      <c r="K797" t="e">
        <f t="shared" si="162"/>
        <v>#N/A</v>
      </c>
      <c r="L797" t="e">
        <f t="shared" si="163"/>
        <v>#N/A</v>
      </c>
      <c r="M797" t="e">
        <f t="shared" si="164"/>
        <v>#N/A</v>
      </c>
      <c r="N797" t="e">
        <f t="shared" si="165"/>
        <v>#N/A</v>
      </c>
      <c r="O797">
        <f t="shared" si="166"/>
        <v>3.0007969999999999</v>
      </c>
      <c r="P797" t="str">
        <f>IF(OR($A797="",games!$H797=""),"",games!$H797)</f>
        <v/>
      </c>
      <c r="Q797" t="str">
        <f t="shared" si="167"/>
        <v/>
      </c>
      <c r="T797">
        <f>IF(connections!$A797="","",IFERROR(INDEX(games!$B$2:$B$950,MATCH(connections!$A797,games!$A$2:$A$950,0)),""))</f>
        <v>2017</v>
      </c>
      <c r="U797">
        <f>IF(connections!$A797="","",IFERROR(INDEX(games!$B$2:$B$950,MATCH(connections!$B797,games!$A$2:$A$950,0)),""))</f>
        <v>2022</v>
      </c>
      <c r="V797">
        <f t="shared" si="168"/>
        <v>5</v>
      </c>
    </row>
    <row r="798" spans="1:22" x14ac:dyDescent="0.25">
      <c r="A798" t="str">
        <f>IF(games!$A798="","",games!$A798)</f>
        <v>Unexplored 2: The Wayfarer's Legacy</v>
      </c>
      <c r="B798">
        <f>IF($A798="","",games!$B798)</f>
        <v>2022</v>
      </c>
      <c r="C798" t="str">
        <f>IF($A798="","",games!$C798)</f>
        <v>Action</v>
      </c>
      <c r="D798">
        <f>IF($A798="","",COUNTIF(connections!$A$2:$A$1400,$A798)+COUNTIF(connections!$B$2:$B$1400,$A798))</f>
        <v>1</v>
      </c>
      <c r="E798">
        <f t="shared" si="156"/>
        <v>1</v>
      </c>
      <c r="F798">
        <f t="shared" si="157"/>
        <v>16</v>
      </c>
      <c r="G798">
        <f t="shared" si="158"/>
        <v>2022</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2020</v>
      </c>
      <c r="V798">
        <f t="shared" si="168"/>
        <v>3</v>
      </c>
    </row>
    <row r="799" spans="1:22" x14ac:dyDescent="0.25">
      <c r="A799" t="str">
        <f>IF(games!$A799="","",games!$A799)</f>
        <v>UnReal World</v>
      </c>
      <c r="B799">
        <f>IF($A799="","",games!$B799)</f>
        <v>1992</v>
      </c>
      <c r="C799" t="str">
        <f>IF($A799="","",games!$C799)</f>
        <v>Traditional</v>
      </c>
      <c r="D799">
        <f>IF($A799="","",COUNTIF(connections!$A$2:$A$1400,$A799)+COUNTIF(connections!$B$2:$B$1400,$A799))</f>
        <v>3</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1992</v>
      </c>
      <c r="N799">
        <f t="shared" si="165"/>
        <v>4.391</v>
      </c>
      <c r="O799">
        <f t="shared" si="166"/>
        <v>3.0007990000000002</v>
      </c>
      <c r="P799" t="str">
        <f>IF(OR($A799="",games!$H799=""),"",games!$H799)</f>
        <v>Yes</v>
      </c>
      <c r="Q799">
        <f t="shared" si="167"/>
        <v>3.0007990000000002</v>
      </c>
      <c r="T799">
        <f>IF(connections!$A799="","",IFERROR(INDEX(games!$B$2:$B$950,MATCH(connections!$A799,games!$A$2:$A$950,0)),""))</f>
        <v>2017</v>
      </c>
      <c r="U799">
        <f>IF(connections!$A799="","",IFERROR(INDEX(games!$B$2:$B$950,MATCH(connections!$B799,games!$A$2:$A$950,0)),""))</f>
        <v>2026</v>
      </c>
      <c r="V799">
        <f t="shared" si="168"/>
        <v>9</v>
      </c>
    </row>
    <row r="800" spans="1:22" x14ac:dyDescent="0.25">
      <c r="A800" t="str">
        <f>IF(games!$A800="","",games!$A800)</f>
        <v>Vagante</v>
      </c>
      <c r="B800">
        <f>IF($A800="","",games!$B800)</f>
        <v>2018</v>
      </c>
      <c r="C800" t="str">
        <f>IF($A800="","",games!$C800)</f>
        <v>Action</v>
      </c>
      <c r="D800">
        <f>IF($A800="","",COUNTIF(connections!$A$2:$A$1400,$A800)+COUNTIF(connections!$B$2:$B$1400,$A800))</f>
        <v>2</v>
      </c>
      <c r="E800">
        <f t="shared" si="156"/>
        <v>1</v>
      </c>
      <c r="F800">
        <f t="shared" si="157"/>
        <v>18</v>
      </c>
      <c r="G800">
        <f t="shared" si="158"/>
        <v>2018</v>
      </c>
      <c r="H800">
        <f t="shared" si="159"/>
        <v>1.4139999999999999</v>
      </c>
      <c r="I800" t="e">
        <f t="shared" si="160"/>
        <v>#N/A</v>
      </c>
      <c r="J800" t="e">
        <f t="shared" si="161"/>
        <v>#N/A</v>
      </c>
      <c r="K800" t="e">
        <f t="shared" si="162"/>
        <v>#N/A</v>
      </c>
      <c r="L800" t="e">
        <f t="shared" si="163"/>
        <v>#N/A</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Vampire Crawlers</v>
      </c>
      <c r="B801">
        <f>IF($A801="","",games!$B801)</f>
        <v>2026</v>
      </c>
      <c r="C801" t="str">
        <f>IF($A801="","",games!$C801)</f>
        <v>Deckbuilder</v>
      </c>
      <c r="D801">
        <f>IF($A801="","",COUNTIF(connections!$A$2:$A$1400,$A801)+COUNTIF(connections!$B$2:$B$1400,$A801))</f>
        <v>1</v>
      </c>
      <c r="E801">
        <f t="shared" si="156"/>
        <v>3</v>
      </c>
      <c r="F801">
        <f t="shared" si="157"/>
        <v>19</v>
      </c>
      <c r="G801" t="e">
        <f t="shared" si="158"/>
        <v>#N/A</v>
      </c>
      <c r="H801" t="e">
        <f t="shared" si="159"/>
        <v>#N/A</v>
      </c>
      <c r="I801" t="e">
        <f t="shared" si="160"/>
        <v>#N/A</v>
      </c>
      <c r="J801" t="e">
        <f t="shared" si="161"/>
        <v>#N/A</v>
      </c>
      <c r="K801">
        <f t="shared" si="162"/>
        <v>2026</v>
      </c>
      <c r="L801">
        <f t="shared" si="163"/>
        <v>3.4369999999999998</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Vampire Hunters</v>
      </c>
      <c r="B802">
        <f>IF($A802="","",games!$B802)</f>
        <v>2023</v>
      </c>
      <c r="C802" t="str">
        <f>IF($A802="","",games!$C802)</f>
        <v>Action</v>
      </c>
      <c r="D802">
        <f>IF($A802="","",COUNTIF(connections!$A$2:$A$1400,$A802)+COUNTIF(connections!$B$2:$B$1400,$A802))</f>
        <v>1</v>
      </c>
      <c r="E802">
        <f t="shared" si="156"/>
        <v>1</v>
      </c>
      <c r="F802">
        <f t="shared" si="157"/>
        <v>20</v>
      </c>
      <c r="G802">
        <f t="shared" si="158"/>
        <v>2023</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Vampire Survivors</v>
      </c>
      <c r="B803">
        <f>IF($A803="","",games!$B803)</f>
        <v>2021</v>
      </c>
      <c r="C803" t="str">
        <f>IF($A803="","",games!$C803)</f>
        <v>Action</v>
      </c>
      <c r="D803">
        <f>IF($A803="","",COUNTIF(connections!$A$2:$A$1400,$A803)+COUNTIF(connections!$B$2:$B$1400,$A803))</f>
        <v>87</v>
      </c>
      <c r="E803">
        <f t="shared" si="156"/>
        <v>1</v>
      </c>
      <c r="F803">
        <f t="shared" si="157"/>
        <v>21</v>
      </c>
      <c r="G803">
        <f t="shared" si="158"/>
        <v>2021</v>
      </c>
      <c r="H803">
        <f t="shared" si="159"/>
        <v>1.4830000000000001</v>
      </c>
      <c r="I803" t="e">
        <f t="shared" si="160"/>
        <v>#N/A</v>
      </c>
      <c r="J803" t="e">
        <f t="shared" si="161"/>
        <v>#N/A</v>
      </c>
      <c r="K803" t="e">
        <f t="shared" si="162"/>
        <v>#N/A</v>
      </c>
      <c r="L803" t="e">
        <f t="shared" si="163"/>
        <v>#N/A</v>
      </c>
      <c r="M803" t="e">
        <f t="shared" si="164"/>
        <v>#N/A</v>
      </c>
      <c r="N803" t="e">
        <f t="shared" si="165"/>
        <v>#N/A</v>
      </c>
      <c r="O803">
        <f t="shared" si="166"/>
        <v>87.000803000000005</v>
      </c>
      <c r="P803" t="str">
        <f>IF(OR($A803="",games!$H803=""),"",games!$H803)</f>
        <v>Yes</v>
      </c>
      <c r="Q803">
        <f t="shared" si="167"/>
        <v>87.000803000000005</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Vault of the Void</v>
      </c>
      <c r="B804">
        <f>IF($A804="","",games!$B804)</f>
        <v>2020</v>
      </c>
      <c r="C804" t="str">
        <f>IF($A804="","",games!$C804)</f>
        <v>Deckbuilder</v>
      </c>
      <c r="D804">
        <f>IF($A804="","",COUNTIF(connections!$A$2:$A$1400,$A804)+COUNTIF(connections!$B$2:$B$1400,$A804))</f>
        <v>1</v>
      </c>
      <c r="E804">
        <f t="shared" si="156"/>
        <v>3</v>
      </c>
      <c r="F804">
        <f t="shared" si="157"/>
        <v>22</v>
      </c>
      <c r="G804" t="e">
        <f t="shared" si="158"/>
        <v>#N/A</v>
      </c>
      <c r="H804" t="e">
        <f t="shared" si="159"/>
        <v>#N/A</v>
      </c>
      <c r="I804" t="e">
        <f t="shared" si="160"/>
        <v>#N/A</v>
      </c>
      <c r="J804" t="e">
        <f t="shared" si="161"/>
        <v>#N/A</v>
      </c>
      <c r="K804">
        <f t="shared" si="162"/>
        <v>2020</v>
      </c>
      <c r="L804">
        <f t="shared" si="163"/>
        <v>3.5060000000000002</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2020</v>
      </c>
      <c r="V804">
        <f t="shared" si="168"/>
        <v>3</v>
      </c>
    </row>
    <row r="805" spans="1:22" x14ac:dyDescent="0.25">
      <c r="A805" t="str">
        <f>IF(games!$A805="","",games!$A805)</f>
        <v>Vellum</v>
      </c>
      <c r="B805">
        <f>IF($A805="","",games!$B805)</f>
        <v>2024</v>
      </c>
      <c r="C805" t="str">
        <f>IF($A805="","",games!$C805)</f>
        <v>Action</v>
      </c>
      <c r="D805">
        <f>IF($A805="","",COUNTIF(connections!$A$2:$A$1400,$A805)+COUNTIF(connections!$B$2:$B$1400,$A805))</f>
        <v>6</v>
      </c>
      <c r="E805">
        <f t="shared" si="156"/>
        <v>1</v>
      </c>
      <c r="F805">
        <f t="shared" si="157"/>
        <v>23</v>
      </c>
      <c r="G805">
        <f t="shared" si="158"/>
        <v>2024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6.0008049999999997</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Vital Shell</v>
      </c>
      <c r="B806">
        <f>IF($A806="","",games!$B806)</f>
        <v>2026</v>
      </c>
      <c r="C806" t="str">
        <f>IF($A806="","",games!$C806)</f>
        <v>Action</v>
      </c>
      <c r="D806">
        <f>IF($A806="","",COUNTIF(connections!$A$2:$A$1400,$A806)+COUNTIF(connections!$B$2:$B$1400,$A806))</f>
        <v>1</v>
      </c>
      <c r="E806">
        <f t="shared" si="156"/>
        <v>1</v>
      </c>
      <c r="F806">
        <f t="shared" si="157"/>
        <v>24</v>
      </c>
      <c r="G806">
        <f t="shared" si="158"/>
        <v>2026</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Vivid Knight</v>
      </c>
      <c r="B807">
        <f>IF($A807="","",games!$B807)</f>
        <v>2021</v>
      </c>
      <c r="C807" t="str">
        <f>IF($A807="","",games!$C807)</f>
        <v>Deckbuilder</v>
      </c>
      <c r="D807">
        <f>IF($A807="","",COUNTIF(connections!$A$2:$A$1400,$A807)+COUNTIF(connections!$B$2:$B$1400,$A807))</f>
        <v>4</v>
      </c>
      <c r="E807">
        <f t="shared" si="156"/>
        <v>3</v>
      </c>
      <c r="F807">
        <f t="shared" si="157"/>
        <v>25</v>
      </c>
      <c r="G807" t="e">
        <f t="shared" si="158"/>
        <v>#N/A</v>
      </c>
      <c r="H807" t="e">
        <f t="shared" si="159"/>
        <v>#N/A</v>
      </c>
      <c r="I807" t="e">
        <f t="shared" si="160"/>
        <v>#N/A</v>
      </c>
      <c r="J807" t="e">
        <f t="shared" si="161"/>
        <v>#N/A</v>
      </c>
      <c r="K807">
        <f t="shared" si="162"/>
        <v>2021</v>
      </c>
      <c r="L807">
        <f t="shared" si="163"/>
        <v>3.5750000000000002</v>
      </c>
      <c r="M807" t="e">
        <f t="shared" si="164"/>
        <v>#N/A</v>
      </c>
      <c r="N807" t="e">
        <f t="shared" si="165"/>
        <v>#N/A</v>
      </c>
      <c r="O807">
        <f t="shared" si="166"/>
        <v>4.000807</v>
      </c>
      <c r="P807" t="str">
        <f>IF(OR($A807="",games!$H807=""),"",games!$H807)</f>
        <v/>
      </c>
      <c r="Q807" t="str">
        <f t="shared" si="167"/>
        <v/>
      </c>
      <c r="T807">
        <f>IF(connections!$A807="","",IFERROR(INDEX(games!$B$2:$B$950,MATCH(connections!$A807,games!$A$2:$A$950,0)),""))</f>
        <v>2017</v>
      </c>
      <c r="U807">
        <f>IF(connections!$A807="","",IFERROR(INDEX(games!$B$2:$B$950,MATCH(connections!$B807,games!$A$2:$A$950,0)),""))</f>
        <v>2026</v>
      </c>
      <c r="V807">
        <f t="shared" si="168"/>
        <v>9</v>
      </c>
    </row>
    <row r="808" spans="1:22" x14ac:dyDescent="0.25">
      <c r="A808" t="str">
        <f>IF(games!$A808="","",games!$A808)</f>
        <v>Vivid World</v>
      </c>
      <c r="B808">
        <f>IF($A808="","",games!$B808)</f>
        <v>2025</v>
      </c>
      <c r="C808" t="str">
        <f>IF($A808="","",games!$C808)</f>
        <v>Deckbuilder</v>
      </c>
      <c r="D808">
        <f>IF($A808="","",COUNTIF(connections!$A$2:$A$1400,$A808)+COUNTIF(connections!$B$2:$B$1400,$A808))</f>
        <v>1</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1.0008079999999999</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Voice of Belldona</v>
      </c>
      <c r="B809">
        <f>IF($A809="","",games!$B809)</f>
        <v>2026</v>
      </c>
      <c r="C809" t="str">
        <f>IF($A809="","",games!$C809)</f>
        <v>Deckbuilder</v>
      </c>
      <c r="D809">
        <f>IF($A809="","",COUNTIF(connections!$A$2:$A$1400,$A809)+COUNTIF(connections!$B$2:$B$1400,$A809))</f>
        <v>2</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2.0008089999999998</v>
      </c>
      <c r="P809" t="str">
        <f>IF(OR($A809="",games!$H809=""),"",games!$H809)</f>
        <v/>
      </c>
      <c r="Q809" t="str">
        <f t="shared" si="167"/>
        <v/>
      </c>
      <c r="T809">
        <f>IF(connections!$A809="","",IFERROR(INDEX(games!$B$2:$B$950,MATCH(connections!$A809,games!$A$2:$A$950,0)),""))</f>
        <v>2017</v>
      </c>
      <c r="U809">
        <f>IF(connections!$A809="","",IFERROR(INDEX(games!$B$2:$B$950,MATCH(connections!$B809,games!$A$2:$A$950,0)),""))</f>
        <v>2022</v>
      </c>
      <c r="V809">
        <f t="shared" si="168"/>
        <v>5</v>
      </c>
    </row>
    <row r="810" spans="1:22" x14ac:dyDescent="0.25">
      <c r="A810" t="str">
        <f>IF(games!$A810="","",games!$A810)</f>
        <v>Void Bastards</v>
      </c>
      <c r="B810">
        <f>IF($A810="","",games!$B810)</f>
        <v>2019</v>
      </c>
      <c r="C810" t="str">
        <f>IF($A810="","",games!$C810)</f>
        <v>Action</v>
      </c>
      <c r="D810">
        <f>IF($A810="","",COUNTIF(connections!$A$2:$A$1400,$A810)+COUNTIF(connections!$B$2:$B$1400,$A810))</f>
        <v>2</v>
      </c>
      <c r="E810">
        <f t="shared" si="156"/>
        <v>1</v>
      </c>
      <c r="F810">
        <f t="shared" si="157"/>
        <v>28</v>
      </c>
      <c r="G810">
        <f t="shared" si="158"/>
        <v>2019</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Void Scrappers</v>
      </c>
      <c r="B811">
        <f>IF($A811="","",games!$B811)</f>
        <v>2022</v>
      </c>
      <c r="C811" t="str">
        <f>IF($A811="","",games!$C811)</f>
        <v>Action</v>
      </c>
      <c r="D811">
        <f>IF($A811="","",COUNTIF(connections!$A$2:$A$1400,$A811)+COUNTIF(connections!$B$2:$B$1400,$A811))</f>
        <v>2</v>
      </c>
      <c r="E811">
        <f t="shared" si="156"/>
        <v>1</v>
      </c>
      <c r="F811">
        <f t="shared" si="157"/>
        <v>29</v>
      </c>
      <c r="G811">
        <f t="shared" si="158"/>
        <v>2022</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War</v>
      </c>
      <c r="B812">
        <f>IF($A812="","",games!$B812)</f>
        <v>2024</v>
      </c>
      <c r="C812" t="str">
        <f>IF($A812="","",games!$C812)</f>
        <v>Strategy</v>
      </c>
      <c r="D812">
        <f>IF($A812="","",COUNTIF(connections!$A$2:$A$1400,$A812)+COUNTIF(connections!$B$2:$B$1400,$A812))</f>
        <v>2</v>
      </c>
      <c r="E812">
        <f t="shared" si="156"/>
        <v>2</v>
      </c>
      <c r="F812">
        <f t="shared" si="157"/>
        <v>30</v>
      </c>
      <c r="G812" t="e">
        <f t="shared" si="158"/>
        <v>#N/A</v>
      </c>
      <c r="H812" t="e">
        <f t="shared" si="159"/>
        <v>#N/A</v>
      </c>
      <c r="I812">
        <f t="shared" si="160"/>
        <v>2024</v>
      </c>
      <c r="J812">
        <f t="shared" si="161"/>
        <v>2.69</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2023</v>
      </c>
      <c r="V812">
        <f t="shared" si="168"/>
        <v>6</v>
      </c>
    </row>
    <row r="813" spans="1:22" x14ac:dyDescent="0.25">
      <c r="A813" t="str">
        <f>IF(games!$A813="","",games!$A813)</f>
        <v>Voidigo</v>
      </c>
      <c r="B813">
        <f>IF($A813="","",games!$B813)</f>
        <v>2023</v>
      </c>
      <c r="C813" t="str">
        <f>IF($A813="","",games!$C813)</f>
        <v>Action</v>
      </c>
      <c r="D813">
        <f>IF($A813="","",COUNTIF(connections!$A$2:$A$1400,$A813)+COUNTIF(connections!$B$2:$B$1400,$A813))</f>
        <v>1</v>
      </c>
      <c r="E813">
        <f t="shared" si="156"/>
        <v>1</v>
      </c>
      <c r="F813">
        <f t="shared" si="157"/>
        <v>31</v>
      </c>
      <c r="G813">
        <f t="shared" si="158"/>
        <v>2023</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Yes</v>
      </c>
      <c r="Q813">
        <f t="shared" si="167"/>
        <v>1.000813</v>
      </c>
      <c r="T813">
        <f>IF(connections!$A813="","",IFERROR(INDEX(games!$B$2:$B$950,MATCH(connections!$A813,games!$A$2:$A$950,0)),""))</f>
        <v>2017</v>
      </c>
      <c r="U813">
        <f>IF(connections!$A813="","",IFERROR(INDEX(games!$B$2:$B$950,MATCH(connections!$B813,games!$A$2:$A$950,0)),""))</f>
        <v>2021</v>
      </c>
      <c r="V813">
        <f t="shared" si="168"/>
        <v>4</v>
      </c>
    </row>
    <row r="814" spans="1:22" x14ac:dyDescent="0.25">
      <c r="A814" t="str">
        <f>IF(games!$A814="","",games!$A814)</f>
        <v>Voids Vigil</v>
      </c>
      <c r="B814">
        <f>IF($A814="","",games!$B814)</f>
        <v>2024</v>
      </c>
      <c r="C814" t="str">
        <f>IF($A814="","",games!$C814)</f>
        <v>Action</v>
      </c>
      <c r="D814">
        <f>IF($A814="","",COUNTIF(connections!$A$2:$A$1400,$A814)+COUNTIF(connections!$B$2:$B$1400,$A814))</f>
        <v>2</v>
      </c>
      <c r="E814">
        <f t="shared" si="156"/>
        <v>1</v>
      </c>
      <c r="F814">
        <f t="shared" si="157"/>
        <v>32</v>
      </c>
      <c r="G814">
        <f t="shared" si="158"/>
        <v>2024</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2024</v>
      </c>
      <c r="V814">
        <f t="shared" si="168"/>
        <v>7</v>
      </c>
    </row>
    <row r="815" spans="1:22" x14ac:dyDescent="0.25">
      <c r="A815" t="str">
        <f>IF(games!$A815="","",games!$A815)</f>
        <v>Voin</v>
      </c>
      <c r="B815">
        <f>IF($A815="","",games!$B815)</f>
        <v>2024</v>
      </c>
      <c r="C815" t="str">
        <f>IF($A815="","",games!$C815)</f>
        <v>Action</v>
      </c>
      <c r="D815">
        <f>IF($A815="","",COUNTIF(connections!$A$2:$A$1400,$A815)+COUNTIF(connections!$B$2:$B$1400,$A815))</f>
        <v>1</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
      </c>
      <c r="Q815" t="str">
        <f t="shared" si="167"/>
        <v/>
      </c>
      <c r="T815">
        <f>IF(connections!$A815="","",IFERROR(INDEX(games!$B$2:$B$950,MATCH(connections!$A815,games!$A$2:$A$950,0)),""))</f>
        <v>2017</v>
      </c>
      <c r="U815">
        <f>IF(connections!$A815="","",IFERROR(INDEX(games!$B$2:$B$950,MATCH(connections!$B815,games!$A$2:$A$950,0)),""))</f>
        <v>2026</v>
      </c>
      <c r="V815">
        <f t="shared" si="168"/>
        <v>9</v>
      </c>
    </row>
    <row r="816" spans="1:22" x14ac:dyDescent="0.25">
      <c r="A816" t="str">
        <f>IF(games!$A816="","",games!$A816)</f>
        <v>Waku Waku Puyo Puyo Dungeon</v>
      </c>
      <c r="B816">
        <f>IF($A816="","",games!$B816)</f>
        <v>1998</v>
      </c>
      <c r="C816" t="str">
        <f>IF($A816="","",games!$C816)</f>
        <v>Traditional</v>
      </c>
      <c r="D816">
        <f>IF($A816="","",COUNTIF(connections!$A$2:$A$1400,$A816)+COUNTIF(connections!$B$2:$B$1400,$A816))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1998</v>
      </c>
      <c r="N816">
        <f t="shared" si="165"/>
        <v>4</v>
      </c>
      <c r="O816">
        <f t="shared" si="166"/>
        <v>1.0008159999999999</v>
      </c>
      <c r="P816" t="str">
        <f>IF(OR($A816="",games!$H816=""),"",games!$H816)</f>
        <v>Yes</v>
      </c>
      <c r="Q816">
        <f t="shared" si="167"/>
        <v>1.0008159999999999</v>
      </c>
      <c r="T816">
        <f>IF(connections!$A816="","",IFERROR(INDEX(games!$B$2:$B$950,MATCH(connections!$A816,games!$A$2:$A$950,0)),""))</f>
        <v>2017</v>
      </c>
      <c r="U816">
        <f>IF(connections!$A816="","",IFERROR(INDEX(games!$B$2:$B$950,MATCH(connections!$B816,games!$A$2:$A$950,0)),""))</f>
        <v>2025</v>
      </c>
      <c r="V816">
        <f t="shared" si="168"/>
        <v>8</v>
      </c>
    </row>
    <row r="817" spans="1:22" x14ac:dyDescent="0.25">
      <c r="A817" t="str">
        <f>IF(games!$A817="","",games!$A817)</f>
        <v>Wall World</v>
      </c>
      <c r="B817">
        <f>IF($A817="","",games!$B817)</f>
        <v>2023</v>
      </c>
      <c r="C817" t="str">
        <f>IF($A817="","",games!$C817)</f>
        <v>Strategy</v>
      </c>
      <c r="D817">
        <f>IF($A817="","",COUNTIF(connections!$A$2:$A$1400,$A817)+COUNTIF(connections!$B$2:$B$1400,$A817))</f>
        <v>2</v>
      </c>
      <c r="E817">
        <f t="shared" si="156"/>
        <v>2</v>
      </c>
      <c r="F817">
        <f t="shared" si="157"/>
        <v>1</v>
      </c>
      <c r="G817" t="e">
        <f t="shared" si="158"/>
        <v>#N/A</v>
      </c>
      <c r="H817" t="e">
        <f t="shared" si="159"/>
        <v>#N/A</v>
      </c>
      <c r="I817">
        <f t="shared" si="160"/>
        <v>2023</v>
      </c>
      <c r="J817">
        <f t="shared" si="161"/>
        <v>2.0230000000000001</v>
      </c>
      <c r="K817" t="e">
        <f t="shared" si="162"/>
        <v>#N/A</v>
      </c>
      <c r="L817" t="e">
        <f t="shared" si="163"/>
        <v>#N/A</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2017</v>
      </c>
      <c r="U817">
        <f>IF(connections!$A817="","",IFERROR(INDEX(games!$B$2:$B$950,MATCH(connections!$B817,games!$A$2:$A$950,0)),""))</f>
        <v>2022</v>
      </c>
      <c r="V817">
        <f t="shared" si="168"/>
        <v>5</v>
      </c>
    </row>
    <row r="818" spans="1:22" x14ac:dyDescent="0.25">
      <c r="A818" t="str">
        <f>IF(games!$A818="","",games!$A818)</f>
        <v>Wall World 2</v>
      </c>
      <c r="B818">
        <f>IF($A818="","",games!$B818)</f>
        <v>2025</v>
      </c>
      <c r="C818" t="str">
        <f>IF($A818="","",games!$C818)</f>
        <v>Strategy</v>
      </c>
      <c r="D818">
        <f>IF($A818="","",COUNTIF(connections!$A$2:$A$1400,$A818)+COUNTIF(connections!$B$2:$B$1400,$A818))</f>
        <v>1</v>
      </c>
      <c r="E818">
        <f t="shared" si="156"/>
        <v>2</v>
      </c>
      <c r="F818">
        <f t="shared" si="157"/>
        <v>2</v>
      </c>
      <c r="G818" t="e">
        <f t="shared" si="158"/>
        <v>#N/A</v>
      </c>
      <c r="H818" t="e">
        <f t="shared" si="159"/>
        <v>#N/A</v>
      </c>
      <c r="I818">
        <f t="shared" si="160"/>
        <v>2025</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2017</v>
      </c>
      <c r="U818">
        <f>IF(connections!$A818="","",IFERROR(INDEX(games!$B$2:$B$950,MATCH(connections!$B818,games!$A$2:$A$950,0)),""))</f>
        <v>2019</v>
      </c>
      <c r="V818">
        <f t="shared" si="168"/>
        <v>2</v>
      </c>
    </row>
    <row r="819" spans="1:22" x14ac:dyDescent="0.25">
      <c r="A819" t="str">
        <f>IF(games!$A819="","",games!$A819)</f>
        <v>Warhammer Survivors</v>
      </c>
      <c r="B819">
        <f>IF($A819="","",games!$B819)</f>
        <v>2026</v>
      </c>
      <c r="C819" t="str">
        <f>IF($A819="","",games!$C819)</f>
        <v>Action</v>
      </c>
      <c r="D819">
        <f>IF($A819="","",COUNTIF(connections!$A$2:$A$1400,$A819)+COUNTIF(connections!$B$2:$B$1400,$A819))</f>
        <v>1</v>
      </c>
      <c r="E819">
        <f t="shared" si="156"/>
        <v>1</v>
      </c>
      <c r="F819">
        <f t="shared" si="157"/>
        <v>3</v>
      </c>
      <c r="G819">
        <f t="shared" si="158"/>
        <v>2026</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2024</v>
      </c>
      <c r="V819">
        <f t="shared" si="168"/>
        <v>7</v>
      </c>
    </row>
    <row r="820" spans="1:22" x14ac:dyDescent="0.25">
      <c r="A820" t="str">
        <f>IF(games!$A820="","",games!$A820)</f>
        <v>WarpVector</v>
      </c>
      <c r="B820">
        <f>IF($A820="","",games!$B820)</f>
        <v>2023</v>
      </c>
      <c r="C820" t="str">
        <f>IF($A820="","",games!$C820)</f>
        <v>Traditional</v>
      </c>
      <c r="D820">
        <f>IF($A820="","",COUNTIF(connections!$A$2:$A$1400,$A820)+COUNTIF(connections!$B$2:$B$1400,$A820))</f>
        <v>2</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2023</v>
      </c>
      <c r="N820">
        <f t="shared" si="165"/>
        <v>4.0919999999999996</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2023</v>
      </c>
      <c r="V820">
        <f t="shared" si="168"/>
        <v>6</v>
      </c>
    </row>
    <row r="821" spans="1:22" x14ac:dyDescent="0.25">
      <c r="A821" t="str">
        <f>IF(games!$A821="","",games!$A821)</f>
        <v>Warriors: Abyss</v>
      </c>
      <c r="B821">
        <f>IF($A821="","",games!$B821)</f>
        <v>2025</v>
      </c>
      <c r="C821" t="str">
        <f>IF($A821="","",games!$C821)</f>
        <v>Action</v>
      </c>
      <c r="D821">
        <f>IF($A821="","",COUNTIF(connections!$A$2:$A$1400,$A821)+COUNTIF(connections!$B$2:$B$1400,$A821))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Warsim: The Realm of Aslona</v>
      </c>
      <c r="B822">
        <f>IF($A822="","",games!$B822)</f>
        <v>2017</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2017</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Wayward</v>
      </c>
      <c r="B823">
        <f>IF($A823="","",games!$B823)</f>
        <v>2011</v>
      </c>
      <c r="C823" t="str">
        <f>IF($A823="","",games!$C823)</f>
        <v>Traditional</v>
      </c>
      <c r="D823">
        <f>IF($A823="","",COUNTIF(connections!$A$2:$A$1400,$A823)+COUNTIF(connections!$B$2:$B$1400,$A823))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2011</v>
      </c>
      <c r="N823">
        <f t="shared" si="165"/>
        <v>4.1609999999999996</v>
      </c>
      <c r="O823">
        <f t="shared" si="166"/>
        <v>2.000823</v>
      </c>
      <c r="P823" t="str">
        <f>IF(OR($A823="",games!$H823=""),"",games!$H823)</f>
        <v/>
      </c>
      <c r="Q823" t="str">
        <f t="shared" si="167"/>
        <v/>
      </c>
      <c r="T823">
        <f>IF(connections!$A823="","",IFERROR(INDEX(games!$B$2:$B$950,MATCH(connections!$A823,games!$A$2:$A$950,0)),""))</f>
        <v>2017</v>
      </c>
      <c r="U823">
        <f>IF(connections!$A823="","",IFERROR(INDEX(games!$B$2:$B$950,MATCH(connections!$B823,games!$A$2:$A$950,0)),""))</f>
        <v>2026</v>
      </c>
      <c r="V823">
        <f t="shared" si="168"/>
        <v>9</v>
      </c>
    </row>
    <row r="824" spans="1:22" x14ac:dyDescent="0.25">
      <c r="A824" t="str">
        <f>IF(games!$A824="","",games!$A824)</f>
        <v>WazHack</v>
      </c>
      <c r="B824">
        <f>IF($A824="","",games!$B824)</f>
        <v>2012</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2012</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 Need To Go Deeper</v>
      </c>
      <c r="B825">
        <f>IF($A825="","",games!$B825)</f>
        <v>2017</v>
      </c>
      <c r="C825" t="str">
        <f>IF($A825="","",games!$C825)</f>
        <v>Action</v>
      </c>
      <c r="D825">
        <f>IF($A825="","",COUNTIF(connections!$A$2:$A$1400,$A825)+COUNTIF(connections!$B$2:$B$1400,$A825))</f>
        <v>0</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8.25E-4</v>
      </c>
      <c r="P825" t="str">
        <f>IF(OR($A825="",games!$H825=""),"",games!$H825)</f>
        <v>Yes</v>
      </c>
      <c r="Q825">
        <f t="shared" si="167"/>
        <v>8.25E-4</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Weird Worlds: Return to Infinite Space</v>
      </c>
      <c r="B826">
        <f>IF($A826="","",games!$B826)</f>
        <v>2005</v>
      </c>
      <c r="C826" t="str">
        <f>IF($A826="","",games!$C826)</f>
        <v>Strategy</v>
      </c>
      <c r="D826">
        <f>IF($A826="","",COUNTIF(connections!$A$2:$A$1400,$A826)+COUNTIF(connections!$B$2:$B$1400,$A826))</f>
        <v>2</v>
      </c>
      <c r="E826">
        <f t="shared" si="156"/>
        <v>2</v>
      </c>
      <c r="F826">
        <f t="shared" si="157"/>
        <v>10</v>
      </c>
      <c r="G826" t="e">
        <f t="shared" si="158"/>
        <v>#N/A</v>
      </c>
      <c r="H826" t="e">
        <f t="shared" si="159"/>
        <v>#N/A</v>
      </c>
      <c r="I826">
        <f t="shared" si="160"/>
        <v>2005</v>
      </c>
      <c r="J826">
        <f t="shared" si="161"/>
        <v>2.23</v>
      </c>
      <c r="K826" t="e">
        <f t="shared" si="162"/>
        <v>#N/A</v>
      </c>
      <c r="L826" t="e">
        <f t="shared" si="163"/>
        <v>#N/A</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2017</v>
      </c>
      <c r="U826">
        <f>IF(connections!$A826="","",IFERROR(INDEX(games!$B$2:$B$950,MATCH(connections!$B826,games!$A$2:$A$950,0)),""))</f>
        <v>2019</v>
      </c>
      <c r="V826">
        <f t="shared" si="168"/>
        <v>2</v>
      </c>
    </row>
    <row r="827" spans="1:22" x14ac:dyDescent="0.25">
      <c r="A827" t="str">
        <f>IF(games!$A827="","",games!$A827)</f>
        <v>West of Dead</v>
      </c>
      <c r="B827">
        <f>IF($A827="","",games!$B827)</f>
        <v>2020</v>
      </c>
      <c r="C827" t="str">
        <f>IF($A827="","",games!$C827)</f>
        <v>Action</v>
      </c>
      <c r="D827">
        <f>IF($A827="","",COUNTIF(connections!$A$2:$A$1400,$A827)+COUNTIF(connections!$B$2:$B$1400,$A827))</f>
        <v>1</v>
      </c>
      <c r="E827">
        <f t="shared" si="156"/>
        <v>1</v>
      </c>
      <c r="F827">
        <f t="shared" si="157"/>
        <v>11</v>
      </c>
      <c r="G827">
        <f t="shared" si="158"/>
        <v>2020</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Whisker Squadron: Survivor</v>
      </c>
      <c r="B828">
        <f>IF($A828="","",games!$B828)</f>
        <v>2025</v>
      </c>
      <c r="C828" t="str">
        <f>IF($A828="","",games!$C828)</f>
        <v>Action</v>
      </c>
      <c r="D828">
        <f>IF($A828="","",COUNTIF(connections!$A$2:$A$1400,$A828)+COUNTIF(connections!$B$2:$B$1400,$A828))</f>
        <v>1</v>
      </c>
      <c r="E828">
        <f t="shared" si="156"/>
        <v>1</v>
      </c>
      <c r="F828">
        <f t="shared" si="157"/>
        <v>12</v>
      </c>
      <c r="G828">
        <f t="shared" si="158"/>
        <v>2025</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White Knuckle</v>
      </c>
      <c r="B829">
        <f>IF($A829="","",games!$B829)</f>
        <v>2025</v>
      </c>
      <c r="C829" t="str">
        <f>IF($A829="","",games!$C829)</f>
        <v>Action</v>
      </c>
      <c r="D829">
        <f>IF($A829="","",COUNTIF(connections!$A$2:$A$1400,$A829)+COUNTIF(connections!$B$2:$B$1400,$A829))</f>
        <v>0</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2021</v>
      </c>
      <c r="V829">
        <f t="shared" si="168"/>
        <v>4</v>
      </c>
    </row>
    <row r="830" spans="1:22" x14ac:dyDescent="0.25">
      <c r="A830" t="str">
        <f>IF(games!$A830="","",games!$A830)</f>
        <v>Wild Bastards</v>
      </c>
      <c r="B830">
        <f>IF($A830="","",games!$B830)</f>
        <v>2024</v>
      </c>
      <c r="C830" t="str">
        <f>IF($A830="","",games!$C830)</f>
        <v>Action</v>
      </c>
      <c r="D830">
        <f>IF($A830="","",COUNTIF(connections!$A$2:$A$1400,$A830)+COUNTIF(connections!$B$2:$B$1400,$A830))</f>
        <v>1</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Wildermyth</v>
      </c>
      <c r="B831">
        <f>IF($A831="","",games!$B831)</f>
        <v>2019</v>
      </c>
      <c r="C831" t="str">
        <f>IF($A831="","",games!$C831)</f>
        <v>Strategy</v>
      </c>
      <c r="D831">
        <f>IF($A831="","",COUNTIF(connections!$A$2:$A$1400,$A831)+COUNTIF(connections!$B$2:$B$1400,$A831))</f>
        <v>0</v>
      </c>
      <c r="E831">
        <f t="shared" si="156"/>
        <v>2</v>
      </c>
      <c r="F831">
        <f t="shared" si="157"/>
        <v>15</v>
      </c>
      <c r="G831" t="e">
        <f t="shared" si="158"/>
        <v>#N/A</v>
      </c>
      <c r="H831" t="e">
        <f t="shared" si="159"/>
        <v>#N/A</v>
      </c>
      <c r="I831">
        <f t="shared" si="160"/>
        <v>2019</v>
      </c>
      <c r="J831">
        <f t="shared" si="161"/>
        <v>2.3449999999999998</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Wildfrost</v>
      </c>
      <c r="B832">
        <f>IF($A832="","",games!$B832)</f>
        <v>2023</v>
      </c>
      <c r="C832" t="str">
        <f>IF($A832="","",games!$C832)</f>
        <v>Deckbuilder</v>
      </c>
      <c r="D832">
        <f>IF($A832="","",COUNTIF(connections!$A$2:$A$1400,$A832)+COUNTIF(connections!$B$2:$B$1400,$A832))</f>
        <v>8</v>
      </c>
      <c r="E832">
        <f t="shared" si="156"/>
        <v>3</v>
      </c>
      <c r="F832">
        <f t="shared" si="157"/>
        <v>16</v>
      </c>
      <c r="G832" t="e">
        <f t="shared" si="158"/>
        <v>#N/A</v>
      </c>
      <c r="H832" t="e">
        <f t="shared" si="159"/>
        <v>#N/A</v>
      </c>
      <c r="I832" t="e">
        <f t="shared" si="160"/>
        <v>#N/A</v>
      </c>
      <c r="J832" t="e">
        <f t="shared" si="161"/>
        <v>#N/A</v>
      </c>
      <c r="K832">
        <f t="shared" si="162"/>
        <v>2023</v>
      </c>
      <c r="L832">
        <f t="shared" si="163"/>
        <v>3.3679999999999999</v>
      </c>
      <c r="M832" t="e">
        <f t="shared" si="164"/>
        <v>#N/A</v>
      </c>
      <c r="N832" t="e">
        <f t="shared" si="165"/>
        <v>#N/A</v>
      </c>
      <c r="O832">
        <f t="shared" si="166"/>
        <v>8.0008320000000008</v>
      </c>
      <c r="P832" t="str">
        <f>IF(OR($A832="",games!$H832=""),"",games!$H832)</f>
        <v>Yes</v>
      </c>
      <c r="Q832">
        <f t="shared" si="167"/>
        <v>8.0008320000000008</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Windblown</v>
      </c>
      <c r="B833">
        <f>IF($A833="","",games!$B833)</f>
        <v>2024</v>
      </c>
      <c r="C833" t="str">
        <f>IF($A833="","",games!$C833)</f>
        <v>Action</v>
      </c>
      <c r="D833">
        <f>IF($A833="","",COUNTIF(connections!$A$2:$A$1400,$A833)+COUNTIF(connections!$B$2:$B$1400,$A833))</f>
        <v>1</v>
      </c>
      <c r="E833">
        <f t="shared" si="156"/>
        <v>1</v>
      </c>
      <c r="F833">
        <f t="shared" si="157"/>
        <v>17</v>
      </c>
      <c r="G833">
        <f t="shared" si="158"/>
        <v>2024</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Winnie's Hole</v>
      </c>
      <c r="B834">
        <f>IF($A834="","",games!$B834)</f>
        <v>2026</v>
      </c>
      <c r="C834" t="str">
        <f>IF($A834="","",games!$C834)</f>
        <v>Deckbuilder</v>
      </c>
      <c r="D834">
        <f>IF($A834="","",COUNTIF(connections!$A$2:$A$1400,$A834)+COUNTIF(connections!$B$2:$B$1400,$A834))</f>
        <v>3</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3.0008339999999998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Wireworks</v>
      </c>
      <c r="B835">
        <f>IF($A835="","",games!$B835)</f>
        <v>2026</v>
      </c>
      <c r="C835" t="str">
        <f>IF($A835="","",games!$C835)</f>
        <v>Strategy</v>
      </c>
      <c r="D835">
        <f>IF($A835="","",COUNTIF(connections!$A$2:$A$1400,$A835)+COUNTIF(connections!$B$2:$B$1400,$A835))</f>
        <v>0</v>
      </c>
      <c r="E835">
        <f t="shared" si="169"/>
        <v>2</v>
      </c>
      <c r="F835">
        <f t="shared" si="170"/>
        <v>19</v>
      </c>
      <c r="G835" t="e">
        <f t="shared" si="171"/>
        <v>#N/A</v>
      </c>
      <c r="H835" t="e">
        <f t="shared" si="172"/>
        <v>#N/A</v>
      </c>
      <c r="I835">
        <f t="shared" si="173"/>
        <v>2026</v>
      </c>
      <c r="J835">
        <f t="shared" si="174"/>
        <v>2.4369999999999998</v>
      </c>
      <c r="K835" t="e">
        <f t="shared" si="175"/>
        <v>#N/A</v>
      </c>
      <c r="L835" t="e">
        <f t="shared" si="176"/>
        <v>#N/A</v>
      </c>
      <c r="M835" t="e">
        <f t="shared" si="177"/>
        <v>#N/A</v>
      </c>
      <c r="N835" t="e">
        <f t="shared" si="178"/>
        <v>#N/A</v>
      </c>
      <c r="O835">
        <f t="shared" si="179"/>
        <v>8.3500000000000002E-4</v>
      </c>
      <c r="P835" t="str">
        <f>IF(OR($A835="",games!$H835=""),"",games!$H835)</f>
        <v/>
      </c>
      <c r="Q835" t="str">
        <f t="shared" si="180"/>
        <v/>
      </c>
      <c r="T835">
        <f>IF(connections!$A835="","",IFERROR(INDEX(games!$B$2:$B$950,MATCH(connections!$A835,games!$A$2:$A$950,0)),""))</f>
        <v>2017</v>
      </c>
      <c r="U835">
        <f>IF(connections!$A835="","",IFERROR(INDEX(games!$B$2:$B$950,MATCH(connections!$B835,games!$A$2:$A$950,0)),""))</f>
        <v>2024</v>
      </c>
      <c r="V835">
        <f t="shared" si="181"/>
        <v>7</v>
      </c>
    </row>
    <row r="836" spans="1:22" x14ac:dyDescent="0.25">
      <c r="A836" t="str">
        <f>IF(games!$A836="","",games!$A836)</f>
        <v>Witchfire</v>
      </c>
      <c r="B836">
        <f>IF($A836="","",games!$B836)</f>
        <v>2024</v>
      </c>
      <c r="C836" t="str">
        <f>IF($A836="","",games!$C836)</f>
        <v>Action</v>
      </c>
      <c r="D836">
        <f>IF($A836="","",COUNTIF(connections!$A$2:$A$1400,$A836)+COUNTIF(connections!$B$2:$B$1400,$A836))</f>
        <v>1</v>
      </c>
      <c r="E836">
        <f t="shared" si="169"/>
        <v>1</v>
      </c>
      <c r="F836">
        <f t="shared" si="170"/>
        <v>20</v>
      </c>
      <c r="G836">
        <f t="shared" si="171"/>
        <v>2024</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Witch's Apocalyptic Journey</v>
      </c>
      <c r="B837">
        <f>IF($A837="","",games!$B837)</f>
        <v>2026</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2026</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2025</v>
      </c>
      <c r="V837">
        <f t="shared" si="181"/>
        <v>8</v>
      </c>
    </row>
    <row r="838" spans="1:22" x14ac:dyDescent="0.25">
      <c r="A838" t="str">
        <f>IF(games!$A838="","",games!$A838)</f>
        <v>Wizard of Legend</v>
      </c>
      <c r="B838">
        <f>IF($A838="","",games!$B838)</f>
        <v>2018</v>
      </c>
      <c r="C838" t="str">
        <f>IF($A838="","",games!$C838)</f>
        <v>Action</v>
      </c>
      <c r="D838">
        <f>IF($A838="","",COUNTIF(connections!$A$2:$A$1400,$A838)+COUNTIF(connections!$B$2:$B$1400,$A838))</f>
        <v>4</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4.0008379999999999</v>
      </c>
      <c r="P838" t="str">
        <f>IF(OR($A838="",games!$H838=""),"",games!$H838)</f>
        <v>Yes</v>
      </c>
      <c r="Q838">
        <f t="shared" si="180"/>
        <v>4.0008379999999999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Wizard of Legend 2</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WizardChess</v>
      </c>
      <c r="B840">
        <f>IF($A840="","",games!$B840)</f>
        <v>2021</v>
      </c>
      <c r="C840" t="str">
        <f>IF($A840="","",games!$C840)</f>
        <v>Strategy</v>
      </c>
      <c r="D840">
        <f>IF($A840="","",COUNTIF(connections!$A$2:$A$1400,$A840)+COUNTIF(connections!$B$2:$B$1400,$A840))</f>
        <v>1</v>
      </c>
      <c r="E840">
        <f t="shared" si="169"/>
        <v>2</v>
      </c>
      <c r="F840">
        <f t="shared" si="170"/>
        <v>24</v>
      </c>
      <c r="G840" t="e">
        <f t="shared" si="171"/>
        <v>#N/A</v>
      </c>
      <c r="H840" t="e">
        <f t="shared" si="172"/>
        <v>#N/A</v>
      </c>
      <c r="I840">
        <f t="shared" si="173"/>
        <v>2021</v>
      </c>
      <c r="J840">
        <f t="shared" si="174"/>
        <v>2.552</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Word Play</v>
      </c>
      <c r="B841">
        <f>IF($A841="","",games!$B841)</f>
        <v>2025</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Wordatro!</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Words Can Kill</v>
      </c>
      <c r="B843">
        <f>IF($A843="","",games!$B843)</f>
        <v>2022</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2022</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Worlds Upon The Wind</v>
      </c>
      <c r="B844">
        <f>IF($A844="","",games!$B844)</f>
        <v>2026</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2026</v>
      </c>
      <c r="L844">
        <f t="shared" si="176"/>
        <v>3.6440000000000001</v>
      </c>
      <c r="M844" t="e">
        <f t="shared" si="177"/>
        <v>#N/A</v>
      </c>
      <c r="N844" t="e">
        <f t="shared" si="178"/>
        <v>#N/A</v>
      </c>
      <c r="O844">
        <f t="shared" si="179"/>
        <v>1.0008440000000001</v>
      </c>
      <c r="P844" t="str">
        <f>IF(OR($A844="",games!$H844=""),"",games!$H844)</f>
        <v/>
      </c>
      <c r="Q844" t="str">
        <f t="shared" si="180"/>
        <v/>
      </c>
      <c r="T844">
        <f>IF(connections!$A844="","",IFERROR(INDEX(games!$B$2:$B$950,MATCH(connections!$A844,games!$A$2:$A$950,0)),""))</f>
        <v>2017</v>
      </c>
      <c r="U844">
        <f>IF(connections!$A844="","",IFERROR(INDEX(games!$B$2:$B$950,MATCH(connections!$B844,games!$A$2:$A$950,0)),""))</f>
        <v>2021</v>
      </c>
      <c r="V844">
        <f t="shared" si="181"/>
        <v>4</v>
      </c>
    </row>
    <row r="845" spans="1:22" x14ac:dyDescent="0.25">
      <c r="A845" t="str">
        <f>IF(games!$A845="","",games!$A845)</f>
        <v>Yasha: Legends of the Demon Blade</v>
      </c>
      <c r="B845">
        <f>IF($A845="","",games!$B845)</f>
        <v>2025</v>
      </c>
      <c r="C845" t="str">
        <f>IF($A845="","",games!$C845)</f>
        <v>Action</v>
      </c>
      <c r="D845">
        <f>IF($A845="","",COUNTIF(connections!$A$2:$A$1400,$A845)+COUNTIF(connections!$B$2:$B$1400,$A845))</f>
        <v>1</v>
      </c>
      <c r="E845">
        <f t="shared" si="169"/>
        <v>1</v>
      </c>
      <c r="F845">
        <f t="shared" si="170"/>
        <v>29</v>
      </c>
      <c r="G845">
        <f t="shared" si="171"/>
        <v>2025</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Yet Another Zombie Survivors</v>
      </c>
      <c r="B846">
        <f>IF($A846="","",games!$B846)</f>
        <v>2023</v>
      </c>
      <c r="C846" t="str">
        <f>IF($A846="","",games!$C846)</f>
        <v>Action</v>
      </c>
      <c r="D846">
        <f>IF($A846="","",COUNTIF(connections!$A$2:$A$1400,$A846)+COUNTIF(connections!$B$2:$B$1400,$A846))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2020</v>
      </c>
      <c r="V846">
        <f t="shared" si="181"/>
        <v>3</v>
      </c>
    </row>
    <row r="847" spans="1:22" x14ac:dyDescent="0.25">
      <c r="A847" t="str">
        <f>IF(games!$A847="","",games!$A847)</f>
        <v>Yohane the Parhelion: Numazu in the Mirage</v>
      </c>
      <c r="B847">
        <f>IF($A847="","",games!$B847)</f>
        <v>2024</v>
      </c>
      <c r="C847" t="str">
        <f>IF($A847="","",games!$C847)</f>
        <v>Deckbuilder</v>
      </c>
      <c r="D847">
        <f>IF($A847="","",COUNTIF(connections!$A$2:$A$1400,$A847)+COUNTIF(connections!$B$2:$B$1400,$A847))</f>
        <v>1</v>
      </c>
      <c r="E847">
        <f t="shared" si="169"/>
        <v>3</v>
      </c>
      <c r="F847">
        <f t="shared" si="170"/>
        <v>31</v>
      </c>
      <c r="G847" t="e">
        <f t="shared" si="171"/>
        <v>#N/A</v>
      </c>
      <c r="H847" t="e">
        <f t="shared" si="172"/>
        <v>#N/A</v>
      </c>
      <c r="I847" t="e">
        <f t="shared" si="173"/>
        <v>#N/A</v>
      </c>
      <c r="J847" t="e">
        <f t="shared" si="174"/>
        <v>#N/A</v>
      </c>
      <c r="K847">
        <f t="shared" si="175"/>
        <v>2024</v>
      </c>
      <c r="L847">
        <f t="shared" si="176"/>
        <v>3.7130000000000001</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Youdanji</v>
      </c>
      <c r="B848">
        <f>IF($A848="","",games!$B848)</f>
        <v>2017</v>
      </c>
      <c r="C848" t="str">
        <f>IF($A848="","",games!$C848)</f>
        <v>Traditional</v>
      </c>
      <c r="D848">
        <f>IF($A848="","",COUNTIF(connections!$A$2:$A$1400,$A848)+COUNTIF(connections!$B$2:$B$1400,$A848))</f>
        <v>1</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2017</v>
      </c>
      <c r="N848">
        <f t="shared" si="178"/>
        <v>4.7359999999999998</v>
      </c>
      <c r="O848">
        <f t="shared" si="179"/>
        <v>1.000848</v>
      </c>
      <c r="P848" t="str">
        <f>IF(OR($A848="",games!$H848=""),"",games!$H848)</f>
        <v/>
      </c>
      <c r="Q848" t="str">
        <f t="shared" si="180"/>
        <v/>
      </c>
      <c r="T848">
        <f>IF(connections!$A848="","",IFERROR(INDEX(games!$B$2:$B$950,MATCH(connections!$A848,games!$A$2:$A$950,0)),""))</f>
        <v>2017</v>
      </c>
      <c r="U848">
        <f>IF(connections!$A848="","",IFERROR(INDEX(games!$B$2:$B$950,MATCH(connections!$B848,games!$A$2:$A$950,0)),""))</f>
        <v>2022</v>
      </c>
      <c r="V848">
        <f t="shared" si="181"/>
        <v>5</v>
      </c>
    </row>
    <row r="849" spans="1:22" x14ac:dyDescent="0.25">
      <c r="A849" t="str">
        <f>IF(games!$A849="","",games!$A849)</f>
        <v>Z.H.P. Unlosing Ranger VS Darkdeath Evilman</v>
      </c>
      <c r="B849">
        <f>IF($A849="","",games!$B849)</f>
        <v>2010</v>
      </c>
      <c r="C849" t="str">
        <f>IF($A849="","",games!$C849)</f>
        <v>Traditional</v>
      </c>
      <c r="D849">
        <f>IF($A849="","",COUNTIF(connections!$A$2:$A$1400,$A849)+COUNTIF(connections!$B$2:$B$1400,$A849))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2010</v>
      </c>
      <c r="N849">
        <f t="shared" si="178"/>
        <v>4.7590000000000003</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Zangband</v>
      </c>
      <c r="B850">
        <f>IF($A850="","",games!$B850)</f>
        <v>1994</v>
      </c>
      <c r="C850" t="str">
        <f>IF($A850="","",games!$C850)</f>
        <v>Traditional</v>
      </c>
      <c r="D850">
        <f>IF($A850="","",COUNTIF(connections!$A$2:$A$1400,$A850)+COUNTIF(connections!$B$2:$B$1400,$A850))</f>
        <v>4</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1994</v>
      </c>
      <c r="N850">
        <f t="shared" si="178"/>
        <v>4</v>
      </c>
      <c r="O850">
        <f t="shared" si="179"/>
        <v>4.0008499999999998</v>
      </c>
      <c r="P850" t="str">
        <f>IF(OR($A850="",games!$H850=""),"",games!$H850)</f>
        <v>Yes</v>
      </c>
      <c r="Q850">
        <f t="shared" si="180"/>
        <v>4.0008499999999998</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Zet Zillions</v>
      </c>
      <c r="B851">
        <f>IF($A851="","",games!$B851)</f>
        <v>2024</v>
      </c>
      <c r="C851" t="str">
        <f>IF($A851="","",games!$C851)</f>
        <v>Deckbuilder</v>
      </c>
      <c r="D851">
        <f>IF($A851="","",COUNTIF(connections!$A$2:$A$1400,$A851)+COUNTIF(connections!$B$2:$B$1400,$A851))</f>
        <v>2</v>
      </c>
      <c r="E851">
        <f t="shared" si="169"/>
        <v>3</v>
      </c>
      <c r="F851">
        <f t="shared" si="170"/>
        <v>1</v>
      </c>
      <c r="G851" t="e">
        <f t="shared" si="171"/>
        <v>#N/A</v>
      </c>
      <c r="H851" t="e">
        <f t="shared" si="172"/>
        <v>#N/A</v>
      </c>
      <c r="I851" t="e">
        <f t="shared" si="173"/>
        <v>#N/A</v>
      </c>
      <c r="J851" t="e">
        <f t="shared" si="174"/>
        <v>#N/A</v>
      </c>
      <c r="K851">
        <f t="shared" si="175"/>
        <v>2024</v>
      </c>
      <c r="L851">
        <f t="shared" si="176"/>
        <v>3.0230000000000001</v>
      </c>
      <c r="M851" t="e">
        <f t="shared" si="177"/>
        <v>#N/A</v>
      </c>
      <c r="N851" t="e">
        <f t="shared" si="178"/>
        <v>#N/A</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2021</v>
      </c>
      <c r="V851">
        <f t="shared" si="181"/>
        <v>4</v>
      </c>
    </row>
    <row r="852" spans="1:22" x14ac:dyDescent="0.25">
      <c r="A852" t="str">
        <f>IF(games!$A852="","",games!$A852)</f>
        <v>Ziggurat</v>
      </c>
      <c r="B852">
        <f>IF($A852="","",games!$B852)</f>
        <v>2014</v>
      </c>
      <c r="C852" t="str">
        <f>IF($A852="","",games!$C852)</f>
        <v>Action</v>
      </c>
      <c r="D852">
        <f>IF($A852="","",COUNTIF(connections!$A$2:$A$1400,$A852)+COUNTIF(connections!$B$2:$B$1400,$A852))</f>
        <v>2</v>
      </c>
      <c r="E852">
        <f t="shared" si="169"/>
        <v>1</v>
      </c>
      <c r="F852">
        <f t="shared" si="170"/>
        <v>2</v>
      </c>
      <c r="G852">
        <f t="shared" si="171"/>
        <v>2014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2026</v>
      </c>
      <c r="V852">
        <f t="shared" si="181"/>
        <v>9</v>
      </c>
    </row>
    <row r="853" spans="1:22" x14ac:dyDescent="0.25">
      <c r="A853" t="str">
        <f>IF(games!$A853="","",games!$A853)</f>
        <v>Ziggurat 2</v>
      </c>
      <c r="B853">
        <f>IF($A853="","",games!$B853)</f>
        <v>2020</v>
      </c>
      <c r="C853" t="str">
        <f>IF($A853="","",games!$C853)</f>
        <v>Action</v>
      </c>
      <c r="D853">
        <f>IF($A853="","",COUNTIF(connections!$A$2:$A$1400,$A853)+COUNTIF(connections!$B$2:$B$1400,$A853))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ZMAngband</v>
      </c>
      <c r="B854">
        <f>IF($A854="","",games!$B854)</f>
        <v>2025</v>
      </c>
      <c r="C854" t="str">
        <f>IF($A854="","",games!$C854)</f>
        <v>Traditional</v>
      </c>
      <c r="D854">
        <f>IF($A854="","",COUNTIF(connections!$A$2:$A$1400,$A854)+COUNTIF(connections!$B$2:$B$1400,$A854))</f>
        <v>6</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2025</v>
      </c>
      <c r="N854">
        <f t="shared" si="178"/>
        <v>4.0919999999999996</v>
      </c>
      <c r="O854">
        <f t="shared" si="179"/>
        <v>6.0008540000000004</v>
      </c>
      <c r="P854" t="str">
        <f>IF(OR($A854="",games!$H854=""),"",games!$H854)</f>
        <v>Yes</v>
      </c>
      <c r="Q854">
        <f t="shared" si="180"/>
        <v>6.0008540000000004</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Zoeti</v>
      </c>
      <c r="B855">
        <f>IF($A855="","",games!$B855)</f>
        <v>2023</v>
      </c>
      <c r="C855" t="str">
        <f>IF($A855="","",games!$C855)</f>
        <v>Deckbuilder</v>
      </c>
      <c r="D855">
        <f>IF($A855="","",COUNTIF(connections!$A$2:$A$1400,$A855)+COUNTIF(connections!$B$2:$B$1400,$A855))</f>
        <v>3</v>
      </c>
      <c r="E855">
        <f t="shared" si="169"/>
        <v>3</v>
      </c>
      <c r="F855">
        <f t="shared" si="170"/>
        <v>5</v>
      </c>
      <c r="G855" t="e">
        <f t="shared" si="171"/>
        <v>#N/A</v>
      </c>
      <c r="H855" t="e">
        <f t="shared" si="172"/>
        <v>#N/A</v>
      </c>
      <c r="I855" t="e">
        <f t="shared" si="173"/>
        <v>#N/A</v>
      </c>
      <c r="J855" t="e">
        <f t="shared" si="174"/>
        <v>#N/A</v>
      </c>
      <c r="K855">
        <f t="shared" si="175"/>
        <v>2023</v>
      </c>
      <c r="L855">
        <f t="shared" si="176"/>
        <v>3.1150000000000002</v>
      </c>
      <c r="M855" t="e">
        <f t="shared" si="177"/>
        <v>#N/A</v>
      </c>
      <c r="N855" t="e">
        <f t="shared" si="178"/>
        <v>#N/A</v>
      </c>
      <c r="O855">
        <f t="shared" si="179"/>
        <v>3.0008550000000001</v>
      </c>
      <c r="P855" t="str">
        <f>IF(OR($A855="",games!$H855=""),"",games!$H855)</f>
        <v>Yes</v>
      </c>
      <c r="Q855">
        <f t="shared" si="180"/>
        <v>3.0008550000000001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Zoominoes</v>
      </c>
      <c r="B856">
        <f>IF($A856="","",games!$B856)</f>
        <v>2026</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Zorbus</v>
      </c>
      <c r="B857">
        <f>IF($A857="","",games!$B857)</f>
        <v>2022</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2022</v>
      </c>
      <c r="N857">
        <f t="shared" si="178"/>
        <v>4.1609999999999996</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2020</v>
      </c>
      <c r="V860">
        <f t="shared" si="181"/>
        <v>3</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2023</v>
      </c>
      <c r="V862">
        <f t="shared" si="181"/>
        <v>6</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2022</v>
      </c>
      <c r="V863">
        <f t="shared" si="181"/>
        <v>5</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2023</v>
      </c>
      <c r="V866">
        <f t="shared" si="181"/>
        <v>6</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2024</v>
      </c>
      <c r="V869">
        <f t="shared" si="181"/>
        <v>7</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2021</v>
      </c>
      <c r="V870">
        <f t="shared" si="181"/>
        <v>4</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2024</v>
      </c>
      <c r="V873">
        <f t="shared" si="181"/>
        <v>7</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2023</v>
      </c>
      <c r="V874">
        <f t="shared" si="181"/>
        <v>6</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2022</v>
      </c>
      <c r="V875">
        <f t="shared" si="181"/>
        <v>5</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2022</v>
      </c>
      <c r="V882">
        <f t="shared" si="181"/>
        <v>5</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2026</v>
      </c>
      <c r="V884">
        <f t="shared" si="181"/>
        <v>9</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2019</v>
      </c>
      <c r="V887">
        <f t="shared" si="181"/>
        <v>2</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2022</v>
      </c>
      <c r="V889">
        <f t="shared" si="181"/>
        <v>5</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2020</v>
      </c>
      <c r="V890">
        <f t="shared" si="181"/>
        <v>3</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2021</v>
      </c>
      <c r="V892">
        <f t="shared" si="181"/>
        <v>4</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2026</v>
      </c>
      <c r="V895">
        <f t="shared" si="181"/>
        <v>9</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2025</v>
      </c>
      <c r="V896">
        <f t="shared" si="181"/>
        <v>8</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2023</v>
      </c>
      <c r="V898">
        <f t="shared" ref="V898:V961" si="194">IF(OR($T898="",$U898=""),"",$U898-$T898)</f>
        <v>6</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2018</v>
      </c>
      <c r="V903">
        <f t="shared" si="194"/>
        <v>1</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2025</v>
      </c>
      <c r="V904">
        <f t="shared" si="194"/>
        <v>8</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2024</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2024</v>
      </c>
      <c r="V907">
        <f t="shared" si="194"/>
        <v>7</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2023</v>
      </c>
      <c r="V908">
        <f t="shared" si="194"/>
        <v>6</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2025</v>
      </c>
      <c r="V909">
        <f t="shared" si="194"/>
        <v>8</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2026</v>
      </c>
      <c r="V910">
        <f t="shared" si="194"/>
        <v>9</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2020</v>
      </c>
      <c r="V911">
        <f t="shared" si="194"/>
        <v>3</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2023</v>
      </c>
      <c r="V913">
        <f t="shared" si="194"/>
        <v>6</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2026</v>
      </c>
      <c r="V918">
        <f t="shared" si="194"/>
        <v>9</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2023</v>
      </c>
      <c r="V921">
        <f t="shared" si="194"/>
        <v>6</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2021</v>
      </c>
      <c r="V922">
        <f t="shared" si="194"/>
        <v>4</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2019</v>
      </c>
      <c r="V923">
        <f t="shared" si="194"/>
        <v>2</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2020</v>
      </c>
      <c r="V924">
        <f t="shared" si="194"/>
        <v>3</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2023</v>
      </c>
      <c r="V928">
        <f t="shared" si="194"/>
        <v>6</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2026</v>
      </c>
      <c r="V930">
        <f t="shared" si="194"/>
        <v>9</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2022</v>
      </c>
      <c r="V931">
        <f t="shared" si="194"/>
        <v>5</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2024</v>
      </c>
      <c r="V932">
        <f t="shared" si="194"/>
        <v>7</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2024</v>
      </c>
      <c r="V933">
        <f t="shared" si="194"/>
        <v>7</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2023</v>
      </c>
      <c r="V934">
        <f t="shared" si="194"/>
        <v>6</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2018</v>
      </c>
      <c r="U935">
        <f>IF(connections!$A935="","",IFERROR(INDEX(games!$B$2:$B$950,MATCH(connections!$B935,games!$A$2:$A$950,0)),""))</f>
        <v>2025</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2018</v>
      </c>
      <c r="U936">
        <f>IF(connections!$A936="","",IFERROR(INDEX(games!$B$2:$B$950,MATCH(connections!$B936,games!$A$2:$A$950,0)),""))</f>
        <v>2024</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2023</v>
      </c>
      <c r="U937">
        <f>IF(connections!$A937="","",IFERROR(INDEX(games!$B$2:$B$950,MATCH(connections!$B937,games!$A$2:$A$950,0)),""))</f>
        <v>2026</v>
      </c>
      <c r="V937">
        <f t="shared" si="194"/>
        <v>3</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2021</v>
      </c>
      <c r="U938">
        <f>IF(connections!$A938="","",IFERROR(INDEX(games!$B$2:$B$950,MATCH(connections!$B938,games!$A$2:$A$950,0)),""))</f>
        <v>2023</v>
      </c>
      <c r="V938">
        <f t="shared" si="194"/>
        <v>2</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2021</v>
      </c>
      <c r="U939">
        <f>IF(connections!$A939="","",IFERROR(INDEX(games!$B$2:$B$950,MATCH(connections!$B939,games!$A$2:$A$950,0)),""))</f>
        <v>2022</v>
      </c>
      <c r="V939">
        <f t="shared" si="194"/>
        <v>1</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2026</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2025</v>
      </c>
      <c r="V943">
        <f t="shared" si="194"/>
        <v>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2022</v>
      </c>
      <c r="U944">
        <f>IF(connections!$A944="","",IFERROR(INDEX(games!$B$2:$B$950,MATCH(connections!$B944,games!$A$2:$A$950,0)),""))</f>
        <v>2023</v>
      </c>
      <c r="V944">
        <f t="shared" si="194"/>
        <v>1</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2019</v>
      </c>
      <c r="U945">
        <f>IF(connections!$A945="","",IFERROR(INDEX(games!$B$2:$B$950,MATCH(connections!$B945,games!$A$2:$A$950,0)),""))</f>
        <v>2022</v>
      </c>
      <c r="V945">
        <f t="shared" si="194"/>
        <v>3</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2012</v>
      </c>
      <c r="U946">
        <f>IF(connections!$A946="","",IFERROR(INDEX(games!$B$2:$B$950,MATCH(connections!$B946,games!$A$2:$A$950,0)),""))</f>
        <v>2020</v>
      </c>
      <c r="V946">
        <f t="shared" si="194"/>
        <v>8</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2013</v>
      </c>
      <c r="V947">
        <f t="shared" si="194"/>
        <v>5</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2015</v>
      </c>
      <c r="V948">
        <f t="shared" si="194"/>
        <v>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2019</v>
      </c>
      <c r="V949">
        <f t="shared" si="194"/>
        <v>11</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2025</v>
      </c>
      <c r="V952">
        <f t="shared" si="194"/>
        <v>17</v>
      </c>
    </row>
    <row r="953" spans="1:22" x14ac:dyDescent="0.25">
      <c r="T953">
        <f>IF(connections!$A953="","",IFERROR(INDEX(games!$B$2:$B$950,MATCH(connections!$A953,games!$A$2:$A$950,0)),""))</f>
        <v>2008</v>
      </c>
      <c r="U953">
        <f>IF(connections!$A953="","",IFERROR(INDEX(games!$B$2:$B$950,MATCH(connections!$B953,games!$A$2:$A$950,0)),""))</f>
        <v>2013</v>
      </c>
      <c r="V953">
        <f t="shared" si="194"/>
        <v>5</v>
      </c>
    </row>
    <row r="954" spans="1:22" x14ac:dyDescent="0.25">
      <c r="T954">
        <f>IF(connections!$A954="","",IFERROR(INDEX(games!$B$2:$B$950,MATCH(connections!$A954,games!$A$2:$A$950,0)),""))</f>
        <v>2008</v>
      </c>
      <c r="U954">
        <f>IF(connections!$A954="","",IFERROR(INDEX(games!$B$2:$B$950,MATCH(connections!$B954,games!$A$2:$A$950,0)),""))</f>
        <v>2015</v>
      </c>
      <c r="V954">
        <f t="shared" si="194"/>
        <v>7</v>
      </c>
    </row>
    <row r="955" spans="1:22" x14ac:dyDescent="0.25">
      <c r="T955">
        <f>IF(connections!$A955="","",IFERROR(INDEX(games!$B$2:$B$950,MATCH(connections!$A955,games!$A$2:$A$950,0)),""))</f>
        <v>2008</v>
      </c>
      <c r="U955">
        <f>IF(connections!$A955="","",IFERROR(INDEX(games!$B$2:$B$950,MATCH(connections!$B955,games!$A$2:$A$950,0)),""))</f>
        <v>2024</v>
      </c>
      <c r="V955">
        <f t="shared" si="194"/>
        <v>16</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2025</v>
      </c>
      <c r="V957">
        <f t="shared" si="194"/>
        <v>17</v>
      </c>
    </row>
    <row r="958" spans="1:22" x14ac:dyDescent="0.25">
      <c r="T958">
        <f>IF(connections!$A958="","",IFERROR(INDEX(games!$B$2:$B$950,MATCH(connections!$A958,games!$A$2:$A$950,0)),""))</f>
        <v>2008</v>
      </c>
      <c r="U958">
        <f>IF(connections!$A958="","",IFERROR(INDEX(games!$B$2:$B$950,MATCH(connections!$B958,games!$A$2:$A$950,0)),""))</f>
        <v>2013</v>
      </c>
      <c r="V958">
        <f t="shared" si="194"/>
        <v>5</v>
      </c>
    </row>
    <row r="959" spans="1:22" x14ac:dyDescent="0.25">
      <c r="T959">
        <f>IF(connections!$A959="","",IFERROR(INDEX(games!$B$2:$B$950,MATCH(connections!$A959,games!$A$2:$A$950,0)),""))</f>
        <v>2008</v>
      </c>
      <c r="U959">
        <f>IF(connections!$A959="","",IFERROR(INDEX(games!$B$2:$B$950,MATCH(connections!$B959,games!$A$2:$A$950,0)),""))</f>
        <v>2016</v>
      </c>
      <c r="V959">
        <f t="shared" si="194"/>
        <v>8</v>
      </c>
    </row>
    <row r="960" spans="1:22" x14ac:dyDescent="0.25">
      <c r="T960">
        <f>IF(connections!$A960="","",IFERROR(INDEX(games!$B$2:$B$950,MATCH(connections!$A960,games!$A$2:$A$950,0)),""))</f>
        <v>2008</v>
      </c>
      <c r="U960">
        <f>IF(connections!$A960="","",IFERROR(INDEX(games!$B$2:$B$950,MATCH(connections!$B960,games!$A$2:$A$950,0)),""))</f>
        <v>2024</v>
      </c>
      <c r="V960">
        <f t="shared" si="194"/>
        <v>16</v>
      </c>
    </row>
    <row r="961" spans="20:22" x14ac:dyDescent="0.25">
      <c r="T961">
        <f>IF(connections!$A961="","",IFERROR(INDEX(games!$B$2:$B$950,MATCH(connections!$A961,games!$A$2:$A$950,0)),""))</f>
        <v>2008</v>
      </c>
      <c r="U961">
        <f>IF(connections!$A961="","",IFERROR(INDEX(games!$B$2:$B$950,MATCH(connections!$B961,games!$A$2:$A$950,0)),""))</f>
        <v>2017</v>
      </c>
      <c r="V961">
        <f t="shared" si="194"/>
        <v>9</v>
      </c>
    </row>
    <row r="962" spans="20:22" x14ac:dyDescent="0.25">
      <c r="T962">
        <f>IF(connections!$A962="","",IFERROR(INDEX(games!$B$2:$B$950,MATCH(connections!$A962,games!$A$2:$A$950,0)),""))</f>
        <v>2008</v>
      </c>
      <c r="U962">
        <f>IF(connections!$A962="","",IFERROR(INDEX(games!$B$2:$B$950,MATCH(connections!$B962,games!$A$2:$A$950,0)),""))</f>
        <v>2012</v>
      </c>
      <c r="V962">
        <f t="shared" ref="V962:V1025" si="195">IF(OR($T962="",$U962=""),"",$U962-$T962)</f>
        <v>4</v>
      </c>
    </row>
    <row r="963" spans="20:22" x14ac:dyDescent="0.25">
      <c r="T963">
        <f>IF(connections!$A963="","",IFERROR(INDEX(games!$B$2:$B$950,MATCH(connections!$A963,games!$A$2:$A$950,0)),""))</f>
        <v>2008</v>
      </c>
      <c r="U963">
        <f>IF(connections!$A963="","",IFERROR(INDEX(games!$B$2:$B$950,MATCH(connections!$B963,games!$A$2:$A$950,0)),""))</f>
        <v>2020</v>
      </c>
      <c r="V963">
        <f t="shared" si="195"/>
        <v>12</v>
      </c>
    </row>
    <row r="964" spans="20:22" x14ac:dyDescent="0.25">
      <c r="T964">
        <f>IF(connections!$A964="","",IFERROR(INDEX(games!$B$2:$B$950,MATCH(connections!$A964,games!$A$2:$A$950,0)),""))</f>
        <v>2008</v>
      </c>
      <c r="U964">
        <f>IF(connections!$A964="","",IFERROR(INDEX(games!$B$2:$B$950,MATCH(connections!$B964,games!$A$2:$A$950,0)),""))</f>
        <v>2016</v>
      </c>
      <c r="V964">
        <f t="shared" si="195"/>
        <v>8</v>
      </c>
    </row>
    <row r="965" spans="20:22" x14ac:dyDescent="0.25">
      <c r="T965">
        <f>IF(connections!$A965="","",IFERROR(INDEX(games!$B$2:$B$950,MATCH(connections!$A965,games!$A$2:$A$950,0)),""))</f>
        <v>2008</v>
      </c>
      <c r="U965">
        <f>IF(connections!$A965="","",IFERROR(INDEX(games!$B$2:$B$950,MATCH(connections!$B965,games!$A$2:$A$950,0)),""))</f>
        <v>2017</v>
      </c>
      <c r="V965">
        <f t="shared" si="195"/>
        <v>9</v>
      </c>
    </row>
    <row r="966" spans="20:22" x14ac:dyDescent="0.25">
      <c r="T966">
        <f>IF(connections!$A966="","",IFERROR(INDEX(games!$B$2:$B$950,MATCH(connections!$A966,games!$A$2:$A$950,0)),""))</f>
        <v>2008</v>
      </c>
      <c r="U966">
        <f>IF(connections!$A966="","",IFERROR(INDEX(games!$B$2:$B$950,MATCH(connections!$B966,games!$A$2:$A$950,0)),""))</f>
        <v>2018</v>
      </c>
      <c r="V966">
        <f t="shared" si="195"/>
        <v>10</v>
      </c>
    </row>
    <row r="967" spans="20:22" x14ac:dyDescent="0.25">
      <c r="T967">
        <f>IF(connections!$A967="","",IFERROR(INDEX(games!$B$2:$B$950,MATCH(connections!$A967,games!$A$2:$A$950,0)),""))</f>
        <v>2008</v>
      </c>
      <c r="U967">
        <f>IF(connections!$A967="","",IFERROR(INDEX(games!$B$2:$B$950,MATCH(connections!$B967,games!$A$2:$A$950,0)),""))</f>
        <v>2015</v>
      </c>
      <c r="V967">
        <f t="shared" si="195"/>
        <v>7</v>
      </c>
    </row>
    <row r="968" spans="20:22" x14ac:dyDescent="0.25">
      <c r="T968">
        <f>IF(connections!$A968="","",IFERROR(INDEX(games!$B$2:$B$950,MATCH(connections!$A968,games!$A$2:$A$950,0)),""))</f>
        <v>2008</v>
      </c>
      <c r="U968">
        <f>IF(connections!$A968="","",IFERROR(INDEX(games!$B$2:$B$950,MATCH(connections!$B968,games!$A$2:$A$950,0)),""))</f>
        <v>2023</v>
      </c>
      <c r="V968">
        <f t="shared" si="195"/>
        <v>15</v>
      </c>
    </row>
    <row r="969" spans="20:22" x14ac:dyDescent="0.25">
      <c r="T969">
        <f>IF(connections!$A969="","",IFERROR(INDEX(games!$B$2:$B$950,MATCH(connections!$A969,games!$A$2:$A$950,0)),""))</f>
        <v>2008</v>
      </c>
      <c r="U969">
        <f>IF(connections!$A969="","",IFERROR(INDEX(games!$B$2:$B$950,MATCH(connections!$B969,games!$A$2:$A$950,0)),""))</f>
        <v>2019</v>
      </c>
      <c r="V969">
        <f t="shared" si="195"/>
        <v>11</v>
      </c>
    </row>
    <row r="970" spans="20:22" x14ac:dyDescent="0.25">
      <c r="T970">
        <f>IF(connections!$A970="","",IFERROR(INDEX(games!$B$2:$B$950,MATCH(connections!$A970,games!$A$2:$A$950,0)),""))</f>
        <v>2008</v>
      </c>
      <c r="U970">
        <f>IF(connections!$A970="","",IFERROR(INDEX(games!$B$2:$B$950,MATCH(connections!$B970,games!$A$2:$A$950,0)),""))</f>
        <v>2012</v>
      </c>
      <c r="V970">
        <f t="shared" si="195"/>
        <v>4</v>
      </c>
    </row>
    <row r="971" spans="20:22" x14ac:dyDescent="0.25">
      <c r="T971">
        <f>IF(connections!$A971="","",IFERROR(INDEX(games!$B$2:$B$950,MATCH(connections!$A971,games!$A$2:$A$950,0)),""))</f>
        <v>2008</v>
      </c>
      <c r="U971">
        <f>IF(connections!$A971="","",IFERROR(INDEX(games!$B$2:$B$950,MATCH(connections!$B971,games!$A$2:$A$950,0)),""))</f>
        <v>2013</v>
      </c>
      <c r="V971">
        <f t="shared" si="195"/>
        <v>5</v>
      </c>
    </row>
    <row r="972" spans="20:22" x14ac:dyDescent="0.25">
      <c r="T972">
        <f>IF(connections!$A972="","",IFERROR(INDEX(games!$B$2:$B$950,MATCH(connections!$A972,games!$A$2:$A$950,0)),""))</f>
        <v>2008</v>
      </c>
      <c r="U972">
        <f>IF(connections!$A972="","",IFERROR(INDEX(games!$B$2:$B$950,MATCH(connections!$B972,games!$A$2:$A$950,0)),""))</f>
        <v>2022</v>
      </c>
      <c r="V972">
        <f t="shared" si="195"/>
        <v>14</v>
      </c>
    </row>
    <row r="973" spans="20:22" x14ac:dyDescent="0.25">
      <c r="T973">
        <f>IF(connections!$A973="","",IFERROR(INDEX(games!$B$2:$B$950,MATCH(connections!$A973,games!$A$2:$A$950,0)),""))</f>
        <v>2008</v>
      </c>
      <c r="U973">
        <f>IF(connections!$A973="","",IFERROR(INDEX(games!$B$2:$B$950,MATCH(connections!$B973,games!$A$2:$A$950,0)),""))</f>
        <v>2014</v>
      </c>
      <c r="V973">
        <f t="shared" si="195"/>
        <v>6</v>
      </c>
    </row>
    <row r="974" spans="20:22" x14ac:dyDescent="0.25">
      <c r="T974">
        <f>IF(connections!$A974="","",IFERROR(INDEX(games!$B$2:$B$950,MATCH(connections!$A974,games!$A$2:$A$950,0)),""))</f>
        <v>2008</v>
      </c>
      <c r="U974">
        <f>IF(connections!$A974="","",IFERROR(INDEX(games!$B$2:$B$950,MATCH(connections!$B974,games!$A$2:$A$950,0)),""))</f>
        <v>2012</v>
      </c>
      <c r="V974">
        <f t="shared" si="195"/>
        <v>4</v>
      </c>
    </row>
    <row r="975" spans="20:22" x14ac:dyDescent="0.25">
      <c r="T975">
        <f>IF(connections!$A975="","",IFERROR(INDEX(games!$B$2:$B$950,MATCH(connections!$A975,games!$A$2:$A$950,0)),""))</f>
        <v>2008</v>
      </c>
      <c r="U975">
        <f>IF(connections!$A975="","",IFERROR(INDEX(games!$B$2:$B$950,MATCH(connections!$B975,games!$A$2:$A$950,0)),""))</f>
        <v>2019</v>
      </c>
      <c r="V975">
        <f t="shared" si="195"/>
        <v>11</v>
      </c>
    </row>
    <row r="976" spans="20:22" x14ac:dyDescent="0.25">
      <c r="T976">
        <f>IF(connections!$A976="","",IFERROR(INDEX(games!$B$2:$B$950,MATCH(connections!$A976,games!$A$2:$A$950,0)),""))</f>
        <v>2008</v>
      </c>
      <c r="U976">
        <f>IF(connections!$A976="","",IFERROR(INDEX(games!$B$2:$B$950,MATCH(connections!$B976,games!$A$2:$A$950,0)),""))</f>
        <v>2017</v>
      </c>
      <c r="V976">
        <f t="shared" si="195"/>
        <v>9</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2016</v>
      </c>
      <c r="V978">
        <f t="shared" si="195"/>
        <v>8</v>
      </c>
    </row>
    <row r="979" spans="20:22" x14ac:dyDescent="0.25">
      <c r="T979">
        <f>IF(connections!$A979="","",IFERROR(INDEX(games!$B$2:$B$950,MATCH(connections!$A979,games!$A$2:$A$950,0)),""))</f>
        <v>2008</v>
      </c>
      <c r="U979">
        <f>IF(connections!$A979="","",IFERROR(INDEX(games!$B$2:$B$950,MATCH(connections!$B979,games!$A$2:$A$950,0)),""))</f>
        <v>2011</v>
      </c>
      <c r="V979">
        <f t="shared" si="195"/>
        <v>3</v>
      </c>
    </row>
    <row r="980" spans="20:22" x14ac:dyDescent="0.25">
      <c r="T980">
        <f>IF(connections!$A980="","",IFERROR(INDEX(games!$B$2:$B$950,MATCH(connections!$A980,games!$A$2:$A$950,0)),""))</f>
        <v>2008</v>
      </c>
      <c r="U980">
        <f>IF(connections!$A980="","",IFERROR(INDEX(games!$B$2:$B$950,MATCH(connections!$B980,games!$A$2:$A$950,0)),""))</f>
        <v>2017</v>
      </c>
      <c r="V980">
        <f t="shared" si="195"/>
        <v>9</v>
      </c>
    </row>
    <row r="981" spans="20:22" x14ac:dyDescent="0.25">
      <c r="T981">
        <f>IF(connections!$A981="","",IFERROR(INDEX(games!$B$2:$B$950,MATCH(connections!$A981,games!$A$2:$A$950,0)),""))</f>
        <v>2008</v>
      </c>
      <c r="U981">
        <f>IF(connections!$A981="","",IFERROR(INDEX(games!$B$2:$B$950,MATCH(connections!$B981,games!$A$2:$A$950,0)),""))</f>
        <v>2018</v>
      </c>
      <c r="V981">
        <f t="shared" si="195"/>
        <v>10</v>
      </c>
    </row>
    <row r="982" spans="20:22" x14ac:dyDescent="0.25">
      <c r="T982">
        <f>IF(connections!$A982="","",IFERROR(INDEX(games!$B$2:$B$950,MATCH(connections!$A982,games!$A$2:$A$950,0)),""))</f>
        <v>2008</v>
      </c>
      <c r="U982">
        <f>IF(connections!$A982="","",IFERROR(INDEX(games!$B$2:$B$950,MATCH(connections!$B982,games!$A$2:$A$950,0)),""))</f>
        <v>2023</v>
      </c>
      <c r="V982">
        <f t="shared" si="195"/>
        <v>15</v>
      </c>
    </row>
    <row r="983" spans="20:22" x14ac:dyDescent="0.25">
      <c r="T983">
        <f>IF(connections!$A983="","",IFERROR(INDEX(games!$B$2:$B$950,MATCH(connections!$A983,games!$A$2:$A$950,0)),""))</f>
        <v>2019</v>
      </c>
      <c r="U983">
        <f>IF(connections!$A983="","",IFERROR(INDEX(games!$B$2:$B$950,MATCH(connections!$B983,games!$A$2:$A$950,0)),""))</f>
        <v>2022</v>
      </c>
      <c r="V983">
        <f t="shared" si="195"/>
        <v>3</v>
      </c>
    </row>
    <row r="984" spans="20:22" x14ac:dyDescent="0.25">
      <c r="T984">
        <f>IF(connections!$A984="","",IFERROR(INDEX(games!$B$2:$B$950,MATCH(connections!$A984,games!$A$2:$A$950,0)),""))</f>
        <v>2014</v>
      </c>
      <c r="U984">
        <f>IF(connections!$A984="","",IFERROR(INDEX(games!$B$2:$B$950,MATCH(connections!$B984,games!$A$2:$A$950,0)),""))</f>
        <v>2017</v>
      </c>
      <c r="V984">
        <f t="shared" si="195"/>
        <v>3</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2020</v>
      </c>
      <c r="U986">
        <f>IF(connections!$A986="","",IFERROR(INDEX(games!$B$2:$B$950,MATCH(connections!$B986,games!$A$2:$A$950,0)),""))</f>
        <v>2025</v>
      </c>
      <c r="V986">
        <f t="shared" si="195"/>
        <v>5</v>
      </c>
    </row>
    <row r="987" spans="20:22" x14ac:dyDescent="0.25">
      <c r="T987">
        <f>IF(connections!$A987="","",IFERROR(INDEX(games!$B$2:$B$950,MATCH(connections!$A987,games!$A$2:$A$950,0)),""))</f>
        <v>2002</v>
      </c>
      <c r="U987">
        <f>IF(connections!$A987="","",IFERROR(INDEX(games!$B$2:$B$950,MATCH(connections!$B987,games!$A$2:$A$950,0)),""))</f>
        <v>2005</v>
      </c>
      <c r="V987">
        <f t="shared" si="195"/>
        <v>3</v>
      </c>
    </row>
    <row r="988" spans="20:22" x14ac:dyDescent="0.25">
      <c r="T988">
        <f>IF(connections!$A988="","",IFERROR(INDEX(games!$B$2:$B$950,MATCH(connections!$A988,games!$A$2:$A$950,0)),""))</f>
        <v>2017</v>
      </c>
      <c r="U988">
        <f>IF(connections!$A988="","",IFERROR(INDEX(games!$B$2:$B$950,MATCH(connections!$B988,games!$A$2:$A$950,0)),""))</f>
        <v>2026</v>
      </c>
      <c r="V988">
        <f t="shared" si="195"/>
        <v>9</v>
      </c>
    </row>
    <row r="989" spans="20:22" x14ac:dyDescent="0.25">
      <c r="T989">
        <f>IF(connections!$A989="","",IFERROR(INDEX(games!$B$2:$B$950,MATCH(connections!$A989,games!$A$2:$A$950,0)),""))</f>
        <v>2015</v>
      </c>
      <c r="U989">
        <f>IF(connections!$A989="","",IFERROR(INDEX(games!$B$2:$B$950,MATCH(connections!$B989,games!$A$2:$A$950,0)),""))</f>
        <v>2018</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2026</v>
      </c>
      <c r="V991">
        <f t="shared" si="195"/>
        <v>5</v>
      </c>
    </row>
    <row r="992" spans="20:22" x14ac:dyDescent="0.25">
      <c r="T992">
        <f>IF(connections!$A992="","",IFERROR(INDEX(games!$B$2:$B$950,MATCH(connections!$A992,games!$A$2:$A$950,0)),""))</f>
        <v>2021</v>
      </c>
      <c r="U992">
        <f>IF(connections!$A992="","",IFERROR(INDEX(games!$B$2:$B$950,MATCH(connections!$B992,games!$A$2:$A$950,0)),""))</f>
        <v>2024</v>
      </c>
      <c r="V992">
        <f t="shared" si="195"/>
        <v>3</v>
      </c>
    </row>
    <row r="993" spans="20:22" x14ac:dyDescent="0.25">
      <c r="T993">
        <f>IF(connections!$A993="","",IFERROR(INDEX(games!$B$2:$B$950,MATCH(connections!$A993,games!$A$2:$A$950,0)),""))</f>
        <v>2021</v>
      </c>
      <c r="U993">
        <f>IF(connections!$A993="","",IFERROR(INDEX(games!$B$2:$B$950,MATCH(connections!$B993,games!$A$2:$A$950,0)),""))</f>
        <v>2024</v>
      </c>
      <c r="V993">
        <f t="shared" si="195"/>
        <v>3</v>
      </c>
    </row>
    <row r="994" spans="20:22" x14ac:dyDescent="0.25">
      <c r="T994">
        <f>IF(connections!$A994="","",IFERROR(INDEX(games!$B$2:$B$950,MATCH(connections!$A994,games!$A$2:$A$950,0)),""))</f>
        <v>2021</v>
      </c>
      <c r="U994">
        <f>IF(connections!$A994="","",IFERROR(INDEX(games!$B$2:$B$950,MATCH(connections!$B994,games!$A$2:$A$950,0)),""))</f>
        <v>2025</v>
      </c>
      <c r="V994">
        <f t="shared" si="195"/>
        <v>4</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2024</v>
      </c>
      <c r="V997">
        <f t="shared" si="195"/>
        <v>3</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2025</v>
      </c>
      <c r="V1000">
        <f t="shared" si="195"/>
        <v>4</v>
      </c>
    </row>
    <row r="1001" spans="20:22" x14ac:dyDescent="0.25">
      <c r="T1001">
        <f>IF(connections!$A1001="","",IFERROR(INDEX(games!$B$2:$B$950,MATCH(connections!$A1001,games!$A$2:$A$950,0)),""))</f>
        <v>2013</v>
      </c>
      <c r="U1001">
        <f>IF(connections!$A1001="","",IFERROR(INDEX(games!$B$2:$B$950,MATCH(connections!$B1001,games!$A$2:$A$950,0)),""))</f>
        <v>2016</v>
      </c>
      <c r="V1001">
        <f t="shared" si="195"/>
        <v>3</v>
      </c>
    </row>
    <row r="1002" spans="20:22" x14ac:dyDescent="0.25">
      <c r="T1002">
        <f>IF(connections!$A1002="","",IFERROR(INDEX(games!$B$2:$B$950,MATCH(connections!$A1002,games!$A$2:$A$950,0)),""))</f>
        <v>2025</v>
      </c>
      <c r="U1002">
        <f>IF(connections!$A1002="","",IFERROR(INDEX(games!$B$2:$B$950,MATCH(connections!$B1002,games!$A$2:$A$950,0)),""))</f>
        <v>2026</v>
      </c>
      <c r="V1002">
        <f t="shared" si="195"/>
        <v>1</v>
      </c>
    </row>
    <row r="1003" spans="20:22" x14ac:dyDescent="0.25">
      <c r="T1003">
        <f>IF(connections!$A1003="","",IFERROR(INDEX(games!$B$2:$B$950,MATCH(connections!$A1003,games!$A$2:$A$950,0)),""))</f>
        <v>1982</v>
      </c>
      <c r="U1003">
        <f>IF(connections!$A1003="","",IFERROR(INDEX(games!$B$2:$B$950,MATCH(connections!$B1003,games!$A$2:$A$950,0)),""))</f>
        <v>2016</v>
      </c>
      <c r="V1003">
        <f t="shared" si="195"/>
        <v>34</v>
      </c>
    </row>
    <row r="1004" spans="20:22" x14ac:dyDescent="0.25">
      <c r="T1004">
        <f>IF(connections!$A1004="","",IFERROR(INDEX(games!$B$2:$B$950,MATCH(connections!$A1004,games!$A$2:$A$950,0)),""))</f>
        <v>2021</v>
      </c>
      <c r="U1004">
        <f>IF(connections!$A1004="","",IFERROR(INDEX(games!$B$2:$B$950,MATCH(connections!$B1004,games!$A$2:$A$950,0)),""))</f>
        <v>2025</v>
      </c>
      <c r="V1004">
        <f t="shared" si="195"/>
        <v>4</v>
      </c>
    </row>
    <row r="1005" spans="20:22" x14ac:dyDescent="0.25">
      <c r="T1005">
        <f>IF(connections!$A1005="","",IFERROR(INDEX(games!$B$2:$B$950,MATCH(connections!$A1005,games!$A$2:$A$950,0)),""))</f>
        <v>2018</v>
      </c>
      <c r="U1005">
        <f>IF(connections!$A1005="","",IFERROR(INDEX(games!$B$2:$B$950,MATCH(connections!$B1005,games!$A$2:$A$950,0)),""))</f>
        <v>2021</v>
      </c>
      <c r="V1005">
        <f t="shared" si="195"/>
        <v>3</v>
      </c>
    </row>
    <row r="1006" spans="20:22" x14ac:dyDescent="0.25">
      <c r="T1006">
        <f>IF(connections!$A1006="","",IFERROR(INDEX(games!$B$2:$B$950,MATCH(connections!$A1006,games!$A$2:$A$950,0)),""))</f>
        <v>1998</v>
      </c>
      <c r="U1006">
        <f>IF(connections!$A1006="","",IFERROR(INDEX(games!$B$2:$B$950,MATCH(connections!$B1006,games!$A$2:$A$950,0)),""))</f>
        <v>2010</v>
      </c>
      <c r="V1006">
        <f t="shared" si="195"/>
        <v>12</v>
      </c>
    </row>
    <row r="1007" spans="20:22" x14ac:dyDescent="0.25">
      <c r="T1007">
        <f>IF(connections!$A1007="","",IFERROR(INDEX(games!$B$2:$B$950,MATCH(connections!$A1007,games!$A$2:$A$950,0)),""))</f>
        <v>1998</v>
      </c>
      <c r="U1007">
        <f>IF(connections!$A1007="","",IFERROR(INDEX(games!$B$2:$B$950,MATCH(connections!$B1007,games!$A$2:$A$950,0)),""))</f>
        <v>2010</v>
      </c>
      <c r="V1007">
        <f t="shared" si="195"/>
        <v>12</v>
      </c>
    </row>
    <row r="1008" spans="20:22" x14ac:dyDescent="0.25">
      <c r="T1008">
        <f>IF(connections!$A1008="","",IFERROR(INDEX(games!$B$2:$B$950,MATCH(connections!$A1008,games!$A$2:$A$950,0)),""))</f>
        <v>1998</v>
      </c>
      <c r="U1008">
        <f>IF(connections!$A1008="","",IFERROR(INDEX(games!$B$2:$B$950,MATCH(connections!$B1008,games!$A$2:$A$950,0)),""))</f>
        <v>2007</v>
      </c>
      <c r="V1008">
        <f t="shared" si="195"/>
        <v>9</v>
      </c>
    </row>
    <row r="1009" spans="20:22" x14ac:dyDescent="0.25">
      <c r="T1009">
        <f>IF(connections!$A1009="","",IFERROR(INDEX(games!$B$2:$B$950,MATCH(connections!$A1009,games!$A$2:$A$950,0)),""))</f>
        <v>1998</v>
      </c>
      <c r="U1009">
        <f>IF(connections!$A1009="","",IFERROR(INDEX(games!$B$2:$B$950,MATCH(connections!$B1009,games!$A$2:$A$950,0)),""))</f>
        <v>2020</v>
      </c>
      <c r="V1009">
        <f t="shared" si="195"/>
        <v>22</v>
      </c>
    </row>
    <row r="1010" spans="20:22" x14ac:dyDescent="0.25">
      <c r="T1010">
        <f>IF(connections!$A1010="","",IFERROR(INDEX(games!$B$2:$B$950,MATCH(connections!$A1010,games!$A$2:$A$950,0)),""))</f>
        <v>1998</v>
      </c>
      <c r="U1010">
        <f>IF(connections!$A1010="","",IFERROR(INDEX(games!$B$2:$B$950,MATCH(connections!$B1010,games!$A$2:$A$950,0)),""))</f>
        <v>2023</v>
      </c>
      <c r="V1010">
        <f t="shared" si="195"/>
        <v>25</v>
      </c>
    </row>
    <row r="1011" spans="20:22" x14ac:dyDescent="0.25">
      <c r="T1011">
        <f>IF(connections!$A1011="","",IFERROR(INDEX(games!$B$2:$B$950,MATCH(connections!$A1011,games!$A$2:$A$950,0)),""))</f>
        <v>1998</v>
      </c>
      <c r="U1011">
        <f>IF(connections!$A1011="","",IFERROR(INDEX(games!$B$2:$B$950,MATCH(connections!$B1011,games!$A$2:$A$950,0)),""))</f>
        <v>2020</v>
      </c>
      <c r="V1011">
        <f t="shared" si="195"/>
        <v>22</v>
      </c>
    </row>
    <row r="1012" spans="20:22" x14ac:dyDescent="0.25">
      <c r="T1012">
        <f>IF(connections!$A1012="","",IFERROR(INDEX(games!$B$2:$B$950,MATCH(connections!$A1012,games!$A$2:$A$950,0)),""))</f>
        <v>1998</v>
      </c>
      <c r="U1012">
        <f>IF(connections!$A1012="","",IFERROR(INDEX(games!$B$2:$B$950,MATCH(connections!$B1012,games!$A$2:$A$950,0)),""))</f>
        <v>2019</v>
      </c>
      <c r="V1012">
        <f t="shared" si="195"/>
        <v>21</v>
      </c>
    </row>
    <row r="1013" spans="20:22" x14ac:dyDescent="0.25">
      <c r="T1013">
        <f>IF(connections!$A1013="","",IFERROR(INDEX(games!$B$2:$B$950,MATCH(connections!$A1013,games!$A$2:$A$950,0)),""))</f>
        <v>1998</v>
      </c>
      <c r="U1013">
        <f>IF(connections!$A1013="","",IFERROR(INDEX(games!$B$2:$B$950,MATCH(connections!$B1013,games!$A$2:$A$950,0)),""))</f>
        <v>2017</v>
      </c>
      <c r="V1013">
        <f t="shared" si="195"/>
        <v>19</v>
      </c>
    </row>
    <row r="1014" spans="20:22" x14ac:dyDescent="0.25">
      <c r="T1014">
        <f>IF(connections!$A1014="","",IFERROR(INDEX(games!$B$2:$B$950,MATCH(connections!$A1014,games!$A$2:$A$950,0)),""))</f>
        <v>2017</v>
      </c>
      <c r="U1014">
        <f>IF(connections!$A1014="","",IFERROR(INDEX(games!$B$2:$B$950,MATCH(connections!$B1014,games!$A$2:$A$950,0)),""))</f>
        <v>2020</v>
      </c>
      <c r="V1014">
        <f t="shared" si="195"/>
        <v>3</v>
      </c>
    </row>
    <row r="1015" spans="20:22" x14ac:dyDescent="0.25">
      <c r="T1015">
        <f>IF(connections!$A1015="","",IFERROR(INDEX(games!$B$2:$B$950,MATCH(connections!$A1015,games!$A$2:$A$950,0)),""))</f>
        <v>2019</v>
      </c>
      <c r="U1015">
        <f>IF(connections!$A1015="","",IFERROR(INDEX(games!$B$2:$B$950,MATCH(connections!$B1015,games!$A$2:$A$950,0)),""))</f>
        <v>2023</v>
      </c>
      <c r="V1015">
        <f t="shared" si="195"/>
        <v>4</v>
      </c>
    </row>
    <row r="1016" spans="20:22" x14ac:dyDescent="0.25">
      <c r="T1016">
        <f>IF(connections!$A1016="","",IFERROR(INDEX(games!$B$2:$B$950,MATCH(connections!$A1016,games!$A$2:$A$950,0)),""))</f>
        <v>2019</v>
      </c>
      <c r="U1016">
        <f>IF(connections!$A1016="","",IFERROR(INDEX(games!$B$2:$B$950,MATCH(connections!$B1016,games!$A$2:$A$950,0)),""))</f>
        <v>2025</v>
      </c>
      <c r="V1016">
        <f t="shared" si="195"/>
        <v>6</v>
      </c>
    </row>
    <row r="1017" spans="20:22" x14ac:dyDescent="0.25">
      <c r="T1017">
        <f>IF(connections!$A1017="","",IFERROR(INDEX(games!$B$2:$B$950,MATCH(connections!$A1017,games!$A$2:$A$950,0)),""))</f>
        <v>2019</v>
      </c>
      <c r="U1017">
        <f>IF(connections!$A1017="","",IFERROR(INDEX(games!$B$2:$B$950,MATCH(connections!$B1017,games!$A$2:$A$950,0)),""))</f>
        <v>2025</v>
      </c>
      <c r="V1017">
        <f t="shared" si="195"/>
        <v>6</v>
      </c>
    </row>
    <row r="1018" spans="20:22" x14ac:dyDescent="0.25">
      <c r="T1018">
        <f>IF(connections!$A1018="","",IFERROR(INDEX(games!$B$2:$B$950,MATCH(connections!$A1018,games!$A$2:$A$950,0)),""))</f>
        <v>2019</v>
      </c>
      <c r="U1018">
        <f>IF(connections!$A1018="","",IFERROR(INDEX(games!$B$2:$B$950,MATCH(connections!$B1018,games!$A$2:$A$950,0)),""))</f>
        <v>2025</v>
      </c>
      <c r="V1018">
        <f t="shared" si="195"/>
        <v>6</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2025</v>
      </c>
      <c r="U1020">
        <f>IF(connections!$A1020="","",IFERROR(INDEX(games!$B$2:$B$950,MATCH(connections!$B1020,games!$A$2:$A$950,0)),""))</f>
        <v>2026</v>
      </c>
      <c r="V1020">
        <f t="shared" si="195"/>
        <v>1</v>
      </c>
    </row>
    <row r="1021" spans="20:22" x14ac:dyDescent="0.25">
      <c r="T1021">
        <f>IF(connections!$A1021="","",IFERROR(INDEX(games!$B$2:$B$950,MATCH(connections!$A1021,games!$A$2:$A$950,0)),""))</f>
        <v>2025</v>
      </c>
      <c r="U1021">
        <f>IF(connections!$A1021="","",IFERROR(INDEX(games!$B$2:$B$950,MATCH(connections!$B1021,games!$A$2:$A$950,0)),""))</f>
        <v>2026</v>
      </c>
      <c r="V1021">
        <f t="shared" si="195"/>
        <v>1</v>
      </c>
    </row>
    <row r="1022" spans="20:22" x14ac:dyDescent="0.25">
      <c r="T1022">
        <f>IF(connections!$A1022="","",IFERROR(INDEX(games!$B$2:$B$950,MATCH(connections!$A1022,games!$A$2:$A$950,0)),""))</f>
        <v>2011</v>
      </c>
      <c r="U1022">
        <f>IF(connections!$A1022="","",IFERROR(INDEX(games!$B$2:$B$950,MATCH(connections!$B1022,games!$A$2:$A$950,0)),""))</f>
        <v>2017</v>
      </c>
      <c r="V1022">
        <f t="shared" si="195"/>
        <v>6</v>
      </c>
    </row>
    <row r="1023" spans="20:22" x14ac:dyDescent="0.25">
      <c r="T1023">
        <f>IF(connections!$A1023="","",IFERROR(INDEX(games!$B$2:$B$950,MATCH(connections!$A1023,games!$A$2:$A$950,0)),""))</f>
        <v>2011</v>
      </c>
      <c r="U1023">
        <f>IF(connections!$A1023="","",IFERROR(INDEX(games!$B$2:$B$950,MATCH(connections!$B1023,games!$A$2:$A$950,0)),""))</f>
        <v>2013</v>
      </c>
      <c r="V1023">
        <f t="shared" si="195"/>
        <v>2</v>
      </c>
    </row>
    <row r="1024" spans="20:22" x14ac:dyDescent="0.25">
      <c r="T1024">
        <f>IF(connections!$A1024="","",IFERROR(INDEX(games!$B$2:$B$950,MATCH(connections!$A1024,games!$A$2:$A$950,0)),""))</f>
        <v>2011</v>
      </c>
      <c r="U1024">
        <f>IF(connections!$A1024="","",IFERROR(INDEX(games!$B$2:$B$950,MATCH(connections!$B1024,games!$A$2:$A$950,0)),""))</f>
        <v>2017</v>
      </c>
      <c r="V1024">
        <f t="shared" si="195"/>
        <v>6</v>
      </c>
    </row>
    <row r="1025" spans="20:22" x14ac:dyDescent="0.25">
      <c r="T1025">
        <f>IF(connections!$A1025="","",IFERROR(INDEX(games!$B$2:$B$950,MATCH(connections!$A1025,games!$A$2:$A$950,0)),""))</f>
        <v>2011</v>
      </c>
      <c r="U1025">
        <f>IF(connections!$A1025="","",IFERROR(INDEX(games!$B$2:$B$950,MATCH(connections!$B1025,games!$A$2:$A$950,0)),""))</f>
        <v>2025</v>
      </c>
      <c r="V1025">
        <f t="shared" si="195"/>
        <v>14</v>
      </c>
    </row>
    <row r="1026" spans="20:22" x14ac:dyDescent="0.25">
      <c r="T1026">
        <f>IF(connections!$A1026="","",IFERROR(INDEX(games!$B$2:$B$950,MATCH(connections!$A1026,games!$A$2:$A$950,0)),""))</f>
        <v>2011</v>
      </c>
      <c r="U1026">
        <f>IF(connections!$A1026="","",IFERROR(INDEX(games!$B$2:$B$950,MATCH(connections!$B1026,games!$A$2:$A$950,0)),""))</f>
        <v>2023</v>
      </c>
      <c r="V1026">
        <f t="shared" ref="V1026:V1089" si="196">IF(OR($T1026="",$U1026=""),"",$U1026-$T1026)</f>
        <v>12</v>
      </c>
    </row>
    <row r="1027" spans="20:22" x14ac:dyDescent="0.25">
      <c r="T1027">
        <f>IF(connections!$A1027="","",IFERROR(INDEX(games!$B$2:$B$950,MATCH(connections!$A1027,games!$A$2:$A$950,0)),""))</f>
        <v>2011</v>
      </c>
      <c r="U1027">
        <f>IF(connections!$A1027="","",IFERROR(INDEX(games!$B$2:$B$950,MATCH(connections!$B1027,games!$A$2:$A$950,0)),""))</f>
        <v>2023</v>
      </c>
      <c r="V1027">
        <f t="shared" si="196"/>
        <v>12</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2021</v>
      </c>
      <c r="V1029">
        <f t="shared" si="196"/>
        <v>10</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2015</v>
      </c>
      <c r="V1033">
        <f t="shared" si="196"/>
        <v>4</v>
      </c>
    </row>
    <row r="1034" spans="20:22" x14ac:dyDescent="0.25">
      <c r="T1034">
        <f>IF(connections!$A1034="","",IFERROR(INDEX(games!$B$2:$B$950,MATCH(connections!$A1034,games!$A$2:$A$950,0)),""))</f>
        <v>2011</v>
      </c>
      <c r="U1034">
        <f>IF(connections!$A1034="","",IFERROR(INDEX(games!$B$2:$B$950,MATCH(connections!$B1034,games!$A$2:$A$950,0)),""))</f>
        <v>2022</v>
      </c>
      <c r="V1034">
        <f t="shared" si="196"/>
        <v>11</v>
      </c>
    </row>
    <row r="1035" spans="20:22" x14ac:dyDescent="0.25">
      <c r="T1035">
        <f>IF(connections!$A1035="","",IFERROR(INDEX(games!$B$2:$B$950,MATCH(connections!$A1035,games!$A$2:$A$950,0)),""))</f>
        <v>2011</v>
      </c>
      <c r="U1035">
        <f>IF(connections!$A1035="","",IFERROR(INDEX(games!$B$2:$B$950,MATCH(connections!$B1035,games!$A$2:$A$950,0)),""))</f>
        <v>2018</v>
      </c>
      <c r="V1035">
        <f t="shared" si="196"/>
        <v>7</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2019</v>
      </c>
      <c r="V1037">
        <f t="shared" si="196"/>
        <v>8</v>
      </c>
    </row>
    <row r="1038" spans="20:22" x14ac:dyDescent="0.25">
      <c r="T1038">
        <f>IF(connections!$A1038="","",IFERROR(INDEX(games!$B$2:$B$950,MATCH(connections!$A1038,games!$A$2:$A$950,0)),""))</f>
        <v>2011</v>
      </c>
      <c r="U1038">
        <f>IF(connections!$A1038="","",IFERROR(INDEX(games!$B$2:$B$950,MATCH(connections!$B1038,games!$A$2:$A$950,0)),""))</f>
        <v>2026</v>
      </c>
      <c r="V1038">
        <f t="shared" si="196"/>
        <v>15</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2024</v>
      </c>
      <c r="V1040">
        <f t="shared" si="196"/>
        <v>13</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2016</v>
      </c>
      <c r="V1042">
        <f t="shared" si="196"/>
        <v>5</v>
      </c>
    </row>
    <row r="1043" spans="20:22" x14ac:dyDescent="0.25">
      <c r="T1043">
        <f>IF(connections!$A1043="","",IFERROR(INDEX(games!$B$2:$B$950,MATCH(connections!$A1043,games!$A$2:$A$950,0)),""))</f>
        <v>2011</v>
      </c>
      <c r="U1043">
        <f>IF(connections!$A1043="","",IFERROR(INDEX(games!$B$2:$B$950,MATCH(connections!$B1043,games!$A$2:$A$950,0)),""))</f>
        <v>2017</v>
      </c>
      <c r="V1043">
        <f t="shared" si="196"/>
        <v>6</v>
      </c>
    </row>
    <row r="1044" spans="20:22" x14ac:dyDescent="0.25">
      <c r="T1044">
        <f>IF(connections!$A1044="","",IFERROR(INDEX(games!$B$2:$B$950,MATCH(connections!$A1044,games!$A$2:$A$950,0)),""))</f>
        <v>2011</v>
      </c>
      <c r="U1044">
        <f>IF(connections!$A1044="","",IFERROR(INDEX(games!$B$2:$B$950,MATCH(connections!$B1044,games!$A$2:$A$950,0)),""))</f>
        <v>2013</v>
      </c>
      <c r="V1044">
        <f t="shared" si="196"/>
        <v>2</v>
      </c>
    </row>
    <row r="1045" spans="20:22" x14ac:dyDescent="0.25">
      <c r="T1045">
        <f>IF(connections!$A1045="","",IFERROR(INDEX(games!$B$2:$B$950,MATCH(connections!$A1045,games!$A$2:$A$950,0)),""))</f>
        <v>2011</v>
      </c>
      <c r="U1045">
        <f>IF(connections!$A1045="","",IFERROR(INDEX(games!$B$2:$B$950,MATCH(connections!$B1045,games!$A$2:$A$950,0)),""))</f>
        <v>2020</v>
      </c>
      <c r="V1045">
        <f t="shared" si="196"/>
        <v>9</v>
      </c>
    </row>
    <row r="1046" spans="20:22" x14ac:dyDescent="0.25">
      <c r="T1046">
        <f>IF(connections!$A1046="","",IFERROR(INDEX(games!$B$2:$B$950,MATCH(connections!$A1046,games!$A$2:$A$950,0)),""))</f>
        <v>2011</v>
      </c>
      <c r="U1046">
        <f>IF(connections!$A1046="","",IFERROR(INDEX(games!$B$2:$B$950,MATCH(connections!$B1046,games!$A$2:$A$950,0)),""))</f>
        <v>2020</v>
      </c>
      <c r="V1046">
        <f t="shared" si="196"/>
        <v>9</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2024</v>
      </c>
      <c r="V1048">
        <f t="shared" si="196"/>
        <v>13</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2023</v>
      </c>
      <c r="V1050">
        <f t="shared" si="196"/>
        <v>12</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2025</v>
      </c>
      <c r="V1052">
        <f t="shared" si="196"/>
        <v>14</v>
      </c>
    </row>
    <row r="1053" spans="20:22" x14ac:dyDescent="0.25">
      <c r="T1053">
        <f>IF(connections!$A1053="","",IFERROR(INDEX(games!$B$2:$B$950,MATCH(connections!$A1053,games!$A$2:$A$950,0)),""))</f>
        <v>2011</v>
      </c>
      <c r="U1053">
        <f>IF(connections!$A1053="","",IFERROR(INDEX(games!$B$2:$B$950,MATCH(connections!$B1053,games!$A$2:$A$950,0)),""))</f>
        <v>2026</v>
      </c>
      <c r="V1053">
        <f t="shared" si="196"/>
        <v>15</v>
      </c>
    </row>
    <row r="1054" spans="20:22" x14ac:dyDescent="0.25">
      <c r="T1054">
        <f>IF(connections!$A1054="","",IFERROR(INDEX(games!$B$2:$B$950,MATCH(connections!$A1054,games!$A$2:$A$950,0)),""))</f>
        <v>2011</v>
      </c>
      <c r="U1054">
        <f>IF(connections!$A1054="","",IFERROR(INDEX(games!$B$2:$B$950,MATCH(connections!$B1054,games!$A$2:$A$950,0)),""))</f>
        <v>2015</v>
      </c>
      <c r="V1054">
        <f t="shared" si="196"/>
        <v>4</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2019</v>
      </c>
      <c r="V1056">
        <f t="shared" si="196"/>
        <v>8</v>
      </c>
    </row>
    <row r="1057" spans="20:22" x14ac:dyDescent="0.25">
      <c r="T1057">
        <f>IF(connections!$A1057="","",IFERROR(INDEX(games!$B$2:$B$950,MATCH(connections!$A1057,games!$A$2:$A$950,0)),""))</f>
        <v>2011</v>
      </c>
      <c r="U1057">
        <f>IF(connections!$A1057="","",IFERROR(INDEX(games!$B$2:$B$950,MATCH(connections!$B1057,games!$A$2:$A$950,0)),""))</f>
        <v>2025</v>
      </c>
      <c r="V1057">
        <f t="shared" si="196"/>
        <v>14</v>
      </c>
    </row>
    <row r="1058" spans="20:22" x14ac:dyDescent="0.25">
      <c r="T1058">
        <f>IF(connections!$A1058="","",IFERROR(INDEX(games!$B$2:$B$950,MATCH(connections!$A1058,games!$A$2:$A$950,0)),""))</f>
        <v>2011</v>
      </c>
      <c r="U1058">
        <f>IF(connections!$A1058="","",IFERROR(INDEX(games!$B$2:$B$950,MATCH(connections!$B1058,games!$A$2:$A$950,0)),""))</f>
        <v>2019</v>
      </c>
      <c r="V1058">
        <f t="shared" si="196"/>
        <v>8</v>
      </c>
    </row>
    <row r="1059" spans="20:22" x14ac:dyDescent="0.25">
      <c r="T1059">
        <f>IF(connections!$A1059="","",IFERROR(INDEX(games!$B$2:$B$950,MATCH(connections!$A1059,games!$A$2:$A$950,0)),""))</f>
        <v>2011</v>
      </c>
      <c r="U1059">
        <f>IF(connections!$A1059="","",IFERROR(INDEX(games!$B$2:$B$950,MATCH(connections!$B1059,games!$A$2:$A$950,0)),""))</f>
        <v>2024</v>
      </c>
      <c r="V1059">
        <f t="shared" si="196"/>
        <v>13</v>
      </c>
    </row>
    <row r="1060" spans="20:22" x14ac:dyDescent="0.25">
      <c r="T1060">
        <f>IF(connections!$A1060="","",IFERROR(INDEX(games!$B$2:$B$950,MATCH(connections!$A1060,games!$A$2:$A$950,0)),""))</f>
        <v>2011</v>
      </c>
      <c r="U1060">
        <f>IF(connections!$A1060="","",IFERROR(INDEX(games!$B$2:$B$950,MATCH(connections!$B1060,games!$A$2:$A$950,0)),""))</f>
        <v>2021</v>
      </c>
      <c r="V1060">
        <f t="shared" si="196"/>
        <v>10</v>
      </c>
    </row>
    <row r="1061" spans="20:22" x14ac:dyDescent="0.25">
      <c r="T1061">
        <f>IF(connections!$A1061="","",IFERROR(INDEX(games!$B$2:$B$950,MATCH(connections!$A1061,games!$A$2:$A$950,0)),""))</f>
        <v>2011</v>
      </c>
      <c r="U1061">
        <f>IF(connections!$A1061="","",IFERROR(INDEX(games!$B$2:$B$950,MATCH(connections!$B1061,games!$A$2:$A$950,0)),""))</f>
        <v>2014</v>
      </c>
      <c r="V1061">
        <f t="shared" si="196"/>
        <v>3</v>
      </c>
    </row>
    <row r="1062" spans="20:22" x14ac:dyDescent="0.25">
      <c r="T1062">
        <f>IF(connections!$A1062="","",IFERROR(INDEX(games!$B$2:$B$950,MATCH(connections!$A1062,games!$A$2:$A$950,0)),""))</f>
        <v>2011</v>
      </c>
      <c r="U1062">
        <f>IF(connections!$A1062="","",IFERROR(INDEX(games!$B$2:$B$950,MATCH(connections!$B1062,games!$A$2:$A$950,0)),""))</f>
        <v>2023</v>
      </c>
      <c r="V1062">
        <f t="shared" si="196"/>
        <v>12</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2026</v>
      </c>
      <c r="V1064">
        <f t="shared" si="196"/>
        <v>15</v>
      </c>
    </row>
    <row r="1065" spans="20:22" x14ac:dyDescent="0.25">
      <c r="T1065">
        <f>IF(connections!$A1065="","",IFERROR(INDEX(games!$B$2:$B$950,MATCH(connections!$A1065,games!$A$2:$A$950,0)),""))</f>
        <v>2011</v>
      </c>
      <c r="U1065">
        <f>IF(connections!$A1065="","",IFERROR(INDEX(games!$B$2:$B$950,MATCH(connections!$B1065,games!$A$2:$A$950,0)),""))</f>
        <v>2026</v>
      </c>
      <c r="V1065">
        <f t="shared" si="196"/>
        <v>15</v>
      </c>
    </row>
    <row r="1066" spans="20:22" x14ac:dyDescent="0.25">
      <c r="T1066">
        <f>IF(connections!$A1066="","",IFERROR(INDEX(games!$B$2:$B$950,MATCH(connections!$A1066,games!$A$2:$A$950,0)),""))</f>
        <v>2011</v>
      </c>
      <c r="U1066">
        <f>IF(connections!$A1066="","",IFERROR(INDEX(games!$B$2:$B$950,MATCH(connections!$B1066,games!$A$2:$A$950,0)),""))</f>
        <v>2026</v>
      </c>
      <c r="V1066">
        <f t="shared" si="196"/>
        <v>15</v>
      </c>
    </row>
    <row r="1067" spans="20:22" x14ac:dyDescent="0.25">
      <c r="T1067">
        <f>IF(connections!$A1067="","",IFERROR(INDEX(games!$B$2:$B$950,MATCH(connections!$A1067,games!$A$2:$A$950,0)),""))</f>
        <v>2011</v>
      </c>
      <c r="U1067">
        <f>IF(connections!$A1067="","",IFERROR(INDEX(games!$B$2:$B$950,MATCH(connections!$B1067,games!$A$2:$A$950,0)),""))</f>
        <v>2015</v>
      </c>
      <c r="V1067">
        <f t="shared" si="196"/>
        <v>4</v>
      </c>
    </row>
    <row r="1068" spans="20:22" x14ac:dyDescent="0.25">
      <c r="T1068">
        <f>IF(connections!$A1068="","",IFERROR(INDEX(games!$B$2:$B$950,MATCH(connections!$A1068,games!$A$2:$A$950,0)),""))</f>
        <v>2011</v>
      </c>
      <c r="U1068">
        <f>IF(connections!$A1068="","",IFERROR(INDEX(games!$B$2:$B$950,MATCH(connections!$B1068,games!$A$2:$A$950,0)),""))</f>
        <v>2021</v>
      </c>
      <c r="V1068">
        <f t="shared" si="196"/>
        <v>10</v>
      </c>
    </row>
    <row r="1069" spans="20:22" x14ac:dyDescent="0.25">
      <c r="T1069">
        <f>IF(connections!$A1069="","",IFERROR(INDEX(games!$B$2:$B$950,MATCH(connections!$A1069,games!$A$2:$A$950,0)),""))</f>
        <v>2011</v>
      </c>
      <c r="U1069">
        <f>IF(connections!$A1069="","",IFERROR(INDEX(games!$B$2:$B$950,MATCH(connections!$B1069,games!$A$2:$A$950,0)),""))</f>
        <v>2013</v>
      </c>
      <c r="V1069">
        <f t="shared" si="196"/>
        <v>2</v>
      </c>
    </row>
    <row r="1070" spans="20:22" x14ac:dyDescent="0.25">
      <c r="T1070">
        <f>IF(connections!$A1070="","",IFERROR(INDEX(games!$B$2:$B$950,MATCH(connections!$A1070,games!$A$2:$A$950,0)),""))</f>
        <v>2011</v>
      </c>
      <c r="U1070">
        <f>IF(connections!$A1070="","",IFERROR(INDEX(games!$B$2:$B$950,MATCH(connections!$B1070,games!$A$2:$A$950,0)),""))</f>
        <v>2023</v>
      </c>
      <c r="V1070">
        <f t="shared" si="196"/>
        <v>12</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2017</v>
      </c>
      <c r="V1072">
        <f t="shared" si="196"/>
        <v>6</v>
      </c>
    </row>
    <row r="1073" spans="20:22" x14ac:dyDescent="0.25">
      <c r="T1073">
        <f>IF(connections!$A1073="","",IFERROR(INDEX(games!$B$2:$B$950,MATCH(connections!$A1073,games!$A$2:$A$950,0)),""))</f>
        <v>2011</v>
      </c>
      <c r="U1073">
        <f>IF(connections!$A1073="","",IFERROR(INDEX(games!$B$2:$B$950,MATCH(connections!$B1073,games!$A$2:$A$950,0)),""))</f>
        <v>2019</v>
      </c>
      <c r="V1073">
        <f t="shared" si="196"/>
        <v>8</v>
      </c>
    </row>
    <row r="1074" spans="20:22" x14ac:dyDescent="0.25">
      <c r="T1074">
        <f>IF(connections!$A1074="","",IFERROR(INDEX(games!$B$2:$B$950,MATCH(connections!$A1074,games!$A$2:$A$950,0)),""))</f>
        <v>2011</v>
      </c>
      <c r="U1074">
        <f>IF(connections!$A1074="","",IFERROR(INDEX(games!$B$2:$B$950,MATCH(connections!$B1074,games!$A$2:$A$950,0)),""))</f>
        <v>2017</v>
      </c>
      <c r="V1074">
        <f t="shared" si="196"/>
        <v>6</v>
      </c>
    </row>
    <row r="1075" spans="20:22" x14ac:dyDescent="0.25">
      <c r="T1075">
        <f>IF(connections!$A1075="","",IFERROR(INDEX(games!$B$2:$B$950,MATCH(connections!$A1075,games!$A$2:$A$950,0)),""))</f>
        <v>2011</v>
      </c>
      <c r="U1075">
        <f>IF(connections!$A1075="","",IFERROR(INDEX(games!$B$2:$B$950,MATCH(connections!$B1075,games!$A$2:$A$950,0)),""))</f>
        <v>2019</v>
      </c>
      <c r="V1075">
        <f t="shared" si="196"/>
        <v>8</v>
      </c>
    </row>
    <row r="1076" spans="20:22" x14ac:dyDescent="0.25">
      <c r="T1076">
        <f>IF(connections!$A1076="","",IFERROR(INDEX(games!$B$2:$B$950,MATCH(connections!$A1076,games!$A$2:$A$950,0)),""))</f>
        <v>2011</v>
      </c>
      <c r="U1076">
        <f>IF(connections!$A1076="","",IFERROR(INDEX(games!$B$2:$B$950,MATCH(connections!$B1076,games!$A$2:$A$950,0)),""))</f>
        <v>2016</v>
      </c>
      <c r="V1076">
        <f t="shared" si="196"/>
        <v>5</v>
      </c>
    </row>
    <row r="1077" spans="20:22" x14ac:dyDescent="0.25">
      <c r="T1077">
        <f>IF(connections!$A1077="","",IFERROR(INDEX(games!$B$2:$B$950,MATCH(connections!$A1077,games!$A$2:$A$950,0)),""))</f>
        <v>2011</v>
      </c>
      <c r="U1077">
        <f>IF(connections!$A1077="","",IFERROR(INDEX(games!$B$2:$B$950,MATCH(connections!$B1077,games!$A$2:$A$950,0)),""))</f>
        <v>2023</v>
      </c>
      <c r="V1077">
        <f t="shared" si="196"/>
        <v>12</v>
      </c>
    </row>
    <row r="1078" spans="20:22" x14ac:dyDescent="0.25">
      <c r="T1078">
        <f>IF(connections!$A1078="","",IFERROR(INDEX(games!$B$2:$B$950,MATCH(connections!$A1078,games!$A$2:$A$950,0)),""))</f>
        <v>2011</v>
      </c>
      <c r="U1078">
        <f>IF(connections!$A1078="","",IFERROR(INDEX(games!$B$2:$B$950,MATCH(connections!$B1078,games!$A$2:$A$950,0)),""))</f>
        <v>2014</v>
      </c>
      <c r="V1078">
        <f t="shared" si="196"/>
        <v>3</v>
      </c>
    </row>
    <row r="1079" spans="20:22" x14ac:dyDescent="0.25">
      <c r="T1079">
        <f>IF(connections!$A1079="","",IFERROR(INDEX(games!$B$2:$B$950,MATCH(connections!$A1079,games!$A$2:$A$950,0)),""))</f>
        <v>2011</v>
      </c>
      <c r="U1079">
        <f>IF(connections!$A1079="","",IFERROR(INDEX(games!$B$2:$B$950,MATCH(connections!$B1079,games!$A$2:$A$950,0)),""))</f>
        <v>2023</v>
      </c>
      <c r="V1079">
        <f t="shared" si="196"/>
        <v>12</v>
      </c>
    </row>
    <row r="1080" spans="20:22" x14ac:dyDescent="0.25">
      <c r="T1080">
        <f>IF(connections!$A1080="","",IFERROR(INDEX(games!$B$2:$B$950,MATCH(connections!$A1080,games!$A$2:$A$950,0)),""))</f>
        <v>2011</v>
      </c>
      <c r="U1080">
        <f>IF(connections!$A1080="","",IFERROR(INDEX(games!$B$2:$B$950,MATCH(connections!$B1080,games!$A$2:$A$950,0)),""))</f>
        <v>2019</v>
      </c>
      <c r="V1080">
        <f t="shared" si="196"/>
        <v>8</v>
      </c>
    </row>
    <row r="1081" spans="20:22" x14ac:dyDescent="0.25">
      <c r="T1081">
        <f>IF(connections!$A1081="","",IFERROR(INDEX(games!$B$2:$B$950,MATCH(connections!$A1081,games!$A$2:$A$950,0)),""))</f>
        <v>2011</v>
      </c>
      <c r="U1081">
        <f>IF(connections!$A1081="","",IFERROR(INDEX(games!$B$2:$B$950,MATCH(connections!$B1081,games!$A$2:$A$950,0)),""))</f>
        <v>2018</v>
      </c>
      <c r="V1081">
        <f t="shared" si="196"/>
        <v>7</v>
      </c>
    </row>
    <row r="1082" spans="20:22" x14ac:dyDescent="0.25">
      <c r="T1082">
        <f>IF(connections!$A1082="","",IFERROR(INDEX(games!$B$2:$B$950,MATCH(connections!$A1082,games!$A$2:$A$950,0)),""))</f>
        <v>2011</v>
      </c>
      <c r="U1082">
        <f>IF(connections!$A1082="","",IFERROR(INDEX(games!$B$2:$B$950,MATCH(connections!$B1082,games!$A$2:$A$950,0)),""))</f>
        <v>2022</v>
      </c>
      <c r="V1082">
        <f t="shared" si="196"/>
        <v>11</v>
      </c>
    </row>
    <row r="1083" spans="20:22" x14ac:dyDescent="0.25">
      <c r="T1083">
        <f>IF(connections!$A1083="","",IFERROR(INDEX(games!$B$2:$B$950,MATCH(connections!$A1083,games!$A$2:$A$950,0)),""))</f>
        <v>2011</v>
      </c>
      <c r="U1083">
        <f>IF(connections!$A1083="","",IFERROR(INDEX(games!$B$2:$B$950,MATCH(connections!$B1083,games!$A$2:$A$950,0)),""))</f>
        <v>2022</v>
      </c>
      <c r="V1083">
        <f t="shared" si="196"/>
        <v>11</v>
      </c>
    </row>
    <row r="1084" spans="20:22" x14ac:dyDescent="0.25">
      <c r="T1084">
        <f>IF(connections!$A1084="","",IFERROR(INDEX(games!$B$2:$B$950,MATCH(connections!$A1084,games!$A$2:$A$950,0)),""))</f>
        <v>2011</v>
      </c>
      <c r="U1084">
        <f>IF(connections!$A1084="","",IFERROR(INDEX(games!$B$2:$B$950,MATCH(connections!$B1084,games!$A$2:$A$950,0)),""))</f>
        <v>2014</v>
      </c>
      <c r="V1084">
        <f t="shared" si="196"/>
        <v>3</v>
      </c>
    </row>
    <row r="1085" spans="20:22" x14ac:dyDescent="0.25">
      <c r="T1085">
        <f>IF(connections!$A1085="","",IFERROR(INDEX(games!$B$2:$B$950,MATCH(connections!$A1085,games!$A$2:$A$950,0)),""))</f>
        <v>2011</v>
      </c>
      <c r="U1085">
        <f>IF(connections!$A1085="","",IFERROR(INDEX(games!$B$2:$B$950,MATCH(connections!$B1085,games!$A$2:$A$950,0)),""))</f>
        <v>2017</v>
      </c>
      <c r="V1085">
        <f t="shared" si="196"/>
        <v>6</v>
      </c>
    </row>
    <row r="1086" spans="20:22" x14ac:dyDescent="0.25">
      <c r="T1086">
        <f>IF(connections!$A1086="","",IFERROR(INDEX(games!$B$2:$B$950,MATCH(connections!$A1086,games!$A$2:$A$950,0)),""))</f>
        <v>2011</v>
      </c>
      <c r="U1086">
        <f>IF(connections!$A1086="","",IFERROR(INDEX(games!$B$2:$B$950,MATCH(connections!$B1086,games!$A$2:$A$950,0)),""))</f>
        <v>2012</v>
      </c>
      <c r="V1086">
        <f t="shared" si="196"/>
        <v>1</v>
      </c>
    </row>
    <row r="1087" spans="20:22" x14ac:dyDescent="0.25">
      <c r="T1087">
        <f>IF(connections!$A1087="","",IFERROR(INDEX(games!$B$2:$B$950,MATCH(connections!$A1087,games!$A$2:$A$950,0)),""))</f>
        <v>2011</v>
      </c>
      <c r="U1087">
        <f>IF(connections!$A1087="","",IFERROR(INDEX(games!$B$2:$B$950,MATCH(connections!$B1087,games!$A$2:$A$950,0)),""))</f>
        <v>2019</v>
      </c>
      <c r="V1087">
        <f t="shared" si="196"/>
        <v>8</v>
      </c>
    </row>
    <row r="1088" spans="20:22" x14ac:dyDescent="0.25">
      <c r="T1088">
        <f>IF(connections!$A1088="","",IFERROR(INDEX(games!$B$2:$B$950,MATCH(connections!$A1088,games!$A$2:$A$950,0)),""))</f>
        <v>2011</v>
      </c>
      <c r="U1088">
        <f>IF(connections!$A1088="","",IFERROR(INDEX(games!$B$2:$B$950,MATCH(connections!$B1088,games!$A$2:$A$950,0)),""))</f>
        <v>2023</v>
      </c>
      <c r="V1088">
        <f t="shared" si="196"/>
        <v>12</v>
      </c>
    </row>
    <row r="1089" spans="20:22" x14ac:dyDescent="0.25">
      <c r="T1089">
        <f>IF(connections!$A1089="","",IFERROR(INDEX(games!$B$2:$B$950,MATCH(connections!$A1089,games!$A$2:$A$950,0)),""))</f>
        <v>2011</v>
      </c>
      <c r="U1089">
        <f>IF(connections!$A1089="","",IFERROR(INDEX(games!$B$2:$B$950,MATCH(connections!$B1089,games!$A$2:$A$950,0)),""))</f>
        <v>2021</v>
      </c>
      <c r="V1089">
        <f t="shared" si="196"/>
        <v>10</v>
      </c>
    </row>
    <row r="1090" spans="20:22" x14ac:dyDescent="0.25">
      <c r="T1090">
        <f>IF(connections!$A1090="","",IFERROR(INDEX(games!$B$2:$B$950,MATCH(connections!$A1090,games!$A$2:$A$950,0)),""))</f>
        <v>2000</v>
      </c>
      <c r="U1090">
        <f>IF(connections!$A1090="","",IFERROR(INDEX(games!$B$2:$B$950,MATCH(connections!$B1090,games!$A$2:$A$950,0)),""))</f>
        <v>2004</v>
      </c>
      <c r="V1090">
        <f t="shared" ref="V1090:V1153" si="197">IF(OR($T1090="",$U1090=""),"",$U1090-$T1090)</f>
        <v>4</v>
      </c>
    </row>
    <row r="1091" spans="20:22" x14ac:dyDescent="0.25">
      <c r="T1091">
        <f>IF(connections!$A1091="","",IFERROR(INDEX(games!$B$2:$B$950,MATCH(connections!$A1091,games!$A$2:$A$950,0)),""))</f>
        <v>2000</v>
      </c>
      <c r="U1091">
        <f>IF(connections!$A1091="","",IFERROR(INDEX(games!$B$2:$B$950,MATCH(connections!$B1091,games!$A$2:$A$950,0)),""))</f>
        <v>2007</v>
      </c>
      <c r="V1091">
        <f t="shared" si="197"/>
        <v>7</v>
      </c>
    </row>
    <row r="1092" spans="20:22" x14ac:dyDescent="0.25">
      <c r="T1092">
        <f>IF(connections!$A1092="","",IFERROR(INDEX(games!$B$2:$B$950,MATCH(connections!$A1092,games!$A$2:$A$950,0)),""))</f>
        <v>2014</v>
      </c>
      <c r="U1092">
        <f>IF(connections!$A1092="","",IFERROR(INDEX(games!$B$2:$B$950,MATCH(connections!$B1092,games!$A$2:$A$950,0)),""))</f>
        <v>2025</v>
      </c>
      <c r="V1092">
        <f t="shared" si="197"/>
        <v>11</v>
      </c>
    </row>
    <row r="1093" spans="20:22" x14ac:dyDescent="0.25">
      <c r="T1093">
        <f>IF(connections!$A1093="","",IFERROR(INDEX(games!$B$2:$B$950,MATCH(connections!$A1093,games!$A$2:$A$950,0)),""))</f>
        <v>2019</v>
      </c>
      <c r="U1093">
        <f>IF(connections!$A1093="","",IFERROR(INDEX(games!$B$2:$B$950,MATCH(connections!$B1093,games!$A$2:$A$950,0)),""))</f>
        <v>2021</v>
      </c>
      <c r="V1093">
        <f t="shared" si="197"/>
        <v>2</v>
      </c>
    </row>
    <row r="1094" spans="20:22" x14ac:dyDescent="0.25">
      <c r="T1094">
        <f>IF(connections!$A1094="","",IFERROR(INDEX(games!$B$2:$B$950,MATCH(connections!$A1094,games!$A$2:$A$950,0)),""))</f>
        <v>2019</v>
      </c>
      <c r="U1094">
        <f>IF(connections!$A1094="","",IFERROR(INDEX(games!$B$2:$B$950,MATCH(connections!$B1094,games!$A$2:$A$950,0)),""))</f>
        <v>2026</v>
      </c>
      <c r="V1094">
        <f t="shared" si="197"/>
        <v>7</v>
      </c>
    </row>
    <row r="1095" spans="20:22" x14ac:dyDescent="0.25">
      <c r="T1095">
        <f>IF(connections!$A1095="","",IFERROR(INDEX(games!$B$2:$B$950,MATCH(connections!$A1095,games!$A$2:$A$950,0)),""))</f>
        <v>2022</v>
      </c>
      <c r="U1095">
        <f>IF(connections!$A1095="","",IFERROR(INDEX(games!$B$2:$B$950,MATCH(connections!$B1095,games!$A$2:$A$950,0)),""))</f>
        <v>2024</v>
      </c>
      <c r="V1095">
        <f t="shared" si="197"/>
        <v>2</v>
      </c>
    </row>
    <row r="1096" spans="20:22" x14ac:dyDescent="0.25">
      <c r="T1096">
        <f>IF(connections!$A1096="","",IFERROR(INDEX(games!$B$2:$B$950,MATCH(connections!$A1096,games!$A$2:$A$950,0)),""))</f>
        <v>2025</v>
      </c>
      <c r="U1096">
        <f>IF(connections!$A1096="","",IFERROR(INDEX(games!$B$2:$B$950,MATCH(connections!$B1096,games!$A$2:$A$950,0)),""))</f>
        <v>2026</v>
      </c>
      <c r="V1096">
        <f t="shared" si="197"/>
        <v>1</v>
      </c>
    </row>
    <row r="1097" spans="20:22" x14ac:dyDescent="0.25">
      <c r="T1097">
        <f>IF(connections!$A1097="","",IFERROR(INDEX(games!$B$2:$B$950,MATCH(connections!$A1097,games!$A$2:$A$950,0)),""))</f>
        <v>2022</v>
      </c>
      <c r="U1097">
        <f>IF(connections!$A1097="","",IFERROR(INDEX(games!$B$2:$B$950,MATCH(connections!$B1097,games!$A$2:$A$950,0)),""))</f>
        <v>2023</v>
      </c>
      <c r="V1097">
        <f t="shared" si="197"/>
        <v>1</v>
      </c>
    </row>
    <row r="1098" spans="20:22" x14ac:dyDescent="0.25">
      <c r="T1098">
        <f>IF(connections!$A1098="","",IFERROR(INDEX(games!$B$2:$B$950,MATCH(connections!$A1098,games!$A$2:$A$950,0)),""))</f>
        <v>1991</v>
      </c>
      <c r="U1098">
        <f>IF(connections!$A1098="","",IFERROR(INDEX(games!$B$2:$B$950,MATCH(connections!$B1098,games!$A$2:$A$950,0)),""))</f>
        <v>2020</v>
      </c>
      <c r="V1098">
        <f t="shared" si="197"/>
        <v>29</v>
      </c>
    </row>
    <row r="1099" spans="20:22" x14ac:dyDescent="0.25">
      <c r="T1099">
        <f>IF(connections!$A1099="","",IFERROR(INDEX(games!$B$2:$B$950,MATCH(connections!$A1099,games!$A$2:$A$950,0)),""))</f>
        <v>1991</v>
      </c>
      <c r="U1099">
        <f>IF(connections!$A1099="","",IFERROR(INDEX(games!$B$2:$B$950,MATCH(connections!$B1099,games!$A$2:$A$950,0)),""))</f>
        <v>2019</v>
      </c>
      <c r="V1099">
        <f t="shared" si="197"/>
        <v>28</v>
      </c>
    </row>
    <row r="1100" spans="20:22" x14ac:dyDescent="0.25">
      <c r="T1100">
        <f>IF(connections!$A1100="","",IFERROR(INDEX(games!$B$2:$B$950,MATCH(connections!$A1100,games!$A$2:$A$950,0)),""))</f>
        <v>1999</v>
      </c>
      <c r="U1100">
        <f>IF(connections!$A1100="","",IFERROR(INDEX(games!$B$2:$B$950,MATCH(connections!$B1100,games!$A$2:$A$950,0)),""))</f>
        <v>2010</v>
      </c>
      <c r="V1100">
        <f t="shared" si="197"/>
        <v>11</v>
      </c>
    </row>
    <row r="1101" spans="20:22" x14ac:dyDescent="0.25">
      <c r="T1101">
        <f>IF(connections!$A1101="","",IFERROR(INDEX(games!$B$2:$B$950,MATCH(connections!$A1101,games!$A$2:$A$950,0)),""))</f>
        <v>1999</v>
      </c>
      <c r="U1101">
        <f>IF(connections!$A1101="","",IFERROR(INDEX(games!$B$2:$B$950,MATCH(connections!$B1101,games!$A$2:$A$950,0)),""))</f>
        <v>2002</v>
      </c>
      <c r="V1101">
        <f t="shared" si="197"/>
        <v>3</v>
      </c>
    </row>
    <row r="1102" spans="20:22" x14ac:dyDescent="0.25">
      <c r="T1102">
        <f>IF(connections!$A1102="","",IFERROR(INDEX(games!$B$2:$B$950,MATCH(connections!$A1102,games!$A$2:$A$950,0)),""))</f>
        <v>1993</v>
      </c>
      <c r="U1102">
        <f>IF(connections!$A1102="","",IFERROR(INDEX(games!$B$2:$B$950,MATCH(connections!$B1102,games!$A$2:$A$950,0)),""))</f>
        <v>1997</v>
      </c>
      <c r="V1102">
        <f t="shared" si="197"/>
        <v>4</v>
      </c>
    </row>
    <row r="1103" spans="20:22" x14ac:dyDescent="0.25">
      <c r="T1103">
        <f>IF(connections!$A1103="","",IFERROR(INDEX(games!$B$2:$B$950,MATCH(connections!$A1103,games!$A$2:$A$950,0)),""))</f>
        <v>1993</v>
      </c>
      <c r="U1103">
        <f>IF(connections!$A1103="","",IFERROR(INDEX(games!$B$2:$B$950,MATCH(connections!$B1103,games!$A$2:$A$950,0)),""))</f>
        <v>1998</v>
      </c>
      <c r="V1103">
        <f t="shared" si="197"/>
        <v>5</v>
      </c>
    </row>
    <row r="1104" spans="20:22" x14ac:dyDescent="0.25">
      <c r="T1104">
        <f>IF(connections!$A1104="","",IFERROR(INDEX(games!$B$2:$B$950,MATCH(connections!$A1104,games!$A$2:$A$950,0)),""))</f>
        <v>1993</v>
      </c>
      <c r="U1104">
        <f>IF(connections!$A1104="","",IFERROR(INDEX(games!$B$2:$B$950,MATCH(connections!$B1104,games!$A$2:$A$950,0)),""))</f>
        <v>1997</v>
      </c>
      <c r="V1104">
        <f t="shared" si="197"/>
        <v>4</v>
      </c>
    </row>
    <row r="1105" spans="20:22" x14ac:dyDescent="0.25">
      <c r="T1105">
        <f>IF(connections!$A1105="","",IFERROR(INDEX(games!$B$2:$B$950,MATCH(connections!$A1105,games!$A$2:$A$950,0)),""))</f>
        <v>1993</v>
      </c>
      <c r="U1105">
        <f>IF(connections!$A1105="","",IFERROR(INDEX(games!$B$2:$B$950,MATCH(connections!$B1105,games!$A$2:$A$950,0)),""))</f>
        <v>2022</v>
      </c>
      <c r="V1105">
        <f t="shared" si="197"/>
        <v>29</v>
      </c>
    </row>
    <row r="1106" spans="20:22" x14ac:dyDescent="0.25">
      <c r="T1106">
        <f>IF(connections!$A1106="","",IFERROR(INDEX(games!$B$2:$B$950,MATCH(connections!$A1106,games!$A$2:$A$950,0)),""))</f>
        <v>1993</v>
      </c>
      <c r="U1106">
        <f>IF(connections!$A1106="","",IFERROR(INDEX(games!$B$2:$B$950,MATCH(connections!$B1106,games!$A$2:$A$950,0)),""))</f>
        <v>2006</v>
      </c>
      <c r="V1106">
        <f t="shared" si="197"/>
        <v>13</v>
      </c>
    </row>
    <row r="1107" spans="20:22" x14ac:dyDescent="0.25">
      <c r="T1107">
        <f>IF(connections!$A1107="","",IFERROR(INDEX(games!$B$2:$B$950,MATCH(connections!$A1107,games!$A$2:$A$950,0)),""))</f>
        <v>1993</v>
      </c>
      <c r="U1107">
        <f>IF(connections!$A1107="","",IFERROR(INDEX(games!$B$2:$B$950,MATCH(connections!$B1107,games!$A$2:$A$950,0)),""))</f>
        <v>2023</v>
      </c>
      <c r="V1107">
        <f t="shared" si="197"/>
        <v>30</v>
      </c>
    </row>
    <row r="1108" spans="20:22" x14ac:dyDescent="0.25">
      <c r="T1108">
        <f>IF(connections!$A1108="","",IFERROR(INDEX(games!$B$2:$B$950,MATCH(connections!$A1108,games!$A$2:$A$950,0)),""))</f>
        <v>1993</v>
      </c>
      <c r="U1108">
        <f>IF(connections!$A1108="","",IFERROR(INDEX(games!$B$2:$B$950,MATCH(connections!$B1108,games!$A$2:$A$950,0)),""))</f>
        <v>2008</v>
      </c>
      <c r="V1108">
        <f t="shared" si="197"/>
        <v>15</v>
      </c>
    </row>
    <row r="1109" spans="20:22" x14ac:dyDescent="0.25">
      <c r="T1109">
        <f>IF(connections!$A1109="","",IFERROR(INDEX(games!$B$2:$B$950,MATCH(connections!$A1109,games!$A$2:$A$950,0)),""))</f>
        <v>1993</v>
      </c>
      <c r="U1109">
        <f>IF(connections!$A1109="","",IFERROR(INDEX(games!$B$2:$B$950,MATCH(connections!$B1109,games!$A$2:$A$950,0)),""))</f>
        <v>2015</v>
      </c>
      <c r="V1109">
        <f t="shared" si="197"/>
        <v>22</v>
      </c>
    </row>
    <row r="1110" spans="20:22" x14ac:dyDescent="0.25">
      <c r="T1110">
        <f>IF(connections!$A1110="","",IFERROR(INDEX(games!$B$2:$B$950,MATCH(connections!$A1110,games!$A$2:$A$950,0)),""))</f>
        <v>1993</v>
      </c>
      <c r="U1110">
        <f>IF(connections!$A1110="","",IFERROR(INDEX(games!$B$2:$B$950,MATCH(connections!$B1110,games!$A$2:$A$950,0)),""))</f>
        <v>2026</v>
      </c>
      <c r="V1110">
        <f t="shared" si="197"/>
        <v>33</v>
      </c>
    </row>
    <row r="1111" spans="20:22" x14ac:dyDescent="0.25">
      <c r="T1111">
        <f>IF(connections!$A1111="","",IFERROR(INDEX(games!$B$2:$B$950,MATCH(connections!$A1111,games!$A$2:$A$950,0)),""))</f>
        <v>1993</v>
      </c>
      <c r="U1111">
        <f>IF(connections!$A1111="","",IFERROR(INDEX(games!$B$2:$B$950,MATCH(connections!$B1111,games!$A$2:$A$950,0)),""))</f>
        <v>2025</v>
      </c>
      <c r="V1111">
        <f t="shared" si="197"/>
        <v>32</v>
      </c>
    </row>
    <row r="1112" spans="20:22" x14ac:dyDescent="0.25">
      <c r="T1112">
        <f>IF(connections!$A1112="","",IFERROR(INDEX(games!$B$2:$B$950,MATCH(connections!$A1112,games!$A$2:$A$950,0)),""))</f>
        <v>1993</v>
      </c>
      <c r="U1112">
        <f>IF(connections!$A1112="","",IFERROR(INDEX(games!$B$2:$B$950,MATCH(connections!$B1112,games!$A$2:$A$950,0)),""))</f>
        <v>2006</v>
      </c>
      <c r="V1112">
        <f t="shared" si="197"/>
        <v>13</v>
      </c>
    </row>
    <row r="1113" spans="20:22" x14ac:dyDescent="0.25">
      <c r="T1113">
        <f>IF(connections!$A1113="","",IFERROR(INDEX(games!$B$2:$B$950,MATCH(connections!$A1113,games!$A$2:$A$950,0)),""))</f>
        <v>1993</v>
      </c>
      <c r="U1113">
        <f>IF(connections!$A1113="","",IFERROR(INDEX(games!$B$2:$B$950,MATCH(connections!$B1113,games!$A$2:$A$950,0)),""))</f>
        <v>2023</v>
      </c>
      <c r="V1113">
        <f t="shared" si="197"/>
        <v>30</v>
      </c>
    </row>
    <row r="1114" spans="20:22" x14ac:dyDescent="0.25">
      <c r="T1114">
        <f>IF(connections!$A1114="","",IFERROR(INDEX(games!$B$2:$B$950,MATCH(connections!$A1114,games!$A$2:$A$950,0)),""))</f>
        <v>1993</v>
      </c>
      <c r="U1114">
        <f>IF(connections!$A1114="","",IFERROR(INDEX(games!$B$2:$B$950,MATCH(connections!$B1114,games!$A$2:$A$950,0)),""))</f>
        <v>2002</v>
      </c>
      <c r="V1114">
        <f t="shared" si="197"/>
        <v>9</v>
      </c>
    </row>
    <row r="1115" spans="20:22" x14ac:dyDescent="0.25">
      <c r="T1115">
        <f>IF(connections!$A1115="","",IFERROR(INDEX(games!$B$2:$B$950,MATCH(connections!$A1115,games!$A$2:$A$950,0)),""))</f>
        <v>1993</v>
      </c>
      <c r="U1115">
        <f>IF(connections!$A1115="","",IFERROR(INDEX(games!$B$2:$B$950,MATCH(connections!$B1115,games!$A$2:$A$950,0)),""))</f>
        <v>2020</v>
      </c>
      <c r="V1115">
        <f t="shared" si="197"/>
        <v>27</v>
      </c>
    </row>
    <row r="1116" spans="20:22" x14ac:dyDescent="0.25">
      <c r="T1116">
        <f>IF(connections!$A1116="","",IFERROR(INDEX(games!$B$2:$B$950,MATCH(connections!$A1116,games!$A$2:$A$950,0)),""))</f>
        <v>1993</v>
      </c>
      <c r="U1116">
        <f>IF(connections!$A1116="","",IFERROR(INDEX(games!$B$2:$B$950,MATCH(connections!$B1116,games!$A$2:$A$950,0)),""))</f>
        <v>1995</v>
      </c>
      <c r="V1116">
        <f t="shared" si="197"/>
        <v>2</v>
      </c>
    </row>
    <row r="1117" spans="20:22" x14ac:dyDescent="0.25">
      <c r="T1117">
        <f>IF(connections!$A1117="","",IFERROR(INDEX(games!$B$2:$B$950,MATCH(connections!$A1117,games!$A$2:$A$950,0)),""))</f>
        <v>1993</v>
      </c>
      <c r="U1117">
        <f>IF(connections!$A1117="","",IFERROR(INDEX(games!$B$2:$B$950,MATCH(connections!$B1117,games!$A$2:$A$950,0)),""))</f>
        <v>2015</v>
      </c>
      <c r="V1117">
        <f t="shared" si="197"/>
        <v>22</v>
      </c>
    </row>
    <row r="1118" spans="20:22" x14ac:dyDescent="0.25">
      <c r="T1118">
        <f>IF(connections!$A1118="","",IFERROR(INDEX(games!$B$2:$B$950,MATCH(connections!$A1118,games!$A$2:$A$950,0)),""))</f>
        <v>1993</v>
      </c>
      <c r="U1118">
        <f>IF(connections!$A1118="","",IFERROR(INDEX(games!$B$2:$B$950,MATCH(connections!$B1118,games!$A$2:$A$950,0)),""))</f>
        <v>2014</v>
      </c>
      <c r="V1118">
        <f t="shared" si="197"/>
        <v>21</v>
      </c>
    </row>
    <row r="1119" spans="20:22" x14ac:dyDescent="0.25">
      <c r="T1119">
        <f>IF(connections!$A1119="","",IFERROR(INDEX(games!$B$2:$B$950,MATCH(connections!$A1119,games!$A$2:$A$950,0)),""))</f>
        <v>1993</v>
      </c>
      <c r="U1119">
        <f>IF(connections!$A1119="","",IFERROR(INDEX(games!$B$2:$B$950,MATCH(connections!$B1119,games!$A$2:$A$950,0)),""))</f>
        <v>2005</v>
      </c>
      <c r="V1119">
        <f t="shared" si="197"/>
        <v>12</v>
      </c>
    </row>
    <row r="1120" spans="20:22" x14ac:dyDescent="0.25">
      <c r="T1120">
        <f>IF(connections!$A1120="","",IFERROR(INDEX(games!$B$2:$B$950,MATCH(connections!$A1120,games!$A$2:$A$950,0)),""))</f>
        <v>1993</v>
      </c>
      <c r="U1120">
        <f>IF(connections!$A1120="","",IFERROR(INDEX(games!$B$2:$B$950,MATCH(connections!$B1120,games!$A$2:$A$950,0)),""))</f>
        <v>2000</v>
      </c>
      <c r="V1120">
        <f t="shared" si="197"/>
        <v>7</v>
      </c>
    </row>
    <row r="1121" spans="20:22" x14ac:dyDescent="0.25">
      <c r="T1121">
        <f>IF(connections!$A1121="","",IFERROR(INDEX(games!$B$2:$B$950,MATCH(connections!$A1121,games!$A$2:$A$950,0)),""))</f>
        <v>1993</v>
      </c>
      <c r="U1121">
        <f>IF(connections!$A1121="","",IFERROR(INDEX(games!$B$2:$B$950,MATCH(connections!$B1121,games!$A$2:$A$950,0)),""))</f>
        <v>2004</v>
      </c>
      <c r="V1121">
        <f t="shared" si="197"/>
        <v>11</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1999</v>
      </c>
      <c r="V1123">
        <f t="shared" si="197"/>
        <v>6</v>
      </c>
    </row>
    <row r="1124" spans="20:22" x14ac:dyDescent="0.25">
      <c r="T1124">
        <f>IF(connections!$A1124="","",IFERROR(INDEX(games!$B$2:$B$950,MATCH(connections!$A1124,games!$A$2:$A$950,0)),""))</f>
        <v>1993</v>
      </c>
      <c r="U1124">
        <f>IF(connections!$A1124="","",IFERROR(INDEX(games!$B$2:$B$950,MATCH(connections!$B1124,games!$A$2:$A$950,0)),""))</f>
        <v>2021</v>
      </c>
      <c r="V1124">
        <f t="shared" si="197"/>
        <v>28</v>
      </c>
    </row>
    <row r="1125" spans="20:22" x14ac:dyDescent="0.25">
      <c r="T1125">
        <f>IF(connections!$A1125="","",IFERROR(INDEX(games!$B$2:$B$950,MATCH(connections!$A1125,games!$A$2:$A$950,0)),""))</f>
        <v>1993</v>
      </c>
      <c r="U1125">
        <f>IF(connections!$A1125="","",IFERROR(INDEX(games!$B$2:$B$950,MATCH(connections!$B1125,games!$A$2:$A$950,0)),""))</f>
        <v>1998</v>
      </c>
      <c r="V1125">
        <f t="shared" si="197"/>
        <v>5</v>
      </c>
    </row>
    <row r="1126" spans="20:22" x14ac:dyDescent="0.25">
      <c r="T1126">
        <f>IF(connections!$A1126="","",IFERROR(INDEX(games!$B$2:$B$950,MATCH(connections!$A1126,games!$A$2:$A$950,0)),""))</f>
        <v>1993</v>
      </c>
      <c r="U1126">
        <f>IF(connections!$A1126="","",IFERROR(INDEX(games!$B$2:$B$950,MATCH(connections!$B1126,games!$A$2:$A$950,0)),""))</f>
        <v>2010</v>
      </c>
      <c r="V1126">
        <f t="shared" si="197"/>
        <v>17</v>
      </c>
    </row>
    <row r="1127" spans="20:22" x14ac:dyDescent="0.25">
      <c r="T1127">
        <f>IF(connections!$A1127="","",IFERROR(INDEX(games!$B$2:$B$950,MATCH(connections!$A1127,games!$A$2:$A$950,0)),""))</f>
        <v>2014</v>
      </c>
      <c r="U1127">
        <f>IF(connections!$A1127="","",IFERROR(INDEX(games!$B$2:$B$950,MATCH(connections!$B1127,games!$A$2:$A$950,0)),""))</f>
        <v>2018</v>
      </c>
      <c r="V1127">
        <f t="shared" si="197"/>
        <v>4</v>
      </c>
    </row>
    <row r="1128" spans="20:22" x14ac:dyDescent="0.25">
      <c r="T1128">
        <f>IF(connections!$A1128="","",IFERROR(INDEX(games!$B$2:$B$950,MATCH(connections!$A1128,games!$A$2:$A$950,0)),""))</f>
        <v>2021</v>
      </c>
      <c r="U1128">
        <f>IF(connections!$A1128="","",IFERROR(INDEX(games!$B$2:$B$950,MATCH(connections!$B1128,games!$A$2:$A$950,0)),""))</f>
        <v>2023</v>
      </c>
      <c r="V1128">
        <f t="shared" si="197"/>
        <v>2</v>
      </c>
    </row>
    <row r="1129" spans="20:22" x14ac:dyDescent="0.25">
      <c r="T1129">
        <f>IF(connections!$A1129="","",IFERROR(INDEX(games!$B$2:$B$950,MATCH(connections!$A1129,games!$A$2:$A$950,0)),""))</f>
        <v>2019</v>
      </c>
      <c r="U1129">
        <f>IF(connections!$A1129="","",IFERROR(INDEX(games!$B$2:$B$950,MATCH(connections!$B1129,games!$A$2:$A$950,0)),""))</f>
        <v>2025</v>
      </c>
      <c r="V1129">
        <f t="shared" si="197"/>
        <v>6</v>
      </c>
    </row>
    <row r="1130" spans="20:22" x14ac:dyDescent="0.25">
      <c r="T1130">
        <f>IF(connections!$A1130="","",IFERROR(INDEX(games!$B$2:$B$950,MATCH(connections!$A1130,games!$A$2:$A$950,0)),""))</f>
        <v>2017</v>
      </c>
      <c r="U1130">
        <f>IF(connections!$A1130="","",IFERROR(INDEX(games!$B$2:$B$950,MATCH(connections!$B1130,games!$A$2:$A$950,0)),""))</f>
        <v>2023</v>
      </c>
      <c r="V1130">
        <f t="shared" si="197"/>
        <v>6</v>
      </c>
    </row>
    <row r="1131" spans="20:22" x14ac:dyDescent="0.25">
      <c r="T1131">
        <f>IF(connections!$A1131="","",IFERROR(INDEX(games!$B$2:$B$950,MATCH(connections!$A1131,games!$A$2:$A$950,0)),""))</f>
        <v>2017</v>
      </c>
      <c r="U1131">
        <f>IF(connections!$A1131="","",IFERROR(INDEX(games!$B$2:$B$950,MATCH(connections!$B1131,games!$A$2:$A$950,0)),""))</f>
        <v>2022</v>
      </c>
      <c r="V1131">
        <f t="shared" si="197"/>
        <v>5</v>
      </c>
    </row>
    <row r="1132" spans="20:22" x14ac:dyDescent="0.25">
      <c r="T1132">
        <f>IF(connections!$A1132="","",IFERROR(INDEX(games!$B$2:$B$950,MATCH(connections!$A1132,games!$A$2:$A$950,0)),""))</f>
        <v>1992</v>
      </c>
      <c r="U1132">
        <f>IF(connections!$A1132="","",IFERROR(INDEX(games!$B$2:$B$950,MATCH(connections!$B1132,games!$A$2:$A$950,0)),""))</f>
        <v>2022</v>
      </c>
      <c r="V1132">
        <f t="shared" si="197"/>
        <v>30</v>
      </c>
    </row>
    <row r="1133" spans="20:22" x14ac:dyDescent="0.25">
      <c r="T1133">
        <f>IF(connections!$A1133="","",IFERROR(INDEX(games!$B$2:$B$950,MATCH(connections!$A1133,games!$A$2:$A$950,0)),""))</f>
        <v>2021</v>
      </c>
      <c r="U1133">
        <f>IF(connections!$A1133="","",IFERROR(INDEX(games!$B$2:$B$950,MATCH(connections!$B1133,games!$A$2:$A$950,0)),""))</f>
        <v>2022</v>
      </c>
      <c r="V1133">
        <f t="shared" si="197"/>
        <v>1</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2026</v>
      </c>
      <c r="V1135">
        <f t="shared" si="197"/>
        <v>5</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2025</v>
      </c>
      <c r="V1137">
        <f t="shared" si="197"/>
        <v>4</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2025</v>
      </c>
      <c r="V1139">
        <f t="shared" si="197"/>
        <v>4</v>
      </c>
    </row>
    <row r="1140" spans="20:22" x14ac:dyDescent="0.25">
      <c r="T1140">
        <f>IF(connections!$A1140="","",IFERROR(INDEX(games!$B$2:$B$950,MATCH(connections!$A1140,games!$A$2:$A$950,0)),""))</f>
        <v>2021</v>
      </c>
      <c r="U1140">
        <f>IF(connections!$A1140="","",IFERROR(INDEX(games!$B$2:$B$950,MATCH(connections!$B1140,games!$A$2:$A$950,0)),""))</f>
        <v>2024</v>
      </c>
      <c r="V1140">
        <f t="shared" si="197"/>
        <v>3</v>
      </c>
    </row>
    <row r="1141" spans="20:22" x14ac:dyDescent="0.25">
      <c r="T1141">
        <f>IF(connections!$A1141="","",IFERROR(INDEX(games!$B$2:$B$950,MATCH(connections!$A1141,games!$A$2:$A$950,0)),""))</f>
        <v>2021</v>
      </c>
      <c r="U1141">
        <f>IF(connections!$A1141="","",IFERROR(INDEX(games!$B$2:$B$950,MATCH(connections!$B1141,games!$A$2:$A$950,0)),""))</f>
        <v>2022</v>
      </c>
      <c r="V1141">
        <f t="shared" si="197"/>
        <v>1</v>
      </c>
    </row>
    <row r="1142" spans="20:22" x14ac:dyDescent="0.25">
      <c r="T1142">
        <f>IF(connections!$A1142="","",IFERROR(INDEX(games!$B$2:$B$950,MATCH(connections!$A1142,games!$A$2:$A$950,0)),""))</f>
        <v>2021</v>
      </c>
      <c r="U1142">
        <f>IF(connections!$A1142="","",IFERROR(INDEX(games!$B$2:$B$950,MATCH(connections!$B1142,games!$A$2:$A$950,0)),""))</f>
        <v>2026</v>
      </c>
      <c r="V1142">
        <f t="shared" si="197"/>
        <v>5</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2022</v>
      </c>
      <c r="V1146">
        <f t="shared" si="197"/>
        <v>1</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2023</v>
      </c>
      <c r="V1150">
        <f t="shared" si="197"/>
        <v>2</v>
      </c>
    </row>
    <row r="1151" spans="20:22" x14ac:dyDescent="0.25">
      <c r="T1151">
        <f>IF(connections!$A1151="","",IFERROR(INDEX(games!$B$2:$B$950,MATCH(connections!$A1151,games!$A$2:$A$950,0)),""))</f>
        <v>2021</v>
      </c>
      <c r="U1151">
        <f>IF(connections!$A1151="","",IFERROR(INDEX(games!$B$2:$B$950,MATCH(connections!$B1151,games!$A$2:$A$950,0)),""))</f>
        <v>2026</v>
      </c>
      <c r="V1151">
        <f t="shared" si="197"/>
        <v>5</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2025</v>
      </c>
      <c r="V1154">
        <f t="shared" ref="V1154:V1217" si="198">IF(OR($T1154="",$U1154=""),"",$U1154-$T1154)</f>
        <v>4</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2024</v>
      </c>
      <c r="V1159">
        <f t="shared" si="198"/>
        <v>3</v>
      </c>
    </row>
    <row r="1160" spans="20:22" x14ac:dyDescent="0.25">
      <c r="T1160">
        <f>IF(connections!$A1160="","",IFERROR(INDEX(games!$B$2:$B$950,MATCH(connections!$A1160,games!$A$2:$A$950,0)),""))</f>
        <v>2021</v>
      </c>
      <c r="U1160">
        <f>IF(connections!$A1160="","",IFERROR(INDEX(games!$B$2:$B$950,MATCH(connections!$B1160,games!$A$2:$A$950,0)),""))</f>
        <v>2024</v>
      </c>
      <c r="V1160">
        <f t="shared" si="198"/>
        <v>3</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2023</v>
      </c>
      <c r="V1162">
        <f t="shared" si="198"/>
        <v>2</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2026</v>
      </c>
      <c r="V1166">
        <f t="shared" si="198"/>
        <v>5</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2022</v>
      </c>
      <c r="V1171">
        <f t="shared" si="198"/>
        <v>1</v>
      </c>
    </row>
    <row r="1172" spans="20:22" x14ac:dyDescent="0.25">
      <c r="T1172">
        <f>IF(connections!$A1172="","",IFERROR(INDEX(games!$B$2:$B$950,MATCH(connections!$A1172,games!$A$2:$A$950,0)),""))</f>
        <v>2021</v>
      </c>
      <c r="U1172">
        <f>IF(connections!$A1172="","",IFERROR(INDEX(games!$B$2:$B$950,MATCH(connections!$B1172,games!$A$2:$A$950,0)),""))</f>
        <v>2025</v>
      </c>
      <c r="V1172">
        <f t="shared" si="198"/>
        <v>4</v>
      </c>
    </row>
    <row r="1173" spans="20:22" x14ac:dyDescent="0.25">
      <c r="T1173">
        <f>IF(connections!$A1173="","",IFERROR(INDEX(games!$B$2:$B$950,MATCH(connections!$A1173,games!$A$2:$A$950,0)),""))</f>
        <v>2021</v>
      </c>
      <c r="U1173">
        <f>IF(connections!$A1173="","",IFERROR(INDEX(games!$B$2:$B$950,MATCH(connections!$B1173,games!$A$2:$A$950,0)),""))</f>
        <v>2023</v>
      </c>
      <c r="V1173">
        <f t="shared" si="198"/>
        <v>2</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2023</v>
      </c>
      <c r="V1175">
        <f t="shared" si="198"/>
        <v>2</v>
      </c>
    </row>
    <row r="1176" spans="20:22" x14ac:dyDescent="0.25">
      <c r="T1176">
        <f>IF(connections!$A1176="","",IFERROR(INDEX(games!$B$2:$B$950,MATCH(connections!$A1176,games!$A$2:$A$950,0)),""))</f>
        <v>2021</v>
      </c>
      <c r="U1176">
        <f>IF(connections!$A1176="","",IFERROR(INDEX(games!$B$2:$B$950,MATCH(connections!$B1176,games!$A$2:$A$950,0)),""))</f>
        <v>2024</v>
      </c>
      <c r="V1176">
        <f t="shared" si="198"/>
        <v>3</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2022</v>
      </c>
      <c r="V1179">
        <f t="shared" si="198"/>
        <v>1</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2024</v>
      </c>
      <c r="V1182">
        <f t="shared" si="198"/>
        <v>3</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2022</v>
      </c>
      <c r="V1188">
        <f t="shared" si="198"/>
        <v>1</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2024</v>
      </c>
      <c r="V1190">
        <f t="shared" si="198"/>
        <v>3</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2025</v>
      </c>
      <c r="V1193">
        <f t="shared" si="198"/>
        <v>4</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2022</v>
      </c>
      <c r="V1196">
        <f t="shared" si="198"/>
        <v>1</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2025</v>
      </c>
      <c r="V1199">
        <f t="shared" si="198"/>
        <v>4</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2022</v>
      </c>
      <c r="V1201">
        <f t="shared" si="198"/>
        <v>1</v>
      </c>
    </row>
    <row r="1202" spans="20:22" x14ac:dyDescent="0.25">
      <c r="T1202">
        <f>IF(connections!$A1202="","",IFERROR(INDEX(games!$B$2:$B$950,MATCH(connections!$A1202,games!$A$2:$A$950,0)),""))</f>
        <v>2021</v>
      </c>
      <c r="U1202">
        <f>IF(connections!$A1202="","",IFERROR(INDEX(games!$B$2:$B$950,MATCH(connections!$B1202,games!$A$2:$A$950,0)),""))</f>
        <v>2022</v>
      </c>
      <c r="V1202">
        <f t="shared" si="198"/>
        <v>1</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2023</v>
      </c>
      <c r="V1204">
        <f t="shared" si="198"/>
        <v>2</v>
      </c>
    </row>
    <row r="1205" spans="20:22" x14ac:dyDescent="0.25">
      <c r="T1205">
        <f>IF(connections!$A1205="","",IFERROR(INDEX(games!$B$2:$B$950,MATCH(connections!$A1205,games!$A$2:$A$950,0)),""))</f>
        <v>2021</v>
      </c>
      <c r="U1205">
        <f>IF(connections!$A1205="","",IFERROR(INDEX(games!$B$2:$B$950,MATCH(connections!$B1205,games!$A$2:$A$950,0)),""))</f>
        <v>2024</v>
      </c>
      <c r="V1205">
        <f t="shared" si="198"/>
        <v>3</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2024</v>
      </c>
      <c r="V1207">
        <f t="shared" si="198"/>
        <v>3</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2022</v>
      </c>
      <c r="V1210">
        <f t="shared" si="198"/>
        <v>1</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2026</v>
      </c>
      <c r="V1212">
        <f t="shared" si="198"/>
        <v>5</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2026</v>
      </c>
      <c r="V1214">
        <f t="shared" si="198"/>
        <v>5</v>
      </c>
    </row>
    <row r="1215" spans="20:22" x14ac:dyDescent="0.25">
      <c r="T1215">
        <f>IF(connections!$A1215="","",IFERROR(INDEX(games!$B$2:$B$950,MATCH(connections!$A1215,games!$A$2:$A$950,0)),""))</f>
        <v>2021</v>
      </c>
      <c r="U1215">
        <f>IF(connections!$A1215="","",IFERROR(INDEX(games!$B$2:$B$950,MATCH(connections!$B1215,games!$A$2:$A$950,0)),""))</f>
        <v>2022</v>
      </c>
      <c r="V1215">
        <f t="shared" si="198"/>
        <v>1</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2025</v>
      </c>
      <c r="V1217">
        <f t="shared" si="198"/>
        <v>4</v>
      </c>
    </row>
    <row r="1218" spans="20:22" x14ac:dyDescent="0.25">
      <c r="T1218">
        <f>IF(connections!$A1218="","",IFERROR(INDEX(games!$B$2:$B$950,MATCH(connections!$A1218,games!$A$2:$A$950,0)),""))</f>
        <v>2021</v>
      </c>
      <c r="U1218">
        <f>IF(connections!$A1218="","",IFERROR(INDEX(games!$B$2:$B$950,MATCH(connections!$B1218,games!$A$2:$A$950,0)),""))</f>
        <v>2023</v>
      </c>
      <c r="V1218">
        <f t="shared" ref="V1218:V1281" si="199">IF(OR($T1218="",$U1218=""),"",$U1218-$T1218)</f>
        <v>2</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2019</v>
      </c>
      <c r="U1220">
        <f>IF(connections!$A1220="","",IFERROR(INDEX(games!$B$2:$B$950,MATCH(connections!$B1220,games!$A$2:$A$950,0)),""))</f>
        <v>2024</v>
      </c>
      <c r="V1220">
        <f t="shared" si="199"/>
        <v>5</v>
      </c>
    </row>
    <row r="1221" spans="20:22" x14ac:dyDescent="0.25">
      <c r="T1221">
        <f>IF(connections!$A1221="","",IFERROR(INDEX(games!$B$2:$B$950,MATCH(connections!$A1221,games!$A$2:$A$950,0)),""))</f>
        <v>2022</v>
      </c>
      <c r="U1221">
        <f>IF(connections!$A1221="","",IFERROR(INDEX(games!$B$2:$B$950,MATCH(connections!$B1221,games!$A$2:$A$950,0)),""))</f>
        <v>2026</v>
      </c>
      <c r="V1221">
        <f t="shared" si="199"/>
        <v>4</v>
      </c>
    </row>
    <row r="1222" spans="20:22" x14ac:dyDescent="0.25">
      <c r="T1222">
        <f>IF(connections!$A1222="","",IFERROR(INDEX(games!$B$2:$B$950,MATCH(connections!$A1222,games!$A$2:$A$950,0)),""))</f>
        <v>2023</v>
      </c>
      <c r="U1222">
        <f>IF(connections!$A1222="","",IFERROR(INDEX(games!$B$2:$B$950,MATCH(connections!$B1222,games!$A$2:$A$950,0)),""))</f>
        <v>2025</v>
      </c>
      <c r="V1222">
        <f t="shared" si="199"/>
        <v>2</v>
      </c>
    </row>
    <row r="1223" spans="20:22" x14ac:dyDescent="0.25">
      <c r="T1223">
        <f>IF(connections!$A1223="","",IFERROR(INDEX(games!$B$2:$B$950,MATCH(connections!$A1223,games!$A$2:$A$950,0)),""))</f>
        <v>2005</v>
      </c>
      <c r="U1223">
        <f>IF(connections!$A1223="","",IFERROR(INDEX(games!$B$2:$B$950,MATCH(connections!$B1223,games!$A$2:$A$950,0)),""))</f>
        <v>2015</v>
      </c>
      <c r="V1223">
        <f t="shared" si="199"/>
        <v>10</v>
      </c>
    </row>
    <row r="1224" spans="20:22" x14ac:dyDescent="0.25">
      <c r="T1224">
        <f>IF(connections!$A1224="","",IFERROR(INDEX(games!$B$2:$B$950,MATCH(connections!$A1224,games!$A$2:$A$950,0)),""))</f>
        <v>2020</v>
      </c>
      <c r="U1224">
        <f>IF(connections!$A1224="","",IFERROR(INDEX(games!$B$2:$B$950,MATCH(connections!$B1224,games!$A$2:$A$950,0)),""))</f>
        <v>2023</v>
      </c>
      <c r="V1224">
        <f t="shared" si="199"/>
        <v>3</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2023</v>
      </c>
      <c r="U1226">
        <f>IF(connections!$A1226="","",IFERROR(INDEX(games!$B$2:$B$950,MATCH(connections!$B1226,games!$A$2:$A$950,0)),""))</f>
        <v>2026</v>
      </c>
      <c r="V1226">
        <f t="shared" si="199"/>
        <v>3</v>
      </c>
    </row>
    <row r="1227" spans="20:22" x14ac:dyDescent="0.25">
      <c r="T1227">
        <f>IF(connections!$A1227="","",IFERROR(INDEX(games!$B$2:$B$950,MATCH(connections!$A1227,games!$A$2:$A$950,0)),""))</f>
        <v>2024</v>
      </c>
      <c r="U1227">
        <f>IF(connections!$A1227="","",IFERROR(INDEX(games!$B$2:$B$950,MATCH(connections!$B1227,games!$A$2:$A$950,0)),""))</f>
        <v>2024</v>
      </c>
      <c r="V1227">
        <f t="shared" si="199"/>
        <v>0</v>
      </c>
    </row>
    <row r="1228" spans="20:22" x14ac:dyDescent="0.25">
      <c r="T1228">
        <f>IF(connections!$A1228="","",IFERROR(INDEX(games!$B$2:$B$950,MATCH(connections!$A1228,games!$A$2:$A$950,0)),""))</f>
        <v>2018</v>
      </c>
      <c r="U1228">
        <f>IF(connections!$A1228="","",IFERROR(INDEX(games!$B$2:$B$950,MATCH(connections!$B1228,games!$A$2:$A$950,0)),""))</f>
        <v>2025</v>
      </c>
      <c r="V1228">
        <f t="shared" si="199"/>
        <v>7</v>
      </c>
    </row>
    <row r="1229" spans="20:22" x14ac:dyDescent="0.25">
      <c r="T1229">
        <f>IF(connections!$A1229="","",IFERROR(INDEX(games!$B$2:$B$950,MATCH(connections!$A1229,games!$A$2:$A$950,0)),""))</f>
        <v>2018</v>
      </c>
      <c r="U1229">
        <f>IF(connections!$A1229="","",IFERROR(INDEX(games!$B$2:$B$950,MATCH(connections!$B1229,games!$A$2:$A$950,0)),""))</f>
        <v>2022</v>
      </c>
      <c r="V1229">
        <f t="shared" si="199"/>
        <v>4</v>
      </c>
    </row>
    <row r="1230" spans="20:22" x14ac:dyDescent="0.25">
      <c r="T1230">
        <f>IF(connections!$A1230="","",IFERROR(INDEX(games!$B$2:$B$950,MATCH(connections!$A1230,games!$A$2:$A$950,0)),""))</f>
        <v>2018</v>
      </c>
      <c r="U1230">
        <f>IF(connections!$A1230="","",IFERROR(INDEX(games!$B$2:$B$950,MATCH(connections!$B1230,games!$A$2:$A$950,0)),""))</f>
        <v>2022</v>
      </c>
      <c r="V1230">
        <f t="shared" si="199"/>
        <v>4</v>
      </c>
    </row>
    <row r="1231" spans="20:22" x14ac:dyDescent="0.25">
      <c r="T1231">
        <f>IF(connections!$A1231="","",IFERROR(INDEX(games!$B$2:$B$950,MATCH(connections!$A1231,games!$A$2:$A$950,0)),""))</f>
        <v>2018</v>
      </c>
      <c r="U1231">
        <f>IF(connections!$A1231="","",IFERROR(INDEX(games!$B$2:$B$950,MATCH(connections!$B1231,games!$A$2:$A$950,0)),""))</f>
        <v>2024</v>
      </c>
      <c r="V1231">
        <f t="shared" si="199"/>
        <v>6</v>
      </c>
    </row>
    <row r="1232" spans="20:22" x14ac:dyDescent="0.25">
      <c r="T1232">
        <f>IF(connections!$A1232="","",IFERROR(INDEX(games!$B$2:$B$950,MATCH(connections!$A1232,games!$A$2:$A$950,0)),""))</f>
        <v>2010</v>
      </c>
      <c r="U1232">
        <f>IF(connections!$A1232="","",IFERROR(INDEX(games!$B$2:$B$950,MATCH(connections!$B1232,games!$A$2:$A$950,0)),""))</f>
        <v>2013</v>
      </c>
      <c r="V1232">
        <f t="shared" si="199"/>
        <v>3</v>
      </c>
    </row>
    <row r="1233" spans="20:22" x14ac:dyDescent="0.25">
      <c r="T1233">
        <f>IF(connections!$A1233="","",IFERROR(INDEX(games!$B$2:$B$950,MATCH(connections!$A1233,games!$A$2:$A$950,0)),""))</f>
        <v>1994</v>
      </c>
      <c r="U1233">
        <f>IF(connections!$A1233="","",IFERROR(INDEX(games!$B$2:$B$950,MATCH(connections!$B1233,games!$A$2:$A$950,0)),""))</f>
        <v>1998</v>
      </c>
      <c r="V1233">
        <f t="shared" si="199"/>
        <v>4</v>
      </c>
    </row>
    <row r="1234" spans="20:22" x14ac:dyDescent="0.25">
      <c r="T1234">
        <f>IF(connections!$A1234="","",IFERROR(INDEX(games!$B$2:$B$950,MATCH(connections!$A1234,games!$A$2:$A$950,0)),""))</f>
        <v>1994</v>
      </c>
      <c r="U1234">
        <f>IF(connections!$A1234="","",IFERROR(INDEX(games!$B$2:$B$950,MATCH(connections!$B1234,games!$A$2:$A$950,0)),""))</f>
        <v>1998</v>
      </c>
      <c r="V1234">
        <f t="shared" si="199"/>
        <v>4</v>
      </c>
    </row>
    <row r="1235" spans="20:22" x14ac:dyDescent="0.25">
      <c r="T1235">
        <f>IF(connections!$A1235="","",IFERROR(INDEX(games!$B$2:$B$950,MATCH(connections!$A1235,games!$A$2:$A$950,0)),""))</f>
        <v>1994</v>
      </c>
      <c r="U1235">
        <f>IF(connections!$A1235="","",IFERROR(INDEX(games!$B$2:$B$950,MATCH(connections!$B1235,games!$A$2:$A$950,0)),""))</f>
        <v>2025</v>
      </c>
      <c r="V1235">
        <f t="shared" si="199"/>
        <v>31</v>
      </c>
    </row>
    <row r="1236" spans="20:22" x14ac:dyDescent="0.25">
      <c r="T1236">
        <f>IF(connections!$A1236="","",IFERROR(INDEX(games!$B$2:$B$950,MATCH(connections!$A1236,games!$A$2:$A$950,0)),""))</f>
        <v>2014</v>
      </c>
      <c r="U1236">
        <f>IF(connections!$A1236="","",IFERROR(INDEX(games!$B$2:$B$950,MATCH(connections!$B1236,games!$A$2:$A$950,0)),""))</f>
        <v>2024</v>
      </c>
      <c r="V1236">
        <f t="shared" si="199"/>
        <v>10</v>
      </c>
    </row>
    <row r="1237" spans="20:22" x14ac:dyDescent="0.25">
      <c r="T1237">
        <f>IF(connections!$A1237="","",IFERROR(INDEX(games!$B$2:$B$950,MATCH(connections!$A1237,games!$A$2:$A$950,0)),""))</f>
        <v>2014</v>
      </c>
      <c r="U1237">
        <f>IF(connections!$A1237="","",IFERROR(INDEX(games!$B$2:$B$950,MATCH(connections!$B1237,games!$A$2:$A$950,0)),""))</f>
        <v>2020</v>
      </c>
      <c r="V1237">
        <f t="shared" si="199"/>
        <v>6</v>
      </c>
    </row>
    <row r="1238" spans="20:22" x14ac:dyDescent="0.25">
      <c r="T1238">
        <f>IF(connections!$A1238="","",IFERROR(INDEX(games!$B$2:$B$950,MATCH(connections!$A1238,games!$A$2:$A$950,0)),""))</f>
        <v>2023</v>
      </c>
      <c r="U1238">
        <f>IF(connections!$A1238="","",IFERROR(INDEX(games!$B$2:$B$950,MATCH(connections!$B1238,games!$A$2:$A$950,0)),""))</f>
        <v>2025</v>
      </c>
      <c r="V1238">
        <f t="shared" si="199"/>
        <v>2</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2026-09-01T11:00:18Z</dcterms:modified>
  <dc:language>en-US</dc:language>
</cp:coreProperties>
</file>