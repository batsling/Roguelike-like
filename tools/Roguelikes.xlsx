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248819-0924-4013-BE60-50E1A8DA2A23}"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<sst xmlns="http://schemas.openxmlformats.org/spreadsheetml/2006/main" count="22340" uniqueCount="8060">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</sst>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abSelected="1"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8049</v>
      </c>
      <c r="B239">
        <v>2026</v>
      </c>
      <c r="C239" t="s">
        <v>176</v>
      </c>
      <c r="D239" t="b">
        <f>TRUE()</f>
        <v>1</v>
      </c>
      <c r="E239" t="b">
        <f>COUNTIF(connections!A:A, A239) &gt; 0</f>
        <v>0</v>
      </c>
      <c r="G239" t="s">
        <v>8050</v>
      </c>
      <c r="J239" s="10" t="s">
        <v>8051</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7926</v>
      </c>
      <c r="J251" s="10" t="s">
        <v>7927</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7755</v>
      </c>
      <c r="B337">
        <v>2025</v>
      </c>
      <c r="C337" t="s">
        <v>176</v>
      </c>
      <c r="D337" t="b">
        <f>TRUE()</f>
        <v>1</v>
      </c>
      <c r="E337" t="b">
        <f>COUNTIF(connections!A:A, A337) &gt; 0</f>
        <v>0</v>
      </c>
      <c r="G337" t="s">
        <v>7756</v>
      </c>
      <c r="H337" t="s">
        <v>187</v>
      </c>
      <c r="I337" t="s">
        <v>7759</v>
      </c>
      <c r="J337" s="10" t="s">
        <v>7757</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7910</v>
      </c>
      <c r="B347">
        <v>2026</v>
      </c>
      <c r="C347" t="s">
        <v>182</v>
      </c>
      <c r="D347" t="b">
        <f>TRUE()</f>
        <v>1</v>
      </c>
      <c r="E347" t="b">
        <f>COUNTIF(connections!A:A, A347) &gt; 0</f>
        <v>0</v>
      </c>
      <c r="G347" t="s">
        <v>7911</v>
      </c>
      <c r="J347" s="10" t="s">
        <v>7912</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8053</v>
      </c>
      <c r="B386">
        <v>2026</v>
      </c>
      <c r="C386" t="s">
        <v>182</v>
      </c>
      <c r="D386" t="b">
        <f>TRUE()</f>
        <v>1</v>
      </c>
      <c r="E386" t="b">
        <f>COUNTIF(connections!A:A, A386) &gt; 0</f>
        <v>0</v>
      </c>
      <c r="G386" t="s">
        <v>8054</v>
      </c>
      <c r="J386" s="10" t="s">
        <v>8055</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8044</v>
      </c>
      <c r="B402">
        <v>2026</v>
      </c>
      <c r="C402" t="s">
        <v>176</v>
      </c>
      <c r="D402" t="b">
        <f>TRUE()</f>
        <v>1</v>
      </c>
      <c r="E402" t="b">
        <f>COUNTIF(connections!A:A, A402) &gt; 0</f>
        <v>0</v>
      </c>
      <c r="G402" t="s">
        <v>8045</v>
      </c>
      <c r="J402" s="10" t="s">
        <v>8046</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8019</v>
      </c>
      <c r="B415">
        <v>2026</v>
      </c>
      <c r="C415" t="s">
        <v>222</v>
      </c>
      <c r="D415" t="b">
        <f>TRUE()</f>
        <v>1</v>
      </c>
      <c r="E415" t="b">
        <f>COUNTIF(connections!A:A, A415) &gt; 0</f>
        <v>0</v>
      </c>
      <c r="G415" t="s">
        <v>8020</v>
      </c>
      <c r="J415" s="10" t="s">
        <v>8021</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8057</v>
      </c>
      <c r="B419">
        <v>2026</v>
      </c>
      <c r="C419" t="s">
        <v>182</v>
      </c>
      <c r="D419" t="b">
        <f>TRUE()</f>
        <v>1</v>
      </c>
      <c r="E419" t="b">
        <f>COUNTIF(connections!A:A, A419) &gt; 0</f>
        <v>0</v>
      </c>
      <c r="G419" t="s">
        <v>8058</v>
      </c>
      <c r="J419" s="10" t="s">
        <v>8059</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7924</v>
      </c>
      <c r="J431" s="10" t="s">
        <v>7925</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7872</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7886</v>
      </c>
      <c r="B536">
        <v>2026</v>
      </c>
      <c r="C536" t="s">
        <v>182</v>
      </c>
      <c r="D536" t="b">
        <f>TRUE()</f>
        <v>1</v>
      </c>
      <c r="E536" t="b">
        <f>COUNTIF(connections!A:A, A536) &gt; 0</f>
        <v>0</v>
      </c>
      <c r="G536" t="s">
        <v>7869</v>
      </c>
      <c r="J536" s="10" t="s">
        <v>7870</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7982</v>
      </c>
      <c r="B544">
        <v>2026</v>
      </c>
      <c r="C544" t="s">
        <v>176</v>
      </c>
      <c r="D544" t="b">
        <f>TRUE()</f>
        <v>1</v>
      </c>
      <c r="E544" t="b">
        <f>COUNTIF(connections!A:A, A544) &gt; 0</f>
        <v>0</v>
      </c>
      <c r="G544" t="s">
        <v>7983</v>
      </c>
      <c r="J544" s="10" t="s">
        <v>7984</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7690</v>
      </c>
      <c r="B553">
        <v>2026</v>
      </c>
      <c r="C553" t="s">
        <v>176</v>
      </c>
      <c r="D553" t="b">
        <f>TRUE()</f>
        <v>1</v>
      </c>
      <c r="E553" t="b">
        <f>COUNTIF(connections!A:A, A553) &gt; 0</f>
        <v>0</v>
      </c>
      <c r="G553" t="s">
        <v>7691</v>
      </c>
      <c r="J553" s="10" t="s">
        <v>7692</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8001</v>
      </c>
      <c r="B573">
        <v>2026</v>
      </c>
      <c r="C573" t="s">
        <v>176</v>
      </c>
      <c r="D573" t="b">
        <f>TRUE()</f>
        <v>1</v>
      </c>
      <c r="E573" t="b">
        <f>COUNTIF(connections!A:A, A573) &gt; 0</f>
        <v>0</v>
      </c>
      <c r="F573" t="s">
        <v>1986</v>
      </c>
      <c r="G573" t="s">
        <v>8002</v>
      </c>
      <c r="H573" t="s">
        <v>187</v>
      </c>
      <c r="I573" t="s">
        <v>8003</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7928</v>
      </c>
      <c r="J583" s="10" t="s">
        <v>7929</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7986</v>
      </c>
      <c r="B589">
        <v>2026</v>
      </c>
      <c r="C589" t="s">
        <v>179</v>
      </c>
      <c r="D589" t="b">
        <f>TRUE()</f>
        <v>1</v>
      </c>
      <c r="E589" t="b">
        <f>COUNTIF(connections!A:A, A589) &gt; 0</f>
        <v>0</v>
      </c>
      <c r="G589" t="s">
        <v>7988</v>
      </c>
      <c r="J589" s="10" t="s">
        <v>7989</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7976</v>
      </c>
      <c r="B596">
        <v>2025</v>
      </c>
      <c r="C596" t="s">
        <v>176</v>
      </c>
      <c r="D596" t="b">
        <f>TRUE()</f>
        <v>1</v>
      </c>
      <c r="E596" t="b">
        <f>COUNTIF(connections!A:A, A596) &gt; 0</f>
        <v>0</v>
      </c>
      <c r="G596" t="s">
        <v>7977</v>
      </c>
      <c r="H596" t="s">
        <v>187</v>
      </c>
      <c r="I596" t="s">
        <v>7980</v>
      </c>
      <c r="J596" s="10" t="s">
        <v>7978</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7991</v>
      </c>
      <c r="B607">
        <v>2026</v>
      </c>
      <c r="C607" t="s">
        <v>176</v>
      </c>
      <c r="D607" t="b">
        <f>TRUE()</f>
        <v>1</v>
      </c>
      <c r="E607" t="b">
        <f>COUNTIF(connections!A:A, A607) &gt; 0</f>
        <v>0</v>
      </c>
      <c r="G607" t="s">
        <v>7992</v>
      </c>
      <c r="J607" s="10" t="s">
        <v>7993</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7999</v>
      </c>
      <c r="B661">
        <v>2025</v>
      </c>
      <c r="C661" t="s">
        <v>176</v>
      </c>
      <c r="D661" t="b">
        <f>TRUE()</f>
        <v>1</v>
      </c>
      <c r="E661" t="b">
        <f>COUNTIF(connections!A:A, A661) &gt; 0</f>
        <v>0</v>
      </c>
      <c r="G661" t="s">
        <v>8000</v>
      </c>
      <c r="J661" s="10" t="s">
        <v>7998</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8006</v>
      </c>
      <c r="B676">
        <v>2026</v>
      </c>
      <c r="C676" t="s">
        <v>182</v>
      </c>
      <c r="D676" t="b">
        <f>TRUE()</f>
        <v>1</v>
      </c>
      <c r="E676" t="b">
        <f>COUNTIF(connections!A:A, A676) &gt; 0</f>
        <v>0</v>
      </c>
      <c r="G676" t="s">
        <v>8007</v>
      </c>
      <c r="J676" s="10" t="s">
        <v>8008</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7906</v>
      </c>
      <c r="B702">
        <v>2019</v>
      </c>
      <c r="C702" t="s">
        <v>176</v>
      </c>
      <c r="D702" t="b">
        <f>TRUE()</f>
        <v>1</v>
      </c>
      <c r="E702" t="b">
        <f>COUNTIF(connections!A:A, A702) &gt; 0</f>
        <v>0</v>
      </c>
      <c r="G702" t="s">
        <v>7907</v>
      </c>
      <c r="J702" s="10" t="s">
        <v>7908</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7922</v>
      </c>
      <c r="J704" s="10" t="s">
        <v>7923</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7994</v>
      </c>
      <c r="B776">
        <v>2026</v>
      </c>
      <c r="C776" t="s">
        <v>182</v>
      </c>
      <c r="D776" t="b">
        <f>TRUE()</f>
        <v>1</v>
      </c>
      <c r="E776" t="b">
        <f>COUNTIF(connections!A:A, A776) &gt; 0</f>
        <v>0</v>
      </c>
      <c r="G776" t="s">
        <v>7995</v>
      </c>
      <c r="J776" s="10" t="s">
        <v>7996</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8023</v>
      </c>
      <c r="B790">
        <v>2026</v>
      </c>
      <c r="C790" t="s">
        <v>182</v>
      </c>
      <c r="D790" t="b">
        <f>TRUE()</f>
        <v>1</v>
      </c>
      <c r="E790" t="b">
        <f>COUNTIF(connections!A:A, A790) &gt; 0</f>
        <v>0</v>
      </c>
      <c r="G790" t="s">
        <v>8024</v>
      </c>
      <c r="J790" s="10" t="s">
        <v>8025</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7752</v>
      </c>
      <c r="B817">
        <v>2026</v>
      </c>
      <c r="C817" t="s">
        <v>182</v>
      </c>
      <c r="D817" t="b">
        <f>TRUE()</f>
        <v>1</v>
      </c>
      <c r="E817" t="b">
        <f>COUNTIF(connections!A:A, A817) &gt; 0</f>
        <v>0</v>
      </c>
      <c r="G817" t="s">
        <v>7753</v>
      </c>
      <c r="J817" s="10" t="s">
        <v>7751</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7901</v>
      </c>
      <c r="B844">
        <v>2026</v>
      </c>
      <c r="C844" t="s">
        <v>176</v>
      </c>
      <c r="D844" t="b">
        <f>TRUE()</f>
        <v>1</v>
      </c>
      <c r="E844" t="b">
        <f>COUNTIF(connections!A:A, A844) &gt; 0</f>
        <v>0</v>
      </c>
      <c r="G844" t="s">
        <v>7902</v>
      </c>
      <c r="J844" s="10" t="s">
        <v>7903</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8044</v>
      </c>
      <c r="C1284">
        <v>1998</v>
      </c>
      <c r="E1284" s="10" t="s">
        <v>8047</v>
      </c>
    </row>
    <row r="1285" spans="1:5" x14ac:dyDescent="0.25">
      <c r="A1285" t="s">
        <v>353</v>
      </c>
      <c r="B1285" t="s">
        <v>8049</v>
      </c>
      <c r="C1285">
        <v>2023</v>
      </c>
      <c r="E1285" s="10" t="s">
        <v>8048</v>
      </c>
    </row>
    <row r="1286" spans="1:5" x14ac:dyDescent="0.25">
      <c r="A1286" t="s">
        <v>353</v>
      </c>
      <c r="B1286" t="s">
        <v>8053</v>
      </c>
      <c r="C1286">
        <v>2023</v>
      </c>
      <c r="E1286" s="10" t="s">
        <v>8052</v>
      </c>
    </row>
    <row r="1287" spans="1:5" x14ac:dyDescent="0.25">
      <c r="A1287" t="s">
        <v>353</v>
      </c>
      <c r="B1287" t="s">
        <v>8057</v>
      </c>
      <c r="C1287">
        <v>2023</v>
      </c>
      <c r="E1287" s="10" t="s">
        <v>8056</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opLeftCell="A22"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7412</v>
      </c>
      <c r="D1" t="s">
        <v>3460</v>
      </c>
      <c r="E1" t="s">
        <v>3511</v>
      </c>
    </row>
    <row r="2" spans="1:5" x14ac:dyDescent="0.25">
      <c r="A2" t="s">
        <v>7471</v>
      </c>
      <c r="B2" t="s">
        <v>7442</v>
      </c>
      <c r="C2" t="s">
        <v>7473</v>
      </c>
      <c r="D2" t="s">
        <v>7472</v>
      </c>
    </row>
    <row r="3" spans="1:5" x14ac:dyDescent="0.25">
      <c r="A3" t="s">
        <v>7502</v>
      </c>
      <c r="B3" t="s">
        <v>3696</v>
      </c>
      <c r="C3" t="s">
        <v>3466</v>
      </c>
      <c r="D3" t="s">
        <v>7503</v>
      </c>
    </row>
    <row r="4" spans="1:5" x14ac:dyDescent="0.25">
      <c r="A4" t="s">
        <v>7461</v>
      </c>
      <c r="B4" t="s">
        <v>4010</v>
      </c>
      <c r="C4" t="s">
        <v>7425</v>
      </c>
      <c r="D4" t="s">
        <v>7464</v>
      </c>
    </row>
    <row r="5" spans="1:5" x14ac:dyDescent="0.25">
      <c r="A5" t="s">
        <v>7431</v>
      </c>
      <c r="B5" t="s">
        <v>5315</v>
      </c>
      <c r="C5" t="s">
        <v>7420</v>
      </c>
      <c r="D5" t="s">
        <v>7433</v>
      </c>
    </row>
    <row r="6" spans="1:5" x14ac:dyDescent="0.25">
      <c r="A6" t="s">
        <v>7426</v>
      </c>
      <c r="B6" t="s">
        <v>5751</v>
      </c>
      <c r="C6" t="s">
        <v>7419</v>
      </c>
      <c r="D6" t="s">
        <v>7440</v>
      </c>
    </row>
    <row r="7" spans="1:5" x14ac:dyDescent="0.25">
      <c r="A7" t="s">
        <v>7478</v>
      </c>
      <c r="B7" t="s">
        <v>5751</v>
      </c>
      <c r="C7" t="s">
        <v>3466</v>
      </c>
      <c r="D7" t="s">
        <v>7492</v>
      </c>
    </row>
    <row r="8" spans="1:5" x14ac:dyDescent="0.25">
      <c r="A8" t="s">
        <v>7735</v>
      </c>
      <c r="B8" t="s">
        <v>5751</v>
      </c>
      <c r="C8" t="s">
        <v>7736</v>
      </c>
      <c r="D8" t="s">
        <v>7737</v>
      </c>
    </row>
    <row r="9" spans="1:5" x14ac:dyDescent="0.25">
      <c r="A9" t="s">
        <v>7738</v>
      </c>
      <c r="B9" t="s">
        <v>7413</v>
      </c>
      <c r="C9" t="s">
        <v>7415</v>
      </c>
      <c r="D9" t="s">
        <v>7739</v>
      </c>
    </row>
    <row r="10" spans="1:5" x14ac:dyDescent="0.25">
      <c r="A10" t="s">
        <v>5231</v>
      </c>
      <c r="B10" t="s">
        <v>7442</v>
      </c>
      <c r="C10" t="s">
        <v>7419</v>
      </c>
      <c r="D10" t="s">
        <v>7443</v>
      </c>
    </row>
    <row r="11" spans="1:5" x14ac:dyDescent="0.25">
      <c r="A11" t="s">
        <v>7417</v>
      </c>
      <c r="B11" t="s">
        <v>7418</v>
      </c>
      <c r="C11" t="s">
        <v>3466</v>
      </c>
      <c r="D11" t="s">
        <v>7450</v>
      </c>
    </row>
    <row r="12" spans="1:5" x14ac:dyDescent="0.25">
      <c r="A12" t="s">
        <v>1323</v>
      </c>
      <c r="B12" t="s">
        <v>4010</v>
      </c>
      <c r="C12" t="s">
        <v>7420</v>
      </c>
      <c r="D12" t="s">
        <v>7448</v>
      </c>
    </row>
    <row r="13" spans="1:5" x14ac:dyDescent="0.25">
      <c r="A13" t="s">
        <v>7439</v>
      </c>
      <c r="B13" t="s">
        <v>5751</v>
      </c>
      <c r="C13" t="s">
        <v>7419</v>
      </c>
      <c r="D13" t="s">
        <v>7504</v>
      </c>
    </row>
    <row r="14" spans="1:5" x14ac:dyDescent="0.25">
      <c r="A14" t="s">
        <v>7454</v>
      </c>
      <c r="B14" t="s">
        <v>7442</v>
      </c>
      <c r="C14" t="s">
        <v>3466</v>
      </c>
      <c r="D14" t="s">
        <v>7455</v>
      </c>
    </row>
    <row r="15" spans="1:5" x14ac:dyDescent="0.25">
      <c r="A15" t="s">
        <v>7452</v>
      </c>
      <c r="B15" t="s">
        <v>7413</v>
      </c>
      <c r="C15" t="s">
        <v>7415</v>
      </c>
      <c r="D15" t="s">
        <v>7453</v>
      </c>
    </row>
    <row r="16" spans="1:5" x14ac:dyDescent="0.25">
      <c r="A16" t="s">
        <v>7435</v>
      </c>
      <c r="B16" t="s">
        <v>3696</v>
      </c>
      <c r="C16" t="s">
        <v>3466</v>
      </c>
      <c r="D16" t="s">
        <v>7437</v>
      </c>
    </row>
    <row r="17" spans="1:4" x14ac:dyDescent="0.25">
      <c r="A17" t="s">
        <v>7482</v>
      </c>
      <c r="B17" t="s">
        <v>5751</v>
      </c>
      <c r="C17" t="s">
        <v>7425</v>
      </c>
      <c r="D17" t="s">
        <v>7483</v>
      </c>
    </row>
    <row r="18" spans="1:4" x14ac:dyDescent="0.25">
      <c r="A18" t="s">
        <v>7427</v>
      </c>
      <c r="B18" t="s">
        <v>4010</v>
      </c>
      <c r="C18" t="s">
        <v>3466</v>
      </c>
      <c r="D18" t="s">
        <v>7445</v>
      </c>
    </row>
    <row r="19" spans="1:4" x14ac:dyDescent="0.25">
      <c r="A19" t="s">
        <v>7441</v>
      </c>
      <c r="B19" t="s">
        <v>5751</v>
      </c>
      <c r="C19" t="s">
        <v>3466</v>
      </c>
      <c r="D19" t="s">
        <v>7505</v>
      </c>
    </row>
    <row r="20" spans="1:4" x14ac:dyDescent="0.25">
      <c r="A20" t="s">
        <v>7423</v>
      </c>
      <c r="B20" t="s">
        <v>5315</v>
      </c>
      <c r="C20" t="s">
        <v>7425</v>
      </c>
      <c r="D20" t="s">
        <v>7424</v>
      </c>
    </row>
    <row r="21" spans="1:4" x14ac:dyDescent="0.25">
      <c r="A21" t="s">
        <v>7416</v>
      </c>
      <c r="B21" t="s">
        <v>7413</v>
      </c>
      <c r="C21" t="s">
        <v>7419</v>
      </c>
      <c r="D21" t="s">
        <v>7447</v>
      </c>
    </row>
    <row r="22" spans="1:4" x14ac:dyDescent="0.25">
      <c r="A22" t="s">
        <v>7414</v>
      </c>
      <c r="B22" t="s">
        <v>7413</v>
      </c>
      <c r="C22" t="s">
        <v>7415</v>
      </c>
      <c r="D22" t="s">
        <v>7449</v>
      </c>
    </row>
    <row r="23" spans="1:4" x14ac:dyDescent="0.25">
      <c r="A23" t="s">
        <v>7430</v>
      </c>
      <c r="B23" t="s">
        <v>3696</v>
      </c>
      <c r="C23" t="s">
        <v>3466</v>
      </c>
      <c r="D23" t="s">
        <v>7444</v>
      </c>
    </row>
    <row r="24" spans="1:4" x14ac:dyDescent="0.25">
      <c r="A24" t="s">
        <v>5478</v>
      </c>
      <c r="B24" t="s">
        <v>5751</v>
      </c>
      <c r="C24" t="s">
        <v>7411</v>
      </c>
      <c r="D24" t="s">
        <v>7436</v>
      </c>
    </row>
    <row r="25" spans="1:4" x14ac:dyDescent="0.25">
      <c r="A25" t="s">
        <v>5291</v>
      </c>
      <c r="B25" t="s">
        <v>5315</v>
      </c>
      <c r="C25" t="s">
        <v>3466</v>
      </c>
      <c r="D25" t="s">
        <v>7432</v>
      </c>
    </row>
    <row r="26" spans="1:4" x14ac:dyDescent="0.25">
      <c r="A26" t="s">
        <v>7480</v>
      </c>
      <c r="B26" t="s">
        <v>5751</v>
      </c>
      <c r="C26" t="s">
        <v>3466</v>
      </c>
      <c r="D26" t="s">
        <v>7491</v>
      </c>
    </row>
    <row r="27" spans="1:4" x14ac:dyDescent="0.25">
      <c r="A27" t="s">
        <v>5305</v>
      </c>
      <c r="B27" t="s">
        <v>7442</v>
      </c>
      <c r="C27" t="s">
        <v>7415</v>
      </c>
      <c r="D27" t="s">
        <v>7422</v>
      </c>
    </row>
    <row r="28" spans="1:4" x14ac:dyDescent="0.25">
      <c r="A28" t="s">
        <v>7421</v>
      </c>
      <c r="B28" t="s">
        <v>4010</v>
      </c>
      <c r="C28" t="s">
        <v>7420</v>
      </c>
      <c r="D28" t="s">
        <v>7446</v>
      </c>
    </row>
    <row r="29" spans="1:4" x14ac:dyDescent="0.25">
      <c r="A29" t="s">
        <v>7429</v>
      </c>
      <c r="B29" t="s">
        <v>5315</v>
      </c>
      <c r="C29" t="s">
        <v>7428</v>
      </c>
      <c r="D29" t="s">
        <v>7506</v>
      </c>
    </row>
    <row r="30" spans="1:4" x14ac:dyDescent="0.25">
      <c r="A30" t="s">
        <v>7409</v>
      </c>
      <c r="B30" t="s">
        <v>3696</v>
      </c>
      <c r="C30" t="s">
        <v>3466</v>
      </c>
      <c r="D30" t="s">
        <v>7410</v>
      </c>
    </row>
    <row r="31" spans="1:4" x14ac:dyDescent="0.25">
      <c r="A31" t="s">
        <v>7459</v>
      </c>
      <c r="B31" t="s">
        <v>7442</v>
      </c>
      <c r="C31" t="s">
        <v>7419</v>
      </c>
      <c r="D31" t="s">
        <v>7460</v>
      </c>
    </row>
    <row r="32" spans="1:4" x14ac:dyDescent="0.25">
      <c r="A32" t="s">
        <v>8032</v>
      </c>
      <c r="B32" t="s">
        <v>7442</v>
      </c>
      <c r="C32" t="s">
        <v>3466</v>
      </c>
      <c r="D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run while skipping or trashing X items/upgrades or take 3 Damage."</t>
        </is>
      </c>
      <c r="E2" t="inlineStr">
        <is>
          <t xml:space="preserve">demand "skip or trash {X} [item/upgrade|items/upgrades]" else -&gt; take_damage 3</t>
        </is>
      </c>
      <c r="F2" t="inlineStr">
        <is>
          <t xml:space="preserve">Gains "or instead beat a run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on a winning run, Gain a [chest reward]"</t>
        </is>
      </c>
      <c r="E3" t="inlineStr">
        <is>
          <t xml:space="preserve">goal "{X} or all bosses were beaten without getting hit" -&gt; gain_chest reward {X}</t>
        </is>
      </c>
      <c r="F3" t="inlineStr">
        <is>
          <t xml:space="preserve">Gains "on a run where you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the game while getting X achivements or take 3 Damage."</t>
        </is>
      </c>
      <c r="E4" t="inlineStr">
        <is>
          <t xml:space="preserve">demand "get {X} [achievement|achievements]" else -&gt; take_damage 3</t>
        </is>
      </c>
      <c r="F4" t="inlineStr">
        <is>
          <t xml:space="preserve">Gains "and if you get X achivements in the same run,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goal must be completed 1+(1/2)^(X-2) hours or less into the run"</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"on a run where the difficulty was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run while not healing intentionally or take 3 Damage. This lasts for X games."</t>
        </is>
      </c>
      <c r="E7" t="inlineStr">
        <is>
          <t xml:space="preserve">demand "not heal intentionally" else -&gt; take_damage 3</t>
        </is>
      </c>
      <c r="F7" t="inlineStr">
        <is>
          <t xml:space="preserve">Gains "and if you didn't intentionally heal in the same run, Gain a [chest reward]"</t>
        </is>
      </c>
      <c r="G7" t="inlineStr">
        <is>
          <t xml:space="preserve">bonus "you didn't intentionally heal"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D8" t="inlineStr">
        <is>
          <t xml:space="preserve">Gain "You must beat a game twice in a row to set it as Completed or take 5 Damage. This lasts for X games."</t>
        </is>
      </c>
      <c r="E8" t="inlineStr">
        <is>
          <t xml:space="preserve">demand "beat a game twice in a row to set it as Completed" else -&gt; take_damage 5</t>
        </is>
      </c>
      <c r="F8" t="inlineStr">
        <is>
          <t xml:space="preserve">Gains "and if the goal was completed twice, Gain a [chest reward]"</t>
        </is>
      </c>
      <c r="G8" t="inlineStr">
        <is>
          <t xml:space="preserve">bonus "you beat the game twice in a row" -&gt; gain_chest reward {X}</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882</v>
      </c>
      <c r="C5" s="17" t="s">
        <v>4344</v>
      </c>
      <c r="E5" t="s">
        <v>4345</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0.60317460317460314</v>
      </c>
      <c r="C7" s="17" t="s">
        <v>4350</v>
      </c>
      <c r="E7" t="s">
        <v>4351</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1286</v>
      </c>
      <c r="C8" s="17" t="s">
        <v>4352</v>
      </c>
      <c r="E8" t="s">
        <v>4353</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4354</v>
      </c>
      <c r="B9" s="20">
        <f>IF(B5=0,0,2*B8/B5)</f>
        <v>2.9160997732426304</v>
      </c>
      <c r="C9" s="17" t="s">
        <v>4355</v>
      </c>
      <c r="E9" t="s">
        <v>4356</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3.6090225563909772</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346</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426</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90</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1142</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2026-09-18T09:55:13Z</dcterms:modified>
  <dc:language>en-US</dc:language>
</cp:coreProperties>
</file>